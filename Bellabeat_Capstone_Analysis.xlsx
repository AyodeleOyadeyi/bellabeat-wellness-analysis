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yooy\OneDrive\Documents\Google data analyst course\Course 8_Capstone project\"/>
    </mc:Choice>
  </mc:AlternateContent>
  <xr:revisionPtr revIDLastSave="0" documentId="8_{FE25640C-3C59-47C6-8483-CFC4C97296D9}" xr6:coauthVersionLast="47" xr6:coauthVersionMax="47" xr10:uidLastSave="{00000000-0000-0000-0000-000000000000}"/>
  <bookViews>
    <workbookView xWindow="-108" yWindow="-108" windowWidth="23256" windowHeight="13896" firstSheet="11" activeTab="16" xr2:uid="{787C11FC-6A88-4D50-BCF9-D9B9FF0BEFB0}"/>
  </bookViews>
  <sheets>
    <sheet name="Readme" sheetId="1" r:id="rId1"/>
    <sheet name="Raw_DailyActivity_1" sheetId="2" r:id="rId2"/>
    <sheet name="Raw_DailyActivity_2" sheetId="3" r:id="rId3"/>
    <sheet name="Raw_SleepDay" sheetId="4" r:id="rId4"/>
    <sheet name="File_Audit" sheetId="5" r:id="rId5"/>
    <sheet name="Working_DailyActivity" sheetId="6" r:id="rId6"/>
    <sheet name="Working_SleepDay" sheetId="7" r:id="rId7"/>
    <sheet name="Merged_Activity_Sleep" sheetId="8" r:id="rId8"/>
    <sheet name="Cleaning_Log" sheetId="9" r:id="rId9"/>
    <sheet name="Data_Dictionary" sheetId="10" r:id="rId10"/>
    <sheet name="Analysis" sheetId="11" r:id="rId11"/>
    <sheet name="Analysis_Summary" sheetId="15" r:id="rId12"/>
    <sheet name="PivotTables" sheetId="16" r:id="rId13"/>
    <sheet name="Final_insights" sheetId="17" r:id="rId14"/>
    <sheet name="Charts" sheetId="12" r:id="rId15"/>
    <sheet name="Dashboard" sheetId="13" r:id="rId16"/>
    <sheet name="Act_Recommendations" sheetId="19" r:id="rId17"/>
    <sheet name="Share_Narrative" sheetId="18" r:id="rId18"/>
    <sheet name="Insights" sheetId="14" r:id="rId19"/>
  </sheets>
  <calcPr calcId="191029"/>
  <pivotCaches>
    <pivotCache cacheId="0" r:id="rId20"/>
    <pivotCache cacheId="1" r:id="rId21"/>
    <pivotCache cacheId="2"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 i="15" l="1"/>
  <c r="B33" i="15"/>
  <c r="B32" i="15"/>
  <c r="B31" i="15"/>
  <c r="B28" i="15" a="1"/>
  <c r="B27" i="15"/>
  <c r="B26" i="15"/>
  <c r="B25" i="15"/>
  <c r="B24" i="15"/>
  <c r="B23" i="15"/>
  <c r="B22" i="15"/>
  <c r="B21" i="15"/>
  <c r="B20" i="15"/>
  <c r="B17" i="15" a="1"/>
  <c r="B16" i="15" a="1"/>
  <c r="B15" i="15"/>
  <c r="B14" i="15"/>
  <c r="B13" i="15"/>
  <c r="B12" i="15"/>
  <c r="B11" i="15"/>
  <c r="B10" i="15"/>
  <c r="B9" i="15"/>
  <c r="B8" i="15"/>
  <c r="B7" i="15"/>
  <c r="B6" i="15"/>
  <c r="B4" i="15"/>
  <c r="B3" i="15"/>
  <c r="Z11" i="8" a="1"/>
  <c r="A1048576" i="6"/>
  <c r="C1048576" i="6"/>
  <c r="D1048576" i="6"/>
  <c r="E1048576" i="6"/>
  <c r="F1048576" i="6"/>
  <c r="G1048576" i="6"/>
  <c r="H1048576" i="6"/>
  <c r="I1048576" i="6"/>
  <c r="J1048576" i="6"/>
  <c r="K1048576" i="6"/>
  <c r="L1048576" i="6"/>
  <c r="M1048576" i="6"/>
  <c r="N1048576" i="6"/>
  <c r="O1048576" i="6"/>
  <c r="R1048576" i="6"/>
  <c r="S1048576" i="6"/>
  <c r="T1048576" i="6"/>
  <c r="W2" i="6"/>
  <c r="X2" i="6" s="1"/>
  <c r="W3" i="6"/>
  <c r="X3" i="6" s="1"/>
  <c r="W4" i="6"/>
  <c r="X4" i="6" s="1"/>
  <c r="W5" i="6"/>
  <c r="X5" i="6" s="1"/>
  <c r="W6" i="6"/>
  <c r="X6" i="6" s="1"/>
  <c r="W7" i="6"/>
  <c r="X7" i="6" s="1"/>
  <c r="W8" i="6"/>
  <c r="X8" i="6" s="1"/>
  <c r="W9" i="6"/>
  <c r="X9" i="6" s="1"/>
  <c r="W10" i="6"/>
  <c r="X10" i="6" s="1"/>
  <c r="W11" i="6"/>
  <c r="X11" i="6" s="1"/>
  <c r="W12" i="6"/>
  <c r="X12" i="6" s="1"/>
  <c r="W13" i="6"/>
  <c r="X13" i="6" s="1"/>
  <c r="W14" i="6"/>
  <c r="X14" i="6" s="1"/>
  <c r="W15" i="6"/>
  <c r="X15" i="6" s="1"/>
  <c r="W16" i="6"/>
  <c r="X16" i="6" s="1"/>
  <c r="W17" i="6"/>
  <c r="X17" i="6" s="1"/>
  <c r="W18" i="6"/>
  <c r="X18" i="6" s="1"/>
  <c r="W19" i="6"/>
  <c r="X19" i="6" s="1"/>
  <c r="W20" i="6"/>
  <c r="X20" i="6" s="1"/>
  <c r="W21" i="6"/>
  <c r="X21" i="6" s="1"/>
  <c r="W22" i="6"/>
  <c r="X22" i="6" s="1"/>
  <c r="W23" i="6"/>
  <c r="X23" i="6" s="1"/>
  <c r="W24" i="6"/>
  <c r="X24" i="6" s="1"/>
  <c r="W25" i="6"/>
  <c r="X25" i="6" s="1"/>
  <c r="W26" i="6"/>
  <c r="X26" i="6" s="1"/>
  <c r="W27" i="6"/>
  <c r="X27" i="6" s="1"/>
  <c r="W28" i="6"/>
  <c r="X28" i="6" s="1"/>
  <c r="W29" i="6"/>
  <c r="X29" i="6" s="1"/>
  <c r="W30" i="6"/>
  <c r="X30" i="6" s="1"/>
  <c r="W31" i="6"/>
  <c r="X31" i="6" s="1"/>
  <c r="W32" i="6"/>
  <c r="X32" i="6" s="1"/>
  <c r="W33" i="6"/>
  <c r="X33" i="6" s="1"/>
  <c r="W34" i="6"/>
  <c r="X34" i="6" s="1"/>
  <c r="W35" i="6"/>
  <c r="X35" i="6" s="1"/>
  <c r="W36" i="6"/>
  <c r="X36" i="6" s="1"/>
  <c r="W37" i="6"/>
  <c r="X37" i="6" s="1"/>
  <c r="W38" i="6"/>
  <c r="X38" i="6" s="1"/>
  <c r="W39" i="6"/>
  <c r="X39" i="6" s="1"/>
  <c r="W40" i="6"/>
  <c r="X40" i="6" s="1"/>
  <c r="W41" i="6"/>
  <c r="X41" i="6" s="1"/>
  <c r="W42" i="6"/>
  <c r="X42" i="6" s="1"/>
  <c r="W43" i="6"/>
  <c r="X43" i="6" s="1"/>
  <c r="W44" i="6"/>
  <c r="X44" i="6" s="1"/>
  <c r="W45" i="6"/>
  <c r="X45" i="6" s="1"/>
  <c r="W46" i="6"/>
  <c r="X46" i="6" s="1"/>
  <c r="W47" i="6"/>
  <c r="X47" i="6" s="1"/>
  <c r="W48" i="6"/>
  <c r="X48" i="6" s="1"/>
  <c r="W49" i="6"/>
  <c r="X49" i="6" s="1"/>
  <c r="W50" i="6"/>
  <c r="X50" i="6" s="1"/>
  <c r="W51" i="6"/>
  <c r="X51" i="6" s="1"/>
  <c r="W52" i="6"/>
  <c r="X52" i="6" s="1"/>
  <c r="W53" i="6"/>
  <c r="X53" i="6" s="1"/>
  <c r="W54" i="6"/>
  <c r="X54" i="6" s="1"/>
  <c r="W55" i="6"/>
  <c r="X55" i="6" s="1"/>
  <c r="W56" i="6"/>
  <c r="X56" i="6" s="1"/>
  <c r="W57" i="6"/>
  <c r="X57" i="6" s="1"/>
  <c r="W58" i="6"/>
  <c r="X58" i="6" s="1"/>
  <c r="W59" i="6"/>
  <c r="X59" i="6" s="1"/>
  <c r="W60" i="6"/>
  <c r="X60" i="6" s="1"/>
  <c r="W61" i="6"/>
  <c r="X61" i="6" s="1"/>
  <c r="W62" i="6"/>
  <c r="X62" i="6" s="1"/>
  <c r="W63" i="6"/>
  <c r="X63" i="6" s="1"/>
  <c r="W64" i="6"/>
  <c r="X64" i="6" s="1"/>
  <c r="W65" i="6"/>
  <c r="X65" i="6" s="1"/>
  <c r="W66" i="6"/>
  <c r="X66" i="6" s="1"/>
  <c r="W67" i="6"/>
  <c r="X67" i="6" s="1"/>
  <c r="W68" i="6"/>
  <c r="X68" i="6" s="1"/>
  <c r="W69" i="6"/>
  <c r="X69" i="6" s="1"/>
  <c r="W70" i="6"/>
  <c r="X70" i="6" s="1"/>
  <c r="W71" i="6"/>
  <c r="X71" i="6" s="1"/>
  <c r="W72" i="6"/>
  <c r="X72" i="6" s="1"/>
  <c r="W73" i="6"/>
  <c r="X73" i="6" s="1"/>
  <c r="W74" i="6"/>
  <c r="X74" i="6" s="1"/>
  <c r="W75" i="6"/>
  <c r="X75" i="6" s="1"/>
  <c r="W76" i="6"/>
  <c r="X76" i="6" s="1"/>
  <c r="W77" i="6"/>
  <c r="X77" i="6" s="1"/>
  <c r="W78" i="6"/>
  <c r="X78" i="6" s="1"/>
  <c r="W79" i="6"/>
  <c r="X79" i="6" s="1"/>
  <c r="W80" i="6"/>
  <c r="X80" i="6" s="1"/>
  <c r="W81" i="6"/>
  <c r="X81" i="6" s="1"/>
  <c r="W82" i="6"/>
  <c r="X82" i="6" s="1"/>
  <c r="W83" i="6"/>
  <c r="X83" i="6" s="1"/>
  <c r="W84" i="6"/>
  <c r="X84" i="6" s="1"/>
  <c r="W85" i="6"/>
  <c r="X85" i="6" s="1"/>
  <c r="W86" i="6"/>
  <c r="X86" i="6" s="1"/>
  <c r="W87" i="6"/>
  <c r="X87" i="6" s="1"/>
  <c r="W88" i="6"/>
  <c r="X88" i="6" s="1"/>
  <c r="W89" i="6"/>
  <c r="X89" i="6" s="1"/>
  <c r="W90" i="6"/>
  <c r="X90" i="6" s="1"/>
  <c r="W91" i="6"/>
  <c r="X91" i="6" s="1"/>
  <c r="W92" i="6"/>
  <c r="X92" i="6" s="1"/>
  <c r="W93" i="6"/>
  <c r="X93" i="6" s="1"/>
  <c r="W94" i="6"/>
  <c r="X94" i="6" s="1"/>
  <c r="W95" i="6"/>
  <c r="X95" i="6" s="1"/>
  <c r="W96" i="6"/>
  <c r="X96" i="6" s="1"/>
  <c r="W97" i="6"/>
  <c r="X97" i="6" s="1"/>
  <c r="W98" i="6"/>
  <c r="X98" i="6" s="1"/>
  <c r="W99" i="6"/>
  <c r="X99" i="6" s="1"/>
  <c r="W100" i="6"/>
  <c r="X100" i="6" s="1"/>
  <c r="W101" i="6"/>
  <c r="X101" i="6" s="1"/>
  <c r="W102" i="6"/>
  <c r="X102" i="6" s="1"/>
  <c r="W103" i="6"/>
  <c r="X103" i="6" s="1"/>
  <c r="W104" i="6"/>
  <c r="X104" i="6" s="1"/>
  <c r="W105" i="6"/>
  <c r="X105" i="6" s="1"/>
  <c r="W106" i="6"/>
  <c r="X106" i="6" s="1"/>
  <c r="W107" i="6"/>
  <c r="X107" i="6" s="1"/>
  <c r="W108" i="6"/>
  <c r="X108" i="6" s="1"/>
  <c r="W109" i="6"/>
  <c r="X109" i="6" s="1"/>
  <c r="W110" i="6"/>
  <c r="X110" i="6" s="1"/>
  <c r="W111" i="6"/>
  <c r="X111" i="6" s="1"/>
  <c r="W112" i="6"/>
  <c r="X112" i="6" s="1"/>
  <c r="W113" i="6"/>
  <c r="X113" i="6" s="1"/>
  <c r="W114" i="6"/>
  <c r="X114" i="6" s="1"/>
  <c r="W115" i="6"/>
  <c r="X115" i="6" s="1"/>
  <c r="W116" i="6"/>
  <c r="X116" i="6" s="1"/>
  <c r="W117" i="6"/>
  <c r="X117" i="6" s="1"/>
  <c r="W118" i="6"/>
  <c r="X118" i="6" s="1"/>
  <c r="W119" i="6"/>
  <c r="X119" i="6" s="1"/>
  <c r="W120" i="6"/>
  <c r="X120" i="6" s="1"/>
  <c r="W121" i="6"/>
  <c r="X121" i="6" s="1"/>
  <c r="W122" i="6"/>
  <c r="X122" i="6" s="1"/>
  <c r="W123" i="6"/>
  <c r="X123" i="6" s="1"/>
  <c r="W124" i="6"/>
  <c r="X124" i="6" s="1"/>
  <c r="W125" i="6"/>
  <c r="X125" i="6" s="1"/>
  <c r="W126" i="6"/>
  <c r="X126" i="6" s="1"/>
  <c r="W127" i="6"/>
  <c r="X127" i="6" s="1"/>
  <c r="W128" i="6"/>
  <c r="X128" i="6" s="1"/>
  <c r="W129" i="6"/>
  <c r="X129" i="6" s="1"/>
  <c r="W130" i="6"/>
  <c r="X130" i="6" s="1"/>
  <c r="W131" i="6"/>
  <c r="X131" i="6" s="1"/>
  <c r="W132" i="6"/>
  <c r="X132" i="6" s="1"/>
  <c r="W133" i="6"/>
  <c r="X133" i="6" s="1"/>
  <c r="W134" i="6"/>
  <c r="X134" i="6" s="1"/>
  <c r="W135" i="6"/>
  <c r="X135" i="6" s="1"/>
  <c r="W136" i="6"/>
  <c r="X136" i="6" s="1"/>
  <c r="W137" i="6"/>
  <c r="X137" i="6" s="1"/>
  <c r="W138" i="6"/>
  <c r="X138" i="6" s="1"/>
  <c r="W139" i="6"/>
  <c r="X139" i="6" s="1"/>
  <c r="W140" i="6"/>
  <c r="X140" i="6" s="1"/>
  <c r="W141" i="6"/>
  <c r="X141" i="6" s="1"/>
  <c r="W142" i="6"/>
  <c r="X142" i="6" s="1"/>
  <c r="W143" i="6"/>
  <c r="X143" i="6" s="1"/>
  <c r="W144" i="6"/>
  <c r="X144" i="6" s="1"/>
  <c r="W145" i="6"/>
  <c r="X145" i="6" s="1"/>
  <c r="W146" i="6"/>
  <c r="X146" i="6" s="1"/>
  <c r="W147" i="6"/>
  <c r="X147" i="6" s="1"/>
  <c r="W148" i="6"/>
  <c r="X148" i="6" s="1"/>
  <c r="W149" i="6"/>
  <c r="X149" i="6" s="1"/>
  <c r="W150" i="6"/>
  <c r="X150" i="6" s="1"/>
  <c r="W151" i="6"/>
  <c r="X151" i="6" s="1"/>
  <c r="W152" i="6"/>
  <c r="X152" i="6" s="1"/>
  <c r="W153" i="6"/>
  <c r="X153" i="6" s="1"/>
  <c r="W154" i="6"/>
  <c r="X154" i="6" s="1"/>
  <c r="W155" i="6"/>
  <c r="X155" i="6" s="1"/>
  <c r="W156" i="6"/>
  <c r="X156" i="6" s="1"/>
  <c r="W157" i="6"/>
  <c r="X157" i="6" s="1"/>
  <c r="W158" i="6"/>
  <c r="X158" i="6" s="1"/>
  <c r="W159" i="6"/>
  <c r="X159" i="6" s="1"/>
  <c r="W160" i="6"/>
  <c r="X160" i="6" s="1"/>
  <c r="W161" i="6"/>
  <c r="X161" i="6" s="1"/>
  <c r="W162" i="6"/>
  <c r="X162" i="6" s="1"/>
  <c r="W163" i="6"/>
  <c r="X163" i="6" s="1"/>
  <c r="W164" i="6"/>
  <c r="X164" i="6" s="1"/>
  <c r="W165" i="6"/>
  <c r="X165" i="6" s="1"/>
  <c r="W166" i="6"/>
  <c r="X166" i="6" s="1"/>
  <c r="W167" i="6"/>
  <c r="X167" i="6" s="1"/>
  <c r="W168" i="6"/>
  <c r="X168" i="6" s="1"/>
  <c r="W169" i="6"/>
  <c r="X169" i="6" s="1"/>
  <c r="W170" i="6"/>
  <c r="X170" i="6" s="1"/>
  <c r="W171" i="6"/>
  <c r="X171" i="6" s="1"/>
  <c r="W172" i="6"/>
  <c r="X172" i="6" s="1"/>
  <c r="W173" i="6"/>
  <c r="X173" i="6" s="1"/>
  <c r="W174" i="6"/>
  <c r="X174" i="6" s="1"/>
  <c r="W175" i="6"/>
  <c r="X175" i="6" s="1"/>
  <c r="W176" i="6"/>
  <c r="X176" i="6" s="1"/>
  <c r="W177" i="6"/>
  <c r="X177" i="6" s="1"/>
  <c r="W178" i="6"/>
  <c r="X178" i="6" s="1"/>
  <c r="W179" i="6"/>
  <c r="X179" i="6" s="1"/>
  <c r="W180" i="6"/>
  <c r="X180" i="6" s="1"/>
  <c r="W181" i="6"/>
  <c r="X181" i="6" s="1"/>
  <c r="W182" i="6"/>
  <c r="X182" i="6" s="1"/>
  <c r="W183" i="6"/>
  <c r="X183" i="6" s="1"/>
  <c r="W184" i="6"/>
  <c r="X184" i="6" s="1"/>
  <c r="W185" i="6"/>
  <c r="X185" i="6" s="1"/>
  <c r="W186" i="6"/>
  <c r="X186" i="6" s="1"/>
  <c r="W187" i="6"/>
  <c r="X187" i="6" s="1"/>
  <c r="W188" i="6"/>
  <c r="X188" i="6" s="1"/>
  <c r="W189" i="6"/>
  <c r="X189" i="6" s="1"/>
  <c r="W190" i="6"/>
  <c r="X190" i="6" s="1"/>
  <c r="W191" i="6"/>
  <c r="X191" i="6" s="1"/>
  <c r="W192" i="6"/>
  <c r="X192" i="6" s="1"/>
  <c r="W193" i="6"/>
  <c r="X193" i="6" s="1"/>
  <c r="W194" i="6"/>
  <c r="X194" i="6" s="1"/>
  <c r="W195" i="6"/>
  <c r="X195" i="6" s="1"/>
  <c r="W196" i="6"/>
  <c r="X196" i="6" s="1"/>
  <c r="W197" i="6"/>
  <c r="X197" i="6" s="1"/>
  <c r="W198" i="6"/>
  <c r="X198" i="6" s="1"/>
  <c r="W199" i="6"/>
  <c r="X199" i="6" s="1"/>
  <c r="W200" i="6"/>
  <c r="X200" i="6" s="1"/>
  <c r="W201" i="6"/>
  <c r="X201" i="6" s="1"/>
  <c r="W202" i="6"/>
  <c r="X202" i="6" s="1"/>
  <c r="W203" i="6"/>
  <c r="X203" i="6" s="1"/>
  <c r="W204" i="6"/>
  <c r="X204" i="6" s="1"/>
  <c r="W205" i="6"/>
  <c r="X205" i="6" s="1"/>
  <c r="W206" i="6"/>
  <c r="X206" i="6" s="1"/>
  <c r="W207" i="6"/>
  <c r="X207" i="6" s="1"/>
  <c r="W208" i="6"/>
  <c r="X208" i="6" s="1"/>
  <c r="W209" i="6"/>
  <c r="X209" i="6" s="1"/>
  <c r="W210" i="6"/>
  <c r="X210" i="6" s="1"/>
  <c r="W211" i="6"/>
  <c r="X211" i="6" s="1"/>
  <c r="W212" i="6"/>
  <c r="X212" i="6" s="1"/>
  <c r="W213" i="6"/>
  <c r="X213" i="6" s="1"/>
  <c r="W214" i="6"/>
  <c r="X214" i="6" s="1"/>
  <c r="W215" i="6"/>
  <c r="X215" i="6" s="1"/>
  <c r="W216" i="6"/>
  <c r="X216" i="6" s="1"/>
  <c r="W217" i="6"/>
  <c r="X217" i="6" s="1"/>
  <c r="W218" i="6"/>
  <c r="X218" i="6" s="1"/>
  <c r="W219" i="6"/>
  <c r="X219" i="6" s="1"/>
  <c r="W220" i="6"/>
  <c r="X220" i="6" s="1"/>
  <c r="W221" i="6"/>
  <c r="X221" i="6" s="1"/>
  <c r="W222" i="6"/>
  <c r="X222" i="6" s="1"/>
  <c r="W223" i="6"/>
  <c r="X223" i="6" s="1"/>
  <c r="W224" i="6"/>
  <c r="X224" i="6" s="1"/>
  <c r="W225" i="6"/>
  <c r="X225" i="6" s="1"/>
  <c r="W226" i="6"/>
  <c r="X226" i="6" s="1"/>
  <c r="W227" i="6"/>
  <c r="X227" i="6" s="1"/>
  <c r="W228" i="6"/>
  <c r="X228" i="6" s="1"/>
  <c r="W229" i="6"/>
  <c r="X229" i="6" s="1"/>
  <c r="W230" i="6"/>
  <c r="X230" i="6" s="1"/>
  <c r="W231" i="6"/>
  <c r="X231" i="6" s="1"/>
  <c r="W232" i="6"/>
  <c r="X232" i="6" s="1"/>
  <c r="W233" i="6"/>
  <c r="X233" i="6" s="1"/>
  <c r="W234" i="6"/>
  <c r="X234" i="6" s="1"/>
  <c r="W235" i="6"/>
  <c r="X235" i="6" s="1"/>
  <c r="W236" i="6"/>
  <c r="X236" i="6" s="1"/>
  <c r="W237" i="6"/>
  <c r="X237" i="6" s="1"/>
  <c r="W238" i="6"/>
  <c r="X238" i="6" s="1"/>
  <c r="W239" i="6"/>
  <c r="X239" i="6" s="1"/>
  <c r="W240" i="6"/>
  <c r="X240" i="6" s="1"/>
  <c r="W241" i="6"/>
  <c r="X241" i="6" s="1"/>
  <c r="W242" i="6"/>
  <c r="X242" i="6" s="1"/>
  <c r="W243" i="6"/>
  <c r="X243" i="6" s="1"/>
  <c r="W244" i="6"/>
  <c r="X244" i="6" s="1"/>
  <c r="W245" i="6"/>
  <c r="X245" i="6" s="1"/>
  <c r="W246" i="6"/>
  <c r="X246" i="6" s="1"/>
  <c r="W247" i="6"/>
  <c r="X247" i="6" s="1"/>
  <c r="W248" i="6"/>
  <c r="X248" i="6" s="1"/>
  <c r="W249" i="6"/>
  <c r="X249" i="6" s="1"/>
  <c r="W250" i="6"/>
  <c r="X250" i="6" s="1"/>
  <c r="W251" i="6"/>
  <c r="X251" i="6" s="1"/>
  <c r="W252" i="6"/>
  <c r="X252" i="6" s="1"/>
  <c r="W253" i="6"/>
  <c r="X253" i="6" s="1"/>
  <c r="W254" i="6"/>
  <c r="X254" i="6" s="1"/>
  <c r="W255" i="6"/>
  <c r="X255" i="6" s="1"/>
  <c r="W256" i="6"/>
  <c r="X256" i="6" s="1"/>
  <c r="W257" i="6"/>
  <c r="X257" i="6" s="1"/>
  <c r="W258" i="6"/>
  <c r="X258" i="6" s="1"/>
  <c r="W259" i="6"/>
  <c r="X259" i="6" s="1"/>
  <c r="W260" i="6"/>
  <c r="X260" i="6" s="1"/>
  <c r="W261" i="6"/>
  <c r="X261" i="6" s="1"/>
  <c r="W262" i="6"/>
  <c r="X262" i="6" s="1"/>
  <c r="W263" i="6"/>
  <c r="X263" i="6" s="1"/>
  <c r="W264" i="6"/>
  <c r="X264" i="6" s="1"/>
  <c r="W265" i="6"/>
  <c r="X265" i="6" s="1"/>
  <c r="W266" i="6"/>
  <c r="X266" i="6" s="1"/>
  <c r="W267" i="6"/>
  <c r="X267" i="6" s="1"/>
  <c r="W268" i="6"/>
  <c r="X268" i="6" s="1"/>
  <c r="W269" i="6"/>
  <c r="X269" i="6" s="1"/>
  <c r="W270" i="6"/>
  <c r="X270" i="6" s="1"/>
  <c r="W271" i="6"/>
  <c r="X271" i="6" s="1"/>
  <c r="W272" i="6"/>
  <c r="X272" i="6" s="1"/>
  <c r="W273" i="6"/>
  <c r="X273" i="6" s="1"/>
  <c r="W274" i="6"/>
  <c r="X274" i="6" s="1"/>
  <c r="W275" i="6"/>
  <c r="X275" i="6" s="1"/>
  <c r="W276" i="6"/>
  <c r="X276" i="6" s="1"/>
  <c r="W277" i="6"/>
  <c r="X277" i="6" s="1"/>
  <c r="W278" i="6"/>
  <c r="X278" i="6" s="1"/>
  <c r="W279" i="6"/>
  <c r="X279" i="6" s="1"/>
  <c r="W280" i="6"/>
  <c r="X280" i="6" s="1"/>
  <c r="W281" i="6"/>
  <c r="X281" i="6" s="1"/>
  <c r="W282" i="6"/>
  <c r="X282" i="6" s="1"/>
  <c r="W283" i="6"/>
  <c r="X283" i="6" s="1"/>
  <c r="W284" i="6"/>
  <c r="X284" i="6" s="1"/>
  <c r="W285" i="6"/>
  <c r="X285" i="6" s="1"/>
  <c r="W286" i="6"/>
  <c r="X286" i="6" s="1"/>
  <c r="W287" i="6"/>
  <c r="X287" i="6" s="1"/>
  <c r="W288" i="6"/>
  <c r="X288" i="6" s="1"/>
  <c r="W289" i="6"/>
  <c r="X289" i="6" s="1"/>
  <c r="W290" i="6"/>
  <c r="X290" i="6" s="1"/>
  <c r="W291" i="6"/>
  <c r="X291" i="6" s="1"/>
  <c r="W292" i="6"/>
  <c r="X292" i="6" s="1"/>
  <c r="W293" i="6"/>
  <c r="X293" i="6" s="1"/>
  <c r="W294" i="6"/>
  <c r="X294" i="6" s="1"/>
  <c r="W295" i="6"/>
  <c r="X295" i="6" s="1"/>
  <c r="W296" i="6"/>
  <c r="X296" i="6" s="1"/>
  <c r="W297" i="6"/>
  <c r="X297" i="6" s="1"/>
  <c r="W298" i="6"/>
  <c r="X298" i="6" s="1"/>
  <c r="W299" i="6"/>
  <c r="X299" i="6" s="1"/>
  <c r="W300" i="6"/>
  <c r="X300" i="6" s="1"/>
  <c r="W301" i="6"/>
  <c r="X301" i="6" s="1"/>
  <c r="W302" i="6"/>
  <c r="X302" i="6" s="1"/>
  <c r="W303" i="6"/>
  <c r="X303" i="6" s="1"/>
  <c r="W304" i="6"/>
  <c r="X304" i="6" s="1"/>
  <c r="W305" i="6"/>
  <c r="X305" i="6" s="1"/>
  <c r="W306" i="6"/>
  <c r="X306" i="6" s="1"/>
  <c r="W307" i="6"/>
  <c r="X307" i="6" s="1"/>
  <c r="W308" i="6"/>
  <c r="X308" i="6" s="1"/>
  <c r="W309" i="6"/>
  <c r="X309" i="6" s="1"/>
  <c r="W310" i="6"/>
  <c r="X310" i="6" s="1"/>
  <c r="W311" i="6"/>
  <c r="X311" i="6" s="1"/>
  <c r="W312" i="6"/>
  <c r="X312" i="6" s="1"/>
  <c r="W313" i="6"/>
  <c r="X313" i="6" s="1"/>
  <c r="W314" i="6"/>
  <c r="X314" i="6" s="1"/>
  <c r="W315" i="6"/>
  <c r="X315" i="6" s="1"/>
  <c r="W316" i="6"/>
  <c r="X316" i="6" s="1"/>
  <c r="W317" i="6"/>
  <c r="X317" i="6" s="1"/>
  <c r="W318" i="6"/>
  <c r="X318" i="6" s="1"/>
  <c r="W319" i="6"/>
  <c r="X319" i="6" s="1"/>
  <c r="W320" i="6"/>
  <c r="X320" i="6" s="1"/>
  <c r="W321" i="6"/>
  <c r="X321" i="6" s="1"/>
  <c r="W322" i="6"/>
  <c r="X322" i="6" s="1"/>
  <c r="W323" i="6"/>
  <c r="X323" i="6" s="1"/>
  <c r="W324" i="6"/>
  <c r="X324" i="6" s="1"/>
  <c r="W325" i="6"/>
  <c r="X325" i="6" s="1"/>
  <c r="W326" i="6"/>
  <c r="X326" i="6" s="1"/>
  <c r="W327" i="6"/>
  <c r="X327" i="6" s="1"/>
  <c r="W328" i="6"/>
  <c r="X328" i="6" s="1"/>
  <c r="W329" i="6"/>
  <c r="X329" i="6" s="1"/>
  <c r="W330" i="6"/>
  <c r="X330" i="6" s="1"/>
  <c r="W331" i="6"/>
  <c r="X331" i="6" s="1"/>
  <c r="W332" i="6"/>
  <c r="X332" i="6" s="1"/>
  <c r="W333" i="6"/>
  <c r="X333" i="6" s="1"/>
  <c r="W334" i="6"/>
  <c r="X334" i="6" s="1"/>
  <c r="W335" i="6"/>
  <c r="X335" i="6" s="1"/>
  <c r="W336" i="6"/>
  <c r="X336" i="6" s="1"/>
  <c r="W337" i="6"/>
  <c r="X337" i="6" s="1"/>
  <c r="W338" i="6"/>
  <c r="X338" i="6" s="1"/>
  <c r="W339" i="6"/>
  <c r="X339" i="6" s="1"/>
  <c r="W340" i="6"/>
  <c r="X340" i="6" s="1"/>
  <c r="W341" i="6"/>
  <c r="X341" i="6" s="1"/>
  <c r="W342" i="6"/>
  <c r="X342" i="6" s="1"/>
  <c r="W343" i="6"/>
  <c r="X343" i="6" s="1"/>
  <c r="W344" i="6"/>
  <c r="X344" i="6" s="1"/>
  <c r="W345" i="6"/>
  <c r="X345" i="6" s="1"/>
  <c r="W346" i="6"/>
  <c r="X346" i="6" s="1"/>
  <c r="W347" i="6"/>
  <c r="X347" i="6" s="1"/>
  <c r="W348" i="6"/>
  <c r="X348" i="6" s="1"/>
  <c r="W349" i="6"/>
  <c r="X349" i="6" s="1"/>
  <c r="W350" i="6"/>
  <c r="X350" i="6" s="1"/>
  <c r="W351" i="6"/>
  <c r="X351" i="6" s="1"/>
  <c r="W352" i="6"/>
  <c r="X352" i="6" s="1"/>
  <c r="W353" i="6"/>
  <c r="X353" i="6" s="1"/>
  <c r="W354" i="6"/>
  <c r="X354" i="6" s="1"/>
  <c r="W355" i="6"/>
  <c r="X355" i="6" s="1"/>
  <c r="W356" i="6"/>
  <c r="X356" i="6" s="1"/>
  <c r="W357" i="6"/>
  <c r="X357" i="6" s="1"/>
  <c r="W358" i="6"/>
  <c r="X358" i="6" s="1"/>
  <c r="W359" i="6"/>
  <c r="X359" i="6" s="1"/>
  <c r="W360" i="6"/>
  <c r="X360" i="6" s="1"/>
  <c r="W361" i="6"/>
  <c r="X361" i="6" s="1"/>
  <c r="W362" i="6"/>
  <c r="X362" i="6" s="1"/>
  <c r="W363" i="6"/>
  <c r="X363" i="6" s="1"/>
  <c r="W364" i="6"/>
  <c r="X364" i="6" s="1"/>
  <c r="W365" i="6"/>
  <c r="X365" i="6" s="1"/>
  <c r="W366" i="6"/>
  <c r="X366" i="6" s="1"/>
  <c r="W367" i="6"/>
  <c r="X367" i="6" s="1"/>
  <c r="W368" i="6"/>
  <c r="X368" i="6" s="1"/>
  <c r="W369" i="6"/>
  <c r="X369" i="6" s="1"/>
  <c r="W370" i="6"/>
  <c r="X370" i="6" s="1"/>
  <c r="W371" i="6"/>
  <c r="X371" i="6" s="1"/>
  <c r="W372" i="6"/>
  <c r="X372" i="6" s="1"/>
  <c r="W373" i="6"/>
  <c r="X373" i="6" s="1"/>
  <c r="W374" i="6"/>
  <c r="X374" i="6" s="1"/>
  <c r="W375" i="6"/>
  <c r="X375" i="6" s="1"/>
  <c r="W376" i="6"/>
  <c r="X376" i="6" s="1"/>
  <c r="W377" i="6"/>
  <c r="X377" i="6" s="1"/>
  <c r="W378" i="6"/>
  <c r="X378" i="6" s="1"/>
  <c r="W379" i="6"/>
  <c r="X379" i="6" s="1"/>
  <c r="W380" i="6"/>
  <c r="X380" i="6" s="1"/>
  <c r="W381" i="6"/>
  <c r="X381" i="6" s="1"/>
  <c r="W382" i="6"/>
  <c r="X382" i="6" s="1"/>
  <c r="W383" i="6"/>
  <c r="X383" i="6" s="1"/>
  <c r="W384" i="6"/>
  <c r="X384" i="6" s="1"/>
  <c r="W385" i="6"/>
  <c r="X385" i="6" s="1"/>
  <c r="W386" i="6"/>
  <c r="X386" i="6" s="1"/>
  <c r="W387" i="6"/>
  <c r="X387" i="6" s="1"/>
  <c r="W388" i="6"/>
  <c r="X388" i="6" s="1"/>
  <c r="W389" i="6"/>
  <c r="X389" i="6" s="1"/>
  <c r="W390" i="6"/>
  <c r="X390" i="6" s="1"/>
  <c r="W391" i="6"/>
  <c r="X391" i="6" s="1"/>
  <c r="W392" i="6"/>
  <c r="X392" i="6" s="1"/>
  <c r="W393" i="6"/>
  <c r="X393" i="6" s="1"/>
  <c r="W394" i="6"/>
  <c r="X394" i="6" s="1"/>
  <c r="W395" i="6"/>
  <c r="X395" i="6" s="1"/>
  <c r="W396" i="6"/>
  <c r="X396" i="6" s="1"/>
  <c r="W397" i="6"/>
  <c r="X397" i="6" s="1"/>
  <c r="W398" i="6"/>
  <c r="X398" i="6" s="1"/>
  <c r="W399" i="6"/>
  <c r="X399" i="6" s="1"/>
  <c r="W400" i="6"/>
  <c r="X400" i="6" s="1"/>
  <c r="W401" i="6"/>
  <c r="X401" i="6" s="1"/>
  <c r="W402" i="6"/>
  <c r="X402" i="6" s="1"/>
  <c r="W403" i="6"/>
  <c r="X403" i="6" s="1"/>
  <c r="W404" i="6"/>
  <c r="X404" i="6" s="1"/>
  <c r="W405" i="6"/>
  <c r="X405" i="6" s="1"/>
  <c r="W406" i="6"/>
  <c r="X406" i="6" s="1"/>
  <c r="W407" i="6"/>
  <c r="X407" i="6" s="1"/>
  <c r="W408" i="6"/>
  <c r="X408" i="6" s="1"/>
  <c r="W409" i="6"/>
  <c r="X409" i="6" s="1"/>
  <c r="W410" i="6"/>
  <c r="X410" i="6" s="1"/>
  <c r="W411" i="6"/>
  <c r="X411" i="6" s="1"/>
  <c r="W412" i="6"/>
  <c r="X412" i="6" s="1"/>
  <c r="W413" i="6"/>
  <c r="X413" i="6" s="1"/>
  <c r="W414" i="6"/>
  <c r="X414" i="6" s="1"/>
  <c r="W415" i="6"/>
  <c r="X415" i="6" s="1"/>
  <c r="W416" i="6"/>
  <c r="X416" i="6" s="1"/>
  <c r="W417" i="6"/>
  <c r="X417" i="6" s="1"/>
  <c r="W418" i="6"/>
  <c r="X418" i="6" s="1"/>
  <c r="W419" i="6"/>
  <c r="X419" i="6" s="1"/>
  <c r="W420" i="6"/>
  <c r="X420" i="6" s="1"/>
  <c r="W421" i="6"/>
  <c r="X421" i="6" s="1"/>
  <c r="W422" i="6"/>
  <c r="X422" i="6" s="1"/>
  <c r="W423" i="6"/>
  <c r="X423" i="6" s="1"/>
  <c r="W424" i="6"/>
  <c r="X424" i="6" s="1"/>
  <c r="W425" i="6"/>
  <c r="X425" i="6" s="1"/>
  <c r="W426" i="6"/>
  <c r="X426" i="6" s="1"/>
  <c r="W427" i="6"/>
  <c r="X427" i="6" s="1"/>
  <c r="W428" i="6"/>
  <c r="X428" i="6" s="1"/>
  <c r="W429" i="6"/>
  <c r="X429" i="6" s="1"/>
  <c r="W430" i="6"/>
  <c r="X430" i="6" s="1"/>
  <c r="W431" i="6"/>
  <c r="X431" i="6" s="1"/>
  <c r="W432" i="6"/>
  <c r="X432" i="6" s="1"/>
  <c r="W433" i="6"/>
  <c r="X433" i="6" s="1"/>
  <c r="W434" i="6"/>
  <c r="X434" i="6" s="1"/>
  <c r="W435" i="6"/>
  <c r="X435" i="6" s="1"/>
  <c r="W436" i="6"/>
  <c r="X436" i="6" s="1"/>
  <c r="W437" i="6"/>
  <c r="X437" i="6" s="1"/>
  <c r="W438" i="6"/>
  <c r="X438" i="6" s="1"/>
  <c r="W439" i="6"/>
  <c r="X439" i="6" s="1"/>
  <c r="W440" i="6"/>
  <c r="X440" i="6" s="1"/>
  <c r="W441" i="6"/>
  <c r="X441" i="6" s="1"/>
  <c r="W442" i="6"/>
  <c r="X442" i="6" s="1"/>
  <c r="W443" i="6"/>
  <c r="X443" i="6" s="1"/>
  <c r="W444" i="6"/>
  <c r="X444" i="6" s="1"/>
  <c r="W445" i="6"/>
  <c r="X445" i="6" s="1"/>
  <c r="W446" i="6"/>
  <c r="X446" i="6" s="1"/>
  <c r="W447" i="6"/>
  <c r="X447" i="6" s="1"/>
  <c r="W448" i="6"/>
  <c r="X448" i="6" s="1"/>
  <c r="W449" i="6"/>
  <c r="X449" i="6" s="1"/>
  <c r="W450" i="6"/>
  <c r="X450" i="6" s="1"/>
  <c r="W451" i="6"/>
  <c r="X451" i="6" s="1"/>
  <c r="W452" i="6"/>
  <c r="X452" i="6" s="1"/>
  <c r="W453" i="6"/>
  <c r="X453" i="6" s="1"/>
  <c r="W454" i="6"/>
  <c r="X454" i="6" s="1"/>
  <c r="W455" i="6"/>
  <c r="X455" i="6" s="1"/>
  <c r="W456" i="6"/>
  <c r="X456" i="6" s="1"/>
  <c r="W457" i="6"/>
  <c r="X457" i="6" s="1"/>
  <c r="W458" i="6"/>
  <c r="X458" i="6" s="1"/>
  <c r="W459" i="6"/>
  <c r="X459" i="6" s="1"/>
  <c r="W460" i="6"/>
  <c r="X460" i="6" s="1"/>
  <c r="W461" i="6"/>
  <c r="X461" i="6" s="1"/>
  <c r="W462" i="6"/>
  <c r="X462" i="6" s="1"/>
  <c r="W463" i="6"/>
  <c r="X463" i="6" s="1"/>
  <c r="W464" i="6"/>
  <c r="X464" i="6" s="1"/>
  <c r="W465" i="6"/>
  <c r="X465" i="6" s="1"/>
  <c r="W466" i="6"/>
  <c r="X466" i="6" s="1"/>
  <c r="W467" i="6"/>
  <c r="X467" i="6" s="1"/>
  <c r="W468" i="6"/>
  <c r="X468" i="6" s="1"/>
  <c r="W469" i="6"/>
  <c r="X469" i="6" s="1"/>
  <c r="W470" i="6"/>
  <c r="X470" i="6" s="1"/>
  <c r="W471" i="6"/>
  <c r="X471" i="6" s="1"/>
  <c r="W472" i="6"/>
  <c r="X472" i="6" s="1"/>
  <c r="W473" i="6"/>
  <c r="X473" i="6" s="1"/>
  <c r="W474" i="6"/>
  <c r="X474" i="6" s="1"/>
  <c r="W475" i="6"/>
  <c r="X475" i="6" s="1"/>
  <c r="W476" i="6"/>
  <c r="X476" i="6" s="1"/>
  <c r="W477" i="6"/>
  <c r="X477" i="6" s="1"/>
  <c r="W478" i="6"/>
  <c r="X478" i="6" s="1"/>
  <c r="W479" i="6"/>
  <c r="X479" i="6" s="1"/>
  <c r="W480" i="6"/>
  <c r="X480" i="6" s="1"/>
  <c r="W481" i="6"/>
  <c r="X481" i="6" s="1"/>
  <c r="W482" i="6"/>
  <c r="X482" i="6" s="1"/>
  <c r="W483" i="6"/>
  <c r="X483" i="6" s="1"/>
  <c r="W484" i="6"/>
  <c r="X484" i="6" s="1"/>
  <c r="W485" i="6"/>
  <c r="X485" i="6" s="1"/>
  <c r="W486" i="6"/>
  <c r="X486" i="6" s="1"/>
  <c r="W487" i="6"/>
  <c r="X487" i="6" s="1"/>
  <c r="W488" i="6"/>
  <c r="X488" i="6" s="1"/>
  <c r="W489" i="6"/>
  <c r="X489" i="6" s="1"/>
  <c r="W490" i="6"/>
  <c r="X490" i="6" s="1"/>
  <c r="W491" i="6"/>
  <c r="X491" i="6" s="1"/>
  <c r="W492" i="6"/>
  <c r="X492" i="6" s="1"/>
  <c r="W493" i="6"/>
  <c r="X493" i="6" s="1"/>
  <c r="W494" i="6"/>
  <c r="X494" i="6" s="1"/>
  <c r="W495" i="6"/>
  <c r="X495" i="6" s="1"/>
  <c r="W496" i="6"/>
  <c r="X496" i="6" s="1"/>
  <c r="W497" i="6"/>
  <c r="X497" i="6" s="1"/>
  <c r="W498" i="6"/>
  <c r="X498" i="6" s="1"/>
  <c r="W499" i="6"/>
  <c r="X499" i="6" s="1"/>
  <c r="W500" i="6"/>
  <c r="X500" i="6" s="1"/>
  <c r="W501" i="6"/>
  <c r="X501" i="6" s="1"/>
  <c r="W502" i="6"/>
  <c r="X502" i="6" s="1"/>
  <c r="W503" i="6"/>
  <c r="X503" i="6" s="1"/>
  <c r="W504" i="6"/>
  <c r="X504" i="6" s="1"/>
  <c r="W505" i="6"/>
  <c r="X505" i="6" s="1"/>
  <c r="W506" i="6"/>
  <c r="X506" i="6" s="1"/>
  <c r="W507" i="6"/>
  <c r="X507" i="6" s="1"/>
  <c r="W508" i="6"/>
  <c r="X508" i="6" s="1"/>
  <c r="W509" i="6"/>
  <c r="X509" i="6" s="1"/>
  <c r="W510" i="6"/>
  <c r="X510" i="6" s="1"/>
  <c r="W511" i="6"/>
  <c r="X511" i="6" s="1"/>
  <c r="W512" i="6"/>
  <c r="X512" i="6" s="1"/>
  <c r="W513" i="6"/>
  <c r="X513" i="6" s="1"/>
  <c r="W514" i="6"/>
  <c r="X514" i="6" s="1"/>
  <c r="W515" i="6"/>
  <c r="X515" i="6" s="1"/>
  <c r="W516" i="6"/>
  <c r="X516" i="6" s="1"/>
  <c r="W517" i="6"/>
  <c r="X517" i="6" s="1"/>
  <c r="W518" i="6"/>
  <c r="X518" i="6" s="1"/>
  <c r="W519" i="6"/>
  <c r="X519" i="6" s="1"/>
  <c r="W520" i="6"/>
  <c r="X520" i="6" s="1"/>
  <c r="W521" i="6"/>
  <c r="X521" i="6" s="1"/>
  <c r="W522" i="6"/>
  <c r="X522" i="6" s="1"/>
  <c r="W523" i="6"/>
  <c r="X523" i="6" s="1"/>
  <c r="W524" i="6"/>
  <c r="X524" i="6" s="1"/>
  <c r="W525" i="6"/>
  <c r="X525" i="6" s="1"/>
  <c r="W526" i="6"/>
  <c r="X526" i="6" s="1"/>
  <c r="W527" i="6"/>
  <c r="X527" i="6" s="1"/>
  <c r="W528" i="6"/>
  <c r="X528" i="6" s="1"/>
  <c r="W529" i="6"/>
  <c r="X529" i="6" s="1"/>
  <c r="W530" i="6"/>
  <c r="X530" i="6" s="1"/>
  <c r="W531" i="6"/>
  <c r="X531" i="6" s="1"/>
  <c r="W532" i="6"/>
  <c r="X532" i="6" s="1"/>
  <c r="W533" i="6"/>
  <c r="X533" i="6" s="1"/>
  <c r="W534" i="6"/>
  <c r="X534" i="6" s="1"/>
  <c r="W535" i="6"/>
  <c r="X535" i="6" s="1"/>
  <c r="W536" i="6"/>
  <c r="X536" i="6" s="1"/>
  <c r="W537" i="6"/>
  <c r="X537" i="6" s="1"/>
  <c r="W538" i="6"/>
  <c r="X538" i="6" s="1"/>
  <c r="W539" i="6"/>
  <c r="X539" i="6" s="1"/>
  <c r="W540" i="6"/>
  <c r="X540" i="6" s="1"/>
  <c r="W541" i="6"/>
  <c r="X541" i="6" s="1"/>
  <c r="W542" i="6"/>
  <c r="X542" i="6" s="1"/>
  <c r="W543" i="6"/>
  <c r="X543" i="6" s="1"/>
  <c r="W544" i="6"/>
  <c r="X544" i="6" s="1"/>
  <c r="W545" i="6"/>
  <c r="X545" i="6" s="1"/>
  <c r="W546" i="6"/>
  <c r="X546" i="6" s="1"/>
  <c r="W547" i="6"/>
  <c r="X547" i="6" s="1"/>
  <c r="W548" i="6"/>
  <c r="X548" i="6" s="1"/>
  <c r="W549" i="6"/>
  <c r="X549" i="6" s="1"/>
  <c r="W550" i="6"/>
  <c r="X550" i="6" s="1"/>
  <c r="W551" i="6"/>
  <c r="X551" i="6" s="1"/>
  <c r="W552" i="6"/>
  <c r="X552" i="6" s="1"/>
  <c r="W553" i="6"/>
  <c r="X553" i="6" s="1"/>
  <c r="W554" i="6"/>
  <c r="X554" i="6" s="1"/>
  <c r="W555" i="6"/>
  <c r="X555" i="6" s="1"/>
  <c r="W556" i="6"/>
  <c r="X556" i="6" s="1"/>
  <c r="W557" i="6"/>
  <c r="X557" i="6" s="1"/>
  <c r="W558" i="6"/>
  <c r="X558" i="6" s="1"/>
  <c r="W559" i="6"/>
  <c r="X559" i="6" s="1"/>
  <c r="W560" i="6"/>
  <c r="X560" i="6" s="1"/>
  <c r="W561" i="6"/>
  <c r="X561" i="6" s="1"/>
  <c r="W562" i="6"/>
  <c r="X562" i="6" s="1"/>
  <c r="W563" i="6"/>
  <c r="X563" i="6" s="1"/>
  <c r="W564" i="6"/>
  <c r="X564" i="6" s="1"/>
  <c r="W565" i="6"/>
  <c r="X565" i="6" s="1"/>
  <c r="W566" i="6"/>
  <c r="X566" i="6" s="1"/>
  <c r="W567" i="6"/>
  <c r="X567" i="6" s="1"/>
  <c r="W568" i="6"/>
  <c r="X568" i="6" s="1"/>
  <c r="W569" i="6"/>
  <c r="X569" i="6" s="1"/>
  <c r="W570" i="6"/>
  <c r="X570" i="6" s="1"/>
  <c r="W571" i="6"/>
  <c r="X571" i="6" s="1"/>
  <c r="W572" i="6"/>
  <c r="X572" i="6" s="1"/>
  <c r="W573" i="6"/>
  <c r="X573" i="6" s="1"/>
  <c r="W574" i="6"/>
  <c r="X574" i="6" s="1"/>
  <c r="W575" i="6"/>
  <c r="X575" i="6" s="1"/>
  <c r="W576" i="6"/>
  <c r="X576" i="6" s="1"/>
  <c r="W577" i="6"/>
  <c r="X577" i="6" s="1"/>
  <c r="W578" i="6"/>
  <c r="X578" i="6" s="1"/>
  <c r="W579" i="6"/>
  <c r="X579" i="6" s="1"/>
  <c r="W580" i="6"/>
  <c r="X580" i="6" s="1"/>
  <c r="W581" i="6"/>
  <c r="X581" i="6" s="1"/>
  <c r="W582" i="6"/>
  <c r="X582" i="6" s="1"/>
  <c r="W583" i="6"/>
  <c r="X583" i="6" s="1"/>
  <c r="W584" i="6"/>
  <c r="X584" i="6" s="1"/>
  <c r="W585" i="6"/>
  <c r="X585" i="6" s="1"/>
  <c r="W586" i="6"/>
  <c r="X586" i="6" s="1"/>
  <c r="W587" i="6"/>
  <c r="X587" i="6" s="1"/>
  <c r="W588" i="6"/>
  <c r="X588" i="6" s="1"/>
  <c r="W589" i="6"/>
  <c r="X589" i="6" s="1"/>
  <c r="W590" i="6"/>
  <c r="X590" i="6" s="1"/>
  <c r="W591" i="6"/>
  <c r="X591" i="6" s="1"/>
  <c r="W592" i="6"/>
  <c r="X592" i="6" s="1"/>
  <c r="W593" i="6"/>
  <c r="X593" i="6" s="1"/>
  <c r="W594" i="6"/>
  <c r="X594" i="6" s="1"/>
  <c r="W595" i="6"/>
  <c r="X595" i="6" s="1"/>
  <c r="W596" i="6"/>
  <c r="X596" i="6" s="1"/>
  <c r="W597" i="6"/>
  <c r="X597" i="6" s="1"/>
  <c r="W598" i="6"/>
  <c r="X598" i="6" s="1"/>
  <c r="W599" i="6"/>
  <c r="X599" i="6" s="1"/>
  <c r="W600" i="6"/>
  <c r="X600" i="6" s="1"/>
  <c r="W601" i="6"/>
  <c r="X601" i="6" s="1"/>
  <c r="W602" i="6"/>
  <c r="X602" i="6" s="1"/>
  <c r="W603" i="6"/>
  <c r="X603" i="6" s="1"/>
  <c r="W604" i="6"/>
  <c r="X604" i="6" s="1"/>
  <c r="W605" i="6"/>
  <c r="X605" i="6" s="1"/>
  <c r="W606" i="6"/>
  <c r="X606" i="6" s="1"/>
  <c r="W607" i="6"/>
  <c r="X607" i="6" s="1"/>
  <c r="W608" i="6"/>
  <c r="X608" i="6" s="1"/>
  <c r="W609" i="6"/>
  <c r="X609" i="6" s="1"/>
  <c r="W610" i="6"/>
  <c r="X610" i="6" s="1"/>
  <c r="W611" i="6"/>
  <c r="X611" i="6" s="1"/>
  <c r="W612" i="6"/>
  <c r="X612" i="6" s="1"/>
  <c r="W613" i="6"/>
  <c r="X613" i="6" s="1"/>
  <c r="W614" i="6"/>
  <c r="X614" i="6" s="1"/>
  <c r="W615" i="6"/>
  <c r="X615" i="6" s="1"/>
  <c r="W616" i="6"/>
  <c r="X616" i="6" s="1"/>
  <c r="W617" i="6"/>
  <c r="X617" i="6" s="1"/>
  <c r="W618" i="6"/>
  <c r="X618" i="6" s="1"/>
  <c r="W619" i="6"/>
  <c r="X619" i="6" s="1"/>
  <c r="W620" i="6"/>
  <c r="X620" i="6" s="1"/>
  <c r="W621" i="6"/>
  <c r="X621" i="6" s="1"/>
  <c r="W622" i="6"/>
  <c r="X622" i="6" s="1"/>
  <c r="W623" i="6"/>
  <c r="X623" i="6" s="1"/>
  <c r="W624" i="6"/>
  <c r="X624" i="6" s="1"/>
  <c r="W625" i="6"/>
  <c r="X625" i="6" s="1"/>
  <c r="W626" i="6"/>
  <c r="X626" i="6" s="1"/>
  <c r="W627" i="6"/>
  <c r="X627" i="6" s="1"/>
  <c r="W628" i="6"/>
  <c r="X628" i="6" s="1"/>
  <c r="W629" i="6"/>
  <c r="X629" i="6" s="1"/>
  <c r="W630" i="6"/>
  <c r="X630" i="6" s="1"/>
  <c r="W631" i="6"/>
  <c r="X631" i="6" s="1"/>
  <c r="W632" i="6"/>
  <c r="X632" i="6" s="1"/>
  <c r="W633" i="6"/>
  <c r="X633" i="6" s="1"/>
  <c r="W634" i="6"/>
  <c r="X634" i="6" s="1"/>
  <c r="W635" i="6"/>
  <c r="X635" i="6" s="1"/>
  <c r="W636" i="6"/>
  <c r="X636" i="6" s="1"/>
  <c r="W637" i="6"/>
  <c r="X637" i="6" s="1"/>
  <c r="W638" i="6"/>
  <c r="X638" i="6" s="1"/>
  <c r="W639" i="6"/>
  <c r="X639" i="6" s="1"/>
  <c r="W640" i="6"/>
  <c r="X640" i="6" s="1"/>
  <c r="W641" i="6"/>
  <c r="X641" i="6" s="1"/>
  <c r="W642" i="6"/>
  <c r="X642" i="6" s="1"/>
  <c r="W643" i="6"/>
  <c r="X643" i="6" s="1"/>
  <c r="W644" i="6"/>
  <c r="X644" i="6" s="1"/>
  <c r="W645" i="6"/>
  <c r="X645" i="6" s="1"/>
  <c r="W646" i="6"/>
  <c r="X646" i="6" s="1"/>
  <c r="W647" i="6"/>
  <c r="X647" i="6" s="1"/>
  <c r="W648" i="6"/>
  <c r="X648" i="6" s="1"/>
  <c r="W649" i="6"/>
  <c r="X649" i="6" s="1"/>
  <c r="W650" i="6"/>
  <c r="X650" i="6" s="1"/>
  <c r="W651" i="6"/>
  <c r="X651" i="6" s="1"/>
  <c r="W652" i="6"/>
  <c r="X652" i="6" s="1"/>
  <c r="W653" i="6"/>
  <c r="X653" i="6" s="1"/>
  <c r="W654" i="6"/>
  <c r="X654" i="6" s="1"/>
  <c r="W655" i="6"/>
  <c r="X655" i="6" s="1"/>
  <c r="W656" i="6"/>
  <c r="X656" i="6" s="1"/>
  <c r="W657" i="6"/>
  <c r="X657" i="6" s="1"/>
  <c r="W658" i="6"/>
  <c r="X658" i="6" s="1"/>
  <c r="W659" i="6"/>
  <c r="X659" i="6" s="1"/>
  <c r="W660" i="6"/>
  <c r="X660" i="6" s="1"/>
  <c r="W661" i="6"/>
  <c r="X661" i="6" s="1"/>
  <c r="W662" i="6"/>
  <c r="X662" i="6" s="1"/>
  <c r="W663" i="6"/>
  <c r="X663" i="6" s="1"/>
  <c r="W664" i="6"/>
  <c r="X664" i="6" s="1"/>
  <c r="W665" i="6"/>
  <c r="X665" i="6" s="1"/>
  <c r="W666" i="6"/>
  <c r="X666" i="6" s="1"/>
  <c r="W667" i="6"/>
  <c r="X667" i="6" s="1"/>
  <c r="W668" i="6"/>
  <c r="X668" i="6" s="1"/>
  <c r="W669" i="6"/>
  <c r="X669" i="6" s="1"/>
  <c r="W670" i="6"/>
  <c r="X670" i="6" s="1"/>
  <c r="W671" i="6"/>
  <c r="X671" i="6" s="1"/>
  <c r="W672" i="6"/>
  <c r="X672" i="6" s="1"/>
  <c r="W673" i="6"/>
  <c r="X673" i="6" s="1"/>
  <c r="W674" i="6"/>
  <c r="X674" i="6" s="1"/>
  <c r="W675" i="6"/>
  <c r="X675" i="6" s="1"/>
  <c r="W676" i="6"/>
  <c r="X676" i="6" s="1"/>
  <c r="W677" i="6"/>
  <c r="X677" i="6" s="1"/>
  <c r="W678" i="6"/>
  <c r="X678" i="6" s="1"/>
  <c r="W679" i="6"/>
  <c r="X679" i="6" s="1"/>
  <c r="W680" i="6"/>
  <c r="X680" i="6" s="1"/>
  <c r="W681" i="6"/>
  <c r="X681" i="6" s="1"/>
  <c r="W682" i="6"/>
  <c r="X682" i="6" s="1"/>
  <c r="W683" i="6"/>
  <c r="X683" i="6" s="1"/>
  <c r="W684" i="6"/>
  <c r="X684" i="6" s="1"/>
  <c r="W685" i="6"/>
  <c r="X685" i="6" s="1"/>
  <c r="W686" i="6"/>
  <c r="X686" i="6" s="1"/>
  <c r="W687" i="6"/>
  <c r="X687" i="6" s="1"/>
  <c r="W688" i="6"/>
  <c r="X688" i="6" s="1"/>
  <c r="W689" i="6"/>
  <c r="X689" i="6" s="1"/>
  <c r="W690" i="6"/>
  <c r="X690" i="6" s="1"/>
  <c r="W691" i="6"/>
  <c r="X691" i="6" s="1"/>
  <c r="W692" i="6"/>
  <c r="X692" i="6" s="1"/>
  <c r="W693" i="6"/>
  <c r="X693" i="6" s="1"/>
  <c r="W694" i="6"/>
  <c r="X694" i="6" s="1"/>
  <c r="W695" i="6"/>
  <c r="X695" i="6" s="1"/>
  <c r="W696" i="6"/>
  <c r="X696" i="6" s="1"/>
  <c r="W697" i="6"/>
  <c r="X697" i="6" s="1"/>
  <c r="W698" i="6"/>
  <c r="X698" i="6" s="1"/>
  <c r="W699" i="6"/>
  <c r="X699" i="6" s="1"/>
  <c r="W700" i="6"/>
  <c r="X700" i="6" s="1"/>
  <c r="W701" i="6"/>
  <c r="X701" i="6" s="1"/>
  <c r="W702" i="6"/>
  <c r="X702" i="6" s="1"/>
  <c r="W703" i="6"/>
  <c r="X703" i="6" s="1"/>
  <c r="W704" i="6"/>
  <c r="X704" i="6" s="1"/>
  <c r="W705" i="6"/>
  <c r="X705" i="6" s="1"/>
  <c r="W706" i="6"/>
  <c r="X706" i="6" s="1"/>
  <c r="W707" i="6"/>
  <c r="X707" i="6" s="1"/>
  <c r="W708" i="6"/>
  <c r="X708" i="6" s="1"/>
  <c r="W709" i="6"/>
  <c r="X709" i="6" s="1"/>
  <c r="W710" i="6"/>
  <c r="X710" i="6" s="1"/>
  <c r="W711" i="6"/>
  <c r="X711" i="6" s="1"/>
  <c r="W712" i="6"/>
  <c r="X712" i="6" s="1"/>
  <c r="W713" i="6"/>
  <c r="X713" i="6" s="1"/>
  <c r="W714" i="6"/>
  <c r="X714" i="6" s="1"/>
  <c r="W715" i="6"/>
  <c r="X715" i="6" s="1"/>
  <c r="W716" i="6"/>
  <c r="X716" i="6" s="1"/>
  <c r="W717" i="6"/>
  <c r="X717" i="6" s="1"/>
  <c r="W718" i="6"/>
  <c r="X718" i="6" s="1"/>
  <c r="W719" i="6"/>
  <c r="X719" i="6" s="1"/>
  <c r="W720" i="6"/>
  <c r="X720" i="6" s="1"/>
  <c r="W721" i="6"/>
  <c r="X721" i="6" s="1"/>
  <c r="W722" i="6"/>
  <c r="X722" i="6" s="1"/>
  <c r="W723" i="6"/>
  <c r="X723" i="6" s="1"/>
  <c r="W724" i="6"/>
  <c r="X724" i="6" s="1"/>
  <c r="W725" i="6"/>
  <c r="X725" i="6" s="1"/>
  <c r="W726" i="6"/>
  <c r="X726" i="6" s="1"/>
  <c r="W727" i="6"/>
  <c r="X727" i="6" s="1"/>
  <c r="W728" i="6"/>
  <c r="X728" i="6" s="1"/>
  <c r="W729" i="6"/>
  <c r="X729" i="6" s="1"/>
  <c r="W730" i="6"/>
  <c r="X730" i="6" s="1"/>
  <c r="W731" i="6"/>
  <c r="X731" i="6" s="1"/>
  <c r="W732" i="6"/>
  <c r="X732" i="6" s="1"/>
  <c r="W733" i="6"/>
  <c r="X733" i="6" s="1"/>
  <c r="W734" i="6"/>
  <c r="X734" i="6" s="1"/>
  <c r="W735" i="6"/>
  <c r="X735" i="6" s="1"/>
  <c r="W736" i="6"/>
  <c r="X736" i="6" s="1"/>
  <c r="W737" i="6"/>
  <c r="X737" i="6" s="1"/>
  <c r="W738" i="6"/>
  <c r="X738" i="6" s="1"/>
  <c r="W739" i="6"/>
  <c r="X739" i="6" s="1"/>
  <c r="W740" i="6"/>
  <c r="X740" i="6" s="1"/>
  <c r="W741" i="6"/>
  <c r="X741" i="6" s="1"/>
  <c r="W742" i="6"/>
  <c r="X742" i="6" s="1"/>
  <c r="W743" i="6"/>
  <c r="X743" i="6" s="1"/>
  <c r="W744" i="6"/>
  <c r="X744" i="6" s="1"/>
  <c r="W745" i="6"/>
  <c r="X745" i="6" s="1"/>
  <c r="W746" i="6"/>
  <c r="X746" i="6" s="1"/>
  <c r="W747" i="6"/>
  <c r="X747" i="6" s="1"/>
  <c r="W748" i="6"/>
  <c r="X748" i="6" s="1"/>
  <c r="W749" i="6"/>
  <c r="X749" i="6" s="1"/>
  <c r="W750" i="6"/>
  <c r="X750" i="6" s="1"/>
  <c r="W751" i="6"/>
  <c r="X751" i="6" s="1"/>
  <c r="W752" i="6"/>
  <c r="X752" i="6" s="1"/>
  <c r="W753" i="6"/>
  <c r="X753" i="6" s="1"/>
  <c r="W754" i="6"/>
  <c r="X754" i="6" s="1"/>
  <c r="W755" i="6"/>
  <c r="X755" i="6" s="1"/>
  <c r="W756" i="6"/>
  <c r="X756" i="6" s="1"/>
  <c r="W757" i="6"/>
  <c r="X757" i="6" s="1"/>
  <c r="W758" i="6"/>
  <c r="X758" i="6" s="1"/>
  <c r="W759" i="6"/>
  <c r="X759" i="6" s="1"/>
  <c r="W760" i="6"/>
  <c r="X760" i="6" s="1"/>
  <c r="W761" i="6"/>
  <c r="X761" i="6" s="1"/>
  <c r="W762" i="6"/>
  <c r="X762" i="6" s="1"/>
  <c r="W763" i="6"/>
  <c r="X763" i="6" s="1"/>
  <c r="W764" i="6"/>
  <c r="X764" i="6" s="1"/>
  <c r="W765" i="6"/>
  <c r="X765" i="6" s="1"/>
  <c r="W766" i="6"/>
  <c r="X766" i="6" s="1"/>
  <c r="W767" i="6"/>
  <c r="X767" i="6" s="1"/>
  <c r="W768" i="6"/>
  <c r="X768" i="6" s="1"/>
  <c r="W769" i="6"/>
  <c r="X769" i="6" s="1"/>
  <c r="W770" i="6"/>
  <c r="X770" i="6" s="1"/>
  <c r="W771" i="6"/>
  <c r="X771" i="6" s="1"/>
  <c r="W772" i="6"/>
  <c r="X772" i="6" s="1"/>
  <c r="W773" i="6"/>
  <c r="X773" i="6" s="1"/>
  <c r="W774" i="6"/>
  <c r="X774" i="6" s="1"/>
  <c r="W775" i="6"/>
  <c r="X775" i="6" s="1"/>
  <c r="W776" i="6"/>
  <c r="X776" i="6" s="1"/>
  <c r="W777" i="6"/>
  <c r="X777" i="6" s="1"/>
  <c r="W778" i="6"/>
  <c r="X778" i="6" s="1"/>
  <c r="W779" i="6"/>
  <c r="X779" i="6" s="1"/>
  <c r="W780" i="6"/>
  <c r="X780" i="6" s="1"/>
  <c r="W781" i="6"/>
  <c r="X781" i="6" s="1"/>
  <c r="W782" i="6"/>
  <c r="X782" i="6" s="1"/>
  <c r="W783" i="6"/>
  <c r="X783" i="6" s="1"/>
  <c r="W784" i="6"/>
  <c r="X784" i="6" s="1"/>
  <c r="W785" i="6"/>
  <c r="X785" i="6" s="1"/>
  <c r="W786" i="6"/>
  <c r="X786" i="6" s="1"/>
  <c r="W787" i="6"/>
  <c r="X787" i="6" s="1"/>
  <c r="W788" i="6"/>
  <c r="X788" i="6" s="1"/>
  <c r="W789" i="6"/>
  <c r="X789" i="6" s="1"/>
  <c r="W790" i="6"/>
  <c r="X790" i="6" s="1"/>
  <c r="W791" i="6"/>
  <c r="X791" i="6" s="1"/>
  <c r="W792" i="6"/>
  <c r="X792" i="6" s="1"/>
  <c r="W793" i="6"/>
  <c r="X793" i="6" s="1"/>
  <c r="W794" i="6"/>
  <c r="X794" i="6" s="1"/>
  <c r="W795" i="6"/>
  <c r="X795" i="6" s="1"/>
  <c r="W796" i="6"/>
  <c r="X796" i="6" s="1"/>
  <c r="W797" i="6"/>
  <c r="X797" i="6" s="1"/>
  <c r="W798" i="6"/>
  <c r="X798" i="6" s="1"/>
  <c r="W799" i="6"/>
  <c r="X799" i="6" s="1"/>
  <c r="W800" i="6"/>
  <c r="X800" i="6" s="1"/>
  <c r="W801" i="6"/>
  <c r="X801" i="6" s="1"/>
  <c r="W802" i="6"/>
  <c r="X802" i="6" s="1"/>
  <c r="W803" i="6"/>
  <c r="X803" i="6" s="1"/>
  <c r="W804" i="6"/>
  <c r="X804" i="6" s="1"/>
  <c r="W805" i="6"/>
  <c r="X805" i="6" s="1"/>
  <c r="W806" i="6"/>
  <c r="X806" i="6" s="1"/>
  <c r="W807" i="6"/>
  <c r="X807" i="6" s="1"/>
  <c r="W808" i="6"/>
  <c r="X808" i="6" s="1"/>
  <c r="W809" i="6"/>
  <c r="X809" i="6" s="1"/>
  <c r="W810" i="6"/>
  <c r="X810" i="6" s="1"/>
  <c r="W811" i="6"/>
  <c r="X811" i="6" s="1"/>
  <c r="W812" i="6"/>
  <c r="X812" i="6" s="1"/>
  <c r="W813" i="6"/>
  <c r="X813" i="6" s="1"/>
  <c r="W814" i="6"/>
  <c r="X814" i="6" s="1"/>
  <c r="W815" i="6"/>
  <c r="X815" i="6" s="1"/>
  <c r="W816" i="6"/>
  <c r="X816" i="6" s="1"/>
  <c r="W817" i="6"/>
  <c r="X817" i="6" s="1"/>
  <c r="W818" i="6"/>
  <c r="X818" i="6" s="1"/>
  <c r="W819" i="6"/>
  <c r="X819" i="6" s="1"/>
  <c r="W820" i="6"/>
  <c r="X820" i="6" s="1"/>
  <c r="W821" i="6"/>
  <c r="X821" i="6" s="1"/>
  <c r="W822" i="6"/>
  <c r="X822" i="6" s="1"/>
  <c r="W823" i="6"/>
  <c r="X823" i="6" s="1"/>
  <c r="W824" i="6"/>
  <c r="X824" i="6" s="1"/>
  <c r="W825" i="6"/>
  <c r="X825" i="6" s="1"/>
  <c r="W826" i="6"/>
  <c r="X826" i="6" s="1"/>
  <c r="W827" i="6"/>
  <c r="X827" i="6" s="1"/>
  <c r="W828" i="6"/>
  <c r="X828" i="6" s="1"/>
  <c r="W829" i="6"/>
  <c r="X829" i="6" s="1"/>
  <c r="W830" i="6"/>
  <c r="X830" i="6" s="1"/>
  <c r="W831" i="6"/>
  <c r="X831" i="6" s="1"/>
  <c r="W832" i="6"/>
  <c r="X832" i="6" s="1"/>
  <c r="W833" i="6"/>
  <c r="X833" i="6" s="1"/>
  <c r="W834" i="6"/>
  <c r="X834" i="6" s="1"/>
  <c r="W835" i="6"/>
  <c r="X835" i="6" s="1"/>
  <c r="W836" i="6"/>
  <c r="X836" i="6" s="1"/>
  <c r="W837" i="6"/>
  <c r="X837" i="6" s="1"/>
  <c r="W838" i="6"/>
  <c r="X838" i="6" s="1"/>
  <c r="W839" i="6"/>
  <c r="X839" i="6" s="1"/>
  <c r="W840" i="6"/>
  <c r="X840" i="6" s="1"/>
  <c r="W841" i="6"/>
  <c r="X841" i="6" s="1"/>
  <c r="W842" i="6"/>
  <c r="X842" i="6" s="1"/>
  <c r="W843" i="6"/>
  <c r="X843" i="6" s="1"/>
  <c r="W844" i="6"/>
  <c r="X844" i="6" s="1"/>
  <c r="W845" i="6"/>
  <c r="X845" i="6" s="1"/>
  <c r="W846" i="6"/>
  <c r="X846" i="6" s="1"/>
  <c r="W847" i="6"/>
  <c r="X847" i="6" s="1"/>
  <c r="W848" i="6"/>
  <c r="X848" i="6" s="1"/>
  <c r="W849" i="6"/>
  <c r="X849" i="6" s="1"/>
  <c r="W850" i="6"/>
  <c r="X850" i="6" s="1"/>
  <c r="W851" i="6"/>
  <c r="X851" i="6" s="1"/>
  <c r="W852" i="6"/>
  <c r="X852" i="6" s="1"/>
  <c r="W853" i="6"/>
  <c r="X853" i="6" s="1"/>
  <c r="W854" i="6"/>
  <c r="X854" i="6" s="1"/>
  <c r="W855" i="6"/>
  <c r="X855" i="6" s="1"/>
  <c r="W856" i="6"/>
  <c r="X856" i="6" s="1"/>
  <c r="W857" i="6"/>
  <c r="X857" i="6" s="1"/>
  <c r="W858" i="6"/>
  <c r="X858" i="6" s="1"/>
  <c r="W859" i="6"/>
  <c r="X859" i="6" s="1"/>
  <c r="W860" i="6"/>
  <c r="X860" i="6" s="1"/>
  <c r="W861" i="6"/>
  <c r="X861" i="6" s="1"/>
  <c r="W862" i="6"/>
  <c r="X862" i="6" s="1"/>
  <c r="W863" i="6"/>
  <c r="X863" i="6" s="1"/>
  <c r="W864" i="6"/>
  <c r="X864" i="6" s="1"/>
  <c r="W865" i="6"/>
  <c r="X865" i="6" s="1"/>
  <c r="W866" i="6"/>
  <c r="X866" i="6" s="1"/>
  <c r="W867" i="6"/>
  <c r="X867" i="6" s="1"/>
  <c r="W868" i="6"/>
  <c r="X868" i="6" s="1"/>
  <c r="W869" i="6"/>
  <c r="X869" i="6" s="1"/>
  <c r="W870" i="6"/>
  <c r="X870" i="6" s="1"/>
  <c r="W871" i="6"/>
  <c r="X871" i="6" s="1"/>
  <c r="W872" i="6"/>
  <c r="X872" i="6" s="1"/>
  <c r="W873" i="6"/>
  <c r="X873" i="6" s="1"/>
  <c r="W874" i="6"/>
  <c r="X874" i="6" s="1"/>
  <c r="W875" i="6"/>
  <c r="X875" i="6" s="1"/>
  <c r="W876" i="6"/>
  <c r="X876" i="6" s="1"/>
  <c r="W877" i="6"/>
  <c r="X877" i="6" s="1"/>
  <c r="W878" i="6"/>
  <c r="X878" i="6" s="1"/>
  <c r="W879" i="6"/>
  <c r="X879" i="6" s="1"/>
  <c r="W880" i="6"/>
  <c r="X880" i="6" s="1"/>
  <c r="W881" i="6"/>
  <c r="X881" i="6" s="1"/>
  <c r="W882" i="6"/>
  <c r="X882" i="6" s="1"/>
  <c r="W883" i="6"/>
  <c r="X883" i="6" s="1"/>
  <c r="W884" i="6"/>
  <c r="X884" i="6" s="1"/>
  <c r="W885" i="6"/>
  <c r="X885" i="6" s="1"/>
  <c r="W886" i="6"/>
  <c r="X886" i="6" s="1"/>
  <c r="W887" i="6"/>
  <c r="X887" i="6" s="1"/>
  <c r="W888" i="6"/>
  <c r="X888" i="6" s="1"/>
  <c r="W889" i="6"/>
  <c r="X889" i="6" s="1"/>
  <c r="W890" i="6"/>
  <c r="X890" i="6" s="1"/>
  <c r="W891" i="6"/>
  <c r="X891" i="6" s="1"/>
  <c r="W892" i="6"/>
  <c r="X892" i="6" s="1"/>
  <c r="W893" i="6"/>
  <c r="X893" i="6" s="1"/>
  <c r="W894" i="6"/>
  <c r="X894" i="6" s="1"/>
  <c r="W895" i="6"/>
  <c r="X895" i="6" s="1"/>
  <c r="W896" i="6"/>
  <c r="X896" i="6" s="1"/>
  <c r="W897" i="6"/>
  <c r="X897" i="6" s="1"/>
  <c r="W898" i="6"/>
  <c r="X898" i="6" s="1"/>
  <c r="W899" i="6"/>
  <c r="X899" i="6" s="1"/>
  <c r="W900" i="6"/>
  <c r="X900" i="6" s="1"/>
  <c r="W901" i="6"/>
  <c r="X901" i="6" s="1"/>
  <c r="W902" i="6"/>
  <c r="X902" i="6" s="1"/>
  <c r="W903" i="6"/>
  <c r="X903" i="6" s="1"/>
  <c r="W904" i="6"/>
  <c r="X904" i="6" s="1"/>
  <c r="W905" i="6"/>
  <c r="X905" i="6" s="1"/>
  <c r="W906" i="6"/>
  <c r="X906" i="6" s="1"/>
  <c r="W907" i="6"/>
  <c r="X907" i="6" s="1"/>
  <c r="W908" i="6"/>
  <c r="X908" i="6" s="1"/>
  <c r="W909" i="6"/>
  <c r="X909" i="6" s="1"/>
  <c r="W910" i="6"/>
  <c r="X910" i="6" s="1"/>
  <c r="W911" i="6"/>
  <c r="X911" i="6" s="1"/>
  <c r="W912" i="6"/>
  <c r="X912" i="6" s="1"/>
  <c r="W913" i="6"/>
  <c r="X913" i="6" s="1"/>
  <c r="W914" i="6"/>
  <c r="X914" i="6" s="1"/>
  <c r="W915" i="6"/>
  <c r="X915" i="6" s="1"/>
  <c r="W916" i="6"/>
  <c r="X916" i="6" s="1"/>
  <c r="W917" i="6"/>
  <c r="X917" i="6" s="1"/>
  <c r="W918" i="6"/>
  <c r="X918" i="6" s="1"/>
  <c r="W919" i="6"/>
  <c r="X919" i="6" s="1"/>
  <c r="W920" i="6"/>
  <c r="X920" i="6" s="1"/>
  <c r="W921" i="6"/>
  <c r="X921" i="6" s="1"/>
  <c r="W922" i="6"/>
  <c r="X922" i="6" s="1"/>
  <c r="W923" i="6"/>
  <c r="X923" i="6" s="1"/>
  <c r="W924" i="6"/>
  <c r="X924" i="6" s="1"/>
  <c r="W925" i="6"/>
  <c r="X925" i="6" s="1"/>
  <c r="W926" i="6"/>
  <c r="X926" i="6" s="1"/>
  <c r="W927" i="6"/>
  <c r="X927" i="6" s="1"/>
  <c r="W928" i="6"/>
  <c r="X928" i="6" s="1"/>
  <c r="W929" i="6"/>
  <c r="X929" i="6" s="1"/>
  <c r="W930" i="6"/>
  <c r="X930" i="6" s="1"/>
  <c r="W931" i="6"/>
  <c r="X931" i="6" s="1"/>
  <c r="W932" i="6"/>
  <c r="X932" i="6" s="1"/>
  <c r="W933" i="6"/>
  <c r="X933" i="6" s="1"/>
  <c r="W934" i="6"/>
  <c r="X934" i="6" s="1"/>
  <c r="W935" i="6"/>
  <c r="X935" i="6" s="1"/>
  <c r="W936" i="6"/>
  <c r="X936" i="6" s="1"/>
  <c r="W937" i="6"/>
  <c r="X937" i="6" s="1"/>
  <c r="W938" i="6"/>
  <c r="X938" i="6" s="1"/>
  <c r="W939" i="6"/>
  <c r="X939" i="6" s="1"/>
  <c r="W940" i="6"/>
  <c r="X940" i="6" s="1"/>
  <c r="W941" i="6"/>
  <c r="X941" i="6" s="1"/>
  <c r="W942" i="6"/>
  <c r="X942" i="6" s="1"/>
  <c r="W943" i="6"/>
  <c r="X943" i="6" s="1"/>
  <c r="W944" i="6"/>
  <c r="X944" i="6" s="1"/>
  <c r="W945" i="6"/>
  <c r="X945" i="6" s="1"/>
  <c r="W946" i="6"/>
  <c r="X946" i="6" s="1"/>
  <c r="W947" i="6"/>
  <c r="X947" i="6" s="1"/>
  <c r="W948" i="6"/>
  <c r="X948" i="6" s="1"/>
  <c r="W949" i="6"/>
  <c r="X949" i="6" s="1"/>
  <c r="W950" i="6"/>
  <c r="X950" i="6" s="1"/>
  <c r="W951" i="6"/>
  <c r="X951" i="6" s="1"/>
  <c r="W952" i="6"/>
  <c r="X952" i="6" s="1"/>
  <c r="W953" i="6"/>
  <c r="X953" i="6" s="1"/>
  <c r="W954" i="6"/>
  <c r="X954" i="6" s="1"/>
  <c r="W955" i="6"/>
  <c r="X955" i="6" s="1"/>
  <c r="W956" i="6"/>
  <c r="X956" i="6" s="1"/>
  <c r="W957" i="6"/>
  <c r="X957" i="6" s="1"/>
  <c r="W958" i="6"/>
  <c r="X958" i="6" s="1"/>
  <c r="W959" i="6"/>
  <c r="X959" i="6" s="1"/>
  <c r="W960" i="6"/>
  <c r="X960" i="6" s="1"/>
  <c r="W961" i="6"/>
  <c r="X961" i="6" s="1"/>
  <c r="W962" i="6"/>
  <c r="X962" i="6" s="1"/>
  <c r="W963" i="6"/>
  <c r="X963" i="6" s="1"/>
  <c r="W964" i="6"/>
  <c r="X964" i="6" s="1"/>
  <c r="W965" i="6"/>
  <c r="X965" i="6" s="1"/>
  <c r="W966" i="6"/>
  <c r="X966" i="6" s="1"/>
  <c r="W967" i="6"/>
  <c r="X967" i="6" s="1"/>
  <c r="W968" i="6"/>
  <c r="X968" i="6" s="1"/>
  <c r="W969" i="6"/>
  <c r="X969" i="6" s="1"/>
  <c r="W970" i="6"/>
  <c r="X970" i="6" s="1"/>
  <c r="W971" i="6"/>
  <c r="X971" i="6" s="1"/>
  <c r="W972" i="6"/>
  <c r="X972" i="6" s="1"/>
  <c r="W973" i="6"/>
  <c r="X973" i="6" s="1"/>
  <c r="W974" i="6"/>
  <c r="X974" i="6" s="1"/>
  <c r="W975" i="6"/>
  <c r="X975" i="6" s="1"/>
  <c r="W976" i="6"/>
  <c r="X976" i="6" s="1"/>
  <c r="W977" i="6"/>
  <c r="X977" i="6" s="1"/>
  <c r="W978" i="6"/>
  <c r="X978" i="6" s="1"/>
  <c r="W979" i="6"/>
  <c r="X979" i="6" s="1"/>
  <c r="W980" i="6"/>
  <c r="X980" i="6" s="1"/>
  <c r="W981" i="6"/>
  <c r="X981" i="6" s="1"/>
  <c r="W982" i="6"/>
  <c r="X982" i="6" s="1"/>
  <c r="W983" i="6"/>
  <c r="X983" i="6" s="1"/>
  <c r="W984" i="6"/>
  <c r="X984" i="6" s="1"/>
  <c r="W985" i="6"/>
  <c r="X985" i="6" s="1"/>
  <c r="W986" i="6"/>
  <c r="X986" i="6" s="1"/>
  <c r="W987" i="6"/>
  <c r="X987" i="6" s="1"/>
  <c r="W988" i="6"/>
  <c r="X988" i="6" s="1"/>
  <c r="W989" i="6"/>
  <c r="X989" i="6" s="1"/>
  <c r="W990" i="6"/>
  <c r="X990" i="6" s="1"/>
  <c r="W991" i="6"/>
  <c r="X991" i="6" s="1"/>
  <c r="W992" i="6"/>
  <c r="X992" i="6" s="1"/>
  <c r="W993" i="6"/>
  <c r="X993" i="6" s="1"/>
  <c r="W994" i="6"/>
  <c r="X994" i="6" s="1"/>
  <c r="W995" i="6"/>
  <c r="X995" i="6" s="1"/>
  <c r="W996" i="6"/>
  <c r="X996" i="6" s="1"/>
  <c r="W997" i="6"/>
  <c r="X997" i="6" s="1"/>
  <c r="W998" i="6"/>
  <c r="X998" i="6" s="1"/>
  <c r="W999" i="6"/>
  <c r="X999" i="6" s="1"/>
  <c r="W1000" i="6"/>
  <c r="X1000" i="6" s="1"/>
  <c r="W1001" i="6"/>
  <c r="X1001" i="6" s="1"/>
  <c r="W1002" i="6"/>
  <c r="X1002" i="6" s="1"/>
  <c r="W1003" i="6"/>
  <c r="X1003" i="6" s="1"/>
  <c r="W1004" i="6"/>
  <c r="X1004" i="6" s="1"/>
  <c r="W1005" i="6"/>
  <c r="X1005" i="6" s="1"/>
  <c r="W1006" i="6"/>
  <c r="X1006" i="6" s="1"/>
  <c r="W1007" i="6"/>
  <c r="X1007" i="6" s="1"/>
  <c r="W1008" i="6"/>
  <c r="X1008" i="6" s="1"/>
  <c r="W1009" i="6"/>
  <c r="X1009" i="6" s="1"/>
  <c r="W1010" i="6"/>
  <c r="X1010" i="6" s="1"/>
  <c r="W1011" i="6"/>
  <c r="X1011" i="6" s="1"/>
  <c r="W1012" i="6"/>
  <c r="X1012" i="6" s="1"/>
  <c r="W1013" i="6"/>
  <c r="X1013" i="6" s="1"/>
  <c r="W1014" i="6"/>
  <c r="X1014" i="6" s="1"/>
  <c r="W1015" i="6"/>
  <c r="X1015" i="6" s="1"/>
  <c r="W1016" i="6"/>
  <c r="X1016" i="6" s="1"/>
  <c r="W1017" i="6"/>
  <c r="X1017" i="6" s="1"/>
  <c r="W1018" i="6"/>
  <c r="X1018" i="6" s="1"/>
  <c r="W1019" i="6"/>
  <c r="X1019" i="6" s="1"/>
  <c r="W1020" i="6"/>
  <c r="X1020" i="6" s="1"/>
  <c r="W1021" i="6"/>
  <c r="X1021" i="6" s="1"/>
  <c r="W1022" i="6"/>
  <c r="X1022" i="6" s="1"/>
  <c r="W1023" i="6"/>
  <c r="X1023" i="6" s="1"/>
  <c r="W1024" i="6"/>
  <c r="X1024" i="6" s="1"/>
  <c r="W1025" i="6"/>
  <c r="X1025" i="6" s="1"/>
  <c r="W1026" i="6"/>
  <c r="X1026" i="6" s="1"/>
  <c r="W1027" i="6"/>
  <c r="X1027" i="6" s="1"/>
  <c r="W1028" i="6"/>
  <c r="X1028" i="6" s="1"/>
  <c r="W1029" i="6"/>
  <c r="X1029" i="6" s="1"/>
  <c r="W1030" i="6"/>
  <c r="X1030" i="6" s="1"/>
  <c r="W1031" i="6"/>
  <c r="X1031" i="6" s="1"/>
  <c r="W1032" i="6"/>
  <c r="X1032" i="6" s="1"/>
  <c r="W1033" i="6"/>
  <c r="X1033" i="6" s="1"/>
  <c r="W1034" i="6"/>
  <c r="X1034" i="6" s="1"/>
  <c r="W1035" i="6"/>
  <c r="X1035" i="6" s="1"/>
  <c r="W1036" i="6"/>
  <c r="X1036" i="6" s="1"/>
  <c r="W1037" i="6"/>
  <c r="X1037" i="6" s="1"/>
  <c r="W1038" i="6"/>
  <c r="X1038" i="6" s="1"/>
  <c r="W1039" i="6"/>
  <c r="X1039" i="6" s="1"/>
  <c r="W1040" i="6"/>
  <c r="X1040" i="6" s="1"/>
  <c r="W1041" i="6"/>
  <c r="X1041" i="6" s="1"/>
  <c r="W1042" i="6"/>
  <c r="X1042" i="6" s="1"/>
  <c r="W1043" i="6"/>
  <c r="X1043" i="6" s="1"/>
  <c r="W1044" i="6"/>
  <c r="X1044" i="6" s="1"/>
  <c r="W1045" i="6"/>
  <c r="X1045" i="6" s="1"/>
  <c r="W1046" i="6"/>
  <c r="X1046" i="6" s="1"/>
  <c r="W1047" i="6"/>
  <c r="X1047" i="6" s="1"/>
  <c r="W1048" i="6"/>
  <c r="X1048" i="6" s="1"/>
  <c r="W1049" i="6"/>
  <c r="X1049" i="6" s="1"/>
  <c r="W1050" i="6"/>
  <c r="X1050" i="6" s="1"/>
  <c r="W1051" i="6"/>
  <c r="X1051" i="6" s="1"/>
  <c r="W1052" i="6"/>
  <c r="X1052" i="6" s="1"/>
  <c r="W1053" i="6"/>
  <c r="X1053" i="6" s="1"/>
  <c r="W1054" i="6"/>
  <c r="X1054" i="6" s="1"/>
  <c r="W1055" i="6"/>
  <c r="X1055" i="6" s="1"/>
  <c r="W1056" i="6"/>
  <c r="X1056" i="6" s="1"/>
  <c r="W1057" i="6"/>
  <c r="X1057" i="6" s="1"/>
  <c r="W1058" i="6"/>
  <c r="X1058" i="6" s="1"/>
  <c r="W1059" i="6"/>
  <c r="X1059" i="6" s="1"/>
  <c r="W1060" i="6"/>
  <c r="X1060" i="6" s="1"/>
  <c r="W1061" i="6"/>
  <c r="X1061" i="6" s="1"/>
  <c r="W1062" i="6"/>
  <c r="X1062" i="6" s="1"/>
  <c r="W1063" i="6"/>
  <c r="X1063" i="6" s="1"/>
  <c r="W1064" i="6"/>
  <c r="X1064" i="6" s="1"/>
  <c r="W1065" i="6"/>
  <c r="X1065" i="6" s="1"/>
  <c r="W1066" i="6"/>
  <c r="X1066" i="6" s="1"/>
  <c r="W1067" i="6"/>
  <c r="X1067" i="6" s="1"/>
  <c r="W1068" i="6"/>
  <c r="X1068" i="6" s="1"/>
  <c r="W1069" i="6"/>
  <c r="X1069" i="6" s="1"/>
  <c r="W1070" i="6"/>
  <c r="X1070" i="6" s="1"/>
  <c r="W1071" i="6"/>
  <c r="X1071" i="6" s="1"/>
  <c r="W1072" i="6"/>
  <c r="X1072" i="6" s="1"/>
  <c r="W1073" i="6"/>
  <c r="X1073" i="6" s="1"/>
  <c r="W1074" i="6"/>
  <c r="X1074" i="6" s="1"/>
  <c r="W1075" i="6"/>
  <c r="X1075" i="6" s="1"/>
  <c r="W1076" i="6"/>
  <c r="X1076" i="6" s="1"/>
  <c r="W1077" i="6"/>
  <c r="X1077" i="6" s="1"/>
  <c r="W1078" i="6"/>
  <c r="X1078" i="6" s="1"/>
  <c r="W1079" i="6"/>
  <c r="X1079" i="6" s="1"/>
  <c r="W1080" i="6"/>
  <c r="X1080" i="6" s="1"/>
  <c r="W1081" i="6"/>
  <c r="X1081" i="6" s="1"/>
  <c r="W1082" i="6"/>
  <c r="X1082" i="6" s="1"/>
  <c r="W1083" i="6"/>
  <c r="X1083" i="6" s="1"/>
  <c r="W1084" i="6"/>
  <c r="X1084" i="6" s="1"/>
  <c r="W1085" i="6"/>
  <c r="X1085" i="6" s="1"/>
  <c r="W1086" i="6"/>
  <c r="X1086" i="6" s="1"/>
  <c r="W1087" i="6"/>
  <c r="X1087" i="6" s="1"/>
  <c r="W1088" i="6"/>
  <c r="X1088" i="6" s="1"/>
  <c r="W1089" i="6"/>
  <c r="X1089" i="6" s="1"/>
  <c r="W1090" i="6"/>
  <c r="X1090" i="6" s="1"/>
  <c r="W1091" i="6"/>
  <c r="X1091" i="6" s="1"/>
  <c r="W1092" i="6"/>
  <c r="X1092" i="6" s="1"/>
  <c r="W1093" i="6"/>
  <c r="X1093" i="6" s="1"/>
  <c r="W1094" i="6"/>
  <c r="X1094" i="6" s="1"/>
  <c r="W1095" i="6"/>
  <c r="X1095" i="6" s="1"/>
  <c r="W1096" i="6"/>
  <c r="X1096" i="6" s="1"/>
  <c r="W1097" i="6"/>
  <c r="X1097" i="6" s="1"/>
  <c r="W1098" i="6"/>
  <c r="X1098" i="6" s="1"/>
  <c r="W1099" i="6"/>
  <c r="X1099" i="6" s="1"/>
  <c r="W1100" i="6"/>
  <c r="X1100" i="6" s="1"/>
  <c r="W1101" i="6"/>
  <c r="X1101" i="6" s="1"/>
  <c r="W1102" i="6"/>
  <c r="X1102" i="6" s="1"/>
  <c r="W1103" i="6"/>
  <c r="X1103" i="6" s="1"/>
  <c r="W1104" i="6"/>
  <c r="X1104" i="6" s="1"/>
  <c r="W1105" i="6"/>
  <c r="X1105" i="6" s="1"/>
  <c r="W1106" i="6"/>
  <c r="X1106" i="6" s="1"/>
  <c r="W1107" i="6"/>
  <c r="X1107" i="6" s="1"/>
  <c r="W1108" i="6"/>
  <c r="X1108" i="6" s="1"/>
  <c r="W1109" i="6"/>
  <c r="X1109" i="6" s="1"/>
  <c r="W1110" i="6"/>
  <c r="X1110" i="6" s="1"/>
  <c r="W1111" i="6"/>
  <c r="X1111" i="6" s="1"/>
  <c r="W1112" i="6"/>
  <c r="X1112" i="6" s="1"/>
  <c r="W1113" i="6"/>
  <c r="X1113" i="6" s="1"/>
  <c r="W1114" i="6"/>
  <c r="X1114" i="6" s="1"/>
  <c r="W1115" i="6"/>
  <c r="X1115" i="6" s="1"/>
  <c r="W1116" i="6"/>
  <c r="X1116" i="6" s="1"/>
  <c r="W1117" i="6"/>
  <c r="X1117" i="6" s="1"/>
  <c r="W1118" i="6"/>
  <c r="X1118" i="6" s="1"/>
  <c r="W1119" i="6"/>
  <c r="X1119" i="6" s="1"/>
  <c r="W1120" i="6"/>
  <c r="X1120" i="6" s="1"/>
  <c r="W1121" i="6"/>
  <c r="X1121" i="6" s="1"/>
  <c r="W1122" i="6"/>
  <c r="X1122" i="6" s="1"/>
  <c r="W1123" i="6"/>
  <c r="X1123" i="6" s="1"/>
  <c r="W1124" i="6"/>
  <c r="X1124" i="6" s="1"/>
  <c r="W1125" i="6"/>
  <c r="X1125" i="6" s="1"/>
  <c r="W1126" i="6"/>
  <c r="X1126" i="6" s="1"/>
  <c r="W1127" i="6"/>
  <c r="X1127" i="6" s="1"/>
  <c r="W1128" i="6"/>
  <c r="X1128" i="6" s="1"/>
  <c r="W1129" i="6"/>
  <c r="X1129" i="6" s="1"/>
  <c r="W1130" i="6"/>
  <c r="X1130" i="6" s="1"/>
  <c r="W1131" i="6"/>
  <c r="X1131" i="6" s="1"/>
  <c r="W1132" i="6"/>
  <c r="X1132" i="6" s="1"/>
  <c r="W1133" i="6"/>
  <c r="X1133" i="6" s="1"/>
  <c r="W1134" i="6"/>
  <c r="X1134" i="6" s="1"/>
  <c r="W1135" i="6"/>
  <c r="X1135" i="6" s="1"/>
  <c r="W1136" i="6"/>
  <c r="X1136" i="6" s="1"/>
  <c r="W1137" i="6"/>
  <c r="X1137" i="6" s="1"/>
  <c r="W1138" i="6"/>
  <c r="X1138" i="6" s="1"/>
  <c r="W1139" i="6"/>
  <c r="X1139" i="6" s="1"/>
  <c r="W1140" i="6"/>
  <c r="X1140" i="6" s="1"/>
  <c r="W1141" i="6"/>
  <c r="X1141" i="6" s="1"/>
  <c r="W1142" i="6"/>
  <c r="X1142" i="6" s="1"/>
  <c r="W1143" i="6"/>
  <c r="X1143" i="6" s="1"/>
  <c r="W1144" i="6"/>
  <c r="X1144" i="6" s="1"/>
  <c r="W1145" i="6"/>
  <c r="X1145" i="6" s="1"/>
  <c r="W1146" i="6"/>
  <c r="X1146" i="6" s="1"/>
  <c r="W1147" i="6"/>
  <c r="X1147" i="6" s="1"/>
  <c r="W1148" i="6"/>
  <c r="X1148" i="6" s="1"/>
  <c r="W1149" i="6"/>
  <c r="X1149" i="6" s="1"/>
  <c r="W1150" i="6"/>
  <c r="X1150" i="6" s="1"/>
  <c r="W1151" i="6"/>
  <c r="X1151" i="6" s="1"/>
  <c r="W1152" i="6"/>
  <c r="X1152" i="6" s="1"/>
  <c r="W1153" i="6"/>
  <c r="X1153" i="6" s="1"/>
  <c r="W1154" i="6"/>
  <c r="X1154" i="6" s="1"/>
  <c r="W1155" i="6"/>
  <c r="X1155" i="6" s="1"/>
  <c r="W1156" i="6"/>
  <c r="X1156" i="6" s="1"/>
  <c r="W1157" i="6"/>
  <c r="X1157" i="6" s="1"/>
  <c r="W1158" i="6"/>
  <c r="X1158" i="6" s="1"/>
  <c r="W1159" i="6"/>
  <c r="X1159" i="6" s="1"/>
  <c r="W1160" i="6"/>
  <c r="X1160" i="6" s="1"/>
  <c r="W1161" i="6"/>
  <c r="X1161" i="6" s="1"/>
  <c r="W1162" i="6"/>
  <c r="X1162" i="6" s="1"/>
  <c r="W1163" i="6"/>
  <c r="X1163" i="6" s="1"/>
  <c r="W1164" i="6"/>
  <c r="X1164" i="6" s="1"/>
  <c r="W1165" i="6"/>
  <c r="X1165" i="6" s="1"/>
  <c r="W1166" i="6"/>
  <c r="X1166" i="6" s="1"/>
  <c r="W1167" i="6"/>
  <c r="X1167" i="6" s="1"/>
  <c r="W1168" i="6"/>
  <c r="X1168" i="6" s="1"/>
  <c r="W1169" i="6"/>
  <c r="X1169" i="6" s="1"/>
  <c r="W1170" i="6"/>
  <c r="X1170" i="6" s="1"/>
  <c r="W1171" i="6"/>
  <c r="X1171" i="6" s="1"/>
  <c r="W1172" i="6"/>
  <c r="X1172" i="6" s="1"/>
  <c r="W1173" i="6"/>
  <c r="X1173" i="6" s="1"/>
  <c r="W1174" i="6"/>
  <c r="X1174" i="6" s="1"/>
  <c r="W1175" i="6"/>
  <c r="X1175" i="6" s="1"/>
  <c r="W1176" i="6"/>
  <c r="X1176" i="6" s="1"/>
  <c r="W1177" i="6"/>
  <c r="X1177" i="6" s="1"/>
  <c r="W1178" i="6"/>
  <c r="X1178" i="6" s="1"/>
  <c r="W1179" i="6"/>
  <c r="X1179" i="6" s="1"/>
  <c r="W1180" i="6"/>
  <c r="X1180" i="6" s="1"/>
  <c r="W1181" i="6"/>
  <c r="X1181" i="6" s="1"/>
  <c r="W1182" i="6"/>
  <c r="X1182" i="6" s="1"/>
  <c r="W1183" i="6"/>
  <c r="X1183" i="6" s="1"/>
  <c r="W1184" i="6"/>
  <c r="X1184" i="6" s="1"/>
  <c r="W1185" i="6"/>
  <c r="X1185" i="6" s="1"/>
  <c r="W1186" i="6"/>
  <c r="X1186" i="6" s="1"/>
  <c r="W1187" i="6"/>
  <c r="X1187" i="6" s="1"/>
  <c r="W1188" i="6"/>
  <c r="X1188" i="6" s="1"/>
  <c r="W1189" i="6"/>
  <c r="X1189" i="6" s="1"/>
  <c r="W1190" i="6"/>
  <c r="X1190" i="6" s="1"/>
  <c r="W1191" i="6"/>
  <c r="X1191" i="6" s="1"/>
  <c r="W1192" i="6"/>
  <c r="X1192" i="6" s="1"/>
  <c r="W1193" i="6"/>
  <c r="X1193" i="6" s="1"/>
  <c r="W1194" i="6"/>
  <c r="X1194" i="6" s="1"/>
  <c r="W1195" i="6"/>
  <c r="X1195" i="6" s="1"/>
  <c r="W1196" i="6"/>
  <c r="X1196" i="6" s="1"/>
  <c r="W1197" i="6"/>
  <c r="X1197" i="6" s="1"/>
  <c r="W1198" i="6"/>
  <c r="X1198" i="6" s="1"/>
  <c r="W1199" i="6"/>
  <c r="X1199" i="6" s="1"/>
  <c r="W1200" i="6"/>
  <c r="X1200" i="6" s="1"/>
  <c r="W1201" i="6"/>
  <c r="X1201" i="6" s="1"/>
  <c r="W1202" i="6"/>
  <c r="X1202" i="6" s="1"/>
  <c r="W1203" i="6"/>
  <c r="X1203" i="6" s="1"/>
  <c r="W1204" i="6"/>
  <c r="X1204" i="6" s="1"/>
  <c r="W1205" i="6"/>
  <c r="X1205" i="6" s="1"/>
  <c r="W1206" i="6"/>
  <c r="X1206" i="6" s="1"/>
  <c r="W1207" i="6"/>
  <c r="X1207" i="6" s="1"/>
  <c r="W1208" i="6"/>
  <c r="X1208" i="6" s="1"/>
  <c r="W1209" i="6"/>
  <c r="X1209" i="6" s="1"/>
  <c r="W1210" i="6"/>
  <c r="X1210" i="6" s="1"/>
  <c r="W1211" i="6"/>
  <c r="X1211" i="6" s="1"/>
  <c r="W1212" i="6"/>
  <c r="X1212" i="6" s="1"/>
  <c r="W1213" i="6"/>
  <c r="X1213" i="6" s="1"/>
  <c r="W1214" i="6"/>
  <c r="X1214" i="6" s="1"/>
  <c r="W1215" i="6"/>
  <c r="X1215" i="6" s="1"/>
  <c r="W1216" i="6"/>
  <c r="X1216" i="6" s="1"/>
  <c r="W1217" i="6"/>
  <c r="X1217" i="6" s="1"/>
  <c r="W1218" i="6"/>
  <c r="X1218" i="6" s="1"/>
  <c r="W1219" i="6"/>
  <c r="X1219" i="6" s="1"/>
  <c r="W1220" i="6"/>
  <c r="X1220" i="6" s="1"/>
  <c r="W1221" i="6"/>
  <c r="X1221" i="6" s="1"/>
  <c r="W1222" i="6"/>
  <c r="X1222" i="6" s="1"/>
  <c r="W1223" i="6"/>
  <c r="X1223" i="6" s="1"/>
  <c r="W1224" i="6"/>
  <c r="X1224" i="6" s="1"/>
  <c r="W1225" i="6"/>
  <c r="X1225" i="6" s="1"/>
  <c r="W1226" i="6"/>
  <c r="X1226" i="6" s="1"/>
  <c r="W1227" i="6"/>
  <c r="X1227" i="6" s="1"/>
  <c r="W1228" i="6"/>
  <c r="X1228" i="6" s="1"/>
  <c r="W1229" i="6"/>
  <c r="X1229" i="6" s="1"/>
  <c r="W1230" i="6"/>
  <c r="X1230" i="6" s="1"/>
  <c r="W1231" i="6"/>
  <c r="X1231" i="6" s="1"/>
  <c r="W1232" i="6"/>
  <c r="X1232" i="6" s="1"/>
  <c r="W1233" i="6"/>
  <c r="X1233" i="6" s="1"/>
  <c r="W1234" i="6"/>
  <c r="X1234" i="6" s="1"/>
  <c r="W1235" i="6"/>
  <c r="X1235" i="6" s="1"/>
  <c r="W1236" i="6"/>
  <c r="X1236" i="6" s="1"/>
  <c r="W1237" i="6"/>
  <c r="X1237" i="6" s="1"/>
  <c r="W1238" i="6"/>
  <c r="X1238" i="6" s="1"/>
  <c r="W1239" i="6"/>
  <c r="X1239" i="6" s="1"/>
  <c r="W1240" i="6"/>
  <c r="X1240" i="6" s="1"/>
  <c r="W1241" i="6"/>
  <c r="X1241" i="6" s="1"/>
  <c r="W1242" i="6"/>
  <c r="X1242" i="6" s="1"/>
  <c r="W1243" i="6"/>
  <c r="X1243" i="6" s="1"/>
  <c r="W1244" i="6"/>
  <c r="X1244" i="6" s="1"/>
  <c r="W1245" i="6"/>
  <c r="X1245" i="6" s="1"/>
  <c r="W1246" i="6"/>
  <c r="X1246" i="6" s="1"/>
  <c r="W1247" i="6"/>
  <c r="X1247" i="6" s="1"/>
  <c r="W1248" i="6"/>
  <c r="X1248" i="6" s="1"/>
  <c r="W1249" i="6"/>
  <c r="X1249" i="6" s="1"/>
  <c r="W1250" i="6"/>
  <c r="X1250" i="6" s="1"/>
  <c r="W1251" i="6"/>
  <c r="X1251" i="6" s="1"/>
  <c r="W1252" i="6"/>
  <c r="X1252" i="6" s="1"/>
  <c r="W1253" i="6"/>
  <c r="X1253" i="6" s="1"/>
  <c r="W1254" i="6"/>
  <c r="X1254" i="6" s="1"/>
  <c r="W1255" i="6"/>
  <c r="X1255" i="6" s="1"/>
  <c r="W1256" i="6"/>
  <c r="X1256" i="6" s="1"/>
  <c r="W1257" i="6"/>
  <c r="X1257" i="6" s="1"/>
  <c r="W1258" i="6"/>
  <c r="X1258" i="6" s="1"/>
  <c r="W1259" i="6"/>
  <c r="X1259" i="6" s="1"/>
  <c r="W1260" i="6"/>
  <c r="X1260" i="6" s="1"/>
  <c r="W1261" i="6"/>
  <c r="X1261" i="6" s="1"/>
  <c r="W1262" i="6"/>
  <c r="X1262" i="6" s="1"/>
  <c r="W1263" i="6"/>
  <c r="X1263" i="6" s="1"/>
  <c r="W1264" i="6"/>
  <c r="X1264" i="6" s="1"/>
  <c r="W1265" i="6"/>
  <c r="X1265" i="6" s="1"/>
  <c r="W1266" i="6"/>
  <c r="X1266" i="6" s="1"/>
  <c r="W1267" i="6"/>
  <c r="X1267" i="6" s="1"/>
  <c r="W1268" i="6"/>
  <c r="X1268" i="6" s="1"/>
  <c r="W1269" i="6"/>
  <c r="X1269" i="6" s="1"/>
  <c r="W1270" i="6"/>
  <c r="X1270" i="6" s="1"/>
  <c r="W1271" i="6"/>
  <c r="X1271" i="6" s="1"/>
  <c r="W1272" i="6"/>
  <c r="X1272" i="6" s="1"/>
  <c r="W1273" i="6"/>
  <c r="X1273" i="6" s="1"/>
  <c r="W1274" i="6"/>
  <c r="X1274" i="6" s="1"/>
  <c r="W1275" i="6"/>
  <c r="X1275" i="6" s="1"/>
  <c r="W1276" i="6"/>
  <c r="X1276" i="6" s="1"/>
  <c r="W1277" i="6"/>
  <c r="X1277" i="6" s="1"/>
  <c r="W1278" i="6"/>
  <c r="X1278" i="6" s="1"/>
  <c r="W1279" i="6"/>
  <c r="X1279" i="6" s="1"/>
  <c r="W1280" i="6"/>
  <c r="X1280" i="6" s="1"/>
  <c r="W1281" i="6"/>
  <c r="X1281" i="6" s="1"/>
  <c r="W1282" i="6"/>
  <c r="X1282" i="6" s="1"/>
  <c r="W1283" i="6"/>
  <c r="X1283" i="6" s="1"/>
  <c r="W1284" i="6"/>
  <c r="X1284" i="6" s="1"/>
  <c r="W1285" i="6"/>
  <c r="X1285" i="6" s="1"/>
  <c r="W1286" i="6"/>
  <c r="X1286" i="6" s="1"/>
  <c r="W1287" i="6"/>
  <c r="X1287" i="6" s="1"/>
  <c r="W1288" i="6"/>
  <c r="X1288" i="6" s="1"/>
  <c r="W1289" i="6"/>
  <c r="X1289" i="6" s="1"/>
  <c r="W1290" i="6"/>
  <c r="X1290" i="6" s="1"/>
  <c r="W1291" i="6"/>
  <c r="X1291" i="6" s="1"/>
  <c r="W1292" i="6"/>
  <c r="X1292" i="6" s="1"/>
  <c r="W1293" i="6"/>
  <c r="X1293" i="6" s="1"/>
  <c r="W1294" i="6"/>
  <c r="X1294" i="6" s="1"/>
  <c r="W1295" i="6"/>
  <c r="X1295" i="6" s="1"/>
  <c r="W1296" i="6"/>
  <c r="X1296" i="6" s="1"/>
  <c r="W1297" i="6"/>
  <c r="X1297" i="6" s="1"/>
  <c r="W1298" i="6"/>
  <c r="X1298" i="6" s="1"/>
  <c r="W1299" i="6"/>
  <c r="X1299" i="6" s="1"/>
  <c r="W1300" i="6"/>
  <c r="X1300" i="6" s="1"/>
  <c r="W1301" i="6"/>
  <c r="X1301" i="6" s="1"/>
  <c r="W1302" i="6"/>
  <c r="X1302" i="6" s="1"/>
  <c r="W1303" i="6"/>
  <c r="X1303" i="6" s="1"/>
  <c r="W1304" i="6"/>
  <c r="X1304" i="6" s="1"/>
  <c r="W1305" i="6"/>
  <c r="X1305" i="6" s="1"/>
  <c r="W1306" i="6"/>
  <c r="X1306" i="6" s="1"/>
  <c r="W1307" i="6"/>
  <c r="X1307" i="6" s="1"/>
  <c r="W1308" i="6"/>
  <c r="X1308" i="6" s="1"/>
  <c r="W1309" i="6"/>
  <c r="X1309" i="6" s="1"/>
  <c r="W1310" i="6"/>
  <c r="X1310" i="6" s="1"/>
  <c r="W1311" i="6"/>
  <c r="X1311" i="6" s="1"/>
  <c r="W1312" i="6"/>
  <c r="X1312" i="6" s="1"/>
  <c r="W1313" i="6"/>
  <c r="X1313" i="6" s="1"/>
  <c r="W1314" i="6"/>
  <c r="X1314" i="6" s="1"/>
  <c r="W1315" i="6"/>
  <c r="X1315" i="6" s="1"/>
  <c r="W1316" i="6"/>
  <c r="X1316" i="6" s="1"/>
  <c r="W1317" i="6"/>
  <c r="X1317" i="6" s="1"/>
  <c r="W1318" i="6"/>
  <c r="X1318" i="6" s="1"/>
  <c r="W1319" i="6"/>
  <c r="X1319" i="6" s="1"/>
  <c r="W1320" i="6"/>
  <c r="X1320" i="6" s="1"/>
  <c r="W1321" i="6"/>
  <c r="X1321" i="6" s="1"/>
  <c r="W1322" i="6"/>
  <c r="X1322" i="6" s="1"/>
  <c r="W1323" i="6"/>
  <c r="X1323" i="6" s="1"/>
  <c r="W1324" i="6"/>
  <c r="X1324" i="6" s="1"/>
  <c r="W1325" i="6"/>
  <c r="X1325" i="6" s="1"/>
  <c r="W1326" i="6"/>
  <c r="X1326" i="6" s="1"/>
  <c r="W1327" i="6"/>
  <c r="X1327" i="6" s="1"/>
  <c r="W1328" i="6"/>
  <c r="X1328" i="6" s="1"/>
  <c r="W1329" i="6"/>
  <c r="X1329" i="6" s="1"/>
  <c r="W1330" i="6"/>
  <c r="X1330" i="6" s="1"/>
  <c r="W1331" i="6"/>
  <c r="X1331" i="6" s="1"/>
  <c r="W1332" i="6"/>
  <c r="X1332" i="6" s="1"/>
  <c r="W1333" i="6"/>
  <c r="X1333" i="6" s="1"/>
  <c r="W1334" i="6"/>
  <c r="X1334" i="6" s="1"/>
  <c r="W1335" i="6"/>
  <c r="X1335" i="6" s="1"/>
  <c r="W1336" i="6"/>
  <c r="X1336" i="6" s="1"/>
  <c r="W1337" i="6"/>
  <c r="X1337" i="6" s="1"/>
  <c r="W1338" i="6"/>
  <c r="X1338" i="6" s="1"/>
  <c r="W1339" i="6"/>
  <c r="X1339" i="6" s="1"/>
  <c r="W1340" i="6"/>
  <c r="X1340" i="6" s="1"/>
  <c r="W1341" i="6"/>
  <c r="X1341" i="6" s="1"/>
  <c r="W1342" i="6"/>
  <c r="X1342" i="6" s="1"/>
  <c r="W1343" i="6"/>
  <c r="X1343" i="6" s="1"/>
  <c r="W1344" i="6"/>
  <c r="X1344" i="6" s="1"/>
  <c r="W1345" i="6"/>
  <c r="X1345" i="6" s="1"/>
  <c r="W1346" i="6"/>
  <c r="X1346" i="6" s="1"/>
  <c r="W1347" i="6"/>
  <c r="X1347" i="6" s="1"/>
  <c r="W1348" i="6"/>
  <c r="X1348" i="6" s="1"/>
  <c r="W1349" i="6"/>
  <c r="X1349" i="6" s="1"/>
  <c r="W1350" i="6"/>
  <c r="X1350" i="6" s="1"/>
  <c r="W1351" i="6"/>
  <c r="X1351" i="6" s="1"/>
  <c r="W1352" i="6"/>
  <c r="X1352" i="6" s="1"/>
  <c r="W1353" i="6"/>
  <c r="X1353" i="6" s="1"/>
  <c r="W1354" i="6"/>
  <c r="X1354" i="6" s="1"/>
  <c r="W1355" i="6"/>
  <c r="X1355" i="6" s="1"/>
  <c r="W1356" i="6"/>
  <c r="X1356" i="6" s="1"/>
  <c r="W1357" i="6"/>
  <c r="X1357" i="6" s="1"/>
  <c r="W1358" i="6"/>
  <c r="X1358" i="6" s="1"/>
  <c r="W1359" i="6"/>
  <c r="X1359" i="6" s="1"/>
  <c r="W1360" i="6"/>
  <c r="X1360" i="6" s="1"/>
  <c r="W1361" i="6"/>
  <c r="X1361" i="6" s="1"/>
  <c r="W1362" i="6"/>
  <c r="X1362" i="6" s="1"/>
  <c r="W1363" i="6"/>
  <c r="X1363" i="6" s="1"/>
  <c r="W1364" i="6"/>
  <c r="X1364" i="6" s="1"/>
  <c r="W1365" i="6"/>
  <c r="X1365" i="6" s="1"/>
  <c r="W1366" i="6"/>
  <c r="X1366" i="6" s="1"/>
  <c r="W1367" i="6"/>
  <c r="X1367" i="6" s="1"/>
  <c r="W1368" i="6"/>
  <c r="X1368" i="6" s="1"/>
  <c r="W1369" i="6"/>
  <c r="X1369" i="6" s="1"/>
  <c r="W1370" i="6"/>
  <c r="X1370" i="6" s="1"/>
  <c r="W1371" i="6"/>
  <c r="X1371" i="6" s="1"/>
  <c r="W1372" i="6"/>
  <c r="X1372" i="6" s="1"/>
  <c r="W1373" i="6"/>
  <c r="X1373" i="6" s="1"/>
  <c r="W1374" i="6"/>
  <c r="X1374" i="6" s="1"/>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K12" i="7" a="1"/>
  <c r="K13" i="7" a="1"/>
  <c r="K14" i="7" a="1"/>
  <c r="K15" i="7" a="1"/>
  <c r="K16" i="7" a="1"/>
  <c r="K17" i="7" a="1"/>
  <c r="K18" i="7" a="1"/>
  <c r="K19" i="7" a="1"/>
  <c r="K20" i="7" a="1"/>
  <c r="K21" i="7" a="1"/>
  <c r="K22" i="7" a="1"/>
  <c r="K23" i="7" a="1"/>
  <c r="K24" i="7" a="1"/>
  <c r="K25" i="7" a="1"/>
  <c r="K26" i="7" a="1"/>
  <c r="K27" i="7" a="1"/>
  <c r="K28" i="7" a="1"/>
  <c r="K29" i="7" a="1"/>
  <c r="K30" i="7" a="1"/>
  <c r="K31" i="7" a="1"/>
  <c r="K32" i="7" a="1"/>
  <c r="K33" i="7" a="1"/>
  <c r="K34" i="7" a="1"/>
  <c r="K35" i="7" a="1"/>
  <c r="K36" i="7" a="1"/>
  <c r="K37" i="7" a="1"/>
  <c r="K38" i="7" a="1"/>
  <c r="K39" i="7" a="1"/>
  <c r="K40" i="7" a="1"/>
  <c r="K41" i="7" a="1"/>
  <c r="K42" i="7" a="1"/>
  <c r="K43" i="7" a="1"/>
  <c r="K44" i="7" a="1"/>
  <c r="K45" i="7" a="1"/>
  <c r="K46" i="7" a="1"/>
  <c r="K47" i="7" a="1"/>
  <c r="K48" i="7" a="1"/>
  <c r="K49" i="7" a="1"/>
  <c r="K50" i="7" a="1"/>
  <c r="K51" i="7" a="1"/>
  <c r="K52" i="7" a="1"/>
  <c r="K53" i="7" a="1"/>
  <c r="K54" i="7" a="1"/>
  <c r="K55" i="7" a="1"/>
  <c r="K56" i="7" a="1"/>
  <c r="K57" i="7" a="1"/>
  <c r="K58" i="7" a="1"/>
  <c r="K59" i="7" a="1"/>
  <c r="K60" i="7" a="1"/>
  <c r="K61" i="7" a="1"/>
  <c r="K62" i="7" a="1"/>
  <c r="K63" i="7" a="1"/>
  <c r="K64" i="7" a="1"/>
  <c r="K65" i="7" a="1"/>
  <c r="K66" i="7" a="1"/>
  <c r="K67" i="7" a="1"/>
  <c r="K68" i="7" a="1"/>
  <c r="K69" i="7" a="1"/>
  <c r="K70" i="7" a="1"/>
  <c r="K71" i="7" a="1"/>
  <c r="K72" i="7" a="1"/>
  <c r="K73" i="7" a="1"/>
  <c r="K74" i="7" a="1"/>
  <c r="K75" i="7" a="1"/>
  <c r="K76" i="7" a="1"/>
  <c r="K77" i="7" a="1"/>
  <c r="K78" i="7" a="1"/>
  <c r="K79" i="7" a="1"/>
  <c r="K80" i="7" a="1"/>
  <c r="K81" i="7" a="1"/>
  <c r="K82" i="7" a="1"/>
  <c r="K83" i="7" a="1"/>
  <c r="K84" i="7" a="1"/>
  <c r="K85" i="7" a="1"/>
  <c r="K86" i="7" a="1"/>
  <c r="K87" i="7" a="1"/>
  <c r="K88" i="7" a="1"/>
  <c r="K89" i="7" a="1"/>
  <c r="K90" i="7" a="1"/>
  <c r="K91" i="7" a="1"/>
  <c r="K92" i="7" a="1"/>
  <c r="K93" i="7" a="1"/>
  <c r="K94" i="7" a="1"/>
  <c r="K95" i="7" a="1"/>
  <c r="K96" i="7" a="1"/>
  <c r="K97" i="7" a="1"/>
  <c r="K98" i="7" a="1"/>
  <c r="K99" i="7" a="1"/>
  <c r="K100" i="7" a="1"/>
  <c r="K101" i="7" a="1"/>
  <c r="K102" i="7" a="1"/>
  <c r="K103" i="7" a="1"/>
  <c r="K104" i="7" a="1"/>
  <c r="K105" i="7" a="1"/>
  <c r="K106" i="7" a="1"/>
  <c r="K107" i="7" a="1"/>
  <c r="K108" i="7" a="1"/>
  <c r="K109" i="7" a="1"/>
  <c r="K110" i="7" a="1"/>
  <c r="K111" i="7" a="1"/>
  <c r="K112" i="7" a="1"/>
  <c r="K113" i="7" a="1"/>
  <c r="K114" i="7" a="1"/>
  <c r="K115" i="7" a="1"/>
  <c r="K116" i="7" a="1"/>
  <c r="K117" i="7" a="1"/>
  <c r="K118" i="7" a="1"/>
  <c r="K119" i="7" a="1"/>
  <c r="K120" i="7" a="1"/>
  <c r="K121" i="7" a="1"/>
  <c r="K122" i="7" a="1"/>
  <c r="K123" i="7" a="1"/>
  <c r="K124" i="7" a="1"/>
  <c r="K125" i="7" a="1"/>
  <c r="K126" i="7" a="1"/>
  <c r="K127" i="7" a="1"/>
  <c r="K128" i="7" a="1"/>
  <c r="K129" i="7" a="1"/>
  <c r="K130" i="7" a="1"/>
  <c r="K131" i="7" a="1"/>
  <c r="K132" i="7" a="1"/>
  <c r="K133" i="7" a="1"/>
  <c r="K134" i="7" a="1"/>
  <c r="K135" i="7" a="1"/>
  <c r="K136" i="7" a="1"/>
  <c r="K137" i="7" a="1"/>
  <c r="K138" i="7" a="1"/>
  <c r="K139" i="7" a="1"/>
  <c r="K140" i="7" a="1"/>
  <c r="K141" i="7" a="1"/>
  <c r="K142" i="7" a="1"/>
  <c r="K143" i="7" a="1"/>
  <c r="K144" i="7" a="1"/>
  <c r="K145" i="7" a="1"/>
  <c r="K146" i="7" a="1"/>
  <c r="K147" i="7" a="1"/>
  <c r="K148" i="7" a="1"/>
  <c r="K149" i="7" a="1"/>
  <c r="K150" i="7" a="1"/>
  <c r="K151" i="7" a="1"/>
  <c r="K152" i="7" a="1"/>
  <c r="K153" i="7" a="1"/>
  <c r="K154" i="7" a="1"/>
  <c r="K155" i="7" a="1"/>
  <c r="K156" i="7" a="1"/>
  <c r="K157" i="7" a="1"/>
  <c r="K158" i="7" a="1"/>
  <c r="K159" i="7" a="1"/>
  <c r="K160" i="7" a="1"/>
  <c r="K161" i="7" a="1"/>
  <c r="K162" i="7" a="1"/>
  <c r="K163" i="7" a="1"/>
  <c r="K164" i="7" a="1"/>
  <c r="K165" i="7" a="1"/>
  <c r="K166" i="7" a="1"/>
  <c r="K167" i="7" a="1"/>
  <c r="K168" i="7" a="1"/>
  <c r="K169" i="7" a="1"/>
  <c r="K170" i="7" a="1"/>
  <c r="K171" i="7" a="1"/>
  <c r="K172" i="7" a="1"/>
  <c r="K173" i="7" a="1"/>
  <c r="K174" i="7" a="1"/>
  <c r="K175" i="7" a="1"/>
  <c r="K176" i="7" a="1"/>
  <c r="K177" i="7" a="1"/>
  <c r="K178" i="7" a="1"/>
  <c r="K179" i="7" a="1"/>
  <c r="K180" i="7" a="1"/>
  <c r="K181" i="7" a="1"/>
  <c r="K182" i="7" a="1"/>
  <c r="K183" i="7" a="1"/>
  <c r="K184" i="7" a="1"/>
  <c r="K185" i="7" a="1"/>
  <c r="K186" i="7" a="1"/>
  <c r="K187" i="7" a="1"/>
  <c r="K188" i="7" a="1"/>
  <c r="K189" i="7" a="1"/>
  <c r="K190" i="7" a="1"/>
  <c r="K191" i="7" a="1"/>
  <c r="K192" i="7" a="1"/>
  <c r="K193" i="7" a="1"/>
  <c r="K194" i="7" a="1"/>
  <c r="K195" i="7" a="1"/>
  <c r="K196" i="7" a="1"/>
  <c r="K197" i="7" a="1"/>
  <c r="K198" i="7" a="1"/>
  <c r="K199" i="7" a="1"/>
  <c r="K200" i="7" a="1"/>
  <c r="K201" i="7" a="1"/>
  <c r="K202" i="7" a="1"/>
  <c r="K203" i="7" a="1"/>
  <c r="K204" i="7" a="1"/>
  <c r="K205" i="7" a="1"/>
  <c r="K206" i="7" a="1"/>
  <c r="K207" i="7" a="1"/>
  <c r="K208" i="7" a="1"/>
  <c r="K209" i="7" a="1"/>
  <c r="K210" i="7" a="1"/>
  <c r="K211" i="7" a="1"/>
  <c r="K212" i="7" a="1"/>
  <c r="K213" i="7" a="1"/>
  <c r="K214" i="7" a="1"/>
  <c r="K215" i="7" a="1"/>
  <c r="K216" i="7" a="1"/>
  <c r="K217" i="7" a="1"/>
  <c r="K218" i="7" a="1"/>
  <c r="K219" i="7" a="1"/>
  <c r="K220" i="7" a="1"/>
  <c r="K221" i="7" a="1"/>
  <c r="K222" i="7" a="1"/>
  <c r="K223" i="7" a="1"/>
  <c r="K224" i="7" a="1"/>
  <c r="K225" i="7" a="1"/>
  <c r="K226" i="7" a="1"/>
  <c r="K227" i="7" a="1"/>
  <c r="K228" i="7" a="1"/>
  <c r="K229" i="7" a="1"/>
  <c r="K230" i="7" a="1"/>
  <c r="K231" i="7" a="1"/>
  <c r="K232" i="7" a="1"/>
  <c r="K233" i="7" a="1"/>
  <c r="K234" i="7" a="1"/>
  <c r="K235" i="7" a="1"/>
  <c r="K236" i="7" a="1"/>
  <c r="K237" i="7" a="1"/>
  <c r="K238" i="7" a="1"/>
  <c r="K239" i="7" a="1"/>
  <c r="K240" i="7" a="1"/>
  <c r="K241" i="7" a="1"/>
  <c r="K242" i="7" a="1"/>
  <c r="K243" i="7" a="1"/>
  <c r="K244" i="7" a="1"/>
  <c r="K245" i="7" a="1"/>
  <c r="K246" i="7" a="1"/>
  <c r="K247" i="7" a="1"/>
  <c r="K248" i="7" a="1"/>
  <c r="K249" i="7" a="1"/>
  <c r="K250" i="7" a="1"/>
  <c r="K251" i="7" a="1"/>
  <c r="K252" i="7" a="1"/>
  <c r="K253" i="7" a="1"/>
  <c r="K254" i="7" a="1"/>
  <c r="K255" i="7" a="1"/>
  <c r="K256" i="7" a="1"/>
  <c r="K257" i="7" a="1"/>
  <c r="K258" i="7" a="1"/>
  <c r="K259" i="7" a="1"/>
  <c r="K260" i="7" a="1"/>
  <c r="K261" i="7" a="1"/>
  <c r="K262" i="7" a="1"/>
  <c r="K263" i="7" a="1"/>
  <c r="K264" i="7" a="1"/>
  <c r="K265" i="7" a="1"/>
  <c r="K266" i="7" a="1"/>
  <c r="K267" i="7" a="1"/>
  <c r="K268" i="7" a="1"/>
  <c r="K269" i="7" a="1"/>
  <c r="K270" i="7" a="1"/>
  <c r="K271" i="7" a="1"/>
  <c r="K272" i="7" a="1"/>
  <c r="K273" i="7" a="1"/>
  <c r="K274" i="7" a="1"/>
  <c r="K275" i="7" a="1"/>
  <c r="K276" i="7" a="1"/>
  <c r="K277" i="7" a="1"/>
  <c r="K278" i="7" a="1"/>
  <c r="K279" i="7" a="1"/>
  <c r="K280" i="7" a="1"/>
  <c r="K281" i="7" a="1"/>
  <c r="K282" i="7" a="1"/>
  <c r="K283" i="7" a="1"/>
  <c r="K284" i="7" a="1"/>
  <c r="K285" i="7" a="1"/>
  <c r="K286" i="7" a="1"/>
  <c r="K287" i="7" a="1"/>
  <c r="K288" i="7" a="1"/>
  <c r="K289" i="7" a="1"/>
  <c r="K290" i="7" a="1"/>
  <c r="K291" i="7" a="1"/>
  <c r="K292" i="7" a="1"/>
  <c r="K293" i="7" a="1"/>
  <c r="K294" i="7" a="1"/>
  <c r="K295" i="7" a="1"/>
  <c r="K296" i="7" a="1"/>
  <c r="K297" i="7" a="1"/>
  <c r="K298" i="7" a="1"/>
  <c r="K299" i="7" a="1"/>
  <c r="K300" i="7" a="1"/>
  <c r="K301" i="7" a="1"/>
  <c r="K302" i="7" a="1"/>
  <c r="K303" i="7" a="1"/>
  <c r="K304" i="7" a="1"/>
  <c r="K305" i="7" a="1"/>
  <c r="K306" i="7" a="1"/>
  <c r="K307" i="7" a="1"/>
  <c r="K308" i="7" a="1"/>
  <c r="K309" i="7" a="1"/>
  <c r="K310" i="7" a="1"/>
  <c r="K311" i="7" a="1"/>
  <c r="K312" i="7" a="1"/>
  <c r="K313" i="7" a="1"/>
  <c r="K314" i="7" a="1"/>
  <c r="K315" i="7" a="1"/>
  <c r="K316" i="7" a="1"/>
  <c r="K317" i="7" a="1"/>
  <c r="K318" i="7" a="1"/>
  <c r="K319" i="7" a="1"/>
  <c r="K320" i="7" a="1"/>
  <c r="K321" i="7" a="1"/>
  <c r="K322" i="7" a="1"/>
  <c r="K323" i="7" a="1"/>
  <c r="K324" i="7" a="1"/>
  <c r="K325" i="7" a="1"/>
  <c r="K326" i="7" a="1"/>
  <c r="K327" i="7" a="1"/>
  <c r="K328" i="7" a="1"/>
  <c r="K329" i="7" a="1"/>
  <c r="K330" i="7" a="1"/>
  <c r="K331" i="7" a="1"/>
  <c r="K332" i="7" a="1"/>
  <c r="K333" i="7" a="1"/>
  <c r="K334" i="7" a="1"/>
  <c r="K335" i="7" a="1"/>
  <c r="K336" i="7" a="1"/>
  <c r="K337" i="7" a="1"/>
  <c r="K338" i="7" a="1"/>
  <c r="K339" i="7" a="1"/>
  <c r="K340" i="7" a="1"/>
  <c r="K341" i="7" a="1"/>
  <c r="K342" i="7" a="1"/>
  <c r="K343" i="7" a="1"/>
  <c r="K344" i="7" a="1"/>
  <c r="K345" i="7" a="1"/>
  <c r="K346" i="7" a="1"/>
  <c r="K347" i="7" a="1"/>
  <c r="K348" i="7" a="1"/>
  <c r="K349" i="7" a="1"/>
  <c r="K350" i="7" a="1"/>
  <c r="K351" i="7" a="1"/>
  <c r="K352" i="7" a="1"/>
  <c r="K353" i="7" a="1"/>
  <c r="K354" i="7" a="1"/>
  <c r="K355" i="7" a="1"/>
  <c r="K356" i="7" a="1"/>
  <c r="K357" i="7" a="1"/>
  <c r="K358" i="7" a="1"/>
  <c r="K359" i="7" a="1"/>
  <c r="K360" i="7" a="1"/>
  <c r="K361" i="7" a="1"/>
  <c r="K362" i="7" a="1"/>
  <c r="K363" i="7" a="1"/>
  <c r="K364" i="7" a="1"/>
  <c r="K365" i="7" a="1"/>
  <c r="K366" i="7" a="1"/>
  <c r="K367" i="7" a="1"/>
  <c r="K368" i="7" a="1"/>
  <c r="K369" i="7" a="1"/>
  <c r="K370" i="7" a="1"/>
  <c r="K371" i="7" a="1"/>
  <c r="K372" i="7" a="1"/>
  <c r="K373" i="7" a="1"/>
  <c r="K374" i="7" a="1"/>
  <c r="K375" i="7" a="1"/>
  <c r="K376" i="7" a="1"/>
  <c r="K377" i="7" a="1"/>
  <c r="K378" i="7" a="1"/>
  <c r="K379" i="7" a="1"/>
  <c r="K380" i="7" a="1"/>
  <c r="K381" i="7" a="1"/>
  <c r="K382" i="7" a="1"/>
  <c r="K383" i="7" a="1"/>
  <c r="K384" i="7" a="1"/>
  <c r="K385" i="7" a="1"/>
  <c r="K386" i="7" a="1"/>
  <c r="K387" i="7" a="1"/>
  <c r="K388" i="7" a="1"/>
  <c r="K389" i="7" a="1"/>
  <c r="K390" i="7" a="1"/>
  <c r="K391" i="7" a="1"/>
  <c r="K392" i="7" a="1"/>
  <c r="K393" i="7" a="1"/>
  <c r="K394" i="7" a="1"/>
  <c r="K395" i="7" a="1"/>
  <c r="K396" i="7" a="1"/>
  <c r="K397" i="7" a="1"/>
  <c r="K398" i="7" a="1"/>
  <c r="K399" i="7" a="1"/>
  <c r="K400" i="7" a="1"/>
  <c r="K401" i="7" a="1"/>
  <c r="K402" i="7" a="1"/>
  <c r="K403" i="7" a="1"/>
  <c r="K404" i="7" a="1"/>
  <c r="K405" i="7" a="1"/>
  <c r="K406" i="7" a="1"/>
  <c r="K407" i="7" a="1"/>
  <c r="K408" i="7" a="1"/>
  <c r="K409" i="7" a="1"/>
  <c r="K410" i="7" a="1"/>
  <c r="K411" i="7" a="1"/>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G2" i="7"/>
  <c r="K2" i="7" s="1" a="1"/>
  <c r="G3" i="7"/>
  <c r="K3" i="7" s="1" a="1"/>
  <c r="G4" i="7"/>
  <c r="K4" i="7" s="1" a="1"/>
  <c r="G5" i="7"/>
  <c r="K5" i="7" s="1" a="1"/>
  <c r="G6" i="7"/>
  <c r="K6" i="7" s="1" a="1"/>
  <c r="G7" i="7"/>
  <c r="K7" i="7" s="1" a="1"/>
  <c r="G8" i="7"/>
  <c r="K8" i="7" s="1" a="1"/>
  <c r="G9" i="7"/>
  <c r="K9" i="7" s="1" a="1"/>
  <c r="G10" i="7"/>
  <c r="K10" i="7" s="1" a="1"/>
  <c r="G11" i="7"/>
  <c r="K11" i="7" s="1" a="1"/>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V2" i="6" a="1"/>
  <c r="V3" i="6" a="1"/>
  <c r="V4" i="6" a="1"/>
  <c r="V5" i="6" a="1"/>
  <c r="V6" i="6" a="1"/>
  <c r="V7" i="6" a="1"/>
  <c r="V8" i="6" a="1"/>
  <c r="V9" i="6" a="1"/>
  <c r="V10" i="6" a="1"/>
  <c r="V11" i="6" a="1"/>
  <c r="V12" i="6" a="1"/>
  <c r="V13" i="6" a="1"/>
  <c r="V14" i="6" a="1"/>
  <c r="V15" i="6" a="1"/>
  <c r="V16" i="6" a="1"/>
  <c r="V17" i="6" a="1"/>
  <c r="V18" i="6" a="1"/>
  <c r="V19" i="6" a="1"/>
  <c r="V20" i="6" a="1"/>
  <c r="V21" i="6" a="1"/>
  <c r="V22" i="6" a="1"/>
  <c r="V23" i="6" a="1"/>
  <c r="V24" i="6" a="1"/>
  <c r="V25" i="6" a="1"/>
  <c r="V26" i="6" a="1"/>
  <c r="V27" i="6" a="1"/>
  <c r="V28" i="6" a="1"/>
  <c r="V29" i="6" a="1"/>
  <c r="V30" i="6" a="1"/>
  <c r="V31" i="6" a="1"/>
  <c r="V32" i="6" a="1"/>
  <c r="V33" i="6" a="1"/>
  <c r="V34" i="6" a="1"/>
  <c r="V35" i="6" a="1"/>
  <c r="V36" i="6" a="1"/>
  <c r="V37" i="6" a="1"/>
  <c r="V38" i="6" a="1"/>
  <c r="V39" i="6" a="1"/>
  <c r="V40" i="6" a="1"/>
  <c r="V41" i="6" a="1"/>
  <c r="V42" i="6" a="1"/>
  <c r="V43" i="6" a="1"/>
  <c r="V44" i="6" a="1"/>
  <c r="V45" i="6" a="1"/>
  <c r="V46" i="6" a="1"/>
  <c r="V47" i="6" a="1"/>
  <c r="V48" i="6" a="1"/>
  <c r="V49" i="6" a="1"/>
  <c r="V50" i="6" a="1"/>
  <c r="V51" i="6" a="1"/>
  <c r="V52" i="6" a="1"/>
  <c r="V53" i="6" a="1"/>
  <c r="V54" i="6" a="1"/>
  <c r="V55" i="6" a="1"/>
  <c r="V56" i="6" a="1"/>
  <c r="V57" i="6" a="1"/>
  <c r="V58" i="6" a="1"/>
  <c r="V59" i="6" a="1"/>
  <c r="V60" i="6" a="1"/>
  <c r="V61" i="6" a="1"/>
  <c r="V62" i="6" a="1"/>
  <c r="V63" i="6" a="1"/>
  <c r="V64" i="6" a="1"/>
  <c r="V65" i="6" a="1"/>
  <c r="V66" i="6" a="1"/>
  <c r="V67" i="6" a="1"/>
  <c r="V68" i="6" a="1"/>
  <c r="V69" i="6" a="1"/>
  <c r="V70" i="6" a="1"/>
  <c r="V71" i="6" a="1"/>
  <c r="V72" i="6" a="1"/>
  <c r="V73" i="6" a="1"/>
  <c r="V74" i="6" a="1"/>
  <c r="V75" i="6" a="1"/>
  <c r="V76" i="6" a="1"/>
  <c r="V77" i="6" a="1"/>
  <c r="V78" i="6" a="1"/>
  <c r="V79" i="6" a="1"/>
  <c r="V80" i="6" a="1"/>
  <c r="V81" i="6" a="1"/>
  <c r="V82" i="6" a="1"/>
  <c r="V83" i="6" a="1"/>
  <c r="V84" i="6" a="1"/>
  <c r="V85" i="6" a="1"/>
  <c r="V86" i="6" a="1"/>
  <c r="V87" i="6" a="1"/>
  <c r="V88" i="6" a="1"/>
  <c r="V89" i="6" a="1"/>
  <c r="V90" i="6" a="1"/>
  <c r="V91" i="6" a="1"/>
  <c r="V92" i="6" a="1"/>
  <c r="V93" i="6" a="1"/>
  <c r="V94" i="6" a="1"/>
  <c r="V95" i="6" a="1"/>
  <c r="V96" i="6" a="1"/>
  <c r="V97" i="6" a="1"/>
  <c r="V98" i="6" a="1"/>
  <c r="V99" i="6" a="1"/>
  <c r="V100" i="6" a="1"/>
  <c r="V101" i="6" a="1"/>
  <c r="V102" i="6" a="1"/>
  <c r="V103" i="6" a="1"/>
  <c r="V104" i="6" a="1"/>
  <c r="V105" i="6" a="1"/>
  <c r="V106" i="6" a="1"/>
  <c r="V107" i="6" a="1"/>
  <c r="V108" i="6" a="1"/>
  <c r="V109" i="6" a="1"/>
  <c r="V110" i="6" a="1"/>
  <c r="V111" i="6" a="1"/>
  <c r="V112" i="6" a="1"/>
  <c r="V113" i="6" a="1"/>
  <c r="V114" i="6" a="1"/>
  <c r="V115" i="6" a="1"/>
  <c r="V116" i="6" a="1"/>
  <c r="V117" i="6" a="1"/>
  <c r="V118" i="6" a="1"/>
  <c r="V119" i="6" a="1"/>
  <c r="V120" i="6" a="1"/>
  <c r="V121" i="6" a="1"/>
  <c r="V122" i="6" a="1"/>
  <c r="V123" i="6" a="1"/>
  <c r="V124" i="6" a="1"/>
  <c r="V125" i="6" a="1"/>
  <c r="V126" i="6" a="1"/>
  <c r="V127" i="6" a="1"/>
  <c r="V128" i="6" a="1"/>
  <c r="V129" i="6" a="1"/>
  <c r="V130" i="6" a="1"/>
  <c r="V131" i="6" a="1"/>
  <c r="V132" i="6" a="1"/>
  <c r="V133" i="6" a="1"/>
  <c r="V134" i="6" a="1"/>
  <c r="V135" i="6" a="1"/>
  <c r="V136" i="6" a="1"/>
  <c r="V137" i="6" a="1"/>
  <c r="V138" i="6" a="1"/>
  <c r="V139" i="6" a="1"/>
  <c r="V140" i="6" a="1"/>
  <c r="V141" i="6" a="1"/>
  <c r="V142" i="6" a="1"/>
  <c r="V143" i="6" a="1"/>
  <c r="V144" i="6" a="1"/>
  <c r="V145" i="6" a="1"/>
  <c r="V146" i="6" a="1"/>
  <c r="V147" i="6" a="1"/>
  <c r="V148" i="6" a="1"/>
  <c r="V149" i="6" a="1"/>
  <c r="V150" i="6" a="1"/>
  <c r="V151" i="6" a="1"/>
  <c r="V152" i="6" a="1"/>
  <c r="V153" i="6" a="1"/>
  <c r="V154" i="6" a="1"/>
  <c r="V155" i="6" a="1"/>
  <c r="V156" i="6" a="1"/>
  <c r="V157" i="6" a="1"/>
  <c r="V158" i="6" a="1"/>
  <c r="V159" i="6" a="1"/>
  <c r="V160" i="6" a="1"/>
  <c r="V161" i="6" a="1"/>
  <c r="V162" i="6" a="1"/>
  <c r="V163" i="6" a="1"/>
  <c r="V164" i="6" a="1"/>
  <c r="V165" i="6" a="1"/>
  <c r="V166" i="6" a="1"/>
  <c r="V167" i="6" a="1"/>
  <c r="V168" i="6" a="1"/>
  <c r="V169" i="6" a="1"/>
  <c r="V170" i="6" a="1"/>
  <c r="V171" i="6" a="1"/>
  <c r="V172" i="6" a="1"/>
  <c r="V173" i="6" a="1"/>
  <c r="V174" i="6" a="1"/>
  <c r="V175" i="6" a="1"/>
  <c r="V176" i="6" a="1"/>
  <c r="V177" i="6" a="1"/>
  <c r="V178" i="6" a="1"/>
  <c r="V179" i="6" a="1"/>
  <c r="V180" i="6" a="1"/>
  <c r="V181" i="6" a="1"/>
  <c r="V182" i="6" a="1"/>
  <c r="V183" i="6" a="1"/>
  <c r="V184" i="6" a="1"/>
  <c r="V185" i="6" a="1"/>
  <c r="V186" i="6" a="1"/>
  <c r="V187" i="6" a="1"/>
  <c r="V188" i="6" a="1"/>
  <c r="V189" i="6" a="1"/>
  <c r="V190" i="6" a="1"/>
  <c r="V191" i="6" a="1"/>
  <c r="V192" i="6" a="1"/>
  <c r="V193" i="6" a="1"/>
  <c r="V194" i="6" a="1"/>
  <c r="V195" i="6" a="1"/>
  <c r="V196" i="6" a="1"/>
  <c r="V197" i="6" a="1"/>
  <c r="V198" i="6" a="1"/>
  <c r="V199" i="6" a="1"/>
  <c r="V200" i="6" a="1"/>
  <c r="V201" i="6" a="1"/>
  <c r="V202" i="6" a="1"/>
  <c r="V203" i="6" a="1"/>
  <c r="V204" i="6" a="1"/>
  <c r="V205" i="6" a="1"/>
  <c r="V206" i="6" a="1"/>
  <c r="V207" i="6" a="1"/>
  <c r="V208" i="6" a="1"/>
  <c r="V209" i="6" a="1"/>
  <c r="V210" i="6" a="1"/>
  <c r="V211" i="6" a="1"/>
  <c r="V212" i="6" a="1"/>
  <c r="V213" i="6" a="1"/>
  <c r="V214" i="6" a="1"/>
  <c r="V215" i="6" a="1"/>
  <c r="V216" i="6" a="1"/>
  <c r="V217" i="6" a="1"/>
  <c r="V218" i="6" a="1"/>
  <c r="V219" i="6" a="1"/>
  <c r="V220" i="6" a="1"/>
  <c r="V221" i="6" a="1"/>
  <c r="V222" i="6" a="1"/>
  <c r="V223" i="6" a="1"/>
  <c r="V224" i="6" a="1"/>
  <c r="V225" i="6" a="1"/>
  <c r="V226" i="6" a="1"/>
  <c r="V227" i="6" a="1"/>
  <c r="V228" i="6" a="1"/>
  <c r="V229" i="6" a="1"/>
  <c r="V230" i="6" a="1"/>
  <c r="V231" i="6" a="1"/>
  <c r="V232" i="6" a="1"/>
  <c r="V233" i="6" a="1"/>
  <c r="V234" i="6" a="1"/>
  <c r="V235" i="6" a="1"/>
  <c r="V236" i="6" a="1"/>
  <c r="V237" i="6" a="1"/>
  <c r="V238" i="6" a="1"/>
  <c r="V239" i="6" a="1"/>
  <c r="V240" i="6" a="1"/>
  <c r="V241" i="6" a="1"/>
  <c r="V242" i="6" a="1"/>
  <c r="V243" i="6" a="1"/>
  <c r="V244" i="6" a="1"/>
  <c r="V245" i="6" a="1"/>
  <c r="V246" i="6" a="1"/>
  <c r="V247" i="6" a="1"/>
  <c r="V248" i="6" a="1"/>
  <c r="V249" i="6" a="1"/>
  <c r="V250" i="6" a="1"/>
  <c r="V251" i="6" a="1"/>
  <c r="V252" i="6" a="1"/>
  <c r="V253" i="6" a="1"/>
  <c r="V254" i="6" a="1"/>
  <c r="V255" i="6" a="1"/>
  <c r="V256" i="6" a="1"/>
  <c r="V257" i="6" a="1"/>
  <c r="V258" i="6" a="1"/>
  <c r="V259" i="6" a="1"/>
  <c r="V260" i="6" a="1"/>
  <c r="V261" i="6" a="1"/>
  <c r="V262" i="6" a="1"/>
  <c r="V263" i="6" a="1"/>
  <c r="V264" i="6" a="1"/>
  <c r="V265" i="6" a="1"/>
  <c r="V266" i="6" a="1"/>
  <c r="V267" i="6" a="1"/>
  <c r="V268" i="6" a="1"/>
  <c r="V269" i="6" a="1"/>
  <c r="V270" i="6" a="1"/>
  <c r="V271" i="6" a="1"/>
  <c r="V272" i="6" a="1"/>
  <c r="V273" i="6" a="1"/>
  <c r="V274" i="6" a="1"/>
  <c r="V275" i="6" a="1"/>
  <c r="V276" i="6" a="1"/>
  <c r="V277" i="6" a="1"/>
  <c r="V278" i="6" a="1"/>
  <c r="V279" i="6" a="1"/>
  <c r="V280" i="6" a="1"/>
  <c r="V281" i="6" a="1"/>
  <c r="V282" i="6" a="1"/>
  <c r="V283" i="6" a="1"/>
  <c r="V284" i="6" a="1"/>
  <c r="V285" i="6" a="1"/>
  <c r="V286" i="6" a="1"/>
  <c r="V287" i="6" a="1"/>
  <c r="V288" i="6" a="1"/>
  <c r="V289" i="6" a="1"/>
  <c r="V290" i="6" a="1"/>
  <c r="V291" i="6" a="1"/>
  <c r="V292" i="6" a="1"/>
  <c r="V293" i="6" a="1"/>
  <c r="V294" i="6" a="1"/>
  <c r="V295" i="6" a="1"/>
  <c r="V296" i="6" a="1"/>
  <c r="V297" i="6" a="1"/>
  <c r="V298" i="6" a="1"/>
  <c r="V299" i="6" a="1"/>
  <c r="V300" i="6" a="1"/>
  <c r="V301" i="6" a="1"/>
  <c r="V302" i="6" a="1"/>
  <c r="V303" i="6" a="1"/>
  <c r="V304" i="6" a="1"/>
  <c r="V305" i="6" a="1"/>
  <c r="V306" i="6" a="1"/>
  <c r="V307" i="6" a="1"/>
  <c r="V308" i="6" a="1"/>
  <c r="V309" i="6" a="1"/>
  <c r="V310" i="6" a="1"/>
  <c r="V311" i="6" a="1"/>
  <c r="V312" i="6" a="1"/>
  <c r="V313" i="6" a="1"/>
  <c r="V314" i="6" a="1"/>
  <c r="V315" i="6" a="1"/>
  <c r="V316" i="6" a="1"/>
  <c r="V317" i="6" a="1"/>
  <c r="V318" i="6" a="1"/>
  <c r="V319" i="6" a="1"/>
  <c r="V320" i="6" a="1"/>
  <c r="V321" i="6" a="1"/>
  <c r="V322" i="6" a="1"/>
  <c r="V323" i="6" a="1"/>
  <c r="V324" i="6" a="1"/>
  <c r="V325" i="6" a="1"/>
  <c r="V326" i="6" a="1"/>
  <c r="V327" i="6" a="1"/>
  <c r="V328" i="6" a="1"/>
  <c r="V329" i="6" a="1"/>
  <c r="V330" i="6" a="1"/>
  <c r="V331" i="6" a="1"/>
  <c r="V332" i="6" a="1"/>
  <c r="V333" i="6" a="1"/>
  <c r="V334" i="6" a="1"/>
  <c r="V335" i="6" a="1"/>
  <c r="V336" i="6" a="1"/>
  <c r="V337" i="6" a="1"/>
  <c r="V338" i="6" a="1"/>
  <c r="V339" i="6" a="1"/>
  <c r="V340" i="6" a="1"/>
  <c r="V341" i="6" a="1"/>
  <c r="V342" i="6" a="1"/>
  <c r="V343" i="6" a="1"/>
  <c r="V344" i="6" a="1"/>
  <c r="V345" i="6" a="1"/>
  <c r="V346" i="6" a="1"/>
  <c r="V347" i="6" a="1"/>
  <c r="V348" i="6" a="1"/>
  <c r="V349" i="6" a="1"/>
  <c r="V350" i="6" a="1"/>
  <c r="V351" i="6" a="1"/>
  <c r="V352" i="6" a="1"/>
  <c r="V353" i="6" a="1"/>
  <c r="V354" i="6" a="1"/>
  <c r="V355" i="6" a="1"/>
  <c r="V356" i="6" a="1"/>
  <c r="V357" i="6" a="1"/>
  <c r="V358" i="6" a="1"/>
  <c r="V359" i="6" a="1"/>
  <c r="V360" i="6" a="1"/>
  <c r="V361" i="6" a="1"/>
  <c r="V362" i="6" a="1"/>
  <c r="V363" i="6" a="1"/>
  <c r="V364" i="6" a="1"/>
  <c r="V365" i="6" a="1"/>
  <c r="V366" i="6" a="1"/>
  <c r="V367" i="6" a="1"/>
  <c r="V368" i="6" a="1"/>
  <c r="V369" i="6" a="1"/>
  <c r="V370" i="6" a="1"/>
  <c r="V371" i="6" a="1"/>
  <c r="V372" i="6" a="1"/>
  <c r="V373" i="6" a="1"/>
  <c r="V374" i="6" a="1"/>
  <c r="V375" i="6" a="1"/>
  <c r="V376" i="6" a="1"/>
  <c r="V377" i="6" a="1"/>
  <c r="V378" i="6" a="1"/>
  <c r="V379" i="6" a="1"/>
  <c r="V380" i="6" a="1"/>
  <c r="V381" i="6" a="1"/>
  <c r="V382" i="6" a="1"/>
  <c r="V383" i="6" a="1"/>
  <c r="V384" i="6" a="1"/>
  <c r="V385" i="6" a="1"/>
  <c r="V386" i="6" a="1"/>
  <c r="V387" i="6" a="1"/>
  <c r="V388" i="6" a="1"/>
  <c r="V389" i="6" a="1"/>
  <c r="V390" i="6" a="1"/>
  <c r="V391" i="6" a="1"/>
  <c r="V392" i="6" a="1"/>
  <c r="V393" i="6" a="1"/>
  <c r="V394" i="6" a="1"/>
  <c r="V395" i="6" a="1"/>
  <c r="V396" i="6" a="1"/>
  <c r="V397" i="6" a="1"/>
  <c r="V398" i="6" a="1"/>
  <c r="V399" i="6" a="1"/>
  <c r="V400" i="6" a="1"/>
  <c r="V401" i="6" a="1"/>
  <c r="V402" i="6" a="1"/>
  <c r="V403" i="6" a="1"/>
  <c r="V404" i="6" a="1"/>
  <c r="V405" i="6" a="1"/>
  <c r="V406" i="6" a="1"/>
  <c r="V407" i="6" a="1"/>
  <c r="V408" i="6" a="1"/>
  <c r="V409" i="6" a="1"/>
  <c r="V410" i="6" a="1"/>
  <c r="V411" i="6" a="1"/>
  <c r="V412" i="6" a="1"/>
  <c r="V413" i="6" a="1"/>
  <c r="V414" i="6" a="1"/>
  <c r="V415" i="6" a="1"/>
  <c r="V416" i="6" a="1"/>
  <c r="V417" i="6" a="1"/>
  <c r="V418" i="6" a="1"/>
  <c r="V419" i="6" a="1"/>
  <c r="V420" i="6" a="1"/>
  <c r="V421" i="6" a="1"/>
  <c r="V422" i="6" a="1"/>
  <c r="V423" i="6" a="1"/>
  <c r="V424" i="6" a="1"/>
  <c r="V425" i="6" a="1"/>
  <c r="V426" i="6" a="1"/>
  <c r="V427" i="6" a="1"/>
  <c r="V428" i="6" a="1"/>
  <c r="V429" i="6" a="1"/>
  <c r="V430" i="6" a="1"/>
  <c r="V431" i="6" a="1"/>
  <c r="V432" i="6" a="1"/>
  <c r="V433" i="6" a="1"/>
  <c r="V434" i="6" a="1"/>
  <c r="V435" i="6" a="1"/>
  <c r="V436" i="6" a="1"/>
  <c r="V437" i="6" a="1"/>
  <c r="V438" i="6" a="1"/>
  <c r="V439" i="6" a="1"/>
  <c r="V440" i="6" a="1"/>
  <c r="V441" i="6" a="1"/>
  <c r="V442" i="6" a="1"/>
  <c r="V443" i="6" a="1"/>
  <c r="V444" i="6" a="1"/>
  <c r="V445" i="6" a="1"/>
  <c r="V446" i="6" a="1"/>
  <c r="V447" i="6" a="1"/>
  <c r="V448" i="6" a="1"/>
  <c r="V449" i="6" a="1"/>
  <c r="V450" i="6" a="1"/>
  <c r="V451" i="6" a="1"/>
  <c r="V452" i="6" a="1"/>
  <c r="V453" i="6" a="1"/>
  <c r="V454" i="6" a="1"/>
  <c r="V455" i="6" a="1"/>
  <c r="V456" i="6" a="1"/>
  <c r="V457" i="6" a="1"/>
  <c r="V458" i="6" a="1"/>
  <c r="V459" i="6" a="1"/>
  <c r="V460" i="6" a="1"/>
  <c r="V461" i="6" a="1"/>
  <c r="V462" i="6" a="1"/>
  <c r="V463" i="6" a="1"/>
  <c r="V464" i="6" a="1"/>
  <c r="V465" i="6" a="1"/>
  <c r="V466" i="6" a="1"/>
  <c r="V467" i="6" a="1"/>
  <c r="V468" i="6" a="1"/>
  <c r="V469" i="6" a="1"/>
  <c r="V470" i="6" a="1"/>
  <c r="V471" i="6" a="1"/>
  <c r="V472" i="6" a="1"/>
  <c r="V473" i="6" a="1"/>
  <c r="V474" i="6" a="1"/>
  <c r="V475" i="6" a="1"/>
  <c r="V476" i="6" a="1"/>
  <c r="V477" i="6" a="1"/>
  <c r="V478" i="6" a="1"/>
  <c r="V479" i="6" a="1"/>
  <c r="V480" i="6" a="1"/>
  <c r="V481" i="6" a="1"/>
  <c r="V482" i="6" a="1"/>
  <c r="V483" i="6" a="1"/>
  <c r="V484" i="6" a="1"/>
  <c r="V485" i="6" a="1"/>
  <c r="V486" i="6" a="1"/>
  <c r="V487" i="6" a="1"/>
  <c r="V488" i="6" a="1"/>
  <c r="V489" i="6" a="1"/>
  <c r="V490" i="6" a="1"/>
  <c r="V491" i="6" a="1"/>
  <c r="V492" i="6" a="1"/>
  <c r="V493" i="6" a="1"/>
  <c r="V494" i="6" a="1"/>
  <c r="V495" i="6" a="1"/>
  <c r="V496" i="6" a="1"/>
  <c r="V497" i="6" a="1"/>
  <c r="V498" i="6" a="1"/>
  <c r="V499" i="6" a="1"/>
  <c r="V500" i="6" a="1"/>
  <c r="V501" i="6" a="1"/>
  <c r="V502" i="6" a="1"/>
  <c r="V503" i="6" a="1"/>
  <c r="V504" i="6" a="1"/>
  <c r="V505" i="6" a="1"/>
  <c r="V506" i="6" a="1"/>
  <c r="V507" i="6" a="1"/>
  <c r="V508" i="6" a="1"/>
  <c r="V509" i="6" a="1"/>
  <c r="V510" i="6" a="1"/>
  <c r="V511" i="6" a="1"/>
  <c r="V512" i="6" a="1"/>
  <c r="V513" i="6" a="1"/>
  <c r="V514" i="6" a="1"/>
  <c r="V515" i="6" a="1"/>
  <c r="V516" i="6" a="1"/>
  <c r="V517" i="6" a="1"/>
  <c r="V518" i="6" a="1"/>
  <c r="V519" i="6" a="1"/>
  <c r="V520" i="6" a="1"/>
  <c r="V521" i="6" a="1"/>
  <c r="V522" i="6" a="1"/>
  <c r="V523" i="6" a="1"/>
  <c r="V524" i="6" a="1"/>
  <c r="V525" i="6" a="1"/>
  <c r="V526" i="6" a="1"/>
  <c r="V527" i="6" a="1"/>
  <c r="V528" i="6" a="1"/>
  <c r="V529" i="6" a="1"/>
  <c r="V530" i="6" a="1"/>
  <c r="V531" i="6" a="1"/>
  <c r="V532" i="6" a="1"/>
  <c r="V533" i="6" a="1"/>
  <c r="V534" i="6" a="1"/>
  <c r="V535" i="6" a="1"/>
  <c r="V536" i="6" a="1"/>
  <c r="V537" i="6" a="1"/>
  <c r="V538" i="6" a="1"/>
  <c r="V539" i="6" a="1"/>
  <c r="V540" i="6" a="1"/>
  <c r="V541" i="6" a="1"/>
  <c r="V542" i="6" a="1"/>
  <c r="V543" i="6" a="1"/>
  <c r="V544" i="6" a="1"/>
  <c r="V545" i="6" a="1"/>
  <c r="V546" i="6" a="1"/>
  <c r="V547" i="6" a="1"/>
  <c r="V548" i="6" a="1"/>
  <c r="V549" i="6" a="1"/>
  <c r="V550" i="6" a="1"/>
  <c r="V551" i="6" a="1"/>
  <c r="V552" i="6" a="1"/>
  <c r="V553" i="6" a="1"/>
  <c r="V554" i="6" a="1"/>
  <c r="V555" i="6" a="1"/>
  <c r="V556" i="6" a="1"/>
  <c r="V557" i="6" a="1"/>
  <c r="V558" i="6" a="1"/>
  <c r="V559" i="6" a="1"/>
  <c r="V560" i="6" a="1"/>
  <c r="V561" i="6" a="1"/>
  <c r="V562" i="6" a="1"/>
  <c r="V563" i="6" a="1"/>
  <c r="V564" i="6" a="1"/>
  <c r="V565" i="6" a="1"/>
  <c r="V566" i="6" a="1"/>
  <c r="V567" i="6" a="1"/>
  <c r="V568" i="6" a="1"/>
  <c r="V569" i="6" a="1"/>
  <c r="V570" i="6" a="1"/>
  <c r="V571" i="6" a="1"/>
  <c r="V572" i="6" a="1"/>
  <c r="V573" i="6" a="1"/>
  <c r="V574" i="6" a="1"/>
  <c r="V575" i="6" a="1"/>
  <c r="V576" i="6" a="1"/>
  <c r="V577" i="6" a="1"/>
  <c r="V578" i="6" a="1"/>
  <c r="V579" i="6" a="1"/>
  <c r="V580" i="6" a="1"/>
  <c r="V581" i="6" a="1"/>
  <c r="V582" i="6" a="1"/>
  <c r="V583" i="6" a="1"/>
  <c r="V584" i="6" a="1"/>
  <c r="V585" i="6" a="1"/>
  <c r="V586" i="6" a="1"/>
  <c r="V587" i="6" a="1"/>
  <c r="V588" i="6" a="1"/>
  <c r="V589" i="6" a="1"/>
  <c r="V590" i="6" a="1"/>
  <c r="V591" i="6" a="1"/>
  <c r="V592" i="6" a="1"/>
  <c r="V593" i="6" a="1"/>
  <c r="V594" i="6" a="1"/>
  <c r="V595" i="6" a="1"/>
  <c r="V596" i="6" a="1"/>
  <c r="V597" i="6" a="1"/>
  <c r="V598" i="6" a="1"/>
  <c r="V599" i="6" a="1"/>
  <c r="V600" i="6" a="1"/>
  <c r="V601" i="6" a="1"/>
  <c r="V602" i="6" a="1"/>
  <c r="V603" i="6" a="1"/>
  <c r="V604" i="6" a="1"/>
  <c r="V605" i="6" a="1"/>
  <c r="V606" i="6" a="1"/>
  <c r="V607" i="6" a="1"/>
  <c r="V608" i="6" a="1"/>
  <c r="V609" i="6" a="1"/>
  <c r="V610" i="6" a="1"/>
  <c r="V611" i="6" a="1"/>
  <c r="V612" i="6" a="1"/>
  <c r="V613" i="6" a="1"/>
  <c r="V614" i="6" a="1"/>
  <c r="V615" i="6" a="1"/>
  <c r="V616" i="6" a="1"/>
  <c r="V617" i="6" a="1"/>
  <c r="V618" i="6" a="1"/>
  <c r="V619" i="6" a="1"/>
  <c r="V620" i="6" a="1"/>
  <c r="V621" i="6" a="1"/>
  <c r="V622" i="6" a="1"/>
  <c r="V623" i="6" a="1"/>
  <c r="V624" i="6" a="1"/>
  <c r="V625" i="6" a="1"/>
  <c r="V626" i="6" a="1"/>
  <c r="V627" i="6" a="1"/>
  <c r="V628" i="6" a="1"/>
  <c r="V629" i="6" a="1"/>
  <c r="V630" i="6" a="1"/>
  <c r="V631" i="6" a="1"/>
  <c r="V632" i="6" a="1"/>
  <c r="V633" i="6" a="1"/>
  <c r="V634" i="6" a="1"/>
  <c r="V635" i="6" a="1"/>
  <c r="V636" i="6" a="1"/>
  <c r="V637" i="6" a="1"/>
  <c r="V638" i="6" a="1"/>
  <c r="V639" i="6" a="1"/>
  <c r="V640" i="6" a="1"/>
  <c r="V641" i="6" a="1"/>
  <c r="V642" i="6" a="1"/>
  <c r="V643" i="6" a="1"/>
  <c r="V644" i="6" a="1"/>
  <c r="V645" i="6" a="1"/>
  <c r="V646" i="6" a="1"/>
  <c r="V647" i="6" a="1"/>
  <c r="V648" i="6" a="1"/>
  <c r="V649" i="6" a="1"/>
  <c r="V650" i="6" a="1"/>
  <c r="V651" i="6" a="1"/>
  <c r="V652" i="6" a="1"/>
  <c r="V653" i="6" a="1"/>
  <c r="V654" i="6" a="1"/>
  <c r="V655" i="6" a="1"/>
  <c r="V656" i="6" a="1"/>
  <c r="V657" i="6" a="1"/>
  <c r="V658" i="6" a="1"/>
  <c r="V659" i="6" a="1"/>
  <c r="V660" i="6" a="1"/>
  <c r="V661" i="6" a="1"/>
  <c r="V662" i="6" a="1"/>
  <c r="V663" i="6" a="1"/>
  <c r="V664" i="6" a="1"/>
  <c r="V665" i="6" a="1"/>
  <c r="V666" i="6" a="1"/>
  <c r="V667" i="6" a="1"/>
  <c r="V668" i="6" a="1"/>
  <c r="V669" i="6" a="1"/>
  <c r="V670" i="6" a="1"/>
  <c r="V671" i="6" a="1"/>
  <c r="V672" i="6" a="1"/>
  <c r="V673" i="6" a="1"/>
  <c r="V674" i="6" a="1"/>
  <c r="V675" i="6" a="1"/>
  <c r="V676" i="6" a="1"/>
  <c r="V677" i="6" a="1"/>
  <c r="V678" i="6" a="1"/>
  <c r="V679" i="6" a="1"/>
  <c r="V680" i="6" a="1"/>
  <c r="V681" i="6" a="1"/>
  <c r="V682" i="6" a="1"/>
  <c r="V683" i="6" a="1"/>
  <c r="V684" i="6" a="1"/>
  <c r="V685" i="6" a="1"/>
  <c r="V686" i="6" a="1"/>
  <c r="V687" i="6" a="1"/>
  <c r="V688" i="6" a="1"/>
  <c r="V689" i="6" a="1"/>
  <c r="V690" i="6" a="1"/>
  <c r="V691" i="6" a="1"/>
  <c r="V692" i="6" a="1"/>
  <c r="V693" i="6" a="1"/>
  <c r="V694" i="6" a="1"/>
  <c r="V695" i="6" a="1"/>
  <c r="V696" i="6" a="1"/>
  <c r="V697" i="6" a="1"/>
  <c r="V698" i="6" a="1"/>
  <c r="V699" i="6" a="1"/>
  <c r="V700" i="6" a="1"/>
  <c r="V701" i="6" a="1"/>
  <c r="V702" i="6" a="1"/>
  <c r="V703" i="6" a="1"/>
  <c r="V704" i="6" a="1"/>
  <c r="V705" i="6" a="1"/>
  <c r="V706" i="6" a="1"/>
  <c r="V707" i="6" a="1"/>
  <c r="V708" i="6" a="1"/>
  <c r="V709" i="6" a="1"/>
  <c r="V710" i="6" a="1"/>
  <c r="V711" i="6" a="1"/>
  <c r="V712" i="6" a="1"/>
  <c r="V713" i="6" a="1"/>
  <c r="V714" i="6" a="1"/>
  <c r="V715" i="6" a="1"/>
  <c r="V716" i="6" a="1"/>
  <c r="V717" i="6" a="1"/>
  <c r="V718" i="6" a="1"/>
  <c r="V719" i="6" a="1"/>
  <c r="V720" i="6" a="1"/>
  <c r="V721" i="6" a="1"/>
  <c r="V722" i="6" a="1"/>
  <c r="V723" i="6" a="1"/>
  <c r="V724" i="6" a="1"/>
  <c r="V725" i="6" a="1"/>
  <c r="V726" i="6" a="1"/>
  <c r="V727" i="6" a="1"/>
  <c r="V728" i="6" a="1"/>
  <c r="V729" i="6" a="1"/>
  <c r="V730" i="6" a="1"/>
  <c r="V731" i="6" a="1"/>
  <c r="V732" i="6" a="1"/>
  <c r="V733" i="6" a="1"/>
  <c r="V734" i="6" a="1"/>
  <c r="V735" i="6" a="1"/>
  <c r="V736" i="6" a="1"/>
  <c r="V737" i="6" a="1"/>
  <c r="V738" i="6" a="1"/>
  <c r="V739" i="6" a="1"/>
  <c r="V740" i="6" a="1"/>
  <c r="V741" i="6" a="1"/>
  <c r="V742" i="6" a="1"/>
  <c r="V743" i="6" a="1"/>
  <c r="V744" i="6" a="1"/>
  <c r="V745" i="6" a="1"/>
  <c r="V746" i="6" a="1"/>
  <c r="V747" i="6" a="1"/>
  <c r="V748" i="6" a="1"/>
  <c r="V749" i="6" a="1"/>
  <c r="V750" i="6" a="1"/>
  <c r="V751" i="6" a="1"/>
  <c r="V752" i="6" a="1"/>
  <c r="V753" i="6" a="1"/>
  <c r="V754" i="6" a="1"/>
  <c r="V755" i="6" a="1"/>
  <c r="V756" i="6" a="1"/>
  <c r="V757" i="6" a="1"/>
  <c r="V758" i="6" a="1"/>
  <c r="V759" i="6" a="1"/>
  <c r="V760" i="6" a="1"/>
  <c r="V761" i="6" a="1"/>
  <c r="V762" i="6" a="1"/>
  <c r="V763" i="6" a="1"/>
  <c r="V764" i="6" a="1"/>
  <c r="V765" i="6" a="1"/>
  <c r="V766" i="6" a="1"/>
  <c r="V767" i="6" a="1"/>
  <c r="V768" i="6" a="1"/>
  <c r="V769" i="6" a="1"/>
  <c r="V770" i="6" a="1"/>
  <c r="V771" i="6" a="1"/>
  <c r="V772" i="6" a="1"/>
  <c r="V773" i="6" a="1"/>
  <c r="V774" i="6" a="1"/>
  <c r="V775" i="6" a="1"/>
  <c r="V776" i="6" a="1"/>
  <c r="V777" i="6" a="1"/>
  <c r="V778" i="6" a="1"/>
  <c r="V779" i="6" a="1"/>
  <c r="V780" i="6" a="1"/>
  <c r="V781" i="6" a="1"/>
  <c r="V782" i="6" a="1"/>
  <c r="V783" i="6" a="1"/>
  <c r="V784" i="6" a="1"/>
  <c r="V785" i="6" a="1"/>
  <c r="V786" i="6" a="1"/>
  <c r="V787" i="6" a="1"/>
  <c r="V788" i="6" a="1"/>
  <c r="V789" i="6" a="1"/>
  <c r="V790" i="6" a="1"/>
  <c r="V791" i="6" a="1"/>
  <c r="V792" i="6" a="1"/>
  <c r="V793" i="6" a="1"/>
  <c r="V794" i="6" a="1"/>
  <c r="V795" i="6" a="1"/>
  <c r="V796" i="6" a="1"/>
  <c r="V797" i="6" a="1"/>
  <c r="V798" i="6" a="1"/>
  <c r="V799" i="6" a="1"/>
  <c r="V800" i="6" a="1"/>
  <c r="V801" i="6" a="1"/>
  <c r="V802" i="6" a="1"/>
  <c r="V803" i="6" a="1"/>
  <c r="V804" i="6" a="1"/>
  <c r="V805" i="6" a="1"/>
  <c r="V806" i="6" a="1"/>
  <c r="V807" i="6" a="1"/>
  <c r="V808" i="6" a="1"/>
  <c r="V809" i="6" a="1"/>
  <c r="V810" i="6" a="1"/>
  <c r="V811" i="6" a="1"/>
  <c r="V812" i="6" a="1"/>
  <c r="V813" i="6" a="1"/>
  <c r="V814" i="6" a="1"/>
  <c r="V815" i="6" a="1"/>
  <c r="V816" i="6" a="1"/>
  <c r="V817" i="6" a="1"/>
  <c r="V818" i="6" a="1"/>
  <c r="V819" i="6" a="1"/>
  <c r="V820" i="6" a="1"/>
  <c r="V821" i="6" a="1"/>
  <c r="V822" i="6" a="1"/>
  <c r="V823" i="6" a="1"/>
  <c r="V824" i="6" a="1"/>
  <c r="V825" i="6" a="1"/>
  <c r="V826" i="6" a="1"/>
  <c r="V827" i="6" a="1"/>
  <c r="V828" i="6" a="1"/>
  <c r="V829" i="6" a="1"/>
  <c r="V830" i="6" a="1"/>
  <c r="V831" i="6" a="1"/>
  <c r="V832" i="6" a="1"/>
  <c r="V833" i="6" a="1"/>
  <c r="V834" i="6" a="1"/>
  <c r="V835" i="6" a="1"/>
  <c r="V836" i="6" a="1"/>
  <c r="V837" i="6" a="1"/>
  <c r="V838" i="6" a="1"/>
  <c r="V839" i="6" a="1"/>
  <c r="V840" i="6" a="1"/>
  <c r="V841" i="6" a="1"/>
  <c r="V842" i="6" a="1"/>
  <c r="V843" i="6" a="1"/>
  <c r="V844" i="6" a="1"/>
  <c r="V845" i="6" a="1"/>
  <c r="V846" i="6" a="1"/>
  <c r="V847" i="6" a="1"/>
  <c r="V848" i="6" a="1"/>
  <c r="V849" i="6" a="1"/>
  <c r="V850" i="6" a="1"/>
  <c r="V851" i="6" a="1"/>
  <c r="V852" i="6" a="1"/>
  <c r="V853" i="6" a="1"/>
  <c r="V854" i="6" a="1"/>
  <c r="V855" i="6" a="1"/>
  <c r="V856" i="6" a="1"/>
  <c r="V857" i="6" a="1"/>
  <c r="V858" i="6" a="1"/>
  <c r="V859" i="6" a="1"/>
  <c r="V860" i="6" a="1"/>
  <c r="V861" i="6" a="1"/>
  <c r="V862" i="6" a="1"/>
  <c r="V863" i="6" a="1"/>
  <c r="V864" i="6" a="1"/>
  <c r="V865" i="6" a="1"/>
  <c r="V866" i="6" a="1"/>
  <c r="V867" i="6" a="1"/>
  <c r="V868" i="6" a="1"/>
  <c r="V869" i="6" a="1"/>
  <c r="V870" i="6" a="1"/>
  <c r="V871" i="6" a="1"/>
  <c r="V872" i="6" a="1"/>
  <c r="V873" i="6" a="1"/>
  <c r="V874" i="6" a="1"/>
  <c r="V875" i="6" a="1"/>
  <c r="V876" i="6" a="1"/>
  <c r="V877" i="6" a="1"/>
  <c r="V878" i="6" a="1"/>
  <c r="V879" i="6" a="1"/>
  <c r="V880" i="6" a="1"/>
  <c r="V881" i="6" a="1"/>
  <c r="V882" i="6" a="1"/>
  <c r="V883" i="6" a="1"/>
  <c r="V884" i="6" a="1"/>
  <c r="V885" i="6" a="1"/>
  <c r="V886" i="6" a="1"/>
  <c r="V887" i="6" a="1"/>
  <c r="V888" i="6" a="1"/>
  <c r="V889" i="6" a="1"/>
  <c r="V890" i="6" a="1"/>
  <c r="V891" i="6" a="1"/>
  <c r="V892" i="6" a="1"/>
  <c r="V893" i="6" a="1"/>
  <c r="V894" i="6" a="1"/>
  <c r="V895" i="6" a="1"/>
  <c r="V896" i="6" a="1"/>
  <c r="V897" i="6" a="1"/>
  <c r="V898" i="6" a="1"/>
  <c r="V899" i="6" a="1"/>
  <c r="V900" i="6" a="1"/>
  <c r="V901" i="6" a="1"/>
  <c r="V902" i="6" a="1"/>
  <c r="V903" i="6" a="1"/>
  <c r="V904" i="6" a="1"/>
  <c r="V905" i="6" a="1"/>
  <c r="V906" i="6" a="1"/>
  <c r="V907" i="6" a="1"/>
  <c r="V908" i="6" a="1"/>
  <c r="V909" i="6" a="1"/>
  <c r="V910" i="6" a="1"/>
  <c r="V911" i="6" a="1"/>
  <c r="V912" i="6" a="1"/>
  <c r="V913" i="6" a="1"/>
  <c r="V914" i="6" a="1"/>
  <c r="V915" i="6" a="1"/>
  <c r="V916" i="6" a="1"/>
  <c r="V917" i="6" a="1"/>
  <c r="V918" i="6" a="1"/>
  <c r="V919" i="6" a="1"/>
  <c r="V920" i="6" a="1"/>
  <c r="V921" i="6" a="1"/>
  <c r="V922" i="6" a="1"/>
  <c r="V923" i="6" a="1"/>
  <c r="V924" i="6" a="1"/>
  <c r="V925" i="6" a="1"/>
  <c r="V926" i="6" a="1"/>
  <c r="V927" i="6" a="1"/>
  <c r="V928" i="6" a="1"/>
  <c r="V929" i="6" a="1"/>
  <c r="V930" i="6" a="1"/>
  <c r="V931" i="6" a="1"/>
  <c r="V932" i="6" a="1"/>
  <c r="V933" i="6" a="1"/>
  <c r="V934" i="6" a="1"/>
  <c r="V935" i="6" a="1"/>
  <c r="V936" i="6" a="1"/>
  <c r="V937" i="6" a="1"/>
  <c r="V938" i="6" a="1"/>
  <c r="V939" i="6" a="1"/>
  <c r="V940" i="6" a="1"/>
  <c r="V941" i="6" a="1"/>
  <c r="V942" i="6" a="1"/>
  <c r="V943" i="6" a="1"/>
  <c r="V944" i="6" a="1"/>
  <c r="V945" i="6" a="1"/>
  <c r="V946" i="6" a="1"/>
  <c r="V947" i="6" a="1"/>
  <c r="V948" i="6" a="1"/>
  <c r="V949" i="6" a="1"/>
  <c r="V950" i="6" a="1"/>
  <c r="V951" i="6" a="1"/>
  <c r="V952" i="6" a="1"/>
  <c r="V953" i="6" a="1"/>
  <c r="V954" i="6" a="1"/>
  <c r="V955" i="6" a="1"/>
  <c r="V956" i="6" a="1"/>
  <c r="V957" i="6" a="1"/>
  <c r="V958" i="6" a="1"/>
  <c r="V959" i="6" a="1"/>
  <c r="V960" i="6" a="1"/>
  <c r="V961" i="6" a="1"/>
  <c r="V962" i="6" a="1"/>
  <c r="V963" i="6" a="1"/>
  <c r="V964" i="6" a="1"/>
  <c r="V965" i="6" a="1"/>
  <c r="V966" i="6" a="1"/>
  <c r="V967" i="6" a="1"/>
  <c r="V968" i="6" a="1"/>
  <c r="V969" i="6" a="1"/>
  <c r="V970" i="6" a="1"/>
  <c r="V971" i="6" a="1"/>
  <c r="V972" i="6" a="1"/>
  <c r="V973" i="6" a="1"/>
  <c r="V974" i="6" a="1"/>
  <c r="V975" i="6" a="1"/>
  <c r="V976" i="6" a="1"/>
  <c r="V977" i="6" a="1"/>
  <c r="V978" i="6" a="1"/>
  <c r="V979" i="6" a="1"/>
  <c r="V980" i="6" a="1"/>
  <c r="V981" i="6" a="1"/>
  <c r="V982" i="6" a="1"/>
  <c r="V983" i="6" a="1"/>
  <c r="V984" i="6" a="1"/>
  <c r="V985" i="6" a="1"/>
  <c r="V986" i="6" a="1"/>
  <c r="V987" i="6" a="1"/>
  <c r="V988" i="6" a="1"/>
  <c r="V989" i="6" a="1"/>
  <c r="V990" i="6" a="1"/>
  <c r="V991" i="6" a="1"/>
  <c r="V992" i="6" a="1"/>
  <c r="V993" i="6" a="1"/>
  <c r="V994" i="6" a="1"/>
  <c r="V995" i="6" a="1"/>
  <c r="V996" i="6" a="1"/>
  <c r="V997" i="6" a="1"/>
  <c r="V998" i="6" a="1"/>
  <c r="V999" i="6" a="1"/>
  <c r="V1000" i="6" a="1"/>
  <c r="V1001" i="6" a="1"/>
  <c r="V1002" i="6" a="1"/>
  <c r="V1003" i="6" a="1"/>
  <c r="V1004" i="6" a="1"/>
  <c r="V1005" i="6" a="1"/>
  <c r="V1006" i="6" a="1"/>
  <c r="V1007" i="6" a="1"/>
  <c r="V1008" i="6" a="1"/>
  <c r="V1009" i="6" a="1"/>
  <c r="V1010" i="6" a="1"/>
  <c r="V1011" i="6" a="1"/>
  <c r="V1012" i="6" a="1"/>
  <c r="V1013" i="6" a="1"/>
  <c r="V1014" i="6" a="1"/>
  <c r="V1015" i="6" a="1"/>
  <c r="V1016" i="6" a="1"/>
  <c r="V1017" i="6" a="1"/>
  <c r="V1018" i="6" a="1"/>
  <c r="V1019" i="6" a="1"/>
  <c r="V1020" i="6" a="1"/>
  <c r="V1021" i="6" a="1"/>
  <c r="V1022" i="6" a="1"/>
  <c r="V1023" i="6" a="1"/>
  <c r="V1024" i="6" a="1"/>
  <c r="V1025" i="6" a="1"/>
  <c r="V1026" i="6" a="1"/>
  <c r="V1027" i="6" a="1"/>
  <c r="V1028" i="6" a="1"/>
  <c r="V1029" i="6" a="1"/>
  <c r="V1030" i="6" a="1"/>
  <c r="V1031" i="6" a="1"/>
  <c r="V1032" i="6" a="1"/>
  <c r="V1033" i="6" a="1"/>
  <c r="V1034" i="6" a="1"/>
  <c r="V1035" i="6" a="1"/>
  <c r="V1036" i="6" a="1"/>
  <c r="V1037" i="6" a="1"/>
  <c r="V1038" i="6" a="1"/>
  <c r="V1039" i="6" a="1"/>
  <c r="V1040" i="6" a="1"/>
  <c r="V1041" i="6" a="1"/>
  <c r="V1042" i="6" a="1"/>
  <c r="V1043" i="6" a="1"/>
  <c r="V1044" i="6" a="1"/>
  <c r="V1045" i="6" a="1"/>
  <c r="V1046" i="6" a="1"/>
  <c r="V1047" i="6" a="1"/>
  <c r="V1048" i="6" a="1"/>
  <c r="V1049" i="6" a="1"/>
  <c r="V1050" i="6" a="1"/>
  <c r="V1051" i="6" a="1"/>
  <c r="V1052" i="6" a="1"/>
  <c r="V1053" i="6" a="1"/>
  <c r="V1054" i="6" a="1"/>
  <c r="V1055" i="6" a="1"/>
  <c r="V1056" i="6" a="1"/>
  <c r="V1057" i="6" a="1"/>
  <c r="V1058" i="6" a="1"/>
  <c r="V1059" i="6" a="1"/>
  <c r="V1060" i="6" a="1"/>
  <c r="V1061" i="6" a="1"/>
  <c r="V1062" i="6" a="1"/>
  <c r="V1063" i="6" a="1"/>
  <c r="V1064" i="6" a="1"/>
  <c r="V1065" i="6" a="1"/>
  <c r="V1066" i="6" a="1"/>
  <c r="V1067" i="6" a="1"/>
  <c r="V1068" i="6" a="1"/>
  <c r="V1069" i="6" a="1"/>
  <c r="V1070" i="6" a="1"/>
  <c r="V1071" i="6" a="1"/>
  <c r="V1072" i="6" a="1"/>
  <c r="V1073" i="6" a="1"/>
  <c r="V1074" i="6" a="1"/>
  <c r="V1075" i="6" a="1"/>
  <c r="V1076" i="6" a="1"/>
  <c r="V1077" i="6" a="1"/>
  <c r="V1078" i="6" a="1"/>
  <c r="V1079" i="6" a="1"/>
  <c r="V1080" i="6" a="1"/>
  <c r="V1081" i="6" a="1"/>
  <c r="V1082" i="6" a="1"/>
  <c r="V1083" i="6" a="1"/>
  <c r="V1084" i="6" a="1"/>
  <c r="V1085" i="6" a="1"/>
  <c r="V1086" i="6" a="1"/>
  <c r="V1087" i="6" a="1"/>
  <c r="V1088" i="6" a="1"/>
  <c r="V1089" i="6" a="1"/>
  <c r="V1090" i="6" a="1"/>
  <c r="V1091" i="6" a="1"/>
  <c r="V1092" i="6" a="1"/>
  <c r="V1093" i="6" a="1"/>
  <c r="V1094" i="6" a="1"/>
  <c r="V1095" i="6" a="1"/>
  <c r="V1096" i="6" a="1"/>
  <c r="V1097" i="6" a="1"/>
  <c r="V1098" i="6" a="1"/>
  <c r="V1099" i="6" a="1"/>
  <c r="V1100" i="6" a="1"/>
  <c r="V1101" i="6" a="1"/>
  <c r="V1102" i="6" a="1"/>
  <c r="V1103" i="6" a="1"/>
  <c r="V1104" i="6" a="1"/>
  <c r="V1105" i="6" a="1"/>
  <c r="V1106" i="6" a="1"/>
  <c r="V1107" i="6" a="1"/>
  <c r="V1108" i="6" a="1"/>
  <c r="V1109" i="6" a="1"/>
  <c r="V1110" i="6" a="1"/>
  <c r="V1111" i="6" a="1"/>
  <c r="V1112" i="6" a="1"/>
  <c r="V1113" i="6" a="1"/>
  <c r="V1114" i="6" a="1"/>
  <c r="V1115" i="6" a="1"/>
  <c r="V1116" i="6" a="1"/>
  <c r="V1117" i="6" a="1"/>
  <c r="V1118" i="6" a="1"/>
  <c r="V1119" i="6" a="1"/>
  <c r="V1120" i="6" a="1"/>
  <c r="V1121" i="6" a="1"/>
  <c r="V1122" i="6" a="1"/>
  <c r="V1123" i="6" a="1"/>
  <c r="V1124" i="6" a="1"/>
  <c r="V1125" i="6" a="1"/>
  <c r="V1126" i="6" a="1"/>
  <c r="V1127" i="6" a="1"/>
  <c r="V1128" i="6" a="1"/>
  <c r="V1129" i="6" a="1"/>
  <c r="V1130" i="6" a="1"/>
  <c r="V1131" i="6" a="1"/>
  <c r="V1132" i="6" a="1"/>
  <c r="V1133" i="6" a="1"/>
  <c r="V1134" i="6" a="1"/>
  <c r="V1135" i="6" a="1"/>
  <c r="V1136" i="6" a="1"/>
  <c r="V1137" i="6" a="1"/>
  <c r="V1138" i="6" a="1"/>
  <c r="V1139" i="6" a="1"/>
  <c r="V1140" i="6" a="1"/>
  <c r="V1141" i="6" a="1"/>
  <c r="V1142" i="6" a="1"/>
  <c r="V1143" i="6" a="1"/>
  <c r="V1144" i="6" a="1"/>
  <c r="V1145" i="6" a="1"/>
  <c r="V1146" i="6" a="1"/>
  <c r="V1147" i="6" a="1"/>
  <c r="V1148" i="6" a="1"/>
  <c r="V1149" i="6" a="1"/>
  <c r="V1150" i="6" a="1"/>
  <c r="V1151" i="6" a="1"/>
  <c r="V1152" i="6" a="1"/>
  <c r="V1153" i="6" a="1"/>
  <c r="V1154" i="6" a="1"/>
  <c r="V1155" i="6" a="1"/>
  <c r="V1156" i="6" a="1"/>
  <c r="V1157" i="6" a="1"/>
  <c r="V1158" i="6" a="1"/>
  <c r="V1159" i="6" a="1"/>
  <c r="V1160" i="6" a="1"/>
  <c r="V1161" i="6" a="1"/>
  <c r="V1162" i="6" a="1"/>
  <c r="V1163" i="6" a="1"/>
  <c r="V1164" i="6" a="1"/>
  <c r="V1165" i="6" a="1"/>
  <c r="V1166" i="6" a="1"/>
  <c r="V1167" i="6" a="1"/>
  <c r="V1168" i="6" a="1"/>
  <c r="V1169" i="6" a="1"/>
  <c r="V1170" i="6" a="1"/>
  <c r="V1171" i="6" a="1"/>
  <c r="V1172" i="6" a="1"/>
  <c r="V1173" i="6" a="1"/>
  <c r="V1174" i="6" a="1"/>
  <c r="V1175" i="6" a="1"/>
  <c r="V1176" i="6" a="1"/>
  <c r="V1177" i="6" a="1"/>
  <c r="V1178" i="6" a="1"/>
  <c r="V1179" i="6" a="1"/>
  <c r="V1180" i="6" a="1"/>
  <c r="V1181" i="6" a="1"/>
  <c r="V1182" i="6" a="1"/>
  <c r="V1183" i="6" a="1"/>
  <c r="V1184" i="6" a="1"/>
  <c r="V1185" i="6" a="1"/>
  <c r="V1186" i="6" a="1"/>
  <c r="V1187" i="6" a="1"/>
  <c r="V1188" i="6" a="1"/>
  <c r="V1189" i="6" a="1"/>
  <c r="V1190" i="6" a="1"/>
  <c r="V1191" i="6" a="1"/>
  <c r="V1192" i="6" a="1"/>
  <c r="V1193" i="6" a="1"/>
  <c r="V1194" i="6" a="1"/>
  <c r="V1195" i="6" a="1"/>
  <c r="V1196" i="6" a="1"/>
  <c r="V1197" i="6" a="1"/>
  <c r="V1198" i="6" a="1"/>
  <c r="V1199" i="6" a="1"/>
  <c r="V1200" i="6" a="1"/>
  <c r="V1201" i="6" a="1"/>
  <c r="V1202" i="6" a="1"/>
  <c r="V1203" i="6" a="1"/>
  <c r="V1204" i="6" a="1"/>
  <c r="V1205" i="6" a="1"/>
  <c r="V1206" i="6" a="1"/>
  <c r="V1207" i="6" a="1"/>
  <c r="V1208" i="6" a="1"/>
  <c r="V1209" i="6" a="1"/>
  <c r="V1210" i="6" a="1"/>
  <c r="V1211" i="6" a="1"/>
  <c r="V1212" i="6" a="1"/>
  <c r="V1213" i="6" a="1"/>
  <c r="V1214" i="6" a="1"/>
  <c r="V1215" i="6" a="1"/>
  <c r="V1216" i="6" a="1"/>
  <c r="V1217" i="6" a="1"/>
  <c r="V1218" i="6" a="1"/>
  <c r="V1219" i="6" a="1"/>
  <c r="V1220" i="6" a="1"/>
  <c r="V1221" i="6" a="1"/>
  <c r="V1222" i="6" a="1"/>
  <c r="V1223" i="6" a="1"/>
  <c r="V1224" i="6" a="1"/>
  <c r="V1225" i="6" a="1"/>
  <c r="V1226" i="6" a="1"/>
  <c r="V1227" i="6" a="1"/>
  <c r="V1228" i="6" a="1"/>
  <c r="V1229" i="6" a="1"/>
  <c r="V1230" i="6" a="1"/>
  <c r="V1231" i="6" a="1"/>
  <c r="V1232" i="6" a="1"/>
  <c r="V1233" i="6" a="1"/>
  <c r="V1234" i="6" a="1"/>
  <c r="V1235" i="6" a="1"/>
  <c r="V1236" i="6" a="1"/>
  <c r="V1237" i="6" a="1"/>
  <c r="V1238" i="6" a="1"/>
  <c r="V1239" i="6" a="1"/>
  <c r="V1240" i="6" a="1"/>
  <c r="V1241" i="6" a="1"/>
  <c r="V1242" i="6" a="1"/>
  <c r="V1243" i="6" a="1"/>
  <c r="V1244" i="6" a="1"/>
  <c r="V1245" i="6" a="1"/>
  <c r="V1246" i="6" a="1"/>
  <c r="V1247" i="6" a="1"/>
  <c r="V1248" i="6" a="1"/>
  <c r="V1249" i="6" a="1"/>
  <c r="V1250" i="6" a="1"/>
  <c r="V1251" i="6" a="1"/>
  <c r="V1252" i="6" a="1"/>
  <c r="V1253" i="6" a="1"/>
  <c r="V1254" i="6" a="1"/>
  <c r="V1255" i="6" a="1"/>
  <c r="V1256" i="6" a="1"/>
  <c r="V1257" i="6" a="1"/>
  <c r="V1258" i="6" a="1"/>
  <c r="V1259" i="6" a="1"/>
  <c r="V1260" i="6" a="1"/>
  <c r="V1261" i="6" a="1"/>
  <c r="V1262" i="6" a="1"/>
  <c r="V1263" i="6" a="1"/>
  <c r="V1264" i="6" a="1"/>
  <c r="V1265" i="6" a="1"/>
  <c r="V1266" i="6" a="1"/>
  <c r="V1267" i="6" a="1"/>
  <c r="V1268" i="6" a="1"/>
  <c r="V1269" i="6" a="1"/>
  <c r="V1270" i="6" a="1"/>
  <c r="V1271" i="6" a="1"/>
  <c r="V1272" i="6" a="1"/>
  <c r="V1273" i="6" a="1"/>
  <c r="V1274" i="6" a="1"/>
  <c r="V1275" i="6" a="1"/>
  <c r="V1276" i="6" a="1"/>
  <c r="V1277" i="6" a="1"/>
  <c r="V1278" i="6" a="1"/>
  <c r="V1279" i="6" a="1"/>
  <c r="V1280" i="6" a="1"/>
  <c r="V1281" i="6" a="1"/>
  <c r="V1282" i="6" a="1"/>
  <c r="V1283" i="6" a="1"/>
  <c r="V1284" i="6" a="1"/>
  <c r="V1285" i="6" a="1"/>
  <c r="V1286" i="6" a="1"/>
  <c r="V1287" i="6" a="1"/>
  <c r="V1288" i="6" a="1"/>
  <c r="V1289" i="6" a="1"/>
  <c r="V1290" i="6" a="1"/>
  <c r="V1291" i="6" a="1"/>
  <c r="V1292" i="6" a="1"/>
  <c r="V1293" i="6" a="1"/>
  <c r="V1294" i="6" a="1"/>
  <c r="V1295" i="6" a="1"/>
  <c r="V1296" i="6" a="1"/>
  <c r="V1297" i="6" a="1"/>
  <c r="V1298" i="6" a="1"/>
  <c r="V1299" i="6" a="1"/>
  <c r="V1300" i="6" a="1"/>
  <c r="V1301" i="6" a="1"/>
  <c r="V1302" i="6" a="1"/>
  <c r="V1303" i="6" a="1"/>
  <c r="V1304" i="6" a="1"/>
  <c r="V1305" i="6" a="1"/>
  <c r="V1306" i="6" a="1"/>
  <c r="V1307" i="6" a="1"/>
  <c r="V1308" i="6" a="1"/>
  <c r="V1309" i="6" a="1"/>
  <c r="V1310" i="6" a="1"/>
  <c r="V1311" i="6" a="1"/>
  <c r="V1312" i="6" a="1"/>
  <c r="V1313" i="6" a="1"/>
  <c r="V1314" i="6" a="1"/>
  <c r="V1315" i="6" a="1"/>
  <c r="V1316" i="6" a="1"/>
  <c r="V1317" i="6" a="1"/>
  <c r="V1318" i="6" a="1"/>
  <c r="V1319" i="6" a="1"/>
  <c r="V1320" i="6" a="1"/>
  <c r="V1321" i="6" a="1"/>
  <c r="V1322" i="6" a="1"/>
  <c r="V1323" i="6" a="1"/>
  <c r="V1324" i="6" a="1"/>
  <c r="V1325" i="6" a="1"/>
  <c r="V1326" i="6" a="1"/>
  <c r="V1327" i="6" a="1"/>
  <c r="V1328" i="6" a="1"/>
  <c r="V1329" i="6" a="1"/>
  <c r="V1330" i="6" a="1"/>
  <c r="V1331" i="6" a="1"/>
  <c r="V1332" i="6" a="1"/>
  <c r="V1333" i="6" a="1"/>
  <c r="V1334" i="6" a="1"/>
  <c r="V1335" i="6" a="1"/>
  <c r="V1336" i="6" a="1"/>
  <c r="V1337" i="6" a="1"/>
  <c r="V1338" i="6" a="1"/>
  <c r="V1339" i="6" a="1"/>
  <c r="V1340" i="6" a="1"/>
  <c r="V1341" i="6" a="1"/>
  <c r="V1342" i="6" a="1"/>
  <c r="V1343" i="6" a="1"/>
  <c r="V1344" i="6" a="1"/>
  <c r="V1345" i="6" a="1"/>
  <c r="V1346" i="6" a="1"/>
  <c r="V1347" i="6" a="1"/>
  <c r="V1348" i="6" a="1"/>
  <c r="V1349" i="6" a="1"/>
  <c r="V1350" i="6" a="1"/>
  <c r="V1351" i="6" a="1"/>
  <c r="V1352" i="6" a="1"/>
  <c r="V1353" i="6" a="1"/>
  <c r="V1354" i="6" a="1"/>
  <c r="V1355" i="6" a="1"/>
  <c r="V1356" i="6" a="1"/>
  <c r="V1357" i="6" a="1"/>
  <c r="V1358" i="6" a="1"/>
  <c r="V1359" i="6" a="1"/>
  <c r="V1360" i="6" a="1"/>
  <c r="V1361" i="6" a="1"/>
  <c r="V1362" i="6" a="1"/>
  <c r="V1363" i="6" a="1"/>
  <c r="V1364" i="6" a="1"/>
  <c r="V1365" i="6" a="1"/>
  <c r="V1366" i="6" a="1"/>
  <c r="V1367" i="6" a="1"/>
  <c r="V1368" i="6" a="1"/>
  <c r="V1369" i="6" a="1"/>
  <c r="V1370" i="6" a="1"/>
  <c r="V1371" i="6" a="1"/>
  <c r="V1372" i="6" a="1"/>
  <c r="V1373" i="6" a="1"/>
  <c r="V1374" i="6" a="1"/>
  <c r="U2" i="6" a="1"/>
  <c r="U3" i="6" a="1"/>
  <c r="U4" i="6" a="1"/>
  <c r="U5" i="6" a="1"/>
  <c r="U6" i="6" a="1"/>
  <c r="U7" i="6" a="1"/>
  <c r="U8" i="6" a="1"/>
  <c r="U9" i="6" a="1"/>
  <c r="U10" i="6" a="1"/>
  <c r="U11" i="6" a="1"/>
  <c r="U12" i="6" a="1"/>
  <c r="U13" i="6" a="1"/>
  <c r="U14" i="6" a="1"/>
  <c r="U15" i="6" a="1"/>
  <c r="U16" i="6" a="1"/>
  <c r="U17" i="6" a="1"/>
  <c r="U18" i="6" a="1"/>
  <c r="U19" i="6" a="1"/>
  <c r="U20" i="6" a="1"/>
  <c r="U21" i="6" a="1"/>
  <c r="U22" i="6" a="1"/>
  <c r="U23" i="6" a="1"/>
  <c r="U24" i="6" a="1"/>
  <c r="U25" i="6" a="1"/>
  <c r="U26" i="6" a="1"/>
  <c r="U27" i="6" a="1"/>
  <c r="U28" i="6" a="1"/>
  <c r="U29" i="6" a="1"/>
  <c r="U30" i="6" a="1"/>
  <c r="U31" i="6" a="1"/>
  <c r="U32" i="6" a="1"/>
  <c r="U33" i="6" a="1"/>
  <c r="U34" i="6" a="1"/>
  <c r="U35" i="6" a="1"/>
  <c r="U36" i="6" a="1"/>
  <c r="U37" i="6" a="1"/>
  <c r="U38" i="6" a="1"/>
  <c r="U39" i="6" a="1"/>
  <c r="U40" i="6" a="1"/>
  <c r="U41" i="6" a="1"/>
  <c r="U42" i="6" a="1"/>
  <c r="U43" i="6" a="1"/>
  <c r="U44" i="6" a="1"/>
  <c r="U45" i="6" a="1"/>
  <c r="U46" i="6" a="1"/>
  <c r="U47" i="6" a="1"/>
  <c r="U48" i="6" a="1"/>
  <c r="U49" i="6" a="1"/>
  <c r="U50" i="6" a="1"/>
  <c r="U51" i="6" a="1"/>
  <c r="U52" i="6" a="1"/>
  <c r="U53" i="6" a="1"/>
  <c r="U54" i="6" a="1"/>
  <c r="U55" i="6" a="1"/>
  <c r="U56" i="6" a="1"/>
  <c r="U57" i="6" a="1"/>
  <c r="U58" i="6" a="1"/>
  <c r="U59" i="6" a="1"/>
  <c r="U60" i="6" a="1"/>
  <c r="U61" i="6" a="1"/>
  <c r="U62" i="6" a="1"/>
  <c r="U63" i="6" a="1"/>
  <c r="U64" i="6" a="1"/>
  <c r="U65" i="6" a="1"/>
  <c r="U66" i="6" a="1"/>
  <c r="U67" i="6" a="1"/>
  <c r="U68" i="6" a="1"/>
  <c r="U69" i="6" a="1"/>
  <c r="U70" i="6" a="1"/>
  <c r="U71" i="6" a="1"/>
  <c r="U72" i="6" a="1"/>
  <c r="U73" i="6" a="1"/>
  <c r="U74" i="6" a="1"/>
  <c r="U75" i="6" a="1"/>
  <c r="U76" i="6" a="1"/>
  <c r="U77" i="6" a="1"/>
  <c r="U78" i="6" a="1"/>
  <c r="U79" i="6" a="1"/>
  <c r="U80" i="6" a="1"/>
  <c r="U81" i="6" a="1"/>
  <c r="U82" i="6" a="1"/>
  <c r="U83" i="6" a="1"/>
  <c r="U84" i="6" a="1"/>
  <c r="U85" i="6" a="1"/>
  <c r="U86" i="6" a="1"/>
  <c r="U87" i="6" a="1"/>
  <c r="U88" i="6" a="1"/>
  <c r="U89" i="6" a="1"/>
  <c r="U90" i="6" a="1"/>
  <c r="U91" i="6" a="1"/>
  <c r="U92" i="6" a="1"/>
  <c r="U93" i="6" a="1"/>
  <c r="U94" i="6" a="1"/>
  <c r="U95" i="6" a="1"/>
  <c r="U96" i="6" a="1"/>
  <c r="U97" i="6" a="1"/>
  <c r="U98" i="6" a="1"/>
  <c r="U99" i="6" a="1"/>
  <c r="U100" i="6" a="1"/>
  <c r="U101" i="6" a="1"/>
  <c r="U102" i="6" a="1"/>
  <c r="U103" i="6" a="1"/>
  <c r="U104" i="6" a="1"/>
  <c r="U105" i="6" a="1"/>
  <c r="U106" i="6" a="1"/>
  <c r="U107" i="6" a="1"/>
  <c r="U108" i="6" a="1"/>
  <c r="U109" i="6" a="1"/>
  <c r="U110" i="6" a="1"/>
  <c r="U111" i="6" a="1"/>
  <c r="U112" i="6" a="1"/>
  <c r="U113" i="6" a="1"/>
  <c r="U114" i="6" a="1"/>
  <c r="U115" i="6" a="1"/>
  <c r="U116" i="6" a="1"/>
  <c r="U117" i="6" a="1"/>
  <c r="U118" i="6" a="1"/>
  <c r="U119" i="6" a="1"/>
  <c r="U120" i="6" a="1"/>
  <c r="U121" i="6" a="1"/>
  <c r="U122" i="6" a="1"/>
  <c r="U123" i="6" a="1"/>
  <c r="U124" i="6" a="1"/>
  <c r="U125" i="6" a="1"/>
  <c r="U126" i="6" a="1"/>
  <c r="U127" i="6" a="1"/>
  <c r="U128" i="6" a="1"/>
  <c r="U129" i="6" a="1"/>
  <c r="U130" i="6" a="1"/>
  <c r="U131" i="6" a="1"/>
  <c r="U132" i="6" a="1"/>
  <c r="U133" i="6" a="1"/>
  <c r="U134" i="6" a="1"/>
  <c r="U135" i="6" a="1"/>
  <c r="U136" i="6" a="1"/>
  <c r="U137" i="6" a="1"/>
  <c r="U138" i="6" a="1"/>
  <c r="U139" i="6" a="1"/>
  <c r="U140" i="6" a="1"/>
  <c r="U141" i="6" a="1"/>
  <c r="U142" i="6" a="1"/>
  <c r="U143" i="6" a="1"/>
  <c r="U144" i="6" a="1"/>
  <c r="U145" i="6" a="1"/>
  <c r="U146" i="6" a="1"/>
  <c r="U147" i="6" a="1"/>
  <c r="U148" i="6" a="1"/>
  <c r="U149" i="6" a="1"/>
  <c r="U150" i="6" a="1"/>
  <c r="U151" i="6" a="1"/>
  <c r="U152" i="6" a="1"/>
  <c r="U153" i="6" a="1"/>
  <c r="U154" i="6" a="1"/>
  <c r="U155" i="6" a="1"/>
  <c r="U156" i="6" a="1"/>
  <c r="U157" i="6" a="1"/>
  <c r="U158" i="6" a="1"/>
  <c r="U159" i="6" a="1"/>
  <c r="U160" i="6" a="1"/>
  <c r="U161" i="6" a="1"/>
  <c r="U162" i="6" a="1"/>
  <c r="U163" i="6" a="1"/>
  <c r="U164" i="6" a="1"/>
  <c r="U165" i="6" a="1"/>
  <c r="U166" i="6" a="1"/>
  <c r="U167" i="6" a="1"/>
  <c r="U168" i="6" a="1"/>
  <c r="U169" i="6" a="1"/>
  <c r="U170" i="6" a="1"/>
  <c r="U171" i="6" a="1"/>
  <c r="U172" i="6" a="1"/>
  <c r="U173" i="6" a="1"/>
  <c r="U174" i="6" a="1"/>
  <c r="U175" i="6" a="1"/>
  <c r="U176" i="6" a="1"/>
  <c r="U177" i="6" a="1"/>
  <c r="U178" i="6" a="1"/>
  <c r="U179" i="6" a="1"/>
  <c r="U180" i="6" a="1"/>
  <c r="U181" i="6" a="1"/>
  <c r="U182" i="6" a="1"/>
  <c r="U183" i="6" a="1"/>
  <c r="U184" i="6" a="1"/>
  <c r="U185" i="6" a="1"/>
  <c r="U186" i="6" a="1"/>
  <c r="U187" i="6" a="1"/>
  <c r="U188" i="6" a="1"/>
  <c r="U189" i="6" a="1"/>
  <c r="U190" i="6" a="1"/>
  <c r="U191" i="6" a="1"/>
  <c r="U192" i="6" a="1"/>
  <c r="U193" i="6" a="1"/>
  <c r="U194" i="6" a="1"/>
  <c r="U195" i="6" a="1"/>
  <c r="U196" i="6" a="1"/>
  <c r="U197" i="6" a="1"/>
  <c r="U198" i="6" a="1"/>
  <c r="U199" i="6" a="1"/>
  <c r="U200" i="6" a="1"/>
  <c r="U201" i="6" a="1"/>
  <c r="U202" i="6" a="1"/>
  <c r="U203" i="6" a="1"/>
  <c r="U204" i="6" a="1"/>
  <c r="U205" i="6" a="1"/>
  <c r="U206" i="6" a="1"/>
  <c r="U207" i="6" a="1"/>
  <c r="U208" i="6" a="1"/>
  <c r="U209" i="6" a="1"/>
  <c r="U210" i="6" a="1"/>
  <c r="U211" i="6" a="1"/>
  <c r="U212" i="6" a="1"/>
  <c r="U213" i="6" a="1"/>
  <c r="U214" i="6" a="1"/>
  <c r="U215" i="6" a="1"/>
  <c r="U216" i="6" a="1"/>
  <c r="U217" i="6" a="1"/>
  <c r="U218" i="6" a="1"/>
  <c r="U219" i="6" a="1"/>
  <c r="U220" i="6" a="1"/>
  <c r="U221" i="6" a="1"/>
  <c r="U222" i="6" a="1"/>
  <c r="U223" i="6" a="1"/>
  <c r="U224" i="6" a="1"/>
  <c r="U225" i="6" a="1"/>
  <c r="U226" i="6" a="1"/>
  <c r="U227" i="6" a="1"/>
  <c r="U228" i="6" a="1"/>
  <c r="U229" i="6" a="1"/>
  <c r="U230" i="6" a="1"/>
  <c r="U231" i="6" a="1"/>
  <c r="U232" i="6" a="1"/>
  <c r="U233" i="6" a="1"/>
  <c r="U234" i="6" a="1"/>
  <c r="U235" i="6" a="1"/>
  <c r="U236" i="6" a="1"/>
  <c r="U237" i="6" a="1"/>
  <c r="U238" i="6" a="1"/>
  <c r="U239" i="6" a="1"/>
  <c r="U240" i="6" a="1"/>
  <c r="U241" i="6" a="1"/>
  <c r="U242" i="6" a="1"/>
  <c r="U243" i="6" a="1"/>
  <c r="U244" i="6" a="1"/>
  <c r="U245" i="6" a="1"/>
  <c r="U246" i="6" a="1"/>
  <c r="U247" i="6" a="1"/>
  <c r="U248" i="6" a="1"/>
  <c r="U249" i="6" a="1"/>
  <c r="U250" i="6" a="1"/>
  <c r="U251" i="6" a="1"/>
  <c r="U252" i="6" a="1"/>
  <c r="U253" i="6" a="1"/>
  <c r="U254" i="6" a="1"/>
  <c r="U255" i="6" a="1"/>
  <c r="U256" i="6" a="1"/>
  <c r="U257" i="6" a="1"/>
  <c r="U258" i="6" a="1"/>
  <c r="U259" i="6" a="1"/>
  <c r="U260" i="6" a="1"/>
  <c r="U261" i="6" a="1"/>
  <c r="U262" i="6" a="1"/>
  <c r="U263" i="6" a="1"/>
  <c r="U264" i="6" a="1"/>
  <c r="U265" i="6" a="1"/>
  <c r="U266" i="6" a="1"/>
  <c r="U267" i="6" a="1"/>
  <c r="U268" i="6" a="1"/>
  <c r="U269" i="6" a="1"/>
  <c r="U270" i="6" a="1"/>
  <c r="U271" i="6" a="1"/>
  <c r="U272" i="6" a="1"/>
  <c r="U273" i="6" a="1"/>
  <c r="U274" i="6" a="1"/>
  <c r="U275" i="6" a="1"/>
  <c r="U276" i="6" a="1"/>
  <c r="U277" i="6" a="1"/>
  <c r="U278" i="6" a="1"/>
  <c r="U279" i="6" a="1"/>
  <c r="U280" i="6" a="1"/>
  <c r="U281" i="6" a="1"/>
  <c r="U282" i="6" a="1"/>
  <c r="U283" i="6" a="1"/>
  <c r="U284" i="6" a="1"/>
  <c r="U285" i="6" a="1"/>
  <c r="U286" i="6" a="1"/>
  <c r="U287" i="6" a="1"/>
  <c r="U288" i="6" a="1"/>
  <c r="U289" i="6" a="1"/>
  <c r="U290" i="6" a="1"/>
  <c r="U291" i="6" a="1"/>
  <c r="U292" i="6" a="1"/>
  <c r="U293" i="6" a="1"/>
  <c r="U294" i="6" a="1"/>
  <c r="U295" i="6" a="1"/>
  <c r="U296" i="6" a="1"/>
  <c r="U297" i="6" a="1"/>
  <c r="U298" i="6" a="1"/>
  <c r="U299" i="6" a="1"/>
  <c r="U300" i="6" a="1"/>
  <c r="U301" i="6" a="1"/>
  <c r="U302" i="6" a="1"/>
  <c r="U303" i="6" a="1"/>
  <c r="U304" i="6" a="1"/>
  <c r="U305" i="6" a="1"/>
  <c r="U306" i="6" a="1"/>
  <c r="U307" i="6" a="1"/>
  <c r="U308" i="6" a="1"/>
  <c r="U309" i="6" a="1"/>
  <c r="U310" i="6" a="1"/>
  <c r="U311" i="6" a="1"/>
  <c r="U312" i="6" a="1"/>
  <c r="U313" i="6" a="1"/>
  <c r="U314" i="6" a="1"/>
  <c r="U315" i="6" a="1"/>
  <c r="U316" i="6" a="1"/>
  <c r="U317" i="6" a="1"/>
  <c r="U318" i="6" a="1"/>
  <c r="U319" i="6" a="1"/>
  <c r="U320" i="6" a="1"/>
  <c r="U321" i="6" a="1"/>
  <c r="U322" i="6" a="1"/>
  <c r="U323" i="6" a="1"/>
  <c r="U324" i="6" a="1"/>
  <c r="U325" i="6" a="1"/>
  <c r="U326" i="6" a="1"/>
  <c r="U327" i="6" a="1"/>
  <c r="U328" i="6" a="1"/>
  <c r="U329" i="6" a="1"/>
  <c r="U330" i="6" a="1"/>
  <c r="U331" i="6" a="1"/>
  <c r="U332" i="6" a="1"/>
  <c r="U333" i="6" a="1"/>
  <c r="U334" i="6" a="1"/>
  <c r="U335" i="6" a="1"/>
  <c r="U336" i="6" a="1"/>
  <c r="U337" i="6" a="1"/>
  <c r="U338" i="6" a="1"/>
  <c r="U339" i="6" a="1"/>
  <c r="U340" i="6" a="1"/>
  <c r="U341" i="6" a="1"/>
  <c r="U342" i="6" a="1"/>
  <c r="U343" i="6" a="1"/>
  <c r="U344" i="6" a="1"/>
  <c r="U345" i="6" a="1"/>
  <c r="U346" i="6" a="1"/>
  <c r="U347" i="6" a="1"/>
  <c r="U348" i="6" a="1"/>
  <c r="U349" i="6" a="1"/>
  <c r="U350" i="6" a="1"/>
  <c r="U351" i="6" a="1"/>
  <c r="U352" i="6" a="1"/>
  <c r="U353" i="6" a="1"/>
  <c r="U354" i="6" a="1"/>
  <c r="U355" i="6" a="1"/>
  <c r="U356" i="6" a="1"/>
  <c r="U357" i="6" a="1"/>
  <c r="U358" i="6" a="1"/>
  <c r="U359" i="6" a="1"/>
  <c r="U360" i="6" a="1"/>
  <c r="U361" i="6" a="1"/>
  <c r="U362" i="6" a="1"/>
  <c r="U363" i="6" a="1"/>
  <c r="U364" i="6" a="1"/>
  <c r="U365" i="6" a="1"/>
  <c r="U366" i="6" a="1"/>
  <c r="U367" i="6" a="1"/>
  <c r="U368" i="6" a="1"/>
  <c r="U369" i="6" a="1"/>
  <c r="U370" i="6" a="1"/>
  <c r="U371" i="6" a="1"/>
  <c r="U372" i="6" a="1"/>
  <c r="U373" i="6" a="1"/>
  <c r="U374" i="6" a="1"/>
  <c r="U375" i="6" a="1"/>
  <c r="U376" i="6" a="1"/>
  <c r="U377" i="6" a="1"/>
  <c r="U378" i="6" a="1"/>
  <c r="U379" i="6" a="1"/>
  <c r="U380" i="6" a="1"/>
  <c r="U381" i="6" a="1"/>
  <c r="U382" i="6" a="1"/>
  <c r="U383" i="6" a="1"/>
  <c r="U384" i="6" a="1"/>
  <c r="U385" i="6" a="1"/>
  <c r="U386" i="6" a="1"/>
  <c r="U387" i="6" a="1"/>
  <c r="U388" i="6" a="1"/>
  <c r="U389" i="6" a="1"/>
  <c r="U390" i="6" a="1"/>
  <c r="U391" i="6" a="1"/>
  <c r="U392" i="6" a="1"/>
  <c r="U393" i="6" a="1"/>
  <c r="U394" i="6" a="1"/>
  <c r="U395" i="6" a="1"/>
  <c r="U396" i="6" a="1"/>
  <c r="U397" i="6" a="1"/>
  <c r="U398" i="6" a="1"/>
  <c r="U399" i="6" a="1"/>
  <c r="U400" i="6" a="1"/>
  <c r="U401" i="6" a="1"/>
  <c r="U402" i="6" a="1"/>
  <c r="U403" i="6" a="1"/>
  <c r="U404" i="6" a="1"/>
  <c r="U405" i="6" a="1"/>
  <c r="U406" i="6" a="1"/>
  <c r="U407" i="6" a="1"/>
  <c r="U408" i="6" a="1"/>
  <c r="U409" i="6" a="1"/>
  <c r="U410" i="6" a="1"/>
  <c r="U411" i="6" a="1"/>
  <c r="U412" i="6" a="1"/>
  <c r="U413" i="6" a="1"/>
  <c r="U414" i="6" a="1"/>
  <c r="U415" i="6" a="1"/>
  <c r="U416" i="6" a="1"/>
  <c r="U417" i="6" a="1"/>
  <c r="U418" i="6" a="1"/>
  <c r="U419" i="6" a="1"/>
  <c r="U420" i="6" a="1"/>
  <c r="U421" i="6" a="1"/>
  <c r="U422" i="6" a="1"/>
  <c r="U423" i="6" a="1"/>
  <c r="U424" i="6" a="1"/>
  <c r="U425" i="6" a="1"/>
  <c r="U426" i="6" a="1"/>
  <c r="U427" i="6" a="1"/>
  <c r="U428" i="6" a="1"/>
  <c r="U429" i="6" a="1"/>
  <c r="U430" i="6" a="1"/>
  <c r="U431" i="6" a="1"/>
  <c r="U432" i="6" a="1"/>
  <c r="U433" i="6" a="1"/>
  <c r="U434" i="6" a="1"/>
  <c r="U435" i="6" a="1"/>
  <c r="U436" i="6" a="1"/>
  <c r="U437" i="6" a="1"/>
  <c r="U438" i="6" a="1"/>
  <c r="U439" i="6" a="1"/>
  <c r="U440" i="6" a="1"/>
  <c r="U441" i="6" a="1"/>
  <c r="U442" i="6" a="1"/>
  <c r="U443" i="6" a="1"/>
  <c r="U444" i="6" a="1"/>
  <c r="U445" i="6" a="1"/>
  <c r="U446" i="6" a="1"/>
  <c r="U447" i="6" a="1"/>
  <c r="U448" i="6" a="1"/>
  <c r="U449" i="6" a="1"/>
  <c r="U450" i="6" a="1"/>
  <c r="U451" i="6" a="1"/>
  <c r="U452" i="6" a="1"/>
  <c r="U453" i="6" a="1"/>
  <c r="U454" i="6" a="1"/>
  <c r="U455" i="6" a="1"/>
  <c r="U456" i="6" a="1"/>
  <c r="U457" i="6" a="1"/>
  <c r="U458" i="6" a="1"/>
  <c r="U459" i="6" a="1"/>
  <c r="U460" i="6" a="1"/>
  <c r="U461" i="6" a="1"/>
  <c r="U462" i="6" a="1"/>
  <c r="U463" i="6" a="1"/>
  <c r="U464" i="6" a="1"/>
  <c r="U465" i="6" a="1"/>
  <c r="U466" i="6" a="1"/>
  <c r="U467" i="6" a="1"/>
  <c r="U468" i="6" a="1"/>
  <c r="U469" i="6" a="1"/>
  <c r="U470" i="6" a="1"/>
  <c r="U471" i="6" a="1"/>
  <c r="U472" i="6" a="1"/>
  <c r="U473" i="6" a="1"/>
  <c r="U474" i="6" a="1"/>
  <c r="U475" i="6" a="1"/>
  <c r="U476" i="6" a="1"/>
  <c r="U477" i="6" a="1"/>
  <c r="U478" i="6" a="1"/>
  <c r="U479" i="6" a="1"/>
  <c r="U480" i="6" a="1"/>
  <c r="U481" i="6" a="1"/>
  <c r="U482" i="6" a="1"/>
  <c r="U483" i="6" a="1"/>
  <c r="U484" i="6" a="1"/>
  <c r="U485" i="6" a="1"/>
  <c r="U486" i="6" a="1"/>
  <c r="U487" i="6" a="1"/>
  <c r="U488" i="6" a="1"/>
  <c r="U489" i="6" a="1"/>
  <c r="U490" i="6" a="1"/>
  <c r="U491" i="6" a="1"/>
  <c r="U492" i="6" a="1"/>
  <c r="U493" i="6" a="1"/>
  <c r="U494" i="6" a="1"/>
  <c r="U495" i="6" a="1"/>
  <c r="U496" i="6" a="1"/>
  <c r="U497" i="6" a="1"/>
  <c r="U498" i="6" a="1"/>
  <c r="U499" i="6" a="1"/>
  <c r="U500" i="6" a="1"/>
  <c r="U501" i="6" a="1"/>
  <c r="U502" i="6" a="1"/>
  <c r="U503" i="6" a="1"/>
  <c r="U504" i="6" a="1"/>
  <c r="U505" i="6" a="1"/>
  <c r="U506" i="6" a="1"/>
  <c r="U507" i="6" a="1"/>
  <c r="U508" i="6" a="1"/>
  <c r="U509" i="6" a="1"/>
  <c r="U510" i="6" a="1"/>
  <c r="U511" i="6" a="1"/>
  <c r="U512" i="6" a="1"/>
  <c r="U513" i="6" a="1"/>
  <c r="U514" i="6" a="1"/>
  <c r="U515" i="6" a="1"/>
  <c r="U516" i="6" a="1"/>
  <c r="U517" i="6" a="1"/>
  <c r="U518" i="6" a="1"/>
  <c r="U519" i="6" a="1"/>
  <c r="U520" i="6" a="1"/>
  <c r="U521" i="6" a="1"/>
  <c r="U522" i="6" a="1"/>
  <c r="U523" i="6" a="1"/>
  <c r="U524" i="6" a="1"/>
  <c r="U525" i="6" a="1"/>
  <c r="U526" i="6" a="1"/>
  <c r="U527" i="6" a="1"/>
  <c r="U528" i="6" a="1"/>
  <c r="U529" i="6" a="1"/>
  <c r="U530" i="6" a="1"/>
  <c r="U531" i="6" a="1"/>
  <c r="U532" i="6" a="1"/>
  <c r="U533" i="6" a="1"/>
  <c r="U534" i="6" a="1"/>
  <c r="U535" i="6" a="1"/>
  <c r="U536" i="6" a="1"/>
  <c r="U537" i="6" a="1"/>
  <c r="U538" i="6" a="1"/>
  <c r="U539" i="6" a="1"/>
  <c r="U540" i="6" a="1"/>
  <c r="U541" i="6" a="1"/>
  <c r="U542" i="6" a="1"/>
  <c r="U543" i="6" a="1"/>
  <c r="U544" i="6" a="1"/>
  <c r="U545" i="6" a="1"/>
  <c r="U546" i="6" a="1"/>
  <c r="U547" i="6" a="1"/>
  <c r="U548" i="6" a="1"/>
  <c r="U549" i="6" a="1"/>
  <c r="U550" i="6" a="1"/>
  <c r="U551" i="6" a="1"/>
  <c r="U552" i="6" a="1"/>
  <c r="U553" i="6" a="1"/>
  <c r="U554" i="6" a="1"/>
  <c r="U555" i="6" a="1"/>
  <c r="U556" i="6" a="1"/>
  <c r="U557" i="6" a="1"/>
  <c r="U558" i="6" a="1"/>
  <c r="U559" i="6" a="1"/>
  <c r="U560" i="6" a="1"/>
  <c r="U561" i="6" a="1"/>
  <c r="U562" i="6" a="1"/>
  <c r="U563" i="6" a="1"/>
  <c r="U564" i="6" a="1"/>
  <c r="U565" i="6" a="1"/>
  <c r="U566" i="6" a="1"/>
  <c r="U567" i="6" a="1"/>
  <c r="U568" i="6" a="1"/>
  <c r="U569" i="6" a="1"/>
  <c r="U570" i="6" a="1"/>
  <c r="U571" i="6" a="1"/>
  <c r="U572" i="6" a="1"/>
  <c r="U573" i="6" a="1"/>
  <c r="U574" i="6" a="1"/>
  <c r="U575" i="6" a="1"/>
  <c r="U576" i="6" a="1"/>
  <c r="U577" i="6" a="1"/>
  <c r="U578" i="6" a="1"/>
  <c r="U579" i="6" a="1"/>
  <c r="U580" i="6" a="1"/>
  <c r="U581" i="6" a="1"/>
  <c r="U582" i="6" a="1"/>
  <c r="U583" i="6" a="1"/>
  <c r="U584" i="6" a="1"/>
  <c r="U585" i="6" a="1"/>
  <c r="U586" i="6" a="1"/>
  <c r="U587" i="6" a="1"/>
  <c r="U588" i="6" a="1"/>
  <c r="U589" i="6" a="1"/>
  <c r="U590" i="6" a="1"/>
  <c r="U591" i="6" a="1"/>
  <c r="U592" i="6" a="1"/>
  <c r="U593" i="6" a="1"/>
  <c r="U594" i="6" a="1"/>
  <c r="U595" i="6" a="1"/>
  <c r="U596" i="6" a="1"/>
  <c r="U597" i="6" a="1"/>
  <c r="U598" i="6" a="1"/>
  <c r="U599" i="6" a="1"/>
  <c r="U600" i="6" a="1"/>
  <c r="U601" i="6" a="1"/>
  <c r="U602" i="6" a="1"/>
  <c r="U603" i="6" a="1"/>
  <c r="U604" i="6" a="1"/>
  <c r="U605" i="6" a="1"/>
  <c r="U606" i="6" a="1"/>
  <c r="U607" i="6" a="1"/>
  <c r="U608" i="6" a="1"/>
  <c r="U609" i="6" a="1"/>
  <c r="U610" i="6" a="1"/>
  <c r="U611" i="6" a="1"/>
  <c r="U612" i="6" a="1"/>
  <c r="U613" i="6" a="1"/>
  <c r="U614" i="6" a="1"/>
  <c r="U615" i="6" a="1"/>
  <c r="U616" i="6" a="1"/>
  <c r="U617" i="6" a="1"/>
  <c r="U618" i="6" a="1"/>
  <c r="U619" i="6" a="1"/>
  <c r="U620" i="6" a="1"/>
  <c r="U621" i="6" a="1"/>
  <c r="U622" i="6" a="1"/>
  <c r="U623" i="6" a="1"/>
  <c r="U624" i="6" a="1"/>
  <c r="U625" i="6" a="1"/>
  <c r="U626" i="6" a="1"/>
  <c r="U627" i="6" a="1"/>
  <c r="U628" i="6" a="1"/>
  <c r="U629" i="6" a="1"/>
  <c r="U630" i="6" a="1"/>
  <c r="U631" i="6" a="1"/>
  <c r="U632" i="6" a="1"/>
  <c r="U633" i="6" a="1"/>
  <c r="U634" i="6" a="1"/>
  <c r="U635" i="6" a="1"/>
  <c r="U636" i="6" a="1"/>
  <c r="U637" i="6" a="1"/>
  <c r="U638" i="6" a="1"/>
  <c r="U639" i="6" a="1"/>
  <c r="U640" i="6" a="1"/>
  <c r="U641" i="6" a="1"/>
  <c r="U642" i="6" a="1"/>
  <c r="U643" i="6" a="1"/>
  <c r="U644" i="6" a="1"/>
  <c r="U645" i="6" a="1"/>
  <c r="U646" i="6" a="1"/>
  <c r="U647" i="6" a="1"/>
  <c r="U648" i="6" a="1"/>
  <c r="U649" i="6" a="1"/>
  <c r="U650" i="6" a="1"/>
  <c r="U651" i="6" a="1"/>
  <c r="U652" i="6" a="1"/>
  <c r="U653" i="6" a="1"/>
  <c r="U654" i="6" a="1"/>
  <c r="U655" i="6" a="1"/>
  <c r="U656" i="6" a="1"/>
  <c r="U657" i="6" a="1"/>
  <c r="U658" i="6" a="1"/>
  <c r="U659" i="6" a="1"/>
  <c r="U660" i="6" a="1"/>
  <c r="U661" i="6" a="1"/>
  <c r="U662" i="6" a="1"/>
  <c r="U663" i="6" a="1"/>
  <c r="U664" i="6" a="1"/>
  <c r="U665" i="6" a="1"/>
  <c r="U666" i="6" a="1"/>
  <c r="U667" i="6" a="1"/>
  <c r="U668" i="6" a="1"/>
  <c r="U669" i="6" a="1"/>
  <c r="U670" i="6" a="1"/>
  <c r="U671" i="6" a="1"/>
  <c r="U672" i="6" a="1"/>
  <c r="U673" i="6" a="1"/>
  <c r="U674" i="6" a="1"/>
  <c r="U675" i="6" a="1"/>
  <c r="U676" i="6" a="1"/>
  <c r="U677" i="6" a="1"/>
  <c r="U678" i="6" a="1"/>
  <c r="U679" i="6" a="1"/>
  <c r="U680" i="6" a="1"/>
  <c r="U681" i="6" a="1"/>
  <c r="U682" i="6" a="1"/>
  <c r="U683" i="6" a="1"/>
  <c r="U684" i="6" a="1"/>
  <c r="U685" i="6" a="1"/>
  <c r="U686" i="6" a="1"/>
  <c r="U687" i="6" a="1"/>
  <c r="U688" i="6" a="1"/>
  <c r="U689" i="6" a="1"/>
  <c r="U690" i="6" a="1"/>
  <c r="U691" i="6" a="1"/>
  <c r="U692" i="6" a="1"/>
  <c r="U693" i="6" a="1"/>
  <c r="U694" i="6" a="1"/>
  <c r="U695" i="6" a="1"/>
  <c r="U696" i="6" a="1"/>
  <c r="U697" i="6" a="1"/>
  <c r="U698" i="6" a="1"/>
  <c r="U699" i="6" a="1"/>
  <c r="U700" i="6" a="1"/>
  <c r="U701" i="6" a="1"/>
  <c r="U702" i="6" a="1"/>
  <c r="U703" i="6" a="1"/>
  <c r="U704" i="6" a="1"/>
  <c r="U705" i="6" a="1"/>
  <c r="U706" i="6" a="1"/>
  <c r="U707" i="6" a="1"/>
  <c r="U708" i="6" a="1"/>
  <c r="U709" i="6" a="1"/>
  <c r="U710" i="6" a="1"/>
  <c r="U711" i="6" a="1"/>
  <c r="U712" i="6" a="1"/>
  <c r="U713" i="6" a="1"/>
  <c r="U714" i="6" a="1"/>
  <c r="U715" i="6" a="1"/>
  <c r="U716" i="6" a="1"/>
  <c r="U717" i="6" a="1"/>
  <c r="U718" i="6" a="1"/>
  <c r="U719" i="6" a="1"/>
  <c r="U720" i="6" a="1"/>
  <c r="U721" i="6" a="1"/>
  <c r="U722" i="6" a="1"/>
  <c r="U723" i="6" a="1"/>
  <c r="U724" i="6" a="1"/>
  <c r="U725" i="6" a="1"/>
  <c r="U726" i="6" a="1"/>
  <c r="U727" i="6" a="1"/>
  <c r="U728" i="6" a="1"/>
  <c r="U729" i="6" a="1"/>
  <c r="U730" i="6" a="1"/>
  <c r="U731" i="6" a="1"/>
  <c r="U732" i="6" a="1"/>
  <c r="U733" i="6" a="1"/>
  <c r="U734" i="6" a="1"/>
  <c r="U735" i="6" a="1"/>
  <c r="U736" i="6" a="1"/>
  <c r="U737" i="6" a="1"/>
  <c r="U738" i="6" a="1"/>
  <c r="U739" i="6" a="1"/>
  <c r="U740" i="6" a="1"/>
  <c r="U741" i="6" a="1"/>
  <c r="U742" i="6" a="1"/>
  <c r="U743" i="6" a="1"/>
  <c r="U744" i="6" a="1"/>
  <c r="U745" i="6" a="1"/>
  <c r="U746" i="6" a="1"/>
  <c r="U747" i="6" a="1"/>
  <c r="U748" i="6" a="1"/>
  <c r="U749" i="6" a="1"/>
  <c r="U750" i="6" a="1"/>
  <c r="U751" i="6" a="1"/>
  <c r="U752" i="6" a="1"/>
  <c r="U753" i="6" a="1"/>
  <c r="U754" i="6" a="1"/>
  <c r="U755" i="6" a="1"/>
  <c r="U756" i="6" a="1"/>
  <c r="U757" i="6" a="1"/>
  <c r="U758" i="6" a="1"/>
  <c r="U759" i="6" a="1"/>
  <c r="U760" i="6" a="1"/>
  <c r="U761" i="6" a="1"/>
  <c r="U762" i="6" a="1"/>
  <c r="U763" i="6" a="1"/>
  <c r="U764" i="6" a="1"/>
  <c r="U765" i="6" a="1"/>
  <c r="U766" i="6" a="1"/>
  <c r="U767" i="6" a="1"/>
  <c r="U768" i="6" a="1"/>
  <c r="U769" i="6" a="1"/>
  <c r="U770" i="6" a="1"/>
  <c r="U771" i="6" a="1"/>
  <c r="U772" i="6" a="1"/>
  <c r="U773" i="6" a="1"/>
  <c r="U774" i="6" a="1"/>
  <c r="U775" i="6" a="1"/>
  <c r="U776" i="6" a="1"/>
  <c r="U777" i="6" a="1"/>
  <c r="U778" i="6" a="1"/>
  <c r="U779" i="6" a="1"/>
  <c r="U780" i="6" a="1"/>
  <c r="U781" i="6" a="1"/>
  <c r="U782" i="6" a="1"/>
  <c r="U783" i="6" a="1"/>
  <c r="U784" i="6" a="1"/>
  <c r="U785" i="6" a="1"/>
  <c r="U786" i="6" a="1"/>
  <c r="U787" i="6" a="1"/>
  <c r="U788" i="6" a="1"/>
  <c r="U789" i="6" a="1"/>
  <c r="U790" i="6" a="1"/>
  <c r="U791" i="6" a="1"/>
  <c r="U792" i="6" a="1"/>
  <c r="U793" i="6" a="1"/>
  <c r="U794" i="6" a="1"/>
  <c r="U795" i="6" a="1"/>
  <c r="U796" i="6" a="1"/>
  <c r="U797" i="6" a="1"/>
  <c r="U798" i="6" a="1"/>
  <c r="U799" i="6" a="1"/>
  <c r="U800" i="6" a="1"/>
  <c r="U801" i="6" a="1"/>
  <c r="U802" i="6" a="1"/>
  <c r="U803" i="6" a="1"/>
  <c r="U804" i="6" a="1"/>
  <c r="U805" i="6" a="1"/>
  <c r="U806" i="6" a="1"/>
  <c r="U807" i="6" a="1"/>
  <c r="U808" i="6" a="1"/>
  <c r="U809" i="6" a="1"/>
  <c r="U810" i="6" a="1"/>
  <c r="U811" i="6" a="1"/>
  <c r="U812" i="6" a="1"/>
  <c r="U813" i="6" a="1"/>
  <c r="U814" i="6" a="1"/>
  <c r="U815" i="6" a="1"/>
  <c r="U816" i="6" a="1"/>
  <c r="U817" i="6" a="1"/>
  <c r="U818" i="6" a="1"/>
  <c r="U819" i="6" a="1"/>
  <c r="U820" i="6" a="1"/>
  <c r="U821" i="6" a="1"/>
  <c r="U822" i="6" a="1"/>
  <c r="U823" i="6" a="1"/>
  <c r="U824" i="6" a="1"/>
  <c r="U825" i="6" a="1"/>
  <c r="U826" i="6" a="1"/>
  <c r="U827" i="6" a="1"/>
  <c r="U828" i="6" a="1"/>
  <c r="U829" i="6" a="1"/>
  <c r="U830" i="6" a="1"/>
  <c r="U831" i="6" a="1"/>
  <c r="U832" i="6" a="1"/>
  <c r="U833" i="6" a="1"/>
  <c r="U834" i="6" a="1"/>
  <c r="U835" i="6" a="1"/>
  <c r="U836" i="6" a="1"/>
  <c r="U837" i="6" a="1"/>
  <c r="U838" i="6" a="1"/>
  <c r="U839" i="6" a="1"/>
  <c r="U840" i="6" a="1"/>
  <c r="U841" i="6" a="1"/>
  <c r="U842" i="6" a="1"/>
  <c r="U843" i="6" a="1"/>
  <c r="U844" i="6" a="1"/>
  <c r="U845" i="6" a="1"/>
  <c r="U846" i="6" a="1"/>
  <c r="U847" i="6" a="1"/>
  <c r="U848" i="6" a="1"/>
  <c r="U849" i="6" a="1"/>
  <c r="U850" i="6" a="1"/>
  <c r="U851" i="6" a="1"/>
  <c r="U852" i="6" a="1"/>
  <c r="U853" i="6" a="1"/>
  <c r="U854" i="6" a="1"/>
  <c r="U855" i="6" a="1"/>
  <c r="U856" i="6" a="1"/>
  <c r="U857" i="6" a="1"/>
  <c r="U858" i="6" a="1"/>
  <c r="U859" i="6" a="1"/>
  <c r="U860" i="6" a="1"/>
  <c r="U861" i="6" a="1"/>
  <c r="U862" i="6" a="1"/>
  <c r="U863" i="6" a="1"/>
  <c r="U864" i="6" a="1"/>
  <c r="U865" i="6" a="1"/>
  <c r="U866" i="6" a="1"/>
  <c r="U867" i="6" a="1"/>
  <c r="U868" i="6" a="1"/>
  <c r="U869" i="6" a="1"/>
  <c r="U870" i="6" a="1"/>
  <c r="U871" i="6" a="1"/>
  <c r="U872" i="6" a="1"/>
  <c r="U873" i="6" a="1"/>
  <c r="U874" i="6" a="1"/>
  <c r="U875" i="6" a="1"/>
  <c r="U876" i="6" a="1"/>
  <c r="U877" i="6" a="1"/>
  <c r="U878" i="6" a="1"/>
  <c r="U879" i="6" a="1"/>
  <c r="U880" i="6" a="1"/>
  <c r="U881" i="6" a="1"/>
  <c r="U882" i="6" a="1"/>
  <c r="U883" i="6" a="1"/>
  <c r="U884" i="6" a="1"/>
  <c r="U885" i="6" a="1"/>
  <c r="U886" i="6" a="1"/>
  <c r="U887" i="6" a="1"/>
  <c r="U888" i="6" a="1"/>
  <c r="U889" i="6" a="1"/>
  <c r="U890" i="6" a="1"/>
  <c r="U891" i="6" a="1"/>
  <c r="U892" i="6" a="1"/>
  <c r="U893" i="6" a="1"/>
  <c r="U894" i="6" a="1"/>
  <c r="U895" i="6" a="1"/>
  <c r="U896" i="6" a="1"/>
  <c r="U897" i="6" a="1"/>
  <c r="U898" i="6" a="1"/>
  <c r="U899" i="6" a="1"/>
  <c r="U900" i="6" a="1"/>
  <c r="U901" i="6" a="1"/>
  <c r="U902" i="6" a="1"/>
  <c r="U903" i="6" a="1"/>
  <c r="U904" i="6" a="1"/>
  <c r="U905" i="6" a="1"/>
  <c r="U906" i="6" a="1"/>
  <c r="U907" i="6" a="1"/>
  <c r="U908" i="6" a="1"/>
  <c r="U909" i="6" a="1"/>
  <c r="U910" i="6" a="1"/>
  <c r="U911" i="6" a="1"/>
  <c r="U912" i="6" a="1"/>
  <c r="U913" i="6" a="1"/>
  <c r="U914" i="6" a="1"/>
  <c r="U915" i="6" a="1"/>
  <c r="U916" i="6" a="1"/>
  <c r="U917" i="6" a="1"/>
  <c r="U918" i="6" a="1"/>
  <c r="U919" i="6" a="1"/>
  <c r="U920" i="6" a="1"/>
  <c r="U921" i="6" a="1"/>
  <c r="U922" i="6" a="1"/>
  <c r="U923" i="6" a="1"/>
  <c r="U924" i="6" a="1"/>
  <c r="U925" i="6" a="1"/>
  <c r="U926" i="6" a="1"/>
  <c r="U927" i="6" a="1"/>
  <c r="U928" i="6" a="1"/>
  <c r="U929" i="6" a="1"/>
  <c r="U930" i="6" a="1"/>
  <c r="U931" i="6" a="1"/>
  <c r="U932" i="6" a="1"/>
  <c r="U933" i="6" a="1"/>
  <c r="U934" i="6" a="1"/>
  <c r="U935" i="6" a="1"/>
  <c r="U936" i="6" a="1"/>
  <c r="U937" i="6" a="1"/>
  <c r="U938" i="6" a="1"/>
  <c r="U939" i="6" a="1"/>
  <c r="U940" i="6" a="1"/>
  <c r="U941" i="6" a="1"/>
  <c r="U942" i="6" a="1"/>
  <c r="U943" i="6" a="1"/>
  <c r="U944" i="6" a="1"/>
  <c r="U945" i="6" a="1"/>
  <c r="U946" i="6" a="1"/>
  <c r="U947" i="6" a="1"/>
  <c r="U948" i="6" a="1"/>
  <c r="U949" i="6" a="1"/>
  <c r="U950" i="6" a="1"/>
  <c r="U951" i="6" a="1"/>
  <c r="U952" i="6" a="1"/>
  <c r="U953" i="6" a="1"/>
  <c r="U954" i="6" a="1"/>
  <c r="U955" i="6" a="1"/>
  <c r="U956" i="6" a="1"/>
  <c r="U957" i="6" a="1"/>
  <c r="U958" i="6" a="1"/>
  <c r="U959" i="6" a="1"/>
  <c r="U960" i="6" a="1"/>
  <c r="U961" i="6" a="1"/>
  <c r="U962" i="6" a="1"/>
  <c r="U963" i="6" a="1"/>
  <c r="U964" i="6" a="1"/>
  <c r="U965" i="6" a="1"/>
  <c r="U966" i="6" a="1"/>
  <c r="U967" i="6" a="1"/>
  <c r="U968" i="6" a="1"/>
  <c r="U969" i="6" a="1"/>
  <c r="U970" i="6" a="1"/>
  <c r="U971" i="6" a="1"/>
  <c r="U972" i="6" a="1"/>
  <c r="U973" i="6" a="1"/>
  <c r="U974" i="6" a="1"/>
  <c r="U975" i="6" a="1"/>
  <c r="U976" i="6" a="1"/>
  <c r="U977" i="6" a="1"/>
  <c r="U978" i="6" a="1"/>
  <c r="U979" i="6" a="1"/>
  <c r="U980" i="6" a="1"/>
  <c r="U981" i="6" a="1"/>
  <c r="U982" i="6" a="1"/>
  <c r="U983" i="6" a="1"/>
  <c r="U984" i="6" a="1"/>
  <c r="U985" i="6" a="1"/>
  <c r="U986" i="6" a="1"/>
  <c r="U987" i="6" a="1"/>
  <c r="U988" i="6" a="1"/>
  <c r="U989" i="6" a="1"/>
  <c r="U990" i="6" a="1"/>
  <c r="U991" i="6" a="1"/>
  <c r="U992" i="6" a="1"/>
  <c r="U993" i="6" a="1"/>
  <c r="U994" i="6" a="1"/>
  <c r="U995" i="6" a="1"/>
  <c r="U996" i="6" a="1"/>
  <c r="U997" i="6" a="1"/>
  <c r="U998" i="6" a="1"/>
  <c r="U999" i="6" a="1"/>
  <c r="U1000" i="6" a="1"/>
  <c r="U1001" i="6" a="1"/>
  <c r="U1002" i="6" a="1"/>
  <c r="U1003" i="6" a="1"/>
  <c r="U1004" i="6" a="1"/>
  <c r="U1005" i="6" a="1"/>
  <c r="U1006" i="6" a="1"/>
  <c r="U1007" i="6" a="1"/>
  <c r="U1008" i="6" a="1"/>
  <c r="U1009" i="6" a="1"/>
  <c r="U1010" i="6" a="1"/>
  <c r="U1011" i="6" a="1"/>
  <c r="U1012" i="6" a="1"/>
  <c r="U1013" i="6" a="1"/>
  <c r="U1014" i="6" a="1"/>
  <c r="U1015" i="6" a="1"/>
  <c r="U1016" i="6" a="1"/>
  <c r="U1017" i="6" a="1"/>
  <c r="U1018" i="6" a="1"/>
  <c r="U1019" i="6" a="1"/>
  <c r="U1020" i="6" a="1"/>
  <c r="U1021" i="6" a="1"/>
  <c r="U1022" i="6" a="1"/>
  <c r="U1023" i="6" a="1"/>
  <c r="U1024" i="6" a="1"/>
  <c r="U1025" i="6" a="1"/>
  <c r="U1026" i="6" a="1"/>
  <c r="U1027" i="6" a="1"/>
  <c r="U1028" i="6" a="1"/>
  <c r="U1029" i="6" a="1"/>
  <c r="U1030" i="6" a="1"/>
  <c r="U1031" i="6" a="1"/>
  <c r="U1032" i="6" a="1"/>
  <c r="U1033" i="6" a="1"/>
  <c r="U1034" i="6" a="1"/>
  <c r="U1035" i="6" a="1"/>
  <c r="U1036" i="6" a="1"/>
  <c r="U1037" i="6" a="1"/>
  <c r="U1038" i="6" a="1"/>
  <c r="U1039" i="6" a="1"/>
  <c r="U1040" i="6" a="1"/>
  <c r="U1041" i="6" a="1"/>
  <c r="U1042" i="6" a="1"/>
  <c r="U1043" i="6" a="1"/>
  <c r="U1044" i="6" a="1"/>
  <c r="U1045" i="6" a="1"/>
  <c r="U1046" i="6" a="1"/>
  <c r="U1047" i="6" a="1"/>
  <c r="U1048" i="6" a="1"/>
  <c r="U1049" i="6" a="1"/>
  <c r="U1050" i="6" a="1"/>
  <c r="U1051" i="6" a="1"/>
  <c r="U1052" i="6" a="1"/>
  <c r="U1053" i="6" a="1"/>
  <c r="U1054" i="6" a="1"/>
  <c r="U1055" i="6" a="1"/>
  <c r="U1056" i="6" a="1"/>
  <c r="U1057" i="6" a="1"/>
  <c r="U1058" i="6" a="1"/>
  <c r="U1059" i="6" a="1"/>
  <c r="U1060" i="6" a="1"/>
  <c r="U1061" i="6" a="1"/>
  <c r="U1062" i="6" a="1"/>
  <c r="U1063" i="6" a="1"/>
  <c r="U1064" i="6" a="1"/>
  <c r="U1065" i="6" a="1"/>
  <c r="U1066" i="6" a="1"/>
  <c r="U1067" i="6" a="1"/>
  <c r="U1068" i="6" a="1"/>
  <c r="U1069" i="6" a="1"/>
  <c r="U1070" i="6" a="1"/>
  <c r="U1071" i="6" a="1"/>
  <c r="U1072" i="6" a="1"/>
  <c r="U1073" i="6" a="1"/>
  <c r="U1074" i="6" a="1"/>
  <c r="U1075" i="6" a="1"/>
  <c r="U1076" i="6" a="1"/>
  <c r="U1077" i="6" a="1"/>
  <c r="U1078" i="6" a="1"/>
  <c r="U1079" i="6" a="1"/>
  <c r="U1080" i="6" a="1"/>
  <c r="U1081" i="6" a="1"/>
  <c r="U1082" i="6" a="1"/>
  <c r="U1083" i="6" a="1"/>
  <c r="U1084" i="6" a="1"/>
  <c r="U1085" i="6" a="1"/>
  <c r="U1086" i="6" a="1"/>
  <c r="U1087" i="6" a="1"/>
  <c r="U1088" i="6" a="1"/>
  <c r="U1089" i="6" a="1"/>
  <c r="U1090" i="6" a="1"/>
  <c r="U1091" i="6" a="1"/>
  <c r="U1092" i="6" a="1"/>
  <c r="U1093" i="6" a="1"/>
  <c r="U1094" i="6" a="1"/>
  <c r="U1095" i="6" a="1"/>
  <c r="U1096" i="6" a="1"/>
  <c r="U1097" i="6" a="1"/>
  <c r="U1098" i="6" a="1"/>
  <c r="U1099" i="6" a="1"/>
  <c r="U1100" i="6" a="1"/>
  <c r="U1101" i="6" a="1"/>
  <c r="U1102" i="6" a="1"/>
  <c r="U1103" i="6" a="1"/>
  <c r="U1104" i="6" a="1"/>
  <c r="U1105" i="6" a="1"/>
  <c r="U1106" i="6" a="1"/>
  <c r="U1107" i="6" a="1"/>
  <c r="U1108" i="6" a="1"/>
  <c r="U1109" i="6" a="1"/>
  <c r="U1110" i="6" a="1"/>
  <c r="U1111" i="6" a="1"/>
  <c r="U1112" i="6" a="1"/>
  <c r="U1113" i="6" a="1"/>
  <c r="U1114" i="6" a="1"/>
  <c r="U1115" i="6" a="1"/>
  <c r="U1116" i="6" a="1"/>
  <c r="U1117" i="6" a="1"/>
  <c r="U1118" i="6" a="1"/>
  <c r="U1119" i="6" a="1"/>
  <c r="U1120" i="6" a="1"/>
  <c r="U1121" i="6" a="1"/>
  <c r="U1122" i="6" a="1"/>
  <c r="U1123" i="6" a="1"/>
  <c r="U1124" i="6" a="1"/>
  <c r="U1125" i="6" a="1"/>
  <c r="U1126" i="6" a="1"/>
  <c r="U1127" i="6" a="1"/>
  <c r="U1128" i="6" a="1"/>
  <c r="U1129" i="6" a="1"/>
  <c r="U1130" i="6" a="1"/>
  <c r="U1131" i="6" a="1"/>
  <c r="U1132" i="6" a="1"/>
  <c r="U1133" i="6" a="1"/>
  <c r="U1134" i="6" a="1"/>
  <c r="U1135" i="6" a="1"/>
  <c r="U1136" i="6" a="1"/>
  <c r="U1137" i="6" a="1"/>
  <c r="U1138" i="6" a="1"/>
  <c r="U1139" i="6" a="1"/>
  <c r="U1140" i="6" a="1"/>
  <c r="U1141" i="6" a="1"/>
  <c r="U1142" i="6" a="1"/>
  <c r="U1143" i="6" a="1"/>
  <c r="U1144" i="6" a="1"/>
  <c r="U1145" i="6" a="1"/>
  <c r="U1146" i="6" a="1"/>
  <c r="U1147" i="6" a="1"/>
  <c r="U1148" i="6" a="1"/>
  <c r="U1149" i="6" a="1"/>
  <c r="U1150" i="6" a="1"/>
  <c r="U1151" i="6" a="1"/>
  <c r="U1152" i="6" a="1"/>
  <c r="U1153" i="6" a="1"/>
  <c r="U1154" i="6" a="1"/>
  <c r="U1155" i="6" a="1"/>
  <c r="U1156" i="6" a="1"/>
  <c r="U1157" i="6" a="1"/>
  <c r="U1158" i="6" a="1"/>
  <c r="U1159" i="6" a="1"/>
  <c r="U1160" i="6" a="1"/>
  <c r="U1161" i="6" a="1"/>
  <c r="U1162" i="6" a="1"/>
  <c r="U1163" i="6" a="1"/>
  <c r="U1164" i="6" a="1"/>
  <c r="U1165" i="6" a="1"/>
  <c r="U1166" i="6" a="1"/>
  <c r="U1167" i="6" a="1"/>
  <c r="U1168" i="6" a="1"/>
  <c r="U1169" i="6" a="1"/>
  <c r="U1170" i="6" a="1"/>
  <c r="U1171" i="6" a="1"/>
  <c r="U1172" i="6" a="1"/>
  <c r="U1173" i="6" a="1"/>
  <c r="U1174" i="6" a="1"/>
  <c r="U1175" i="6" a="1"/>
  <c r="U1176" i="6" a="1"/>
  <c r="U1177" i="6" a="1"/>
  <c r="U1178" i="6" a="1"/>
  <c r="U1179" i="6" a="1"/>
  <c r="U1180" i="6" a="1"/>
  <c r="U1181" i="6" a="1"/>
  <c r="U1182" i="6" a="1"/>
  <c r="U1183" i="6" a="1"/>
  <c r="U1184" i="6" a="1"/>
  <c r="U1185" i="6" a="1"/>
  <c r="U1186" i="6" a="1"/>
  <c r="U1187" i="6" a="1"/>
  <c r="U1188" i="6" a="1"/>
  <c r="U1189" i="6" a="1"/>
  <c r="U1190" i="6" a="1"/>
  <c r="U1191" i="6" a="1"/>
  <c r="U1192" i="6" a="1"/>
  <c r="U1193" i="6" a="1"/>
  <c r="U1194" i="6" a="1"/>
  <c r="U1195" i="6" a="1"/>
  <c r="U1196" i="6" a="1"/>
  <c r="U1197" i="6" a="1"/>
  <c r="U1198" i="6" a="1"/>
  <c r="U1199" i="6" a="1"/>
  <c r="U1200" i="6" a="1"/>
  <c r="U1201" i="6" a="1"/>
  <c r="U1202" i="6" a="1"/>
  <c r="U1203" i="6" a="1"/>
  <c r="U1204" i="6" a="1"/>
  <c r="U1205" i="6" a="1"/>
  <c r="U1206" i="6" a="1"/>
  <c r="U1207" i="6" a="1"/>
  <c r="U1208" i="6" a="1"/>
  <c r="U1209" i="6" a="1"/>
  <c r="U1210" i="6" a="1"/>
  <c r="U1211" i="6" a="1"/>
  <c r="U1212" i="6" a="1"/>
  <c r="U1213" i="6" a="1"/>
  <c r="U1214" i="6" a="1"/>
  <c r="U1215" i="6" a="1"/>
  <c r="U1216" i="6" a="1"/>
  <c r="U1217" i="6" a="1"/>
  <c r="U1218" i="6" a="1"/>
  <c r="U1219" i="6" a="1"/>
  <c r="U1220" i="6" a="1"/>
  <c r="U1221" i="6" a="1"/>
  <c r="U1222" i="6" a="1"/>
  <c r="U1223" i="6" a="1"/>
  <c r="U1224" i="6" a="1"/>
  <c r="U1225" i="6" a="1"/>
  <c r="U1226" i="6" a="1"/>
  <c r="U1227" i="6" a="1"/>
  <c r="U1228" i="6" a="1"/>
  <c r="U1229" i="6" a="1"/>
  <c r="U1230" i="6" a="1"/>
  <c r="U1231" i="6" a="1"/>
  <c r="U1232" i="6" a="1"/>
  <c r="U1233" i="6" a="1"/>
  <c r="U1234" i="6" a="1"/>
  <c r="U1235" i="6" a="1"/>
  <c r="U1236" i="6" a="1"/>
  <c r="U1237" i="6" a="1"/>
  <c r="U1238" i="6" a="1"/>
  <c r="U1239" i="6" a="1"/>
  <c r="U1240" i="6" a="1"/>
  <c r="U1241" i="6" a="1"/>
  <c r="U1242" i="6" a="1"/>
  <c r="U1243" i="6" a="1"/>
  <c r="U1244" i="6" a="1"/>
  <c r="U1245" i="6" a="1"/>
  <c r="U1246" i="6" a="1"/>
  <c r="U1247" i="6" a="1"/>
  <c r="U1248" i="6" a="1"/>
  <c r="U1249" i="6" a="1"/>
  <c r="U1250" i="6" a="1"/>
  <c r="U1251" i="6" a="1"/>
  <c r="U1252" i="6" a="1"/>
  <c r="U1253" i="6" a="1"/>
  <c r="U1254" i="6" a="1"/>
  <c r="U1255" i="6" a="1"/>
  <c r="U1256" i="6" a="1"/>
  <c r="U1257" i="6" a="1"/>
  <c r="U1258" i="6" a="1"/>
  <c r="U1259" i="6" a="1"/>
  <c r="U1260" i="6" a="1"/>
  <c r="U1261" i="6" a="1"/>
  <c r="U1262" i="6" a="1"/>
  <c r="U1263" i="6" a="1"/>
  <c r="U1264" i="6" a="1"/>
  <c r="U1265" i="6" a="1"/>
  <c r="U1266" i="6" a="1"/>
  <c r="U1267" i="6" a="1"/>
  <c r="U1268" i="6" a="1"/>
  <c r="U1269" i="6" a="1"/>
  <c r="U1270" i="6" a="1"/>
  <c r="U1271" i="6" a="1"/>
  <c r="U1272" i="6" a="1"/>
  <c r="U1273" i="6" a="1"/>
  <c r="U1274" i="6" a="1"/>
  <c r="U1275" i="6" a="1"/>
  <c r="U1276" i="6" a="1"/>
  <c r="U1277" i="6" a="1"/>
  <c r="U1278" i="6" a="1"/>
  <c r="U1279" i="6" a="1"/>
  <c r="U1280" i="6" a="1"/>
  <c r="U1281" i="6" a="1"/>
  <c r="U1282" i="6" a="1"/>
  <c r="U1283" i="6" a="1"/>
  <c r="U1284" i="6" a="1"/>
  <c r="U1285" i="6" a="1"/>
  <c r="U1286" i="6" a="1"/>
  <c r="U1287" i="6" a="1"/>
  <c r="U1288" i="6" a="1"/>
  <c r="U1289" i="6" a="1"/>
  <c r="U1290" i="6" a="1"/>
  <c r="U1291" i="6" a="1"/>
  <c r="U1292" i="6" a="1"/>
  <c r="U1293" i="6" a="1"/>
  <c r="U1294" i="6" a="1"/>
  <c r="U1295" i="6" a="1"/>
  <c r="U1296" i="6" a="1"/>
  <c r="U1297" i="6" a="1"/>
  <c r="U1298" i="6" a="1"/>
  <c r="U1299" i="6" a="1"/>
  <c r="U1300" i="6" a="1"/>
  <c r="U1301" i="6" a="1"/>
  <c r="U1302" i="6" a="1"/>
  <c r="U1303" i="6" a="1"/>
  <c r="U1304" i="6" a="1"/>
  <c r="U1305" i="6" a="1"/>
  <c r="U1306" i="6" a="1"/>
  <c r="U1307" i="6" a="1"/>
  <c r="U1308" i="6" a="1"/>
  <c r="U1309" i="6" a="1"/>
  <c r="U1310" i="6" a="1"/>
  <c r="U1311" i="6" a="1"/>
  <c r="U1312" i="6" a="1"/>
  <c r="U1313" i="6" a="1"/>
  <c r="U1314" i="6" a="1"/>
  <c r="U1315" i="6" a="1"/>
  <c r="U1316" i="6" a="1"/>
  <c r="U1317" i="6" a="1"/>
  <c r="U1318" i="6" a="1"/>
  <c r="U1319" i="6" a="1"/>
  <c r="U1320" i="6" a="1"/>
  <c r="U1321" i="6" a="1"/>
  <c r="U1322" i="6" a="1"/>
  <c r="U1323" i="6" a="1"/>
  <c r="U1324" i="6" a="1"/>
  <c r="U1325" i="6" a="1"/>
  <c r="U1326" i="6" a="1"/>
  <c r="U1327" i="6" a="1"/>
  <c r="U1328" i="6" a="1"/>
  <c r="U1329" i="6" a="1"/>
  <c r="U1330" i="6" a="1"/>
  <c r="U1331" i="6" a="1"/>
  <c r="U1332" i="6" a="1"/>
  <c r="U1333" i="6" a="1"/>
  <c r="U1334" i="6" a="1"/>
  <c r="U1335" i="6" a="1"/>
  <c r="U1336" i="6" a="1"/>
  <c r="U1337" i="6" a="1"/>
  <c r="U1338" i="6" a="1"/>
  <c r="U1339" i="6" a="1"/>
  <c r="U1340" i="6" a="1"/>
  <c r="U1341" i="6" a="1"/>
  <c r="U1342" i="6" a="1"/>
  <c r="U1343" i="6" a="1"/>
  <c r="U1344" i="6" a="1"/>
  <c r="U1345" i="6" a="1"/>
  <c r="U1346" i="6" a="1"/>
  <c r="U1347" i="6" a="1"/>
  <c r="U1348" i="6" a="1"/>
  <c r="U1349" i="6" a="1"/>
  <c r="U1350" i="6" a="1"/>
  <c r="U1351" i="6" a="1"/>
  <c r="U1352" i="6" a="1"/>
  <c r="U1353" i="6" a="1"/>
  <c r="U1354" i="6" a="1"/>
  <c r="U1355" i="6" a="1"/>
  <c r="U1356" i="6" a="1"/>
  <c r="U1357" i="6" a="1"/>
  <c r="U1358" i="6" a="1"/>
  <c r="U1359" i="6" a="1"/>
  <c r="U1360" i="6" a="1"/>
  <c r="U1361" i="6" a="1"/>
  <c r="U1362" i="6" a="1"/>
  <c r="U1363" i="6" a="1"/>
  <c r="U1364" i="6" a="1"/>
  <c r="U1365" i="6" a="1"/>
  <c r="U1366" i="6" a="1"/>
  <c r="U1367" i="6" a="1"/>
  <c r="U1368" i="6" a="1"/>
  <c r="U1369" i="6" a="1"/>
  <c r="U1370" i="6" a="1"/>
  <c r="U1371" i="6" a="1"/>
  <c r="U1372" i="6" a="1"/>
  <c r="U1373" i="6" a="1"/>
  <c r="U1374" i="6" a="1"/>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R2" i="6"/>
  <c r="S2" i="6" s="1"/>
  <c r="R3" i="6"/>
  <c r="S3" i="6" s="1"/>
  <c r="R4" i="6"/>
  <c r="S4" i="6" s="1"/>
  <c r="R5" i="6"/>
  <c r="S5" i="6" s="1"/>
  <c r="R6" i="6"/>
  <c r="S6" i="6" s="1"/>
  <c r="R7" i="6"/>
  <c r="S7" i="6" s="1"/>
  <c r="R8" i="6"/>
  <c r="S8" i="6" s="1"/>
  <c r="R9" i="6"/>
  <c r="S9" i="6" s="1"/>
  <c r="R10" i="6"/>
  <c r="S10" i="6" s="1"/>
  <c r="R11" i="6"/>
  <c r="S11" i="6" s="1"/>
  <c r="R12" i="6"/>
  <c r="S12" i="6" s="1"/>
  <c r="R13" i="6"/>
  <c r="S13" i="6" s="1"/>
  <c r="R14" i="6"/>
  <c r="S14" i="6" s="1"/>
  <c r="R15" i="6"/>
  <c r="S15" i="6" s="1"/>
  <c r="R16" i="6"/>
  <c r="S16" i="6" s="1"/>
  <c r="R17" i="6"/>
  <c r="S17" i="6" s="1"/>
  <c r="R18" i="6"/>
  <c r="S18" i="6" s="1"/>
  <c r="R19" i="6"/>
  <c r="S19" i="6" s="1"/>
  <c r="R20" i="6"/>
  <c r="S20" i="6" s="1"/>
  <c r="R21" i="6"/>
  <c r="S21" i="6" s="1"/>
  <c r="R22" i="6"/>
  <c r="S22" i="6" s="1"/>
  <c r="R23" i="6"/>
  <c r="S23" i="6" s="1"/>
  <c r="R24" i="6"/>
  <c r="S24" i="6" s="1"/>
  <c r="R25" i="6"/>
  <c r="S25" i="6" s="1"/>
  <c r="R26" i="6"/>
  <c r="S26" i="6" s="1"/>
  <c r="R27" i="6"/>
  <c r="S27" i="6" s="1"/>
  <c r="R28" i="6"/>
  <c r="S28" i="6" s="1"/>
  <c r="R29" i="6"/>
  <c r="S29" i="6" s="1"/>
  <c r="R30" i="6"/>
  <c r="S30" i="6" s="1"/>
  <c r="R31" i="6"/>
  <c r="S31" i="6" s="1"/>
  <c r="R32" i="6"/>
  <c r="S32" i="6" s="1"/>
  <c r="R33" i="6"/>
  <c r="S33" i="6" s="1"/>
  <c r="R34" i="6"/>
  <c r="S34" i="6" s="1"/>
  <c r="R35" i="6"/>
  <c r="S35" i="6" s="1"/>
  <c r="R36" i="6"/>
  <c r="S36" i="6" s="1"/>
  <c r="R37" i="6"/>
  <c r="S37" i="6" s="1"/>
  <c r="R38" i="6"/>
  <c r="S38" i="6" s="1"/>
  <c r="R39" i="6"/>
  <c r="S39" i="6" s="1"/>
  <c r="R40" i="6"/>
  <c r="S40" i="6" s="1"/>
  <c r="R41" i="6"/>
  <c r="S41" i="6" s="1"/>
  <c r="R42" i="6"/>
  <c r="S42" i="6" s="1"/>
  <c r="R43" i="6"/>
  <c r="S43" i="6" s="1"/>
  <c r="R44" i="6"/>
  <c r="S44" i="6" s="1"/>
  <c r="R45" i="6"/>
  <c r="S45" i="6" s="1"/>
  <c r="R46" i="6"/>
  <c r="S46" i="6" s="1"/>
  <c r="R47" i="6"/>
  <c r="S47" i="6" s="1"/>
  <c r="R48" i="6"/>
  <c r="S48" i="6" s="1"/>
  <c r="R49" i="6"/>
  <c r="S49" i="6" s="1"/>
  <c r="R50" i="6"/>
  <c r="S50" i="6" s="1"/>
  <c r="R51" i="6"/>
  <c r="S51" i="6" s="1"/>
  <c r="R52" i="6"/>
  <c r="S52" i="6" s="1"/>
  <c r="R53" i="6"/>
  <c r="S53" i="6" s="1"/>
  <c r="R54" i="6"/>
  <c r="S54" i="6" s="1"/>
  <c r="R55" i="6"/>
  <c r="S55" i="6" s="1"/>
  <c r="R56" i="6"/>
  <c r="S56" i="6" s="1"/>
  <c r="R57" i="6"/>
  <c r="S57" i="6" s="1"/>
  <c r="R58" i="6"/>
  <c r="S58" i="6" s="1"/>
  <c r="R59" i="6"/>
  <c r="S59" i="6" s="1"/>
  <c r="R60" i="6"/>
  <c r="S60" i="6" s="1"/>
  <c r="R61" i="6"/>
  <c r="S61" i="6" s="1"/>
  <c r="R62" i="6"/>
  <c r="S62" i="6" s="1"/>
  <c r="R63" i="6"/>
  <c r="S63" i="6" s="1"/>
  <c r="R64" i="6"/>
  <c r="S64" i="6" s="1"/>
  <c r="R65" i="6"/>
  <c r="S65" i="6" s="1"/>
  <c r="R66" i="6"/>
  <c r="S66" i="6" s="1"/>
  <c r="R67" i="6"/>
  <c r="S67" i="6" s="1"/>
  <c r="R68" i="6"/>
  <c r="S68" i="6" s="1"/>
  <c r="R69" i="6"/>
  <c r="S69" i="6" s="1"/>
  <c r="R70" i="6"/>
  <c r="S70" i="6" s="1"/>
  <c r="R71" i="6"/>
  <c r="S71" i="6" s="1"/>
  <c r="R72" i="6"/>
  <c r="S72" i="6" s="1"/>
  <c r="R73" i="6"/>
  <c r="S73" i="6" s="1"/>
  <c r="R74" i="6"/>
  <c r="S74" i="6" s="1"/>
  <c r="R75" i="6"/>
  <c r="S75" i="6" s="1"/>
  <c r="R76" i="6"/>
  <c r="S76" i="6" s="1"/>
  <c r="R77" i="6"/>
  <c r="S77" i="6" s="1"/>
  <c r="R78" i="6"/>
  <c r="S78" i="6" s="1"/>
  <c r="R79" i="6"/>
  <c r="S79" i="6" s="1"/>
  <c r="R80" i="6"/>
  <c r="S80" i="6" s="1"/>
  <c r="R81" i="6"/>
  <c r="S81" i="6" s="1"/>
  <c r="R82" i="6"/>
  <c r="S82" i="6" s="1"/>
  <c r="R83" i="6"/>
  <c r="S83" i="6" s="1"/>
  <c r="R84" i="6"/>
  <c r="S84" i="6" s="1"/>
  <c r="R85" i="6"/>
  <c r="S85" i="6" s="1"/>
  <c r="R86" i="6"/>
  <c r="S86" i="6" s="1"/>
  <c r="R87" i="6"/>
  <c r="S87" i="6" s="1"/>
  <c r="R88" i="6"/>
  <c r="S88" i="6" s="1"/>
  <c r="R89" i="6"/>
  <c r="S89" i="6" s="1"/>
  <c r="R90" i="6"/>
  <c r="S90" i="6" s="1"/>
  <c r="R91" i="6"/>
  <c r="S91" i="6" s="1"/>
  <c r="R92" i="6"/>
  <c r="S92" i="6" s="1"/>
  <c r="R93" i="6"/>
  <c r="S93" i="6" s="1"/>
  <c r="R94" i="6"/>
  <c r="S94" i="6" s="1"/>
  <c r="R95" i="6"/>
  <c r="S95" i="6" s="1"/>
  <c r="R96" i="6"/>
  <c r="S96" i="6" s="1"/>
  <c r="R97" i="6"/>
  <c r="S97" i="6" s="1"/>
  <c r="R98" i="6"/>
  <c r="S98" i="6" s="1"/>
  <c r="R99" i="6"/>
  <c r="S99" i="6" s="1"/>
  <c r="R100" i="6"/>
  <c r="S100" i="6" s="1"/>
  <c r="R101" i="6"/>
  <c r="S101" i="6" s="1"/>
  <c r="R102" i="6"/>
  <c r="S102" i="6" s="1"/>
  <c r="R103" i="6"/>
  <c r="S103" i="6" s="1"/>
  <c r="R104" i="6"/>
  <c r="S104" i="6" s="1"/>
  <c r="R105" i="6"/>
  <c r="S105" i="6" s="1"/>
  <c r="R106" i="6"/>
  <c r="S106" i="6" s="1"/>
  <c r="R107" i="6"/>
  <c r="S107" i="6" s="1"/>
  <c r="R108" i="6"/>
  <c r="S108" i="6" s="1"/>
  <c r="R109" i="6"/>
  <c r="S109" i="6" s="1"/>
  <c r="R110" i="6"/>
  <c r="S110" i="6" s="1"/>
  <c r="R111" i="6"/>
  <c r="S111" i="6" s="1"/>
  <c r="R112" i="6"/>
  <c r="S112" i="6" s="1"/>
  <c r="R113" i="6"/>
  <c r="S113" i="6" s="1"/>
  <c r="R114" i="6"/>
  <c r="S114" i="6" s="1"/>
  <c r="R115" i="6"/>
  <c r="S115" i="6" s="1"/>
  <c r="R116" i="6"/>
  <c r="S116" i="6" s="1"/>
  <c r="R117" i="6"/>
  <c r="S117" i="6" s="1"/>
  <c r="R118" i="6"/>
  <c r="S118" i="6" s="1"/>
  <c r="R119" i="6"/>
  <c r="S119" i="6" s="1"/>
  <c r="R120" i="6"/>
  <c r="S120" i="6" s="1"/>
  <c r="R121" i="6"/>
  <c r="S121" i="6" s="1"/>
  <c r="R122" i="6"/>
  <c r="S122" i="6" s="1"/>
  <c r="R123" i="6"/>
  <c r="S123" i="6" s="1"/>
  <c r="R124" i="6"/>
  <c r="S124" i="6" s="1"/>
  <c r="R125" i="6"/>
  <c r="S125" i="6" s="1"/>
  <c r="R126" i="6"/>
  <c r="S126" i="6" s="1"/>
  <c r="R127" i="6"/>
  <c r="S127" i="6" s="1"/>
  <c r="R128" i="6"/>
  <c r="S128" i="6" s="1"/>
  <c r="R129" i="6"/>
  <c r="S129" i="6" s="1"/>
  <c r="R130" i="6"/>
  <c r="S130" i="6" s="1"/>
  <c r="R131" i="6"/>
  <c r="S131" i="6" s="1"/>
  <c r="R132" i="6"/>
  <c r="S132" i="6" s="1"/>
  <c r="R133" i="6"/>
  <c r="S133" i="6" s="1"/>
  <c r="R134" i="6"/>
  <c r="S134" i="6" s="1"/>
  <c r="R135" i="6"/>
  <c r="S135" i="6" s="1"/>
  <c r="R136" i="6"/>
  <c r="S136" i="6" s="1"/>
  <c r="R137" i="6"/>
  <c r="S137" i="6" s="1"/>
  <c r="R138" i="6"/>
  <c r="S138" i="6" s="1"/>
  <c r="R139" i="6"/>
  <c r="S139" i="6" s="1"/>
  <c r="R140" i="6"/>
  <c r="S140" i="6" s="1"/>
  <c r="R141" i="6"/>
  <c r="S141" i="6" s="1"/>
  <c r="R142" i="6"/>
  <c r="S142" i="6" s="1"/>
  <c r="R143" i="6"/>
  <c r="S143" i="6" s="1"/>
  <c r="R144" i="6"/>
  <c r="S144" i="6" s="1"/>
  <c r="R145" i="6"/>
  <c r="S145" i="6" s="1"/>
  <c r="R146" i="6"/>
  <c r="S146" i="6" s="1"/>
  <c r="R147" i="6"/>
  <c r="S147" i="6" s="1"/>
  <c r="R148" i="6"/>
  <c r="S148" i="6" s="1"/>
  <c r="R149" i="6"/>
  <c r="S149" i="6" s="1"/>
  <c r="R150" i="6"/>
  <c r="S150" i="6" s="1"/>
  <c r="R151" i="6"/>
  <c r="S151" i="6" s="1"/>
  <c r="R152" i="6"/>
  <c r="S152" i="6" s="1"/>
  <c r="R153" i="6"/>
  <c r="S153" i="6" s="1"/>
  <c r="R154" i="6"/>
  <c r="S154" i="6" s="1"/>
  <c r="R155" i="6"/>
  <c r="S155" i="6" s="1"/>
  <c r="R156" i="6"/>
  <c r="S156" i="6" s="1"/>
  <c r="R157" i="6"/>
  <c r="S157" i="6" s="1"/>
  <c r="R158" i="6"/>
  <c r="S158" i="6" s="1"/>
  <c r="R159" i="6"/>
  <c r="S159" i="6" s="1"/>
  <c r="R160" i="6"/>
  <c r="S160" i="6" s="1"/>
  <c r="R161" i="6"/>
  <c r="S161" i="6" s="1"/>
  <c r="R162" i="6"/>
  <c r="S162" i="6" s="1"/>
  <c r="R163" i="6"/>
  <c r="S163" i="6" s="1"/>
  <c r="R164" i="6"/>
  <c r="S164" i="6" s="1"/>
  <c r="R165" i="6"/>
  <c r="S165" i="6" s="1"/>
  <c r="R166" i="6"/>
  <c r="S166" i="6" s="1"/>
  <c r="R167" i="6"/>
  <c r="S167" i="6" s="1"/>
  <c r="R168" i="6"/>
  <c r="S168" i="6" s="1"/>
  <c r="R169" i="6"/>
  <c r="S169" i="6" s="1"/>
  <c r="R170" i="6"/>
  <c r="S170" i="6" s="1"/>
  <c r="R171" i="6"/>
  <c r="S171" i="6" s="1"/>
  <c r="R172" i="6"/>
  <c r="S172" i="6" s="1"/>
  <c r="R173" i="6"/>
  <c r="S173" i="6" s="1"/>
  <c r="R174" i="6"/>
  <c r="S174" i="6" s="1"/>
  <c r="R175" i="6"/>
  <c r="S175" i="6" s="1"/>
  <c r="R176" i="6"/>
  <c r="S176" i="6" s="1"/>
  <c r="R177" i="6"/>
  <c r="S177" i="6" s="1"/>
  <c r="R178" i="6"/>
  <c r="S178" i="6" s="1"/>
  <c r="R179" i="6"/>
  <c r="S179" i="6" s="1"/>
  <c r="R180" i="6"/>
  <c r="S180" i="6" s="1"/>
  <c r="R181" i="6"/>
  <c r="S181" i="6" s="1"/>
  <c r="R182" i="6"/>
  <c r="S182" i="6" s="1"/>
  <c r="R183" i="6"/>
  <c r="S183" i="6" s="1"/>
  <c r="R184" i="6"/>
  <c r="S184" i="6" s="1"/>
  <c r="R185" i="6"/>
  <c r="S185" i="6" s="1"/>
  <c r="R186" i="6"/>
  <c r="S186" i="6" s="1"/>
  <c r="R187" i="6"/>
  <c r="S187" i="6" s="1"/>
  <c r="R188" i="6"/>
  <c r="S188" i="6" s="1"/>
  <c r="R189" i="6"/>
  <c r="S189" i="6" s="1"/>
  <c r="R190" i="6"/>
  <c r="S190" i="6" s="1"/>
  <c r="R191" i="6"/>
  <c r="S191" i="6" s="1"/>
  <c r="R192" i="6"/>
  <c r="S192" i="6" s="1"/>
  <c r="R193" i="6"/>
  <c r="S193" i="6" s="1"/>
  <c r="R194" i="6"/>
  <c r="S194" i="6" s="1"/>
  <c r="R195" i="6"/>
  <c r="S195" i="6" s="1"/>
  <c r="R196" i="6"/>
  <c r="S196" i="6" s="1"/>
  <c r="R197" i="6"/>
  <c r="S197" i="6" s="1"/>
  <c r="R198" i="6"/>
  <c r="S198" i="6" s="1"/>
  <c r="R199" i="6"/>
  <c r="S199" i="6" s="1"/>
  <c r="R200" i="6"/>
  <c r="S200" i="6" s="1"/>
  <c r="R201" i="6"/>
  <c r="S201" i="6" s="1"/>
  <c r="R202" i="6"/>
  <c r="S202" i="6" s="1"/>
  <c r="R203" i="6"/>
  <c r="S203" i="6" s="1"/>
  <c r="R204" i="6"/>
  <c r="S204" i="6" s="1"/>
  <c r="R205" i="6"/>
  <c r="S205" i="6" s="1"/>
  <c r="R206" i="6"/>
  <c r="S206" i="6" s="1"/>
  <c r="R207" i="6"/>
  <c r="S207" i="6" s="1"/>
  <c r="R208" i="6"/>
  <c r="S208" i="6" s="1"/>
  <c r="R209" i="6"/>
  <c r="S209" i="6" s="1"/>
  <c r="R210" i="6"/>
  <c r="S210" i="6" s="1"/>
  <c r="R211" i="6"/>
  <c r="S211" i="6" s="1"/>
  <c r="R212" i="6"/>
  <c r="S212" i="6" s="1"/>
  <c r="R213" i="6"/>
  <c r="S213" i="6" s="1"/>
  <c r="R214" i="6"/>
  <c r="S214" i="6" s="1"/>
  <c r="R215" i="6"/>
  <c r="S215" i="6" s="1"/>
  <c r="R216" i="6"/>
  <c r="S216" i="6" s="1"/>
  <c r="R217" i="6"/>
  <c r="S217" i="6" s="1"/>
  <c r="R218" i="6"/>
  <c r="S218" i="6" s="1"/>
  <c r="R219" i="6"/>
  <c r="S219" i="6" s="1"/>
  <c r="R220" i="6"/>
  <c r="S220" i="6" s="1"/>
  <c r="R221" i="6"/>
  <c r="S221" i="6" s="1"/>
  <c r="R222" i="6"/>
  <c r="S222" i="6" s="1"/>
  <c r="R223" i="6"/>
  <c r="S223" i="6" s="1"/>
  <c r="R224" i="6"/>
  <c r="S224" i="6" s="1"/>
  <c r="R225" i="6"/>
  <c r="S225" i="6" s="1"/>
  <c r="R226" i="6"/>
  <c r="S226" i="6" s="1"/>
  <c r="R227" i="6"/>
  <c r="S227" i="6" s="1"/>
  <c r="R228" i="6"/>
  <c r="S228" i="6" s="1"/>
  <c r="R229" i="6"/>
  <c r="S229" i="6" s="1"/>
  <c r="R230" i="6"/>
  <c r="S230" i="6" s="1"/>
  <c r="R231" i="6"/>
  <c r="S231" i="6" s="1"/>
  <c r="R232" i="6"/>
  <c r="S232" i="6" s="1"/>
  <c r="R233" i="6"/>
  <c r="S233" i="6" s="1"/>
  <c r="R234" i="6"/>
  <c r="S234" i="6" s="1"/>
  <c r="R235" i="6"/>
  <c r="S235" i="6" s="1"/>
  <c r="R236" i="6"/>
  <c r="S236" i="6" s="1"/>
  <c r="R237" i="6"/>
  <c r="S237" i="6" s="1"/>
  <c r="R238" i="6"/>
  <c r="S238" i="6" s="1"/>
  <c r="R239" i="6"/>
  <c r="S239" i="6" s="1"/>
  <c r="R240" i="6"/>
  <c r="S240" i="6" s="1"/>
  <c r="R241" i="6"/>
  <c r="S241" i="6" s="1"/>
  <c r="R242" i="6"/>
  <c r="S242" i="6" s="1"/>
  <c r="R243" i="6"/>
  <c r="S243" i="6" s="1"/>
  <c r="R244" i="6"/>
  <c r="S244" i="6" s="1"/>
  <c r="R245" i="6"/>
  <c r="S245" i="6" s="1"/>
  <c r="R246" i="6"/>
  <c r="S246" i="6" s="1"/>
  <c r="R247" i="6"/>
  <c r="S247" i="6" s="1"/>
  <c r="R248" i="6"/>
  <c r="S248" i="6" s="1"/>
  <c r="R249" i="6"/>
  <c r="S249" i="6" s="1"/>
  <c r="R250" i="6"/>
  <c r="S250" i="6" s="1"/>
  <c r="R251" i="6"/>
  <c r="S251" i="6" s="1"/>
  <c r="R252" i="6"/>
  <c r="S252" i="6" s="1"/>
  <c r="R253" i="6"/>
  <c r="S253" i="6" s="1"/>
  <c r="R254" i="6"/>
  <c r="S254" i="6" s="1"/>
  <c r="R255" i="6"/>
  <c r="S255" i="6" s="1"/>
  <c r="R256" i="6"/>
  <c r="S256" i="6" s="1"/>
  <c r="R257" i="6"/>
  <c r="S257" i="6" s="1"/>
  <c r="R258" i="6"/>
  <c r="S258" i="6" s="1"/>
  <c r="R259" i="6"/>
  <c r="S259" i="6" s="1"/>
  <c r="R260" i="6"/>
  <c r="S260" i="6" s="1"/>
  <c r="R261" i="6"/>
  <c r="S261" i="6" s="1"/>
  <c r="R262" i="6"/>
  <c r="S262" i="6" s="1"/>
  <c r="R263" i="6"/>
  <c r="S263" i="6" s="1"/>
  <c r="R264" i="6"/>
  <c r="S264" i="6" s="1"/>
  <c r="R265" i="6"/>
  <c r="S265" i="6" s="1"/>
  <c r="R266" i="6"/>
  <c r="S266" i="6" s="1"/>
  <c r="R267" i="6"/>
  <c r="S267" i="6" s="1"/>
  <c r="R268" i="6"/>
  <c r="S268" i="6" s="1"/>
  <c r="R269" i="6"/>
  <c r="S269" i="6" s="1"/>
  <c r="R270" i="6"/>
  <c r="S270" i="6" s="1"/>
  <c r="R271" i="6"/>
  <c r="S271" i="6" s="1"/>
  <c r="R272" i="6"/>
  <c r="S272" i="6" s="1"/>
  <c r="R273" i="6"/>
  <c r="S273" i="6" s="1"/>
  <c r="R274" i="6"/>
  <c r="S274" i="6" s="1"/>
  <c r="R275" i="6"/>
  <c r="S275" i="6" s="1"/>
  <c r="R276" i="6"/>
  <c r="S276" i="6" s="1"/>
  <c r="R277" i="6"/>
  <c r="S277" i="6" s="1"/>
  <c r="R278" i="6"/>
  <c r="S278" i="6" s="1"/>
  <c r="R279" i="6"/>
  <c r="S279" i="6" s="1"/>
  <c r="R280" i="6"/>
  <c r="S280" i="6" s="1"/>
  <c r="R281" i="6"/>
  <c r="S281" i="6" s="1"/>
  <c r="R282" i="6"/>
  <c r="S282" i="6" s="1"/>
  <c r="R283" i="6"/>
  <c r="S283" i="6" s="1"/>
  <c r="R284" i="6"/>
  <c r="S284" i="6" s="1"/>
  <c r="R285" i="6"/>
  <c r="S285" i="6" s="1"/>
  <c r="R286" i="6"/>
  <c r="S286" i="6" s="1"/>
  <c r="R287" i="6"/>
  <c r="S287" i="6" s="1"/>
  <c r="R288" i="6"/>
  <c r="S288" i="6" s="1"/>
  <c r="R289" i="6"/>
  <c r="S289" i="6" s="1"/>
  <c r="R290" i="6"/>
  <c r="S290" i="6" s="1"/>
  <c r="R291" i="6"/>
  <c r="S291" i="6" s="1"/>
  <c r="R292" i="6"/>
  <c r="S292" i="6" s="1"/>
  <c r="R293" i="6"/>
  <c r="S293" i="6" s="1"/>
  <c r="R294" i="6"/>
  <c r="S294" i="6" s="1"/>
  <c r="R295" i="6"/>
  <c r="S295" i="6" s="1"/>
  <c r="R296" i="6"/>
  <c r="S296" i="6" s="1"/>
  <c r="R297" i="6"/>
  <c r="S297" i="6" s="1"/>
  <c r="R298" i="6"/>
  <c r="S298" i="6" s="1"/>
  <c r="R299" i="6"/>
  <c r="S299" i="6" s="1"/>
  <c r="R300" i="6"/>
  <c r="S300" i="6" s="1"/>
  <c r="R301" i="6"/>
  <c r="S301" i="6" s="1"/>
  <c r="R302" i="6"/>
  <c r="S302" i="6" s="1"/>
  <c r="R303" i="6"/>
  <c r="S303" i="6" s="1"/>
  <c r="R304" i="6"/>
  <c r="S304" i="6" s="1"/>
  <c r="R305" i="6"/>
  <c r="S305" i="6" s="1"/>
  <c r="R306" i="6"/>
  <c r="S306" i="6" s="1"/>
  <c r="R307" i="6"/>
  <c r="S307" i="6" s="1"/>
  <c r="R308" i="6"/>
  <c r="S308" i="6" s="1"/>
  <c r="R309" i="6"/>
  <c r="S309" i="6" s="1"/>
  <c r="R310" i="6"/>
  <c r="S310" i="6" s="1"/>
  <c r="R311" i="6"/>
  <c r="S311" i="6" s="1"/>
  <c r="R312" i="6"/>
  <c r="S312" i="6" s="1"/>
  <c r="R313" i="6"/>
  <c r="S313" i="6" s="1"/>
  <c r="R314" i="6"/>
  <c r="S314" i="6" s="1"/>
  <c r="R315" i="6"/>
  <c r="S315" i="6" s="1"/>
  <c r="R316" i="6"/>
  <c r="S316" i="6" s="1"/>
  <c r="R317" i="6"/>
  <c r="S317" i="6" s="1"/>
  <c r="R318" i="6"/>
  <c r="S318" i="6" s="1"/>
  <c r="R319" i="6"/>
  <c r="S319" i="6" s="1"/>
  <c r="R320" i="6"/>
  <c r="S320" i="6" s="1"/>
  <c r="R321" i="6"/>
  <c r="S321" i="6" s="1"/>
  <c r="R322" i="6"/>
  <c r="S322" i="6" s="1"/>
  <c r="R323" i="6"/>
  <c r="S323" i="6" s="1"/>
  <c r="R324" i="6"/>
  <c r="S324" i="6" s="1"/>
  <c r="R325" i="6"/>
  <c r="S325" i="6" s="1"/>
  <c r="R326" i="6"/>
  <c r="S326" i="6" s="1"/>
  <c r="R327" i="6"/>
  <c r="S327" i="6" s="1"/>
  <c r="R328" i="6"/>
  <c r="S328" i="6" s="1"/>
  <c r="R329" i="6"/>
  <c r="S329" i="6" s="1"/>
  <c r="R330" i="6"/>
  <c r="S330" i="6" s="1"/>
  <c r="R331" i="6"/>
  <c r="S331" i="6" s="1"/>
  <c r="R332" i="6"/>
  <c r="S332" i="6" s="1"/>
  <c r="R333" i="6"/>
  <c r="S333" i="6" s="1"/>
  <c r="R334" i="6"/>
  <c r="S334" i="6" s="1"/>
  <c r="R335" i="6"/>
  <c r="S335" i="6" s="1"/>
  <c r="R336" i="6"/>
  <c r="S336" i="6" s="1"/>
  <c r="R337" i="6"/>
  <c r="S337" i="6" s="1"/>
  <c r="R338" i="6"/>
  <c r="S338" i="6" s="1"/>
  <c r="R339" i="6"/>
  <c r="S339" i="6" s="1"/>
  <c r="R340" i="6"/>
  <c r="S340" i="6" s="1"/>
  <c r="R341" i="6"/>
  <c r="S341" i="6" s="1"/>
  <c r="R342" i="6"/>
  <c r="S342" i="6" s="1"/>
  <c r="R343" i="6"/>
  <c r="S343" i="6" s="1"/>
  <c r="R344" i="6"/>
  <c r="S344" i="6" s="1"/>
  <c r="R345" i="6"/>
  <c r="S345" i="6" s="1"/>
  <c r="R346" i="6"/>
  <c r="S346" i="6" s="1"/>
  <c r="R347" i="6"/>
  <c r="S347" i="6" s="1"/>
  <c r="R348" i="6"/>
  <c r="S348" i="6" s="1"/>
  <c r="R349" i="6"/>
  <c r="S349" i="6" s="1"/>
  <c r="R350" i="6"/>
  <c r="S350" i="6" s="1"/>
  <c r="R351" i="6"/>
  <c r="S351" i="6" s="1"/>
  <c r="R352" i="6"/>
  <c r="S352" i="6" s="1"/>
  <c r="R353" i="6"/>
  <c r="S353" i="6" s="1"/>
  <c r="R354" i="6"/>
  <c r="S354" i="6" s="1"/>
  <c r="R355" i="6"/>
  <c r="S355" i="6" s="1"/>
  <c r="R356" i="6"/>
  <c r="S356" i="6" s="1"/>
  <c r="R357" i="6"/>
  <c r="S357" i="6" s="1"/>
  <c r="R358" i="6"/>
  <c r="S358" i="6" s="1"/>
  <c r="R359" i="6"/>
  <c r="S359" i="6" s="1"/>
  <c r="R360" i="6"/>
  <c r="S360" i="6" s="1"/>
  <c r="R361" i="6"/>
  <c r="S361" i="6" s="1"/>
  <c r="R362" i="6"/>
  <c r="S362" i="6" s="1"/>
  <c r="R363" i="6"/>
  <c r="S363" i="6" s="1"/>
  <c r="R364" i="6"/>
  <c r="S364" i="6" s="1"/>
  <c r="R365" i="6"/>
  <c r="S365" i="6" s="1"/>
  <c r="R366" i="6"/>
  <c r="S366" i="6" s="1"/>
  <c r="R367" i="6"/>
  <c r="S367" i="6" s="1"/>
  <c r="R368" i="6"/>
  <c r="S368" i="6" s="1"/>
  <c r="R369" i="6"/>
  <c r="S369" i="6" s="1"/>
  <c r="R370" i="6"/>
  <c r="S370" i="6" s="1"/>
  <c r="R371" i="6"/>
  <c r="S371" i="6" s="1"/>
  <c r="R372" i="6"/>
  <c r="S372" i="6" s="1"/>
  <c r="R373" i="6"/>
  <c r="S373" i="6" s="1"/>
  <c r="R374" i="6"/>
  <c r="S374" i="6" s="1"/>
  <c r="R375" i="6"/>
  <c r="S375" i="6" s="1"/>
  <c r="R376" i="6"/>
  <c r="S376" i="6" s="1"/>
  <c r="R377" i="6"/>
  <c r="S377" i="6" s="1"/>
  <c r="R378" i="6"/>
  <c r="S378" i="6" s="1"/>
  <c r="R379" i="6"/>
  <c r="S379" i="6" s="1"/>
  <c r="R380" i="6"/>
  <c r="S380" i="6" s="1"/>
  <c r="R381" i="6"/>
  <c r="S381" i="6" s="1"/>
  <c r="R382" i="6"/>
  <c r="S382" i="6" s="1"/>
  <c r="R383" i="6"/>
  <c r="S383" i="6" s="1"/>
  <c r="R384" i="6"/>
  <c r="S384" i="6" s="1"/>
  <c r="R385" i="6"/>
  <c r="S385" i="6" s="1"/>
  <c r="R386" i="6"/>
  <c r="S386" i="6" s="1"/>
  <c r="R387" i="6"/>
  <c r="S387" i="6" s="1"/>
  <c r="R388" i="6"/>
  <c r="S388" i="6" s="1"/>
  <c r="R389" i="6"/>
  <c r="S389" i="6" s="1"/>
  <c r="R390" i="6"/>
  <c r="S390" i="6" s="1"/>
  <c r="R391" i="6"/>
  <c r="S391" i="6" s="1"/>
  <c r="R392" i="6"/>
  <c r="S392" i="6" s="1"/>
  <c r="R393" i="6"/>
  <c r="S393" i="6" s="1"/>
  <c r="R394" i="6"/>
  <c r="S394" i="6" s="1"/>
  <c r="R395" i="6"/>
  <c r="S395" i="6" s="1"/>
  <c r="R396" i="6"/>
  <c r="S396" i="6" s="1"/>
  <c r="R397" i="6"/>
  <c r="S397" i="6" s="1"/>
  <c r="R398" i="6"/>
  <c r="S398" i="6" s="1"/>
  <c r="R399" i="6"/>
  <c r="S399" i="6" s="1"/>
  <c r="R400" i="6"/>
  <c r="S400" i="6" s="1"/>
  <c r="R401" i="6"/>
  <c r="S401" i="6" s="1"/>
  <c r="R402" i="6"/>
  <c r="S402" i="6" s="1"/>
  <c r="R403" i="6"/>
  <c r="S403" i="6" s="1"/>
  <c r="R404" i="6"/>
  <c r="S404" i="6" s="1"/>
  <c r="R405" i="6"/>
  <c r="S405" i="6" s="1"/>
  <c r="R406" i="6"/>
  <c r="S406" i="6" s="1"/>
  <c r="R407" i="6"/>
  <c r="S407" i="6" s="1"/>
  <c r="R408" i="6"/>
  <c r="S408" i="6" s="1"/>
  <c r="R409" i="6"/>
  <c r="S409" i="6" s="1"/>
  <c r="R410" i="6"/>
  <c r="S410" i="6" s="1"/>
  <c r="R411" i="6"/>
  <c r="S411" i="6" s="1"/>
  <c r="R412" i="6"/>
  <c r="S412" i="6" s="1"/>
  <c r="R413" i="6"/>
  <c r="S413" i="6" s="1"/>
  <c r="R414" i="6"/>
  <c r="S414" i="6" s="1"/>
  <c r="R415" i="6"/>
  <c r="S415" i="6" s="1"/>
  <c r="R416" i="6"/>
  <c r="S416" i="6" s="1"/>
  <c r="R417" i="6"/>
  <c r="S417" i="6" s="1"/>
  <c r="R418" i="6"/>
  <c r="S418" i="6" s="1"/>
  <c r="R419" i="6"/>
  <c r="S419" i="6" s="1"/>
  <c r="R420" i="6"/>
  <c r="S420" i="6" s="1"/>
  <c r="R421" i="6"/>
  <c r="S421" i="6" s="1"/>
  <c r="R422" i="6"/>
  <c r="S422" i="6" s="1"/>
  <c r="R423" i="6"/>
  <c r="S423" i="6" s="1"/>
  <c r="R424" i="6"/>
  <c r="S424" i="6" s="1"/>
  <c r="R425" i="6"/>
  <c r="S425" i="6" s="1"/>
  <c r="R426" i="6"/>
  <c r="S426" i="6" s="1"/>
  <c r="R427" i="6"/>
  <c r="S427" i="6" s="1"/>
  <c r="R428" i="6"/>
  <c r="S428" i="6" s="1"/>
  <c r="R429" i="6"/>
  <c r="S429" i="6" s="1"/>
  <c r="R430" i="6"/>
  <c r="S430" i="6" s="1"/>
  <c r="R431" i="6"/>
  <c r="S431" i="6" s="1"/>
  <c r="R432" i="6"/>
  <c r="S432" i="6" s="1"/>
  <c r="R433" i="6"/>
  <c r="S433" i="6" s="1"/>
  <c r="R434" i="6"/>
  <c r="S434" i="6" s="1"/>
  <c r="R435" i="6"/>
  <c r="S435" i="6" s="1"/>
  <c r="R436" i="6"/>
  <c r="S436" i="6" s="1"/>
  <c r="R437" i="6"/>
  <c r="S437" i="6" s="1"/>
  <c r="R438" i="6"/>
  <c r="S438" i="6" s="1"/>
  <c r="R439" i="6"/>
  <c r="S439" i="6" s="1"/>
  <c r="R440" i="6"/>
  <c r="S440" i="6" s="1"/>
  <c r="R441" i="6"/>
  <c r="S441" i="6" s="1"/>
  <c r="R442" i="6"/>
  <c r="S442" i="6" s="1"/>
  <c r="R443" i="6"/>
  <c r="S443" i="6" s="1"/>
  <c r="R444" i="6"/>
  <c r="S444" i="6" s="1"/>
  <c r="R445" i="6"/>
  <c r="S445" i="6" s="1"/>
  <c r="R446" i="6"/>
  <c r="S446" i="6" s="1"/>
  <c r="R447" i="6"/>
  <c r="S447" i="6" s="1"/>
  <c r="R448" i="6"/>
  <c r="S448" i="6" s="1"/>
  <c r="R449" i="6"/>
  <c r="S449" i="6" s="1"/>
  <c r="R450" i="6"/>
  <c r="S450" i="6" s="1"/>
  <c r="R451" i="6"/>
  <c r="S451" i="6" s="1"/>
  <c r="R452" i="6"/>
  <c r="S452" i="6" s="1"/>
  <c r="R453" i="6"/>
  <c r="S453" i="6" s="1"/>
  <c r="R454" i="6"/>
  <c r="S454" i="6" s="1"/>
  <c r="R455" i="6"/>
  <c r="S455" i="6" s="1"/>
  <c r="R456" i="6"/>
  <c r="S456" i="6" s="1"/>
  <c r="R457" i="6"/>
  <c r="S457" i="6" s="1"/>
  <c r="R458" i="6"/>
  <c r="S458" i="6" s="1"/>
  <c r="R459" i="6"/>
  <c r="S459" i="6" s="1"/>
  <c r="R460" i="6"/>
  <c r="S460" i="6" s="1"/>
  <c r="R461" i="6"/>
  <c r="S461" i="6" s="1"/>
  <c r="R462" i="6"/>
  <c r="S462" i="6" s="1"/>
  <c r="R463" i="6"/>
  <c r="S463" i="6" s="1"/>
  <c r="R464" i="6"/>
  <c r="S464" i="6" s="1"/>
  <c r="R465" i="6"/>
  <c r="S465" i="6" s="1"/>
  <c r="R466" i="6"/>
  <c r="S466" i="6" s="1"/>
  <c r="R467" i="6"/>
  <c r="S467" i="6" s="1"/>
  <c r="R468" i="6"/>
  <c r="S468" i="6" s="1"/>
  <c r="R469" i="6"/>
  <c r="S469" i="6" s="1"/>
  <c r="R470" i="6"/>
  <c r="S470" i="6" s="1"/>
  <c r="R471" i="6"/>
  <c r="S471" i="6" s="1"/>
  <c r="R472" i="6"/>
  <c r="S472" i="6" s="1"/>
  <c r="R473" i="6"/>
  <c r="S473" i="6" s="1"/>
  <c r="R474" i="6"/>
  <c r="S474" i="6" s="1"/>
  <c r="R475" i="6"/>
  <c r="S475" i="6" s="1"/>
  <c r="R476" i="6"/>
  <c r="S476" i="6" s="1"/>
  <c r="R477" i="6"/>
  <c r="S477" i="6" s="1"/>
  <c r="R478" i="6"/>
  <c r="S478" i="6" s="1"/>
  <c r="R479" i="6"/>
  <c r="S479" i="6" s="1"/>
  <c r="R480" i="6"/>
  <c r="S480" i="6" s="1"/>
  <c r="R481" i="6"/>
  <c r="S481" i="6" s="1"/>
  <c r="R482" i="6"/>
  <c r="S482" i="6" s="1"/>
  <c r="R483" i="6"/>
  <c r="S483" i="6" s="1"/>
  <c r="R484" i="6"/>
  <c r="S484" i="6" s="1"/>
  <c r="R485" i="6"/>
  <c r="S485" i="6" s="1"/>
  <c r="R486" i="6"/>
  <c r="S486" i="6" s="1"/>
  <c r="R487" i="6"/>
  <c r="S487" i="6" s="1"/>
  <c r="R488" i="6"/>
  <c r="S488" i="6" s="1"/>
  <c r="R489" i="6"/>
  <c r="S489" i="6" s="1"/>
  <c r="R490" i="6"/>
  <c r="S490" i="6" s="1"/>
  <c r="R491" i="6"/>
  <c r="S491" i="6" s="1"/>
  <c r="R492" i="6"/>
  <c r="S492" i="6" s="1"/>
  <c r="R493" i="6"/>
  <c r="S493" i="6" s="1"/>
  <c r="R494" i="6"/>
  <c r="S494" i="6" s="1"/>
  <c r="R495" i="6"/>
  <c r="S495" i="6" s="1"/>
  <c r="R496" i="6"/>
  <c r="S496" i="6" s="1"/>
  <c r="R497" i="6"/>
  <c r="S497" i="6" s="1"/>
  <c r="R498" i="6"/>
  <c r="S498" i="6" s="1"/>
  <c r="R499" i="6"/>
  <c r="S499" i="6" s="1"/>
  <c r="R500" i="6"/>
  <c r="S500" i="6" s="1"/>
  <c r="R501" i="6"/>
  <c r="S501" i="6" s="1"/>
  <c r="R502" i="6"/>
  <c r="S502" i="6" s="1"/>
  <c r="R503" i="6"/>
  <c r="S503" i="6" s="1"/>
  <c r="R504" i="6"/>
  <c r="S504" i="6" s="1"/>
  <c r="R505" i="6"/>
  <c r="S505" i="6" s="1"/>
  <c r="R506" i="6"/>
  <c r="S506" i="6" s="1"/>
  <c r="R507" i="6"/>
  <c r="S507" i="6" s="1"/>
  <c r="R508" i="6"/>
  <c r="S508" i="6" s="1"/>
  <c r="R509" i="6"/>
  <c r="S509" i="6" s="1"/>
  <c r="R510" i="6"/>
  <c r="S510" i="6" s="1"/>
  <c r="R511" i="6"/>
  <c r="S511" i="6" s="1"/>
  <c r="R512" i="6"/>
  <c r="S512" i="6" s="1"/>
  <c r="R513" i="6"/>
  <c r="S513" i="6" s="1"/>
  <c r="R514" i="6"/>
  <c r="S514" i="6" s="1"/>
  <c r="R515" i="6"/>
  <c r="S515" i="6" s="1"/>
  <c r="R516" i="6"/>
  <c r="S516" i="6" s="1"/>
  <c r="R517" i="6"/>
  <c r="S517" i="6" s="1"/>
  <c r="R518" i="6"/>
  <c r="S518" i="6" s="1"/>
  <c r="R519" i="6"/>
  <c r="S519" i="6" s="1"/>
  <c r="R520" i="6"/>
  <c r="S520" i="6" s="1"/>
  <c r="R521" i="6"/>
  <c r="S521" i="6" s="1"/>
  <c r="R522" i="6"/>
  <c r="S522" i="6" s="1"/>
  <c r="R523" i="6"/>
  <c r="S523" i="6" s="1"/>
  <c r="R524" i="6"/>
  <c r="S524" i="6" s="1"/>
  <c r="R525" i="6"/>
  <c r="S525" i="6" s="1"/>
  <c r="R526" i="6"/>
  <c r="S526" i="6" s="1"/>
  <c r="R527" i="6"/>
  <c r="S527" i="6" s="1"/>
  <c r="R528" i="6"/>
  <c r="S528" i="6" s="1"/>
  <c r="R529" i="6"/>
  <c r="S529" i="6" s="1"/>
  <c r="R530" i="6"/>
  <c r="S530" i="6" s="1"/>
  <c r="R531" i="6"/>
  <c r="S531" i="6" s="1"/>
  <c r="R532" i="6"/>
  <c r="S532" i="6" s="1"/>
  <c r="R533" i="6"/>
  <c r="S533" i="6" s="1"/>
  <c r="R534" i="6"/>
  <c r="S534" i="6" s="1"/>
  <c r="R535" i="6"/>
  <c r="S535" i="6" s="1"/>
  <c r="R536" i="6"/>
  <c r="S536" i="6" s="1"/>
  <c r="R537" i="6"/>
  <c r="S537" i="6" s="1"/>
  <c r="R538" i="6"/>
  <c r="S538" i="6" s="1"/>
  <c r="R539" i="6"/>
  <c r="S539" i="6" s="1"/>
  <c r="R540" i="6"/>
  <c r="S540" i="6" s="1"/>
  <c r="R541" i="6"/>
  <c r="S541" i="6" s="1"/>
  <c r="R542" i="6"/>
  <c r="S542" i="6" s="1"/>
  <c r="R543" i="6"/>
  <c r="S543" i="6" s="1"/>
  <c r="R544" i="6"/>
  <c r="S544" i="6" s="1"/>
  <c r="R545" i="6"/>
  <c r="S545" i="6" s="1"/>
  <c r="R546" i="6"/>
  <c r="S546" i="6" s="1"/>
  <c r="R547" i="6"/>
  <c r="S547" i="6" s="1"/>
  <c r="R548" i="6"/>
  <c r="S548" i="6" s="1"/>
  <c r="R549" i="6"/>
  <c r="S549" i="6" s="1"/>
  <c r="R550" i="6"/>
  <c r="S550" i="6" s="1"/>
  <c r="R551" i="6"/>
  <c r="S551" i="6" s="1"/>
  <c r="R552" i="6"/>
  <c r="S552" i="6" s="1"/>
  <c r="R553" i="6"/>
  <c r="S553" i="6" s="1"/>
  <c r="R554" i="6"/>
  <c r="S554" i="6" s="1"/>
  <c r="R555" i="6"/>
  <c r="S555" i="6" s="1"/>
  <c r="R556" i="6"/>
  <c r="S556" i="6" s="1"/>
  <c r="R557" i="6"/>
  <c r="S557" i="6" s="1"/>
  <c r="R558" i="6"/>
  <c r="S558" i="6" s="1"/>
  <c r="R559" i="6"/>
  <c r="S559" i="6" s="1"/>
  <c r="R560" i="6"/>
  <c r="S560" i="6" s="1"/>
  <c r="R561" i="6"/>
  <c r="S561" i="6" s="1"/>
  <c r="R562" i="6"/>
  <c r="S562" i="6" s="1"/>
  <c r="R563" i="6"/>
  <c r="S563" i="6" s="1"/>
  <c r="R564" i="6"/>
  <c r="S564" i="6" s="1"/>
  <c r="R565" i="6"/>
  <c r="S565" i="6" s="1"/>
  <c r="R566" i="6"/>
  <c r="S566" i="6" s="1"/>
  <c r="R567" i="6"/>
  <c r="S567" i="6" s="1"/>
  <c r="R568" i="6"/>
  <c r="S568" i="6" s="1"/>
  <c r="R569" i="6"/>
  <c r="S569" i="6" s="1"/>
  <c r="R570" i="6"/>
  <c r="S570" i="6" s="1"/>
  <c r="R571" i="6"/>
  <c r="S571" i="6" s="1"/>
  <c r="R572" i="6"/>
  <c r="S572" i="6" s="1"/>
  <c r="R573" i="6"/>
  <c r="S573" i="6" s="1"/>
  <c r="R574" i="6"/>
  <c r="S574" i="6" s="1"/>
  <c r="R575" i="6"/>
  <c r="S575" i="6" s="1"/>
  <c r="R576" i="6"/>
  <c r="S576" i="6" s="1"/>
  <c r="R577" i="6"/>
  <c r="S577" i="6" s="1"/>
  <c r="R578" i="6"/>
  <c r="S578" i="6" s="1"/>
  <c r="R579" i="6"/>
  <c r="S579" i="6" s="1"/>
  <c r="R580" i="6"/>
  <c r="S580" i="6" s="1"/>
  <c r="R581" i="6"/>
  <c r="S581" i="6" s="1"/>
  <c r="R582" i="6"/>
  <c r="S582" i="6" s="1"/>
  <c r="R583" i="6"/>
  <c r="S583" i="6" s="1"/>
  <c r="R584" i="6"/>
  <c r="S584" i="6" s="1"/>
  <c r="R585" i="6"/>
  <c r="S585" i="6" s="1"/>
  <c r="R586" i="6"/>
  <c r="S586" i="6" s="1"/>
  <c r="R587" i="6"/>
  <c r="S587" i="6" s="1"/>
  <c r="R588" i="6"/>
  <c r="S588" i="6" s="1"/>
  <c r="R589" i="6"/>
  <c r="S589" i="6" s="1"/>
  <c r="R590" i="6"/>
  <c r="S590" i="6" s="1"/>
  <c r="R591" i="6"/>
  <c r="S591" i="6" s="1"/>
  <c r="R592" i="6"/>
  <c r="S592" i="6" s="1"/>
  <c r="R593" i="6"/>
  <c r="S593" i="6" s="1"/>
  <c r="R594" i="6"/>
  <c r="S594" i="6" s="1"/>
  <c r="R595" i="6"/>
  <c r="S595" i="6" s="1"/>
  <c r="R596" i="6"/>
  <c r="S596" i="6" s="1"/>
  <c r="R597" i="6"/>
  <c r="S597" i="6" s="1"/>
  <c r="R598" i="6"/>
  <c r="S598" i="6" s="1"/>
  <c r="R599" i="6"/>
  <c r="S599" i="6" s="1"/>
  <c r="R600" i="6"/>
  <c r="S600" i="6" s="1"/>
  <c r="R601" i="6"/>
  <c r="S601" i="6" s="1"/>
  <c r="R602" i="6"/>
  <c r="S602" i="6" s="1"/>
  <c r="R603" i="6"/>
  <c r="S603" i="6" s="1"/>
  <c r="R604" i="6"/>
  <c r="S604" i="6" s="1"/>
  <c r="R605" i="6"/>
  <c r="S605" i="6" s="1"/>
  <c r="R606" i="6"/>
  <c r="S606" i="6" s="1"/>
  <c r="R607" i="6"/>
  <c r="S607" i="6" s="1"/>
  <c r="R608" i="6"/>
  <c r="S608" i="6" s="1"/>
  <c r="R609" i="6"/>
  <c r="S609" i="6" s="1"/>
  <c r="R610" i="6"/>
  <c r="S610" i="6" s="1"/>
  <c r="R611" i="6"/>
  <c r="S611" i="6" s="1"/>
  <c r="R612" i="6"/>
  <c r="S612" i="6" s="1"/>
  <c r="R613" i="6"/>
  <c r="S613" i="6" s="1"/>
  <c r="R614" i="6"/>
  <c r="S614" i="6" s="1"/>
  <c r="R615" i="6"/>
  <c r="S615" i="6" s="1"/>
  <c r="R616" i="6"/>
  <c r="S616" i="6" s="1"/>
  <c r="R617" i="6"/>
  <c r="S617" i="6" s="1"/>
  <c r="R618" i="6"/>
  <c r="S618" i="6" s="1"/>
  <c r="R619" i="6"/>
  <c r="S619" i="6" s="1"/>
  <c r="R620" i="6"/>
  <c r="S620" i="6" s="1"/>
  <c r="R621" i="6"/>
  <c r="S621" i="6" s="1"/>
  <c r="R622" i="6"/>
  <c r="S622" i="6" s="1"/>
  <c r="R623" i="6"/>
  <c r="S623" i="6" s="1"/>
  <c r="R624" i="6"/>
  <c r="S624" i="6" s="1"/>
  <c r="R625" i="6"/>
  <c r="S625" i="6" s="1"/>
  <c r="R626" i="6"/>
  <c r="S626" i="6" s="1"/>
  <c r="R627" i="6"/>
  <c r="S627" i="6" s="1"/>
  <c r="R628" i="6"/>
  <c r="S628" i="6" s="1"/>
  <c r="R629" i="6"/>
  <c r="S629" i="6" s="1"/>
  <c r="R630" i="6"/>
  <c r="S630" i="6" s="1"/>
  <c r="R631" i="6"/>
  <c r="S631" i="6" s="1"/>
  <c r="R632" i="6"/>
  <c r="S632" i="6" s="1"/>
  <c r="R633" i="6"/>
  <c r="S633" i="6" s="1"/>
  <c r="R634" i="6"/>
  <c r="S634" i="6" s="1"/>
  <c r="R635" i="6"/>
  <c r="S635" i="6" s="1"/>
  <c r="R636" i="6"/>
  <c r="S636" i="6" s="1"/>
  <c r="R637" i="6"/>
  <c r="S637" i="6" s="1"/>
  <c r="R638" i="6"/>
  <c r="S638" i="6" s="1"/>
  <c r="R639" i="6"/>
  <c r="S639" i="6" s="1"/>
  <c r="R640" i="6"/>
  <c r="S640" i="6" s="1"/>
  <c r="R641" i="6"/>
  <c r="S641" i="6" s="1"/>
  <c r="R642" i="6"/>
  <c r="S642" i="6" s="1"/>
  <c r="R643" i="6"/>
  <c r="S643" i="6" s="1"/>
  <c r="R644" i="6"/>
  <c r="S644" i="6" s="1"/>
  <c r="R645" i="6"/>
  <c r="S645" i="6" s="1"/>
  <c r="R646" i="6"/>
  <c r="S646" i="6" s="1"/>
  <c r="R647" i="6"/>
  <c r="S647" i="6" s="1"/>
  <c r="R648" i="6"/>
  <c r="S648" i="6" s="1"/>
  <c r="R649" i="6"/>
  <c r="S649" i="6" s="1"/>
  <c r="R650" i="6"/>
  <c r="S650" i="6" s="1"/>
  <c r="R651" i="6"/>
  <c r="S651" i="6" s="1"/>
  <c r="R652" i="6"/>
  <c r="S652" i="6" s="1"/>
  <c r="R653" i="6"/>
  <c r="S653" i="6" s="1"/>
  <c r="R654" i="6"/>
  <c r="S654" i="6" s="1"/>
  <c r="R655" i="6"/>
  <c r="S655" i="6" s="1"/>
  <c r="R656" i="6"/>
  <c r="S656" i="6" s="1"/>
  <c r="R657" i="6"/>
  <c r="S657" i="6" s="1"/>
  <c r="R658" i="6"/>
  <c r="S658" i="6" s="1"/>
  <c r="R659" i="6"/>
  <c r="S659" i="6" s="1"/>
  <c r="R660" i="6"/>
  <c r="S660" i="6" s="1"/>
  <c r="R661" i="6"/>
  <c r="S661" i="6" s="1"/>
  <c r="R662" i="6"/>
  <c r="S662" i="6" s="1"/>
  <c r="R663" i="6"/>
  <c r="S663" i="6" s="1"/>
  <c r="R664" i="6"/>
  <c r="S664" i="6" s="1"/>
  <c r="R665" i="6"/>
  <c r="S665" i="6" s="1"/>
  <c r="R666" i="6"/>
  <c r="S666" i="6" s="1"/>
  <c r="R667" i="6"/>
  <c r="S667" i="6" s="1"/>
  <c r="R668" i="6"/>
  <c r="S668" i="6" s="1"/>
  <c r="R669" i="6"/>
  <c r="S669" i="6" s="1"/>
  <c r="R670" i="6"/>
  <c r="S670" i="6" s="1"/>
  <c r="R671" i="6"/>
  <c r="S671" i="6" s="1"/>
  <c r="R672" i="6"/>
  <c r="S672" i="6" s="1"/>
  <c r="R673" i="6"/>
  <c r="S673" i="6" s="1"/>
  <c r="R674" i="6"/>
  <c r="S674" i="6" s="1"/>
  <c r="R675" i="6"/>
  <c r="S675" i="6" s="1"/>
  <c r="R676" i="6"/>
  <c r="S676" i="6" s="1"/>
  <c r="R677" i="6"/>
  <c r="S677" i="6" s="1"/>
  <c r="R678" i="6"/>
  <c r="S678" i="6" s="1"/>
  <c r="R679" i="6"/>
  <c r="S679" i="6" s="1"/>
  <c r="R680" i="6"/>
  <c r="S680" i="6" s="1"/>
  <c r="R681" i="6"/>
  <c r="S681" i="6" s="1"/>
  <c r="R682" i="6"/>
  <c r="S682" i="6" s="1"/>
  <c r="R683" i="6"/>
  <c r="S683" i="6" s="1"/>
  <c r="R684" i="6"/>
  <c r="S684" i="6" s="1"/>
  <c r="R685" i="6"/>
  <c r="S685" i="6" s="1"/>
  <c r="R686" i="6"/>
  <c r="S686" i="6" s="1"/>
  <c r="R687" i="6"/>
  <c r="S687" i="6" s="1"/>
  <c r="R688" i="6"/>
  <c r="S688" i="6" s="1"/>
  <c r="R689" i="6"/>
  <c r="S689" i="6" s="1"/>
  <c r="R690" i="6"/>
  <c r="S690" i="6" s="1"/>
  <c r="R691" i="6"/>
  <c r="S691" i="6" s="1"/>
  <c r="R692" i="6"/>
  <c r="S692" i="6" s="1"/>
  <c r="R693" i="6"/>
  <c r="S693" i="6" s="1"/>
  <c r="R694" i="6"/>
  <c r="S694" i="6" s="1"/>
  <c r="R695" i="6"/>
  <c r="S695" i="6" s="1"/>
  <c r="R696" i="6"/>
  <c r="S696" i="6" s="1"/>
  <c r="R697" i="6"/>
  <c r="S697" i="6" s="1"/>
  <c r="R698" i="6"/>
  <c r="S698" i="6" s="1"/>
  <c r="R699" i="6"/>
  <c r="S699" i="6" s="1"/>
  <c r="R700" i="6"/>
  <c r="S700" i="6" s="1"/>
  <c r="R701" i="6"/>
  <c r="S701" i="6" s="1"/>
  <c r="R702" i="6"/>
  <c r="S702" i="6" s="1"/>
  <c r="R703" i="6"/>
  <c r="S703" i="6" s="1"/>
  <c r="R704" i="6"/>
  <c r="S704" i="6" s="1"/>
  <c r="R705" i="6"/>
  <c r="S705" i="6" s="1"/>
  <c r="R706" i="6"/>
  <c r="S706" i="6" s="1"/>
  <c r="R707" i="6"/>
  <c r="S707" i="6" s="1"/>
  <c r="R708" i="6"/>
  <c r="S708" i="6" s="1"/>
  <c r="R709" i="6"/>
  <c r="S709" i="6" s="1"/>
  <c r="R710" i="6"/>
  <c r="S710" i="6" s="1"/>
  <c r="R711" i="6"/>
  <c r="S711" i="6" s="1"/>
  <c r="R712" i="6"/>
  <c r="S712" i="6" s="1"/>
  <c r="R713" i="6"/>
  <c r="S713" i="6" s="1"/>
  <c r="R714" i="6"/>
  <c r="S714" i="6" s="1"/>
  <c r="R715" i="6"/>
  <c r="S715" i="6" s="1"/>
  <c r="R716" i="6"/>
  <c r="S716" i="6" s="1"/>
  <c r="R717" i="6"/>
  <c r="S717" i="6" s="1"/>
  <c r="R718" i="6"/>
  <c r="S718" i="6" s="1"/>
  <c r="R719" i="6"/>
  <c r="S719" i="6" s="1"/>
  <c r="R720" i="6"/>
  <c r="S720" i="6" s="1"/>
  <c r="R721" i="6"/>
  <c r="S721" i="6" s="1"/>
  <c r="R722" i="6"/>
  <c r="S722" i="6" s="1"/>
  <c r="R723" i="6"/>
  <c r="S723" i="6" s="1"/>
  <c r="R724" i="6"/>
  <c r="S724" i="6" s="1"/>
  <c r="R725" i="6"/>
  <c r="S725" i="6" s="1"/>
  <c r="R726" i="6"/>
  <c r="S726" i="6" s="1"/>
  <c r="R727" i="6"/>
  <c r="S727" i="6" s="1"/>
  <c r="R728" i="6"/>
  <c r="S728" i="6" s="1"/>
  <c r="R729" i="6"/>
  <c r="S729" i="6" s="1"/>
  <c r="R730" i="6"/>
  <c r="S730" i="6" s="1"/>
  <c r="R731" i="6"/>
  <c r="S731" i="6" s="1"/>
  <c r="R732" i="6"/>
  <c r="S732" i="6" s="1"/>
  <c r="R733" i="6"/>
  <c r="S733" i="6" s="1"/>
  <c r="R734" i="6"/>
  <c r="S734" i="6" s="1"/>
  <c r="R735" i="6"/>
  <c r="S735" i="6" s="1"/>
  <c r="R736" i="6"/>
  <c r="S736" i="6" s="1"/>
  <c r="R737" i="6"/>
  <c r="S737" i="6" s="1"/>
  <c r="R738" i="6"/>
  <c r="S738" i="6" s="1"/>
  <c r="R739" i="6"/>
  <c r="S739" i="6" s="1"/>
  <c r="R740" i="6"/>
  <c r="S740" i="6" s="1"/>
  <c r="R741" i="6"/>
  <c r="S741" i="6" s="1"/>
  <c r="R742" i="6"/>
  <c r="S742" i="6" s="1"/>
  <c r="R743" i="6"/>
  <c r="S743" i="6" s="1"/>
  <c r="R744" i="6"/>
  <c r="S744" i="6" s="1"/>
  <c r="R745" i="6"/>
  <c r="S745" i="6" s="1"/>
  <c r="R746" i="6"/>
  <c r="S746" i="6" s="1"/>
  <c r="R747" i="6"/>
  <c r="S747" i="6" s="1"/>
  <c r="R748" i="6"/>
  <c r="S748" i="6" s="1"/>
  <c r="R749" i="6"/>
  <c r="S749" i="6" s="1"/>
  <c r="R750" i="6"/>
  <c r="S750" i="6" s="1"/>
  <c r="R751" i="6"/>
  <c r="S751" i="6" s="1"/>
  <c r="R752" i="6"/>
  <c r="S752" i="6" s="1"/>
  <c r="R753" i="6"/>
  <c r="S753" i="6" s="1"/>
  <c r="R754" i="6"/>
  <c r="S754" i="6" s="1"/>
  <c r="R755" i="6"/>
  <c r="S755" i="6" s="1"/>
  <c r="R756" i="6"/>
  <c r="S756" i="6" s="1"/>
  <c r="R757" i="6"/>
  <c r="S757" i="6" s="1"/>
  <c r="R758" i="6"/>
  <c r="S758" i="6" s="1"/>
  <c r="R759" i="6"/>
  <c r="S759" i="6" s="1"/>
  <c r="R760" i="6"/>
  <c r="S760" i="6" s="1"/>
  <c r="R761" i="6"/>
  <c r="S761" i="6" s="1"/>
  <c r="R762" i="6"/>
  <c r="S762" i="6" s="1"/>
  <c r="R763" i="6"/>
  <c r="S763" i="6" s="1"/>
  <c r="R764" i="6"/>
  <c r="S764" i="6" s="1"/>
  <c r="R765" i="6"/>
  <c r="S765" i="6" s="1"/>
  <c r="R766" i="6"/>
  <c r="S766" i="6" s="1"/>
  <c r="R767" i="6"/>
  <c r="S767" i="6" s="1"/>
  <c r="R768" i="6"/>
  <c r="S768" i="6" s="1"/>
  <c r="R769" i="6"/>
  <c r="S769" i="6" s="1"/>
  <c r="R770" i="6"/>
  <c r="S770" i="6" s="1"/>
  <c r="R771" i="6"/>
  <c r="S771" i="6" s="1"/>
  <c r="R772" i="6"/>
  <c r="S772" i="6" s="1"/>
  <c r="R773" i="6"/>
  <c r="S773" i="6" s="1"/>
  <c r="R774" i="6"/>
  <c r="S774" i="6" s="1"/>
  <c r="R775" i="6"/>
  <c r="S775" i="6" s="1"/>
  <c r="R776" i="6"/>
  <c r="S776" i="6" s="1"/>
  <c r="R777" i="6"/>
  <c r="S777" i="6" s="1"/>
  <c r="R778" i="6"/>
  <c r="S778" i="6" s="1"/>
  <c r="R779" i="6"/>
  <c r="S779" i="6" s="1"/>
  <c r="R780" i="6"/>
  <c r="S780" i="6" s="1"/>
  <c r="R781" i="6"/>
  <c r="S781" i="6" s="1"/>
  <c r="R782" i="6"/>
  <c r="S782" i="6" s="1"/>
  <c r="R783" i="6"/>
  <c r="S783" i="6" s="1"/>
  <c r="R784" i="6"/>
  <c r="S784" i="6" s="1"/>
  <c r="R785" i="6"/>
  <c r="S785" i="6" s="1"/>
  <c r="R786" i="6"/>
  <c r="S786" i="6" s="1"/>
  <c r="R787" i="6"/>
  <c r="S787" i="6" s="1"/>
  <c r="R788" i="6"/>
  <c r="S788" i="6" s="1"/>
  <c r="R789" i="6"/>
  <c r="S789" i="6" s="1"/>
  <c r="R790" i="6"/>
  <c r="S790" i="6" s="1"/>
  <c r="R791" i="6"/>
  <c r="S791" i="6" s="1"/>
  <c r="R792" i="6"/>
  <c r="S792" i="6" s="1"/>
  <c r="R793" i="6"/>
  <c r="S793" i="6" s="1"/>
  <c r="R794" i="6"/>
  <c r="S794" i="6" s="1"/>
  <c r="R795" i="6"/>
  <c r="S795" i="6" s="1"/>
  <c r="R796" i="6"/>
  <c r="S796" i="6" s="1"/>
  <c r="R797" i="6"/>
  <c r="S797" i="6" s="1"/>
  <c r="R798" i="6"/>
  <c r="S798" i="6" s="1"/>
  <c r="R799" i="6"/>
  <c r="S799" i="6" s="1"/>
  <c r="R800" i="6"/>
  <c r="S800" i="6" s="1"/>
  <c r="R801" i="6"/>
  <c r="S801" i="6" s="1"/>
  <c r="R802" i="6"/>
  <c r="S802" i="6" s="1"/>
  <c r="R803" i="6"/>
  <c r="S803" i="6" s="1"/>
  <c r="R804" i="6"/>
  <c r="S804" i="6" s="1"/>
  <c r="R805" i="6"/>
  <c r="S805" i="6" s="1"/>
  <c r="R806" i="6"/>
  <c r="S806" i="6" s="1"/>
  <c r="R807" i="6"/>
  <c r="S807" i="6" s="1"/>
  <c r="R808" i="6"/>
  <c r="S808" i="6" s="1"/>
  <c r="R809" i="6"/>
  <c r="S809" i="6" s="1"/>
  <c r="R810" i="6"/>
  <c r="S810" i="6" s="1"/>
  <c r="R811" i="6"/>
  <c r="S811" i="6" s="1"/>
  <c r="R812" i="6"/>
  <c r="S812" i="6" s="1"/>
  <c r="R813" i="6"/>
  <c r="S813" i="6" s="1"/>
  <c r="R814" i="6"/>
  <c r="S814" i="6" s="1"/>
  <c r="R815" i="6"/>
  <c r="S815" i="6" s="1"/>
  <c r="R816" i="6"/>
  <c r="S816" i="6" s="1"/>
  <c r="R817" i="6"/>
  <c r="S817" i="6" s="1"/>
  <c r="R818" i="6"/>
  <c r="S818" i="6" s="1"/>
  <c r="R819" i="6"/>
  <c r="S819" i="6" s="1"/>
  <c r="R820" i="6"/>
  <c r="S820" i="6" s="1"/>
  <c r="R821" i="6"/>
  <c r="S821" i="6" s="1"/>
  <c r="R822" i="6"/>
  <c r="S822" i="6" s="1"/>
  <c r="R823" i="6"/>
  <c r="S823" i="6" s="1"/>
  <c r="R824" i="6"/>
  <c r="S824" i="6" s="1"/>
  <c r="R825" i="6"/>
  <c r="S825" i="6" s="1"/>
  <c r="R826" i="6"/>
  <c r="S826" i="6" s="1"/>
  <c r="R827" i="6"/>
  <c r="S827" i="6" s="1"/>
  <c r="R828" i="6"/>
  <c r="S828" i="6" s="1"/>
  <c r="R829" i="6"/>
  <c r="S829" i="6" s="1"/>
  <c r="R830" i="6"/>
  <c r="S830" i="6" s="1"/>
  <c r="R831" i="6"/>
  <c r="S831" i="6" s="1"/>
  <c r="R832" i="6"/>
  <c r="S832" i="6" s="1"/>
  <c r="R833" i="6"/>
  <c r="S833" i="6" s="1"/>
  <c r="R834" i="6"/>
  <c r="S834" i="6" s="1"/>
  <c r="R835" i="6"/>
  <c r="S835" i="6" s="1"/>
  <c r="R836" i="6"/>
  <c r="S836" i="6" s="1"/>
  <c r="R837" i="6"/>
  <c r="S837" i="6" s="1"/>
  <c r="R838" i="6"/>
  <c r="S838" i="6" s="1"/>
  <c r="R839" i="6"/>
  <c r="S839" i="6" s="1"/>
  <c r="R840" i="6"/>
  <c r="S840" i="6" s="1"/>
  <c r="R841" i="6"/>
  <c r="S841" i="6" s="1"/>
  <c r="R842" i="6"/>
  <c r="S842" i="6" s="1"/>
  <c r="R843" i="6"/>
  <c r="S843" i="6" s="1"/>
  <c r="R844" i="6"/>
  <c r="S844" i="6" s="1"/>
  <c r="R845" i="6"/>
  <c r="S845" i="6" s="1"/>
  <c r="R846" i="6"/>
  <c r="S846" i="6" s="1"/>
  <c r="R847" i="6"/>
  <c r="S847" i="6" s="1"/>
  <c r="R848" i="6"/>
  <c r="S848" i="6" s="1"/>
  <c r="R849" i="6"/>
  <c r="S849" i="6" s="1"/>
  <c r="R850" i="6"/>
  <c r="S850" i="6" s="1"/>
  <c r="R851" i="6"/>
  <c r="S851" i="6" s="1"/>
  <c r="R852" i="6"/>
  <c r="S852" i="6" s="1"/>
  <c r="R853" i="6"/>
  <c r="S853" i="6" s="1"/>
  <c r="R854" i="6"/>
  <c r="S854" i="6" s="1"/>
  <c r="R855" i="6"/>
  <c r="S855" i="6" s="1"/>
  <c r="R856" i="6"/>
  <c r="S856" i="6" s="1"/>
  <c r="R857" i="6"/>
  <c r="S857" i="6" s="1"/>
  <c r="R858" i="6"/>
  <c r="S858" i="6" s="1"/>
  <c r="R859" i="6"/>
  <c r="S859" i="6" s="1"/>
  <c r="R860" i="6"/>
  <c r="S860" i="6" s="1"/>
  <c r="R861" i="6"/>
  <c r="S861" i="6" s="1"/>
  <c r="R862" i="6"/>
  <c r="S862" i="6" s="1"/>
  <c r="R863" i="6"/>
  <c r="S863" i="6" s="1"/>
  <c r="R864" i="6"/>
  <c r="S864" i="6" s="1"/>
  <c r="R865" i="6"/>
  <c r="S865" i="6" s="1"/>
  <c r="R866" i="6"/>
  <c r="S866" i="6" s="1"/>
  <c r="R867" i="6"/>
  <c r="S867" i="6" s="1"/>
  <c r="R868" i="6"/>
  <c r="S868" i="6" s="1"/>
  <c r="R869" i="6"/>
  <c r="S869" i="6" s="1"/>
  <c r="R870" i="6"/>
  <c r="S870" i="6" s="1"/>
  <c r="R871" i="6"/>
  <c r="S871" i="6" s="1"/>
  <c r="R872" i="6"/>
  <c r="S872" i="6" s="1"/>
  <c r="R873" i="6"/>
  <c r="S873" i="6" s="1"/>
  <c r="R874" i="6"/>
  <c r="S874" i="6" s="1"/>
  <c r="R875" i="6"/>
  <c r="S875" i="6" s="1"/>
  <c r="R876" i="6"/>
  <c r="S876" i="6" s="1"/>
  <c r="R877" i="6"/>
  <c r="S877" i="6" s="1"/>
  <c r="R878" i="6"/>
  <c r="S878" i="6" s="1"/>
  <c r="R879" i="6"/>
  <c r="S879" i="6" s="1"/>
  <c r="R880" i="6"/>
  <c r="S880" i="6" s="1"/>
  <c r="R881" i="6"/>
  <c r="S881" i="6" s="1"/>
  <c r="R882" i="6"/>
  <c r="S882" i="6" s="1"/>
  <c r="R883" i="6"/>
  <c r="S883" i="6" s="1"/>
  <c r="R884" i="6"/>
  <c r="S884" i="6" s="1"/>
  <c r="R885" i="6"/>
  <c r="S885" i="6" s="1"/>
  <c r="R886" i="6"/>
  <c r="S886" i="6" s="1"/>
  <c r="R887" i="6"/>
  <c r="S887" i="6" s="1"/>
  <c r="R888" i="6"/>
  <c r="S888" i="6" s="1"/>
  <c r="R889" i="6"/>
  <c r="S889" i="6" s="1"/>
  <c r="R890" i="6"/>
  <c r="S890" i="6" s="1"/>
  <c r="R891" i="6"/>
  <c r="S891" i="6" s="1"/>
  <c r="R892" i="6"/>
  <c r="S892" i="6" s="1"/>
  <c r="R893" i="6"/>
  <c r="S893" i="6" s="1"/>
  <c r="R894" i="6"/>
  <c r="S894" i="6" s="1"/>
  <c r="R895" i="6"/>
  <c r="S895" i="6" s="1"/>
  <c r="R896" i="6"/>
  <c r="S896" i="6" s="1"/>
  <c r="R897" i="6"/>
  <c r="S897" i="6" s="1"/>
  <c r="R898" i="6"/>
  <c r="S898" i="6" s="1"/>
  <c r="R899" i="6"/>
  <c r="S899" i="6" s="1"/>
  <c r="R900" i="6"/>
  <c r="S900" i="6" s="1"/>
  <c r="R901" i="6"/>
  <c r="S901" i="6" s="1"/>
  <c r="R902" i="6"/>
  <c r="S902" i="6" s="1"/>
  <c r="R903" i="6"/>
  <c r="S903" i="6" s="1"/>
  <c r="R904" i="6"/>
  <c r="S904" i="6" s="1"/>
  <c r="R905" i="6"/>
  <c r="S905" i="6" s="1"/>
  <c r="R906" i="6"/>
  <c r="S906" i="6" s="1"/>
  <c r="R907" i="6"/>
  <c r="S907" i="6" s="1"/>
  <c r="R908" i="6"/>
  <c r="S908" i="6" s="1"/>
  <c r="R909" i="6"/>
  <c r="S909" i="6" s="1"/>
  <c r="R910" i="6"/>
  <c r="S910" i="6" s="1"/>
  <c r="R911" i="6"/>
  <c r="S911" i="6" s="1"/>
  <c r="R912" i="6"/>
  <c r="S912" i="6" s="1"/>
  <c r="R913" i="6"/>
  <c r="S913" i="6" s="1"/>
  <c r="R914" i="6"/>
  <c r="S914" i="6" s="1"/>
  <c r="R915" i="6"/>
  <c r="S915" i="6" s="1"/>
  <c r="R916" i="6"/>
  <c r="S916" i="6" s="1"/>
  <c r="R917" i="6"/>
  <c r="S917" i="6" s="1"/>
  <c r="R918" i="6"/>
  <c r="S918" i="6" s="1"/>
  <c r="R919" i="6"/>
  <c r="S919" i="6" s="1"/>
  <c r="R920" i="6"/>
  <c r="S920" i="6" s="1"/>
  <c r="R921" i="6"/>
  <c r="S921" i="6" s="1"/>
  <c r="R922" i="6"/>
  <c r="S922" i="6" s="1"/>
  <c r="R923" i="6"/>
  <c r="S923" i="6" s="1"/>
  <c r="R924" i="6"/>
  <c r="S924" i="6" s="1"/>
  <c r="R925" i="6"/>
  <c r="S925" i="6" s="1"/>
  <c r="R926" i="6"/>
  <c r="S926" i="6" s="1"/>
  <c r="R927" i="6"/>
  <c r="S927" i="6" s="1"/>
  <c r="R928" i="6"/>
  <c r="S928" i="6" s="1"/>
  <c r="R929" i="6"/>
  <c r="S929" i="6" s="1"/>
  <c r="R930" i="6"/>
  <c r="S930" i="6" s="1"/>
  <c r="R931" i="6"/>
  <c r="S931" i="6" s="1"/>
  <c r="R932" i="6"/>
  <c r="S932" i="6" s="1"/>
  <c r="R933" i="6"/>
  <c r="S933" i="6" s="1"/>
  <c r="R934" i="6"/>
  <c r="S934" i="6" s="1"/>
  <c r="R935" i="6"/>
  <c r="S935" i="6" s="1"/>
  <c r="R936" i="6"/>
  <c r="S936" i="6" s="1"/>
  <c r="R937" i="6"/>
  <c r="S937" i="6" s="1"/>
  <c r="R938" i="6"/>
  <c r="S938" i="6" s="1"/>
  <c r="R939" i="6"/>
  <c r="S939" i="6" s="1"/>
  <c r="R940" i="6"/>
  <c r="S940" i="6" s="1"/>
  <c r="R941" i="6"/>
  <c r="S941" i="6" s="1"/>
  <c r="R942" i="6"/>
  <c r="S942" i="6" s="1"/>
  <c r="R943" i="6"/>
  <c r="S943" i="6" s="1"/>
  <c r="R944" i="6"/>
  <c r="S944" i="6" s="1"/>
  <c r="R945" i="6"/>
  <c r="S945" i="6" s="1"/>
  <c r="R946" i="6"/>
  <c r="S946" i="6" s="1"/>
  <c r="R947" i="6"/>
  <c r="S947" i="6" s="1"/>
  <c r="R948" i="6"/>
  <c r="S948" i="6" s="1"/>
  <c r="R949" i="6"/>
  <c r="S949" i="6" s="1"/>
  <c r="R950" i="6"/>
  <c r="S950" i="6" s="1"/>
  <c r="R951" i="6"/>
  <c r="S951" i="6" s="1"/>
  <c r="R952" i="6"/>
  <c r="S952" i="6" s="1"/>
  <c r="R953" i="6"/>
  <c r="S953" i="6" s="1"/>
  <c r="R954" i="6"/>
  <c r="S954" i="6" s="1"/>
  <c r="R955" i="6"/>
  <c r="S955" i="6" s="1"/>
  <c r="R956" i="6"/>
  <c r="S956" i="6" s="1"/>
  <c r="R957" i="6"/>
  <c r="S957" i="6" s="1"/>
  <c r="R958" i="6"/>
  <c r="S958" i="6" s="1"/>
  <c r="R959" i="6"/>
  <c r="S959" i="6" s="1"/>
  <c r="R960" i="6"/>
  <c r="S960" i="6" s="1"/>
  <c r="R961" i="6"/>
  <c r="S961" i="6" s="1"/>
  <c r="R962" i="6"/>
  <c r="S962" i="6" s="1"/>
  <c r="R963" i="6"/>
  <c r="S963" i="6" s="1"/>
  <c r="R964" i="6"/>
  <c r="S964" i="6" s="1"/>
  <c r="R965" i="6"/>
  <c r="S965" i="6" s="1"/>
  <c r="R966" i="6"/>
  <c r="S966" i="6" s="1"/>
  <c r="R967" i="6"/>
  <c r="S967" i="6" s="1"/>
  <c r="R968" i="6"/>
  <c r="S968" i="6" s="1"/>
  <c r="R969" i="6"/>
  <c r="S969" i="6" s="1"/>
  <c r="R970" i="6"/>
  <c r="S970" i="6" s="1"/>
  <c r="R971" i="6"/>
  <c r="S971" i="6" s="1"/>
  <c r="R972" i="6"/>
  <c r="S972" i="6" s="1"/>
  <c r="R973" i="6"/>
  <c r="S973" i="6" s="1"/>
  <c r="R974" i="6"/>
  <c r="S974" i="6" s="1"/>
  <c r="R975" i="6"/>
  <c r="S975" i="6" s="1"/>
  <c r="R976" i="6"/>
  <c r="S976" i="6" s="1"/>
  <c r="R977" i="6"/>
  <c r="S977" i="6" s="1"/>
  <c r="R978" i="6"/>
  <c r="S978" i="6" s="1"/>
  <c r="R979" i="6"/>
  <c r="S979" i="6" s="1"/>
  <c r="R980" i="6"/>
  <c r="S980" i="6" s="1"/>
  <c r="R981" i="6"/>
  <c r="S981" i="6" s="1"/>
  <c r="R982" i="6"/>
  <c r="S982" i="6" s="1"/>
  <c r="R983" i="6"/>
  <c r="S983" i="6" s="1"/>
  <c r="R984" i="6"/>
  <c r="S984" i="6" s="1"/>
  <c r="R985" i="6"/>
  <c r="S985" i="6" s="1"/>
  <c r="R986" i="6"/>
  <c r="S986" i="6" s="1"/>
  <c r="R987" i="6"/>
  <c r="S987" i="6" s="1"/>
  <c r="R988" i="6"/>
  <c r="S988" i="6" s="1"/>
  <c r="R989" i="6"/>
  <c r="S989" i="6" s="1"/>
  <c r="R990" i="6"/>
  <c r="S990" i="6" s="1"/>
  <c r="R991" i="6"/>
  <c r="S991" i="6" s="1"/>
  <c r="R992" i="6"/>
  <c r="S992" i="6" s="1"/>
  <c r="R993" i="6"/>
  <c r="S993" i="6" s="1"/>
  <c r="R994" i="6"/>
  <c r="S994" i="6" s="1"/>
  <c r="R995" i="6"/>
  <c r="S995" i="6" s="1"/>
  <c r="R996" i="6"/>
  <c r="S996" i="6" s="1"/>
  <c r="R997" i="6"/>
  <c r="S997" i="6" s="1"/>
  <c r="R998" i="6"/>
  <c r="S998" i="6" s="1"/>
  <c r="R999" i="6"/>
  <c r="S999" i="6" s="1"/>
  <c r="R1000" i="6"/>
  <c r="S1000" i="6" s="1"/>
  <c r="R1001" i="6"/>
  <c r="S1001" i="6" s="1"/>
  <c r="R1002" i="6"/>
  <c r="S1002" i="6" s="1"/>
  <c r="R1003" i="6"/>
  <c r="S1003" i="6" s="1"/>
  <c r="R1004" i="6"/>
  <c r="S1004" i="6" s="1"/>
  <c r="R1005" i="6"/>
  <c r="S1005" i="6" s="1"/>
  <c r="R1006" i="6"/>
  <c r="S1006" i="6" s="1"/>
  <c r="R1007" i="6"/>
  <c r="S1007" i="6" s="1"/>
  <c r="R1008" i="6"/>
  <c r="S1008" i="6" s="1"/>
  <c r="R1009" i="6"/>
  <c r="S1009" i="6" s="1"/>
  <c r="R1010" i="6"/>
  <c r="S1010" i="6" s="1"/>
  <c r="R1011" i="6"/>
  <c r="S1011" i="6" s="1"/>
  <c r="R1012" i="6"/>
  <c r="S1012" i="6" s="1"/>
  <c r="R1013" i="6"/>
  <c r="S1013" i="6" s="1"/>
  <c r="R1014" i="6"/>
  <c r="S1014" i="6" s="1"/>
  <c r="R1015" i="6"/>
  <c r="S1015" i="6" s="1"/>
  <c r="R1016" i="6"/>
  <c r="S1016" i="6" s="1"/>
  <c r="R1017" i="6"/>
  <c r="S1017" i="6" s="1"/>
  <c r="R1018" i="6"/>
  <c r="S1018" i="6" s="1"/>
  <c r="R1019" i="6"/>
  <c r="S1019" i="6" s="1"/>
  <c r="R1020" i="6"/>
  <c r="S1020" i="6" s="1"/>
  <c r="R1021" i="6"/>
  <c r="S1021" i="6" s="1"/>
  <c r="R1022" i="6"/>
  <c r="S1022" i="6" s="1"/>
  <c r="R1023" i="6"/>
  <c r="S1023" i="6" s="1"/>
  <c r="R1024" i="6"/>
  <c r="S1024" i="6" s="1"/>
  <c r="R1025" i="6"/>
  <c r="S1025" i="6" s="1"/>
  <c r="R1026" i="6"/>
  <c r="S1026" i="6" s="1"/>
  <c r="R1027" i="6"/>
  <c r="S1027" i="6" s="1"/>
  <c r="R1028" i="6"/>
  <c r="S1028" i="6" s="1"/>
  <c r="R1029" i="6"/>
  <c r="S1029" i="6" s="1"/>
  <c r="R1030" i="6"/>
  <c r="S1030" i="6" s="1"/>
  <c r="R1031" i="6"/>
  <c r="S1031" i="6" s="1"/>
  <c r="R1032" i="6"/>
  <c r="S1032" i="6" s="1"/>
  <c r="R1033" i="6"/>
  <c r="S1033" i="6" s="1"/>
  <c r="R1034" i="6"/>
  <c r="S1034" i="6" s="1"/>
  <c r="R1035" i="6"/>
  <c r="S1035" i="6" s="1"/>
  <c r="R1036" i="6"/>
  <c r="S1036" i="6" s="1"/>
  <c r="R1037" i="6"/>
  <c r="S1037" i="6" s="1"/>
  <c r="R1038" i="6"/>
  <c r="S1038" i="6" s="1"/>
  <c r="R1039" i="6"/>
  <c r="S1039" i="6" s="1"/>
  <c r="R1040" i="6"/>
  <c r="S1040" i="6" s="1"/>
  <c r="R1041" i="6"/>
  <c r="S1041" i="6" s="1"/>
  <c r="R1042" i="6"/>
  <c r="S1042" i="6" s="1"/>
  <c r="R1043" i="6"/>
  <c r="S1043" i="6" s="1"/>
  <c r="R1044" i="6"/>
  <c r="S1044" i="6" s="1"/>
  <c r="R1045" i="6"/>
  <c r="S1045" i="6" s="1"/>
  <c r="R1046" i="6"/>
  <c r="S1046" i="6" s="1"/>
  <c r="R1047" i="6"/>
  <c r="S1047" i="6" s="1"/>
  <c r="R1048" i="6"/>
  <c r="S1048" i="6" s="1"/>
  <c r="R1049" i="6"/>
  <c r="S1049" i="6" s="1"/>
  <c r="R1050" i="6"/>
  <c r="S1050" i="6" s="1"/>
  <c r="R1051" i="6"/>
  <c r="S1051" i="6" s="1"/>
  <c r="R1052" i="6"/>
  <c r="S1052" i="6" s="1"/>
  <c r="R1053" i="6"/>
  <c r="S1053" i="6" s="1"/>
  <c r="R1054" i="6"/>
  <c r="S1054" i="6" s="1"/>
  <c r="R1055" i="6"/>
  <c r="S1055" i="6" s="1"/>
  <c r="R1056" i="6"/>
  <c r="S1056" i="6" s="1"/>
  <c r="R1057" i="6"/>
  <c r="S1057" i="6" s="1"/>
  <c r="R1058" i="6"/>
  <c r="S1058" i="6" s="1"/>
  <c r="R1059" i="6"/>
  <c r="S1059" i="6" s="1"/>
  <c r="R1060" i="6"/>
  <c r="S1060" i="6" s="1"/>
  <c r="R1061" i="6"/>
  <c r="S1061" i="6" s="1"/>
  <c r="R1062" i="6"/>
  <c r="S1062" i="6" s="1"/>
  <c r="R1063" i="6"/>
  <c r="S1063" i="6" s="1"/>
  <c r="R1064" i="6"/>
  <c r="S1064" i="6" s="1"/>
  <c r="R1065" i="6"/>
  <c r="S1065" i="6" s="1"/>
  <c r="R1066" i="6"/>
  <c r="S1066" i="6" s="1"/>
  <c r="R1067" i="6"/>
  <c r="S1067" i="6" s="1"/>
  <c r="R1068" i="6"/>
  <c r="S1068" i="6" s="1"/>
  <c r="R1069" i="6"/>
  <c r="S1069" i="6" s="1"/>
  <c r="R1070" i="6"/>
  <c r="S1070" i="6" s="1"/>
  <c r="R1071" i="6"/>
  <c r="S1071" i="6" s="1"/>
  <c r="R1072" i="6"/>
  <c r="S1072" i="6" s="1"/>
  <c r="R1073" i="6"/>
  <c r="S1073" i="6" s="1"/>
  <c r="R1074" i="6"/>
  <c r="S1074" i="6" s="1"/>
  <c r="R1075" i="6"/>
  <c r="S1075" i="6" s="1"/>
  <c r="R1076" i="6"/>
  <c r="S1076" i="6" s="1"/>
  <c r="R1077" i="6"/>
  <c r="S1077" i="6" s="1"/>
  <c r="R1078" i="6"/>
  <c r="S1078" i="6" s="1"/>
  <c r="R1079" i="6"/>
  <c r="S1079" i="6" s="1"/>
  <c r="R1080" i="6"/>
  <c r="S1080" i="6" s="1"/>
  <c r="R1081" i="6"/>
  <c r="S1081" i="6" s="1"/>
  <c r="R1082" i="6"/>
  <c r="S1082" i="6" s="1"/>
  <c r="R1083" i="6"/>
  <c r="S1083" i="6" s="1"/>
  <c r="R1084" i="6"/>
  <c r="S1084" i="6" s="1"/>
  <c r="R1085" i="6"/>
  <c r="S1085" i="6" s="1"/>
  <c r="R1086" i="6"/>
  <c r="S1086" i="6" s="1"/>
  <c r="R1087" i="6"/>
  <c r="S1087" i="6" s="1"/>
  <c r="R1088" i="6"/>
  <c r="S1088" i="6" s="1"/>
  <c r="R1089" i="6"/>
  <c r="S1089" i="6" s="1"/>
  <c r="R1090" i="6"/>
  <c r="S1090" i="6" s="1"/>
  <c r="R1091" i="6"/>
  <c r="S1091" i="6" s="1"/>
  <c r="R1092" i="6"/>
  <c r="S1092" i="6" s="1"/>
  <c r="R1093" i="6"/>
  <c r="S1093" i="6" s="1"/>
  <c r="R1094" i="6"/>
  <c r="S1094" i="6" s="1"/>
  <c r="R1095" i="6"/>
  <c r="S1095" i="6" s="1"/>
  <c r="R1096" i="6"/>
  <c r="S1096" i="6" s="1"/>
  <c r="R1097" i="6"/>
  <c r="S1097" i="6" s="1"/>
  <c r="R1098" i="6"/>
  <c r="S1098" i="6" s="1"/>
  <c r="R1099" i="6"/>
  <c r="S1099" i="6" s="1"/>
  <c r="R1100" i="6"/>
  <c r="S1100" i="6" s="1"/>
  <c r="R1101" i="6"/>
  <c r="S1101" i="6" s="1"/>
  <c r="R1102" i="6"/>
  <c r="S1102" i="6" s="1"/>
  <c r="R1103" i="6"/>
  <c r="S1103" i="6" s="1"/>
  <c r="R1104" i="6"/>
  <c r="S1104" i="6" s="1"/>
  <c r="R1105" i="6"/>
  <c r="S1105" i="6" s="1"/>
  <c r="R1106" i="6"/>
  <c r="S1106" i="6" s="1"/>
  <c r="R1107" i="6"/>
  <c r="S1107" i="6" s="1"/>
  <c r="R1108" i="6"/>
  <c r="S1108" i="6" s="1"/>
  <c r="R1109" i="6"/>
  <c r="S1109" i="6" s="1"/>
  <c r="R1110" i="6"/>
  <c r="S1110" i="6" s="1"/>
  <c r="R1111" i="6"/>
  <c r="S1111" i="6" s="1"/>
  <c r="R1112" i="6"/>
  <c r="S1112" i="6" s="1"/>
  <c r="R1113" i="6"/>
  <c r="S1113" i="6" s="1"/>
  <c r="R1114" i="6"/>
  <c r="S1114" i="6" s="1"/>
  <c r="R1115" i="6"/>
  <c r="S1115" i="6" s="1"/>
  <c r="R1116" i="6"/>
  <c r="S1116" i="6" s="1"/>
  <c r="R1117" i="6"/>
  <c r="S1117" i="6" s="1"/>
  <c r="R1118" i="6"/>
  <c r="S1118" i="6" s="1"/>
  <c r="R1119" i="6"/>
  <c r="S1119" i="6" s="1"/>
  <c r="R1120" i="6"/>
  <c r="S1120" i="6" s="1"/>
  <c r="R1121" i="6"/>
  <c r="S1121" i="6" s="1"/>
  <c r="R1122" i="6"/>
  <c r="S1122" i="6" s="1"/>
  <c r="R1123" i="6"/>
  <c r="S1123" i="6" s="1"/>
  <c r="R1124" i="6"/>
  <c r="S1124" i="6" s="1"/>
  <c r="R1125" i="6"/>
  <c r="S1125" i="6" s="1"/>
  <c r="R1126" i="6"/>
  <c r="S1126" i="6" s="1"/>
  <c r="R1127" i="6"/>
  <c r="S1127" i="6" s="1"/>
  <c r="R1128" i="6"/>
  <c r="S1128" i="6" s="1"/>
  <c r="R1129" i="6"/>
  <c r="S1129" i="6" s="1"/>
  <c r="R1130" i="6"/>
  <c r="S1130" i="6" s="1"/>
  <c r="R1131" i="6"/>
  <c r="S1131" i="6" s="1"/>
  <c r="R1132" i="6"/>
  <c r="S1132" i="6" s="1"/>
  <c r="R1133" i="6"/>
  <c r="S1133" i="6" s="1"/>
  <c r="R1134" i="6"/>
  <c r="S1134" i="6" s="1"/>
  <c r="R1135" i="6"/>
  <c r="S1135" i="6" s="1"/>
  <c r="R1136" i="6"/>
  <c r="S1136" i="6" s="1"/>
  <c r="R1137" i="6"/>
  <c r="S1137" i="6" s="1"/>
  <c r="R1138" i="6"/>
  <c r="S1138" i="6" s="1"/>
  <c r="R1139" i="6"/>
  <c r="S1139" i="6" s="1"/>
  <c r="R1140" i="6"/>
  <c r="S1140" i="6" s="1"/>
  <c r="R1141" i="6"/>
  <c r="S1141" i="6" s="1"/>
  <c r="R1142" i="6"/>
  <c r="S1142" i="6" s="1"/>
  <c r="R1143" i="6"/>
  <c r="S1143" i="6" s="1"/>
  <c r="R1144" i="6"/>
  <c r="S1144" i="6" s="1"/>
  <c r="R1145" i="6"/>
  <c r="S1145" i="6" s="1"/>
  <c r="R1146" i="6"/>
  <c r="S1146" i="6" s="1"/>
  <c r="R1147" i="6"/>
  <c r="S1147" i="6" s="1"/>
  <c r="R1148" i="6"/>
  <c r="S1148" i="6" s="1"/>
  <c r="R1149" i="6"/>
  <c r="S1149" i="6" s="1"/>
  <c r="R1150" i="6"/>
  <c r="S1150" i="6" s="1"/>
  <c r="R1151" i="6"/>
  <c r="S1151" i="6" s="1"/>
  <c r="R1152" i="6"/>
  <c r="S1152" i="6" s="1"/>
  <c r="R1153" i="6"/>
  <c r="S1153" i="6" s="1"/>
  <c r="R1154" i="6"/>
  <c r="S1154" i="6" s="1"/>
  <c r="R1155" i="6"/>
  <c r="S1155" i="6" s="1"/>
  <c r="R1156" i="6"/>
  <c r="S1156" i="6" s="1"/>
  <c r="R1157" i="6"/>
  <c r="S1157" i="6" s="1"/>
  <c r="R1158" i="6"/>
  <c r="S1158" i="6" s="1"/>
  <c r="R1159" i="6"/>
  <c r="S1159" i="6" s="1"/>
  <c r="R1160" i="6"/>
  <c r="S1160" i="6" s="1"/>
  <c r="R1161" i="6"/>
  <c r="S1161" i="6" s="1"/>
  <c r="R1162" i="6"/>
  <c r="S1162" i="6" s="1"/>
  <c r="R1163" i="6"/>
  <c r="S1163" i="6" s="1"/>
  <c r="R1164" i="6"/>
  <c r="S1164" i="6" s="1"/>
  <c r="R1165" i="6"/>
  <c r="S1165" i="6" s="1"/>
  <c r="R1166" i="6"/>
  <c r="S1166" i="6" s="1"/>
  <c r="R1167" i="6"/>
  <c r="S1167" i="6" s="1"/>
  <c r="R1168" i="6"/>
  <c r="S1168" i="6" s="1"/>
  <c r="R1169" i="6"/>
  <c r="S1169" i="6" s="1"/>
  <c r="R1170" i="6"/>
  <c r="S1170" i="6" s="1"/>
  <c r="R1171" i="6"/>
  <c r="S1171" i="6" s="1"/>
  <c r="R1172" i="6"/>
  <c r="S1172" i="6" s="1"/>
  <c r="R1173" i="6"/>
  <c r="S1173" i="6" s="1"/>
  <c r="R1174" i="6"/>
  <c r="S1174" i="6" s="1"/>
  <c r="R1175" i="6"/>
  <c r="S1175" i="6" s="1"/>
  <c r="R1176" i="6"/>
  <c r="S1176" i="6" s="1"/>
  <c r="R1177" i="6"/>
  <c r="S1177" i="6" s="1"/>
  <c r="R1178" i="6"/>
  <c r="S1178" i="6" s="1"/>
  <c r="R1179" i="6"/>
  <c r="S1179" i="6" s="1"/>
  <c r="R1180" i="6"/>
  <c r="S1180" i="6" s="1"/>
  <c r="R1181" i="6"/>
  <c r="S1181" i="6" s="1"/>
  <c r="R1182" i="6"/>
  <c r="S1182" i="6" s="1"/>
  <c r="R1183" i="6"/>
  <c r="S1183" i="6" s="1"/>
  <c r="R1184" i="6"/>
  <c r="S1184" i="6" s="1"/>
  <c r="R1185" i="6"/>
  <c r="S1185" i="6" s="1"/>
  <c r="R1186" i="6"/>
  <c r="S1186" i="6" s="1"/>
  <c r="R1187" i="6"/>
  <c r="S1187" i="6" s="1"/>
  <c r="R1188" i="6"/>
  <c r="S1188" i="6" s="1"/>
  <c r="R1189" i="6"/>
  <c r="S1189" i="6" s="1"/>
  <c r="R1190" i="6"/>
  <c r="S1190" i="6" s="1"/>
  <c r="R1191" i="6"/>
  <c r="S1191" i="6" s="1"/>
  <c r="R1192" i="6"/>
  <c r="S1192" i="6" s="1"/>
  <c r="R1193" i="6"/>
  <c r="S1193" i="6" s="1"/>
  <c r="R1194" i="6"/>
  <c r="S1194" i="6" s="1"/>
  <c r="R1195" i="6"/>
  <c r="S1195" i="6" s="1"/>
  <c r="R1196" i="6"/>
  <c r="S1196" i="6" s="1"/>
  <c r="R1197" i="6"/>
  <c r="S1197" i="6" s="1"/>
  <c r="R1198" i="6"/>
  <c r="S1198" i="6" s="1"/>
  <c r="R1199" i="6"/>
  <c r="S1199" i="6" s="1"/>
  <c r="R1200" i="6"/>
  <c r="S1200" i="6" s="1"/>
  <c r="R1201" i="6"/>
  <c r="S1201" i="6" s="1"/>
  <c r="R1202" i="6"/>
  <c r="S1202" i="6" s="1"/>
  <c r="R1203" i="6"/>
  <c r="S1203" i="6" s="1"/>
  <c r="R1204" i="6"/>
  <c r="S1204" i="6" s="1"/>
  <c r="R1205" i="6"/>
  <c r="S1205" i="6" s="1"/>
  <c r="R1206" i="6"/>
  <c r="S1206" i="6" s="1"/>
  <c r="R1207" i="6"/>
  <c r="S1207" i="6" s="1"/>
  <c r="R1208" i="6"/>
  <c r="S1208" i="6" s="1"/>
  <c r="R1209" i="6"/>
  <c r="S1209" i="6" s="1"/>
  <c r="R1210" i="6"/>
  <c r="S1210" i="6" s="1"/>
  <c r="R1211" i="6"/>
  <c r="S1211" i="6" s="1"/>
  <c r="R1212" i="6"/>
  <c r="S1212" i="6" s="1"/>
  <c r="R1213" i="6"/>
  <c r="S1213" i="6" s="1"/>
  <c r="R1214" i="6"/>
  <c r="S1214" i="6" s="1"/>
  <c r="R1215" i="6"/>
  <c r="S1215" i="6" s="1"/>
  <c r="R1216" i="6"/>
  <c r="S1216" i="6" s="1"/>
  <c r="R1217" i="6"/>
  <c r="S1217" i="6" s="1"/>
  <c r="R1218" i="6"/>
  <c r="S1218" i="6" s="1"/>
  <c r="R1219" i="6"/>
  <c r="S1219" i="6" s="1"/>
  <c r="R1220" i="6"/>
  <c r="S1220" i="6" s="1"/>
  <c r="R1221" i="6"/>
  <c r="S1221" i="6" s="1"/>
  <c r="R1222" i="6"/>
  <c r="S1222" i="6" s="1"/>
  <c r="R1223" i="6"/>
  <c r="S1223" i="6" s="1"/>
  <c r="R1224" i="6"/>
  <c r="S1224" i="6" s="1"/>
  <c r="R1225" i="6"/>
  <c r="S1225" i="6" s="1"/>
  <c r="R1226" i="6"/>
  <c r="S1226" i="6" s="1"/>
  <c r="R1227" i="6"/>
  <c r="S1227" i="6" s="1"/>
  <c r="R1228" i="6"/>
  <c r="S1228" i="6" s="1"/>
  <c r="R1229" i="6"/>
  <c r="S1229" i="6" s="1"/>
  <c r="R1230" i="6"/>
  <c r="S1230" i="6" s="1"/>
  <c r="R1231" i="6"/>
  <c r="S1231" i="6" s="1"/>
  <c r="R1232" i="6"/>
  <c r="S1232" i="6" s="1"/>
  <c r="R1233" i="6"/>
  <c r="S1233" i="6" s="1"/>
  <c r="R1234" i="6"/>
  <c r="S1234" i="6" s="1"/>
  <c r="R1235" i="6"/>
  <c r="S1235" i="6" s="1"/>
  <c r="R1236" i="6"/>
  <c r="S1236" i="6" s="1"/>
  <c r="R1237" i="6"/>
  <c r="S1237" i="6" s="1"/>
  <c r="R1238" i="6"/>
  <c r="S1238" i="6" s="1"/>
  <c r="R1239" i="6"/>
  <c r="S1239" i="6" s="1"/>
  <c r="R1240" i="6"/>
  <c r="S1240" i="6" s="1"/>
  <c r="R1241" i="6"/>
  <c r="S1241" i="6" s="1"/>
  <c r="R1242" i="6"/>
  <c r="S1242" i="6" s="1"/>
  <c r="R1243" i="6"/>
  <c r="S1243" i="6" s="1"/>
  <c r="R1244" i="6"/>
  <c r="S1244" i="6" s="1"/>
  <c r="R1245" i="6"/>
  <c r="S1245" i="6" s="1"/>
  <c r="R1246" i="6"/>
  <c r="S1246" i="6" s="1"/>
  <c r="R1247" i="6"/>
  <c r="S1247" i="6" s="1"/>
  <c r="R1248" i="6"/>
  <c r="S1248" i="6" s="1"/>
  <c r="R1249" i="6"/>
  <c r="S1249" i="6" s="1"/>
  <c r="R1250" i="6"/>
  <c r="S1250" i="6" s="1"/>
  <c r="R1251" i="6"/>
  <c r="S1251" i="6" s="1"/>
  <c r="R1252" i="6"/>
  <c r="S1252" i="6" s="1"/>
  <c r="R1253" i="6"/>
  <c r="S1253" i="6" s="1"/>
  <c r="R1254" i="6"/>
  <c r="S1254" i="6" s="1"/>
  <c r="R1255" i="6"/>
  <c r="S1255" i="6" s="1"/>
  <c r="R1256" i="6"/>
  <c r="S1256" i="6" s="1"/>
  <c r="R1257" i="6"/>
  <c r="S1257" i="6" s="1"/>
  <c r="R1258" i="6"/>
  <c r="S1258" i="6" s="1"/>
  <c r="R1259" i="6"/>
  <c r="S1259" i="6" s="1"/>
  <c r="R1260" i="6"/>
  <c r="S1260" i="6" s="1"/>
  <c r="R1261" i="6"/>
  <c r="S1261" i="6" s="1"/>
  <c r="R1262" i="6"/>
  <c r="S1262" i="6" s="1"/>
  <c r="R1263" i="6"/>
  <c r="S1263" i="6" s="1"/>
  <c r="R1264" i="6"/>
  <c r="S1264" i="6" s="1"/>
  <c r="R1265" i="6"/>
  <c r="S1265" i="6" s="1"/>
  <c r="R1266" i="6"/>
  <c r="S1266" i="6" s="1"/>
  <c r="R1267" i="6"/>
  <c r="S1267" i="6" s="1"/>
  <c r="R1268" i="6"/>
  <c r="S1268" i="6" s="1"/>
  <c r="R1269" i="6"/>
  <c r="S1269" i="6" s="1"/>
  <c r="R1270" i="6"/>
  <c r="S1270" i="6" s="1"/>
  <c r="R1271" i="6"/>
  <c r="S1271" i="6" s="1"/>
  <c r="R1272" i="6"/>
  <c r="S1272" i="6" s="1"/>
  <c r="R1273" i="6"/>
  <c r="S1273" i="6" s="1"/>
  <c r="R1274" i="6"/>
  <c r="S1274" i="6" s="1"/>
  <c r="R1275" i="6"/>
  <c r="S1275" i="6" s="1"/>
  <c r="R1276" i="6"/>
  <c r="S1276" i="6" s="1"/>
  <c r="R1277" i="6"/>
  <c r="S1277" i="6" s="1"/>
  <c r="R1278" i="6"/>
  <c r="S1278" i="6" s="1"/>
  <c r="R1279" i="6"/>
  <c r="S1279" i="6" s="1"/>
  <c r="R1280" i="6"/>
  <c r="S1280" i="6" s="1"/>
  <c r="R1281" i="6"/>
  <c r="S1281" i="6" s="1"/>
  <c r="R1282" i="6"/>
  <c r="S1282" i="6" s="1"/>
  <c r="R1283" i="6"/>
  <c r="S1283" i="6" s="1"/>
  <c r="R1284" i="6"/>
  <c r="S1284" i="6" s="1"/>
  <c r="R1285" i="6"/>
  <c r="S1285" i="6" s="1"/>
  <c r="R1286" i="6"/>
  <c r="S1286" i="6" s="1"/>
  <c r="R1287" i="6"/>
  <c r="S1287" i="6" s="1"/>
  <c r="R1288" i="6"/>
  <c r="S1288" i="6" s="1"/>
  <c r="R1289" i="6"/>
  <c r="S1289" i="6" s="1"/>
  <c r="R1290" i="6"/>
  <c r="S1290" i="6" s="1"/>
  <c r="R1291" i="6"/>
  <c r="S1291" i="6" s="1"/>
  <c r="R1292" i="6"/>
  <c r="S1292" i="6" s="1"/>
  <c r="R1293" i="6"/>
  <c r="S1293" i="6" s="1"/>
  <c r="R1294" i="6"/>
  <c r="S1294" i="6" s="1"/>
  <c r="R1295" i="6"/>
  <c r="S1295" i="6" s="1"/>
  <c r="R1296" i="6"/>
  <c r="S1296" i="6" s="1"/>
  <c r="R1297" i="6"/>
  <c r="S1297" i="6" s="1"/>
  <c r="R1298" i="6"/>
  <c r="S1298" i="6" s="1"/>
  <c r="R1299" i="6"/>
  <c r="S1299" i="6" s="1"/>
  <c r="R1300" i="6"/>
  <c r="S1300" i="6" s="1"/>
  <c r="R1301" i="6"/>
  <c r="S1301" i="6" s="1"/>
  <c r="R1302" i="6"/>
  <c r="S1302" i="6" s="1"/>
  <c r="R1303" i="6"/>
  <c r="S1303" i="6" s="1"/>
  <c r="R1304" i="6"/>
  <c r="S1304" i="6" s="1"/>
  <c r="R1305" i="6"/>
  <c r="S1305" i="6" s="1"/>
  <c r="R1306" i="6"/>
  <c r="S1306" i="6" s="1"/>
  <c r="R1307" i="6"/>
  <c r="S1307" i="6" s="1"/>
  <c r="R1308" i="6"/>
  <c r="S1308" i="6" s="1"/>
  <c r="R1309" i="6"/>
  <c r="S1309" i="6" s="1"/>
  <c r="R1310" i="6"/>
  <c r="S1310" i="6" s="1"/>
  <c r="R1311" i="6"/>
  <c r="S1311" i="6" s="1"/>
  <c r="R1312" i="6"/>
  <c r="S1312" i="6" s="1"/>
  <c r="R1313" i="6"/>
  <c r="S1313" i="6" s="1"/>
  <c r="R1314" i="6"/>
  <c r="S1314" i="6" s="1"/>
  <c r="R1315" i="6"/>
  <c r="S1315" i="6" s="1"/>
  <c r="R1316" i="6"/>
  <c r="S1316" i="6" s="1"/>
  <c r="R1317" i="6"/>
  <c r="S1317" i="6" s="1"/>
  <c r="R1318" i="6"/>
  <c r="S1318" i="6" s="1"/>
  <c r="R1319" i="6"/>
  <c r="S1319" i="6" s="1"/>
  <c r="R1320" i="6"/>
  <c r="S1320" i="6" s="1"/>
  <c r="R1321" i="6"/>
  <c r="S1321" i="6" s="1"/>
  <c r="R1322" i="6"/>
  <c r="S1322" i="6" s="1"/>
  <c r="R1323" i="6"/>
  <c r="S1323" i="6" s="1"/>
  <c r="R1324" i="6"/>
  <c r="S1324" i="6" s="1"/>
  <c r="R1325" i="6"/>
  <c r="S1325" i="6" s="1"/>
  <c r="R1326" i="6"/>
  <c r="S1326" i="6" s="1"/>
  <c r="R1327" i="6"/>
  <c r="S1327" i="6" s="1"/>
  <c r="R1328" i="6"/>
  <c r="S1328" i="6" s="1"/>
  <c r="R1329" i="6"/>
  <c r="S1329" i="6" s="1"/>
  <c r="R1330" i="6"/>
  <c r="S1330" i="6" s="1"/>
  <c r="R1331" i="6"/>
  <c r="S1331" i="6" s="1"/>
  <c r="R1332" i="6"/>
  <c r="S1332" i="6" s="1"/>
  <c r="R1333" i="6"/>
  <c r="S1333" i="6" s="1"/>
  <c r="R1334" i="6"/>
  <c r="S1334" i="6" s="1"/>
  <c r="R1335" i="6"/>
  <c r="S1335" i="6" s="1"/>
  <c r="R1336" i="6"/>
  <c r="S1336" i="6" s="1"/>
  <c r="R1337" i="6"/>
  <c r="S1337" i="6" s="1"/>
  <c r="R1338" i="6"/>
  <c r="S1338" i="6" s="1"/>
  <c r="R1339" i="6"/>
  <c r="S1339" i="6" s="1"/>
  <c r="R1340" i="6"/>
  <c r="S1340" i="6" s="1"/>
  <c r="R1341" i="6"/>
  <c r="S1341" i="6" s="1"/>
  <c r="R1342" i="6"/>
  <c r="S1342" i="6" s="1"/>
  <c r="R1343" i="6"/>
  <c r="S1343" i="6" s="1"/>
  <c r="R1344" i="6"/>
  <c r="S1344" i="6" s="1"/>
  <c r="R1345" i="6"/>
  <c r="S1345" i="6" s="1"/>
  <c r="R1346" i="6"/>
  <c r="S1346" i="6" s="1"/>
  <c r="R1347" i="6"/>
  <c r="S1347" i="6" s="1"/>
  <c r="R1348" i="6"/>
  <c r="S1348" i="6" s="1"/>
  <c r="R1349" i="6"/>
  <c r="S1349" i="6" s="1"/>
  <c r="R1350" i="6"/>
  <c r="S1350" i="6" s="1"/>
  <c r="R1351" i="6"/>
  <c r="S1351" i="6" s="1"/>
  <c r="R1352" i="6"/>
  <c r="S1352" i="6" s="1"/>
  <c r="R1353" i="6"/>
  <c r="S1353" i="6" s="1"/>
  <c r="R1354" i="6"/>
  <c r="S1354" i="6" s="1"/>
  <c r="R1355" i="6"/>
  <c r="S1355" i="6" s="1"/>
  <c r="R1356" i="6"/>
  <c r="S1356" i="6" s="1"/>
  <c r="R1357" i="6"/>
  <c r="S1357" i="6" s="1"/>
  <c r="R1358" i="6"/>
  <c r="S1358" i="6" s="1"/>
  <c r="R1359" i="6"/>
  <c r="S1359" i="6" s="1"/>
  <c r="R1360" i="6"/>
  <c r="S1360" i="6" s="1"/>
  <c r="R1361" i="6"/>
  <c r="S1361" i="6" s="1"/>
  <c r="R1362" i="6"/>
  <c r="S1362" i="6" s="1"/>
  <c r="R1363" i="6"/>
  <c r="S1363" i="6" s="1"/>
  <c r="R1364" i="6"/>
  <c r="S1364" i="6" s="1"/>
  <c r="R1365" i="6"/>
  <c r="S1365" i="6" s="1"/>
  <c r="R1366" i="6"/>
  <c r="S1366" i="6" s="1"/>
  <c r="R1367" i="6"/>
  <c r="S1367" i="6" s="1"/>
  <c r="R1368" i="6"/>
  <c r="S1368" i="6" s="1"/>
  <c r="R1369" i="6"/>
  <c r="S1369" i="6" s="1"/>
  <c r="R1370" i="6"/>
  <c r="S1370" i="6" s="1"/>
  <c r="R1371" i="6"/>
  <c r="S1371" i="6" s="1"/>
  <c r="R1372" i="6"/>
  <c r="S1372" i="6" s="1"/>
  <c r="R1373" i="6"/>
  <c r="S1373" i="6" s="1"/>
  <c r="R1374" i="6"/>
  <c r="S1374" i="6" s="1"/>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H4" i="5"/>
  <c r="F4" i="5"/>
  <c r="E4" i="5"/>
  <c r="H3" i="5"/>
  <c r="H2" i="5"/>
  <c r="F3" i="5"/>
  <c r="F2" i="5"/>
  <c r="E3" i="5"/>
  <c r="E2" i="5"/>
  <c r="D4" i="5"/>
  <c r="D3" i="5"/>
  <c r="D2" i="5"/>
  <c r="C4" i="5"/>
  <c r="C3" i="5"/>
  <c r="C2" i="5"/>
  <c r="B4" i="5"/>
  <c r="B3" i="5"/>
  <c r="B2" i="5"/>
  <c r="X1048576"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<sst xmlns="http://schemas.openxmlformats.org/spreadsheetml/2006/main" count="2566" uniqueCount="329">
  <si>
    <t>Id</t>
  </si>
  <si>
    <t>ActivityDate</t>
  </si>
  <si>
    <t>TotalSteps</t>
  </si>
  <si>
    <t>TotalDistance</t>
  </si>
  <si>
    <t>TrackerDistance</t>
  </si>
  <si>
    <t>LoggedActivitiesDistance</t>
  </si>
  <si>
    <t>VeryActiveDistance</t>
  </si>
  <si>
    <t>ModeratelyActiveDistance</t>
  </si>
  <si>
    <t>LightActiveDistance</t>
  </si>
  <si>
    <t>SedentaryActiveDistance</t>
  </si>
  <si>
    <t>VeryActiveMinutes</t>
  </si>
  <si>
    <t>FairlyActiveMinutes</t>
  </si>
  <si>
    <t>LightlyActiveMinutes</t>
  </si>
  <si>
    <t>SedentaryMinutes</t>
  </si>
  <si>
    <t>Calories</t>
  </si>
  <si>
    <t>SleepDay</t>
  </si>
  <si>
    <t>TotalSleepRecords</t>
  </si>
  <si>
    <t>TotalMinutesAsleep</t>
  </si>
  <si>
    <t>TotalTimeInBed</t>
  </si>
  <si>
    <t>File</t>
  </si>
  <si>
    <t>Unique Users</t>
  </si>
  <si>
    <t>Row Count</t>
  </si>
  <si>
    <t>Column Count</t>
  </si>
  <si>
    <t>Start Date</t>
  </si>
  <si>
    <t>End Date</t>
  </si>
  <si>
    <t>Duplicate Rows</t>
  </si>
  <si>
    <t>Missing Values</t>
  </si>
  <si>
    <t>Notes</t>
  </si>
  <si>
    <t>DailyActivity_1</t>
  </si>
  <si>
    <t>DailyActivity_2</t>
  </si>
  <si>
    <t>To be checked</t>
  </si>
  <si>
    <t xml:space="preserve">Date </t>
  </si>
  <si>
    <t>Step No.</t>
  </si>
  <si>
    <t>Dataset</t>
  </si>
  <si>
    <t>Column(s)</t>
  </si>
  <si>
    <t>Issue Identified</t>
  </si>
  <si>
    <t>Action Taken</t>
  </si>
  <si>
    <t>Reason</t>
  </si>
  <si>
    <t>Rows Affected</t>
  </si>
  <si>
    <t>Formula/Meth Used</t>
  </si>
  <si>
    <t>Original Column Name</t>
  </si>
  <si>
    <t>New/Final Column Name</t>
  </si>
  <si>
    <t>Data Type</t>
  </si>
  <si>
    <t>Description</t>
  </si>
  <si>
    <t>Used in Analysis?</t>
  </si>
  <si>
    <t>Covers April 12 to May 12, 2016. To be combined with DailyActivity_2.</t>
  </si>
  <si>
    <t>Covers March 12 to April 12, 2016. To be combined with DailyActivity_1</t>
  </si>
  <si>
    <t>Covers April 12 to May 12, 2016 only. Sleep data available for fewer users than daily activity data.</t>
  </si>
  <si>
    <t>Decision: The two daily activity files are not duplicates. They cover different time periods and will be combined into one master daily activity dataset. Because both files include April 12, 2016, duplicate Id + ActivityDate combinations will be checked and handled before analysis.</t>
  </si>
  <si>
    <t>Raw_DailyActivity_1</t>
  </si>
  <si>
    <t>Excel did not recognize date values as real dates</t>
  </si>
  <si>
    <t>Converted values to Excel-recognized date format</t>
  </si>
  <si>
    <t>Required for sorting, merging, time-based analysis, and day-of-week calculations</t>
  </si>
  <si>
    <t>Excel menu</t>
  </si>
  <si>
    <t>Raw_DailyActivity_2</t>
  </si>
  <si>
    <t>Raw_SleepDay</t>
  </si>
  <si>
    <t>Project Title</t>
  </si>
  <si>
    <t>Bellabeat Capstone Project: Smart Device Usage Analysis</t>
  </si>
  <si>
    <t>Project Overview</t>
  </si>
  <si>
    <t>This project analyzes Fitbit smart device usage data to identify trends in activity and sleep behavior. The purpose is to generate data-driven marketing recommendations for Bellabeat, a wellness technology company that creates health-focused smart products for women</t>
  </si>
  <si>
    <t>Business Task</t>
  </si>
  <si>
    <t>Analyze Fitbit fitness tracker data to identify patterns in users' physical activity, sedentary behavior, calorie expenditure, and sleep habits, then use these insights to make high-level recommendations for Bellabeat's marketing strategy</t>
  </si>
  <si>
    <t>Stakeholders</t>
  </si>
  <si>
    <t>Urška Sršen - Bellabeat cofounder and Chief Creative Officer
Sando Mur - Bellabeat cofounder and key executive team member
Bellabeat Marketing Analytics Team
Bellabeat Product and Growth Teams
Current and potential Bellabeat customers</t>
  </si>
  <si>
    <t>Key Questions</t>
  </si>
  <si>
    <t xml:space="preserve">1. What are the main trends in users' daily physical activity?
2. How much time do users spend sedentary versus active?
3. What patterns exist in users' sleep duration and sleep efficiency?
4. Are physical activity patterns related to sleep behavior?
5. How can Bellabeat apply these insights to improve marketing strategy and user engagement?
</t>
  </si>
  <si>
    <t>Tools Used</t>
  </si>
  <si>
    <t xml:space="preserve">Microsoft Excel desktop
Excel tables
Excel formulas
PivotTables
PivotCharts
Dashboard design
</t>
  </si>
  <si>
    <t>Data Source</t>
  </si>
  <si>
    <t>FitBit Fitness Tracker Data from Kaggle, originally made available through Mobius. The dataset contains personal fitness tracker data from consenting Fitbit users, including daily activity, calories, sleep, and related wellness metrics</t>
  </si>
  <si>
    <t>Selected Files For Analysis</t>
  </si>
  <si>
    <t xml:space="preserve">dailyActivity_merged.xlsx - March 12 to April 12, 2016
dailyActivity_merged.xlsx - April 12 to May 12, 2016
sleepDay_merged.xlsx - April 12 to May 12, 2016
</t>
  </si>
  <si>
    <t>Data Limitations</t>
  </si>
  <si>
    <t>1. The dataset has a small sample size and may not represent the broader population.
2. Demographic information such as age, gender, health status, and location is not available.
3. The data comes from Fitbit users rather than Bellabeat users.
4. The sleep data covers fewer users than the daily activity data.
5. The sleep data covers only April 12 to May 12, 2016, while daily activity data covers March 12 to May 12, 2016.
6. The dataset is historical and may not reflect current smart device usage patterns.
7. The data is observational, so relationships identified in analysis cannot be interpreted as causal.</t>
  </si>
  <si>
    <t>Analysis Scope</t>
  </si>
  <si>
    <t>This analysis will focus first on daily activity and sleep data. The two daily activity files will be combined to provide a fuller activity dataset across March 12 to May 12, 2016. Sleep analysis will be limited to April 12 to May 12, 2016 because only one sleep file is available. The analysis will be conducted first in Microsoft Excel to support transparent data cleaning, transformation, descriptive analysis, visualization, and dashboard creation</t>
  </si>
  <si>
    <t>Draft Executive Summary</t>
  </si>
  <si>
    <t>This analysis examines Fitbit smart device usage data to identify behavioral trends related to physical activity, sedentary time, calorie expenditure, and sleep. The goal is to translate these trends into marketing recommendations for Bellabeat, a wellness technology company seeking growth opportunities in the smart wellness device market</t>
  </si>
  <si>
    <t>working_DailyActivity</t>
  </si>
  <si>
    <t>Id, ActivityDate</t>
  </si>
  <si>
    <t>Duplicate user-date records caused by overlap between daily activity files</t>
  </si>
  <si>
    <t>Removed duplicate rows using Id + ActivityDate</t>
  </si>
  <si>
    <t>Prevent double-counting same user on same date</t>
  </si>
  <si>
    <t>COUNTIFS; Data tab → Remove Duplicates</t>
  </si>
  <si>
    <t>DayOfWeek</t>
  </si>
  <si>
    <t>Month</t>
  </si>
  <si>
    <t>TotalActiveMinutes</t>
  </si>
  <si>
    <t>TotalMinutes</t>
  </si>
  <si>
    <t>SedentaryHours</t>
  </si>
  <si>
    <t>StepsCategory</t>
  </si>
  <si>
    <t>ActivityLevel</t>
  </si>
  <si>
    <t>Multiple derived columns</t>
  </si>
  <si>
    <t>Raw data lacked derived fields for time-based and behavioral analysis</t>
  </si>
  <si>
    <t>Added DayOfWeek, Month, TotalActiveMinutes, TotalMinutes, SedentaryHours, StepsCategory, and ActivityLevel</t>
  </si>
  <si>
    <t>Enable analysis by weekday, month, activity level, and sedentary behavior</t>
  </si>
  <si>
    <t>TEXT, ROUND, IFS, arithmetic formulas</t>
  </si>
  <si>
    <t>Working_DailyActivity</t>
  </si>
  <si>
    <t>N/A</t>
  </si>
  <si>
    <t>Text</t>
  </si>
  <si>
    <t>Day of week derived from ActivityDate</t>
  </si>
  <si>
    <t>Yes</t>
  </si>
  <si>
    <t>Month derived from ActivityDate</t>
  </si>
  <si>
    <t>Number</t>
  </si>
  <si>
    <t>Sum of very active, fairly active, and lightly active minutes</t>
  </si>
  <si>
    <t>Sum of active and sedentary minutes</t>
  </si>
  <si>
    <t>Sedentary minutes converted to hours</t>
  </si>
  <si>
    <t>Daily step category based on total steps</t>
  </si>
  <si>
    <t>Activity intensity category based on very active minutes</t>
  </si>
  <si>
    <t>Working_SleepDay</t>
  </si>
  <si>
    <t>All columns</t>
  </si>
  <si>
    <t>3 exact duplicate sleep records identified</t>
  </si>
  <si>
    <t>Removed exact duplicate rows using all columns</t>
  </si>
  <si>
    <t>Prevent double-counting sleep records</t>
  </si>
  <si>
    <t>Data tab → Remove Duplicates</t>
  </si>
  <si>
    <t>SleepHours</t>
  </si>
  <si>
    <t>TimeInBedHours</t>
  </si>
  <si>
    <t>AwakeInBedMinutes</t>
  </si>
  <si>
    <t>SleepEfficiency</t>
  </si>
  <si>
    <t>SleepCategory</t>
  </si>
  <si>
    <t>Raw sleep data lacked derived fields for time and sleep quality analysis</t>
  </si>
  <si>
    <t>Added DayOfWeek, SleepHours, TimeInBedHours, AwakeInBedMinutes, SleepEfficiency, and SleepCategory</t>
  </si>
  <si>
    <t>Enable analysis by weekday, sleep duration, sleep efficiency, and sleep category</t>
  </si>
  <si>
    <t>Day of week derived from SleepDay</t>
  </si>
  <si>
    <t>Created with TEXT</t>
  </si>
  <si>
    <t>Total minutes asleep converted to hours</t>
  </si>
  <si>
    <t>Rounded to 2 decimals</t>
  </si>
  <si>
    <t>Total time in bed converted to hours</t>
  </si>
  <si>
    <t>Difference between time in bed and minutes asleep</t>
  </si>
  <si>
    <t>Estimates awake/restless time in bed</t>
  </si>
  <si>
    <t>Percentage of time in bed spent asleep</t>
  </si>
  <si>
    <t>Minutes asleep divided by time in bed × 100</t>
  </si>
  <si>
    <t>Sleep duration category</t>
  </si>
  <si>
    <t>Insufficient, Below Recommended, Recommended, Oversleeping</t>
  </si>
  <si>
    <t>Excludes sedentary minutes</t>
  </si>
  <si>
    <t>Used to assess tracker-recorded minutes</t>
  </si>
  <si>
    <t>Rounded to 2 decimal places</t>
  </si>
  <si>
    <t>Sedentary to Highly Active</t>
  </si>
  <si>
    <t>Sedentary to Very Active</t>
  </si>
  <si>
    <t>LookupKey</t>
  </si>
  <si>
    <t>MatchFound</t>
  </si>
  <si>
    <t>Tuesday</t>
  </si>
  <si>
    <t>April</t>
  </si>
  <si>
    <t>Sedentary</t>
  </si>
  <si>
    <t>Lightly Active</t>
  </si>
  <si>
    <t>Low Active</t>
  </si>
  <si>
    <t>Very Active</t>
  </si>
  <si>
    <t>Wednesday</t>
  </si>
  <si>
    <t>Active</t>
  </si>
  <si>
    <t>Moderately Active</t>
  </si>
  <si>
    <t>Friday</t>
  </si>
  <si>
    <t>Somewhat Active</t>
  </si>
  <si>
    <t>Saturday</t>
  </si>
  <si>
    <t>Highly Active</t>
  </si>
  <si>
    <t>Sunday</t>
  </si>
  <si>
    <t>Thursday</t>
  </si>
  <si>
    <t>Monday</t>
  </si>
  <si>
    <t>May</t>
  </si>
  <si>
    <t>Merged_Activity_Sleep</t>
  </si>
  <si>
    <t>Id, ActivityDate, SleepDay</t>
  </si>
  <si>
    <t>Activity and sleep data were stored in separate tables with different date-column names</t>
  </si>
  <si>
    <t>Created LookupKey using Id + Date; filtered matched records; used XLOOKUP to add sleep variables</t>
  </si>
  <si>
    <t>Enable cross-analysis of physical activity and sleep behavior</t>
  </si>
  <si>
    <t>TEXT, MATCH, ISNUMBER, XLOOKUP, filter, visible-cell copy</t>
  </si>
  <si>
    <t>Multiple</t>
  </si>
  <si>
    <t>All merged columns</t>
  </si>
  <si>
    <t>Mixed</t>
  </si>
  <si>
    <t>Inner-joined dataset containing activity and sleep records matched by user ID and date</t>
  </si>
  <si>
    <t>Includes only records where both activity and sleep data exist for the same user-date</t>
  </si>
  <si>
    <t>Working tables</t>
  </si>
  <si>
    <t>Helper key combining user ID and date</t>
  </si>
  <si>
    <t>No, helper only</t>
  </si>
  <si>
    <t>Used to merge activity and sleep data</t>
  </si>
  <si>
    <t>Activity and sleep data were merged using an inner join based on user ID and date. The merged dataset includes only user-date records where both activity and sleep data were available. This limits the merged analysis to users who tracked sleep and should not be interpreted as representative of all Fitbit users in the activity dataset</t>
  </si>
  <si>
    <t>Insufficient Sleep</t>
  </si>
  <si>
    <t>Oversleeping</t>
  </si>
  <si>
    <t>Recommended</t>
  </si>
  <si>
    <t>Below Recommended</t>
  </si>
  <si>
    <t>Sleep columns, LookupKey</t>
  </si>
  <si>
    <t>Sleep variables were added using formulas dependent on LookupKey</t>
  </si>
  <si>
    <t>Converted XLOOKUP results to static values, then deleted LookupKey from merged table</t>
  </si>
  <si>
    <t>Preserve merged sleep values while removing helper column from final analysis table</t>
  </si>
  <si>
    <t>Copy → Paste Special → Values; Delete Table Column</t>
  </si>
  <si>
    <t>Metric</t>
  </si>
  <si>
    <t>Value</t>
  </si>
  <si>
    <t>ACTIVITY METRICS</t>
  </si>
  <si>
    <t>Sample size: users with activity data</t>
  </si>
  <si>
    <t>Sample size: users with merged activity + sleep data</t>
  </si>
  <si>
    <t>Date range of activity data</t>
  </si>
  <si>
    <t>Average daily steps</t>
  </si>
  <si>
    <t>Median daily steps</t>
  </si>
  <si>
    <t>Standard deviation of daily steps</t>
  </si>
  <si>
    <t>Average daily calories</t>
  </si>
  <si>
    <t>Average daily sedentary minutes</t>
  </si>
  <si>
    <t>Average daily sedentary hours</t>
  </si>
  <si>
    <t>Average daily lightly active minutes</t>
  </si>
  <si>
    <t>Average daily fairly active minutes</t>
  </si>
  <si>
    <t>Average daily very active minutes</t>
  </si>
  <si>
    <t>Average daily total active minutes</t>
  </si>
  <si>
    <t>Most common steps category</t>
  </si>
  <si>
    <t>Most common activity level</t>
  </si>
  <si>
    <t>SLEEP METRICS</t>
  </si>
  <si>
    <t>Sample size: users with sleep data</t>
  </si>
  <si>
    <t>Date range of sleep data</t>
  </si>
  <si>
    <t>Average nightly sleep hours</t>
  </si>
  <si>
    <t>Median nightly sleep hours</t>
  </si>
  <si>
    <t>Standard deviation of sleep hours</t>
  </si>
  <si>
    <t>Average time in bed, hours</t>
  </si>
  <si>
    <t>Average sleep efficiency, %</t>
  </si>
  <si>
    <t>Average awake time in bed, minutes</t>
  </si>
  <si>
    <t>Most common sleep category</t>
  </si>
  <si>
    <t>MERGED DATA METRICS</t>
  </si>
  <si>
    <t>Records in merged dataset</t>
  </si>
  <si>
    <t>Users represented in merged dataset</t>
  </si>
  <si>
    <t>Date range of merged data</t>
  </si>
  <si>
    <t>Initial Observations</t>
  </si>
  <si>
    <t>The activity dataset includes 35 users, while the sleep dataset includes 24 users. Therefore, merged activity-sleep analysis is limited to the 24 users with both activity and sleep records. This smaller sample should be considered when interpreting trends and making recommendations.</t>
  </si>
  <si>
    <t>The activity dataset includes 35 users, while the sleep dataset includes 24 users. The merged activity-sleep dataset includes 24 users and 410 records from Apr 12, 2016 to May 12, 2016. Because the merged dataset includes only users with both activity and sleep records, activity-sleep findings should be interpreted cautiously.
Users averaged 8,334 daily steps, with a median of 8,776 steps. The median being higher than the mean suggests that lower-step days may be pulling the average downward. The most common steps category and activity level were both Sedentary, indicating that inactivity is a major pattern in the dataset. Users spent an average of 11.68 hours per day sedentary.
Sleep patterns were relatively strong among users who tracked sleep. Users averaged 6.99 hours of sleep per night, with a median of 7.21 hours. The most common sleep category was Recommended, and average sleep efficiency was high at 91.65%. Users spent an average of 39.31 minutes awake in bed.
An early insight is that users in this dataset show high sedentary time but generally adequate sleep duration and strong sleep efficiency. This suggests an opportunity for Bellabeat to encourage users to reduce sedentary behavior and increase daily movement while maintaining strong sleep habits.</t>
  </si>
  <si>
    <t>Row Labels</t>
  </si>
  <si>
    <t>Grand Total</t>
  </si>
  <si>
    <t>Avg Steps</t>
  </si>
  <si>
    <t>Avg Calories</t>
  </si>
  <si>
    <t>Avg Sedentary Hours</t>
  </si>
  <si>
    <t>Avg Active Minutes</t>
  </si>
  <si>
    <t>PivotTable analysis of daily activity by weekday shows that users were most active on Saturdays, with the highest average steps, active minutes, and calories burned. Sunday had the lowest average steps and active minutes, suggesting lower activity at the end of the weekend. Sedentary time remained high across all days, averaging more than 15 hours per day, with Monday and Friday showing the highest sedentary hours. These patterns suggest an opportunity for Bellabeat to encourage more consistent daily movement, especially on lower-activity days such as Sunday and Tuesday, while also addressing high sedentary time throughout the week.</t>
  </si>
  <si>
    <t>Insights</t>
  </si>
  <si>
    <t>Bellabeat could use weekday activity patterns to deliver personalized prompts, challenges, or wellness nudges. For example, the app could encourage light movement breaks on highly sedentary weekdays and promote step-based challenges on lower-activity days such as Sunday and Tuesday.</t>
  </si>
  <si>
    <t>Possible implication</t>
  </si>
  <si>
    <t>Avg Sleep Hours</t>
  </si>
  <si>
    <t>Avg Time In Bed Hours</t>
  </si>
  <si>
    <t>Avg Awake In Bed Minutes</t>
  </si>
  <si>
    <t>Avg Sleep Efficiency</t>
  </si>
  <si>
    <t>PivotTable 2: Average Sleep Metrics by Day of Week</t>
  </si>
  <si>
    <t>PivotTable 1: Average Activity Metrics by Day of Week</t>
  </si>
  <si>
    <t>Sleep patterns varied slightly by day of week. Sunday had the longest average sleep duration at 7.55 hours and the longest time in bed at 8.39 hours, but it also had the highest awake time in bed at 50.8 minutes and the lowest sleep efficiency at 90.51%. Thursday had the shortest average sleep duration at 6.69 hours but the highest sleep efficiency at 92.27%. Overall, sleep efficiency remained strong across all days, ranging from 90.51% to 92.27%. Tuesday, Thursday, and Friday averaged below 7 hours of sleep, suggesting a possible opportunity for Bellabeat to promote weekday sleep routines and reminders.</t>
  </si>
  <si>
    <t>Business-focused implication</t>
  </si>
  <si>
    <t>Bellabeat could use sleep-pattern insights to promote personalized weekday sleep routines. Since Tuesday, Thursday, and Friday showed average sleep durations below 7 hours, Bellabeat could use app notifications, bedtime reminders, and wellness content to help users improve sleep consistency during the workweek. Sunday’s longer time in bed but lower sleep efficiency may also suggest an opportunity to educate users about sleep quality, not just sleep duration.</t>
  </si>
  <si>
    <t>PivotTable 2 Key Findings: Sleep by Day of Week</t>
  </si>
  <si>
    <t xml:space="preserve">
1. Sunday had the longest average sleep duration at 7.55 hours.
2. Thursday had the shortest average sleep duration at 6.69 hours.
3. Sunday had the highest awake time in bed at 50.8 minutes.
4. Thursday had the highest sleep efficiency at 92.27%.
5. Sleep efficiency was consistently strong across all days, ranging from 90.51% to 92.27%.
6. Tuesday, Thursday, and Friday averaged below 7 hours of sleep.
Marketing implication: Bellabeat could encourage users to build more consistent weekday sleep routines and provide personalized reminders or content focused on improving both sleep duration and sleep quality.
</t>
  </si>
  <si>
    <t>% of Total</t>
  </si>
  <si>
    <t>Count of Days</t>
  </si>
  <si>
    <t>PivotTable 3: Distribution of Daily Step Categories</t>
  </si>
  <si>
    <t>PivotTable 3 Key Findings: Daily Step Category Distribution</t>
  </si>
  <si>
    <t>The distribution of daily step categories shows that Sedentary days were the most common, representing 36.13% of tracked user-days. Low Active days represented another 18.21%, meaning that 54.34% of all tracked days were either Sedentary or Low Active. In contrast, Active and Highly Active days together represented 30.59% of tracked days. This suggests that many users may benefit from targeted encouragement to increase daily movement. Bellabeat could use activity category data to personalize wellness nudges, promote small achievable movement goals, and encourage users to progress from Sedentary or Low Active days toward more active categories.</t>
  </si>
  <si>
    <t>Bellabeat marketing implication</t>
  </si>
  <si>
    <t>Bellabeat could segment users by daily step category and deliver personalized app messaging based on activity level. Sedentary and Low Active users could receive gentle movement reminders and beginner-friendly goals, while Somewhat Active users could receive motivational prompts to reach Active status. Active and Highly Active users could be targeted with challenges, badges, streaks, and community-based motivation.</t>
  </si>
  <si>
    <t>Count of Sleep Records</t>
  </si>
  <si>
    <t>PivotTable 4: Distribution of Sleep Categories</t>
  </si>
  <si>
    <t>PivotTable 4 shows that Recommended sleep was the largest category, representing 46.34% of sleep records. However, 44.15% of sleep records were below the recommended 7-hour threshold, including 24.39% classified as Insufficient Sleep and 19.76% classified as Below Recommended. This suggests that while average sleep duration appears close to 7 hours, a substantial share of sleep records still reflects short sleep duration. Bellabeat could use this insight to promote personalized sleep reminders, bedtime routines, and wellness education focused on improving sleep consistency.</t>
  </si>
  <si>
    <t>Record Count</t>
  </si>
  <si>
    <t>PivotTable 5: Average Sleep Metrics by Daily Step Category</t>
  </si>
  <si>
    <t>PivotTable 5 Key Findings: Sleep Metrics by Daily Step Category</t>
  </si>
  <si>
    <t xml:space="preserve">PivotTable 5 compared sleep metrics across daily step categories using the merged activity-sleep dataset of 410 records. Sedentary days had the highest average sleep duration at 7.51 hours, while Highly Active days had the lowest average sleep duration at 6.37 hours. Somewhat Active days had the highest average sleep efficiency at 93.29%, while Highly Active days had the lowest sleep efficiency at 89.78%.
These results suggest that higher step counts did not automatically correspond with longer or more efficient sleep in this sample. Instead, moderate activity appeared to be associated with strong sleep efficiency, while highly active days were associated with shorter sleep duration. Sedentary hours remained high across all step categories, ranging from 11.33 to 12.12 hours. This suggests that Bellabeat could promote balanced wellness goals that encourage movement, reduce sedentary time, and support recovery and sleep consistency.
</t>
  </si>
  <si>
    <t> business-focused note:</t>
  </si>
  <si>
    <t>Bellabeat could position its app as a balanced wellness companion rather than only a step-count tracker. Since higher step categories did not consistently align with better sleep outcomes, Bellabeat could encourage users to balance daily movement with recovery and sleep routines. Personalized app messaging could recommend moderate movement goals, sedentary break reminders, and bedtime routines based on each user’s activity and sleep patterns.</t>
  </si>
  <si>
    <t>PivotTable 6: Average Activity Metrics by Sleep Category</t>
  </si>
  <si>
    <t xml:space="preserve">PivotTable 6 compared activity metrics across sleep categories using the merged activity-sleep dataset of 410 records. Records classified as Insufficient Sleep had the highest average steps at 9,230, while Oversleeping records had the lowest average steps at 6,209. Below Recommended sleep records had the highest average active minutes at 268.99 and the highest average calories burned at 2,588.
The results suggest that shorter sleep categories were associated with higher activity levels, while longer sleep categories were associated with lower activity levels. However, this pattern should be interpreted as an association rather than causation. The data may reflect differences in daily routines, work schedules, stress, recovery needs, or lifestyle patterns.
For Bellabeat, this insight suggests an opportunity to support users in balancing movement with adequate recovery. Users who are active but sleep less may benefit from bedtime reminders, wind-down routines, stress management content, and personalized recovery-focused wellness guidance.
</t>
  </si>
  <si>
    <t>Bellabeat marketing recommendation/implication</t>
  </si>
  <si>
    <t>Bellabeat could target active but sleep-deprived users with personalized recovery messaging. Since users with insufficient or below recommended sleep showed high activity levels, Bellabeat could position its app as a balanced wellness companion that helps users not only move more, but also recover better. Features such as bedtime reminders, stress-reduction prompts, evening wind-down routines, and sleep consistency goals could help users connect activity habits with healthier sleep routines.</t>
  </si>
  <si>
    <t>Insight Area</t>
  </si>
  <si>
    <t>Key Finding</t>
  </si>
  <si>
    <t>Supporting Evidence</t>
  </si>
  <si>
    <t>Bellabeat Opportunity</t>
  </si>
  <si>
    <t>Activity behavior</t>
  </si>
  <si>
    <t>Sleep behavior</t>
  </si>
  <si>
    <t>Weekday activity pattern</t>
  </si>
  <si>
    <t>Weekday sleep pattern</t>
  </si>
  <si>
    <t>Activity-sleep relationship</t>
  </si>
  <si>
    <t>User segmentation</t>
  </si>
  <si>
    <t>A large share of tracked days were low movement days</t>
  </si>
  <si>
    <t>36.13% of daily activity records were Sedentary and 18.21% were Low Active. Combined, 54.34% of tracked days were Sedentary or Low Active.</t>
  </si>
  <si>
    <t>Bellabeat can encourage small, achievable movement goals through reminders, streaks, and beginner-friendly activity challenges.</t>
  </si>
  <si>
    <t>Recommended sleep was the largest sleep category, but short sleep was still common.</t>
  </si>
  <si>
    <t>46.34% of sleep records were Recommended, but 24.39% were Insufficient Sleep and 19.76% were Below Recommended. Combined, 44.15% of records were below recommended sleep.</t>
  </si>
  <si>
    <t>Bellabeat can promote sleep consistency through bedtime reminders, wind-down routines, and personalized sleep education.</t>
  </si>
  <si>
    <t>Users were most active on Saturdays and least active on Sundays.</t>
  </si>
  <si>
    <t>Saturday had the highest average steps at 7,752 and highest average active minutes at 235.7. Sunday had the lowest average steps at 6,607 and lowest average active minutes at 200.9.</t>
  </si>
  <si>
    <t>Bellabeat can use weekday-specific nudges, such as Sunday movement prompts and Tuesday motivation challenges</t>
  </si>
  <si>
    <t>Users slept longest on Sundays but had the lowest sleep efficiency that day</t>
  </si>
  <si>
    <t>Sunday had the highest average sleep duration at 7.55 hours and highest time in bed at 8.39 hours, but also the highest awake time in bed at 50.8 minutes and lowest sleep efficiency at 90.51%.</t>
  </si>
  <si>
    <t>Bellabeat can educate users on sleep quality, not only sleep duration, and provide Sunday evening reset or wind-down content.</t>
  </si>
  <si>
    <t>Higher step categories did not automatically correspond with better sleep outcomes.</t>
  </si>
  <si>
    <t>Sedentary days had the highest average sleep duration at 7.51 hours. Highly Active days had the lowest average sleep duration at 6.37 hours and lowest sleep efficiency at 89.78%.</t>
  </si>
  <si>
    <t>Bellabeat can position itself as a balanced wellness companion that supports movement, sleep, and recovery together.</t>
  </si>
  <si>
    <t>Different user groups may need different wellness messages.</t>
  </si>
  <si>
    <t>Sedentary/Low Active days made up 54.34% of activity records, while 44.15% of sleep records were below recommended sleep. PivotTable 6 also showed shorter sleep categories associated with higher average steps.</t>
  </si>
  <si>
    <t>Bellabeat can personalize messaging by user behavior: movement nudges for sedentary users, recovery reminders for active but sleep-deprived users, and consistency goals for users with irregular sleep.</t>
  </si>
  <si>
    <t>The analysis shows that many Fitbit users tracked high levels of sedentary behavior while also showing variation in sleep duration and sleep quality. More than half of tracked activity days were Sedentary or Low Active, while 44.15% of sleep records were below the recommended sleep range. Weekday patterns showed that users were most active on Saturdays and least active on Sundays, while Sunday had the longest sleep duration but the lowest sleep efficiency.
The relationship analysis showed that higher activity levels did not automatically correspond with better sleep outcomes. In the merged dataset, Highly Active days had lower average sleep duration and lower sleep efficiency than moderate or sedentary activity categories. This suggests that Bellabeat should promote balanced wellness habits rather than focusing only on step counts. Bellabeat can use personalized app messaging to encourage movement, reduce sedentary time, improve sleep consistency, and support recovery.</t>
  </si>
  <si>
    <t>Overall conclusion</t>
  </si>
  <si>
    <t>Recommended marketing actions</t>
  </si>
  <si>
    <t>1. Promote balanced wellness, not only step tracking.
Bellabeat should position its app and devices as tools that help users balance movement, sleep, and recovery.
2. Use personalized movement reminders.
Since 54.34% of tracked days were Sedentary or Low Active, Bellabeat can encourage short walks, standing breaks, and achievable daily movement goals.
3. Support weekday sleep routines.
Because 44.15% of sleep records were below recommended sleep, Bellabeat can provide bedtime reminders, wind-down content, and sleep consistency goals.
4. Create behavior-based user segments.
Bellabeat can segment users into groups such as Sedentary, Low Active, Active but Sleep-Deprived, and Consistent Sleepers, then personalize app content for each group.
5. Build campaigns around recovery and consistency.
The data suggests that high activity does not always align with better sleep. Bellabeat can market recovery, stress management, and sustainable routines as part of women-centered wellness.</t>
  </si>
  <si>
    <t>Limitations</t>
  </si>
  <si>
    <t>This analysis uses publicly available Fitbit data from a small sample of users. The dataset includes 35 users in the activity data, 24 users in the sleep data, and 24 users in the merged activity-sleep dataset. Because the sample is small and may not represent Bellabeat’s actual customer population, findings should be interpreted as directional rather than conclusive.
The data is also observational, so the analysis can identify associations but cannot prove causation. For example, shorter sleep categories were associated with higher average steps, but the data does not prove that high activity causes shorter sleep or that shorter sleep causes higher activity. Additional demographic, behavioral, and longitudinal data would strengthen the analysis.</t>
  </si>
  <si>
    <t>Bellabeat Wellness Trends Dashboard</t>
  </si>
  <si>
    <t>Fitbit activity and sleep data analysis | March–May 2016</t>
  </si>
  <si>
    <t>Sedentary or Low Active Days</t>
  </si>
  <si>
    <t>Below Recommended Sleep Records</t>
  </si>
  <si>
    <t>Avg Daily Steps</t>
  </si>
  <si>
    <t>Key Performance Indicators (KPI)</t>
  </si>
  <si>
    <t>Share-Phase Narrative</t>
  </si>
  <si>
    <t xml:space="preserve">This dashboard summarizes key wellness trends from Fitbit activity and sleep data. The analysis includes 1,373 activity records from 35 users and 410 sleep records from 24 users. The purpose of the dashboard is to help Bellabeat understand smart device usage patterns and identify marketing opportunities related to movement, sleep, and balanced wellness.
The dashboard shows that more than half of tracked activity days were Sedentary or Low Active. Specifically, 36.13% of activity records were Sedentary and 18.21% were Low Active, for a combined total of 54.34%. This suggests that many users may benefit from gentle movement reminders, beginner-friendly activity goals, and app-based encouragement to reduce sedentary behavior.
Sleep behavior also showed an important opportunity. Recommended sleep was the largest category at 46.34% of records, but 44.15% of sleep records were below the recommended range. This includes 24.39% classified as Insufficient Sleep and 19.76% classified as Below Recommended. Bellabeat could use this insight to promote sleep routines, bedtime reminders, wind-down content, and personalized sleep education.
The dashboard also highlights weekday patterns. Users were most active on Saturdays, with an average of 7,752 steps, and least active on Sundays, with an average of 6,607 steps. In contrast, Sunday had the longest average sleep duration at 7.55 hours. These patterns suggest that Bellabeat could use day-specific app messaging, such as weekend movement challenges or Sunday reset routines.
The activity-sleep relationship showed that higher step categories did not automatically align with better sleep outcomes. Sedentary days had the highest average sleep duration at 7.51 hours, while Highly Active days had the lowest average sleep duration at 6.37 hours and the lowest sleep efficiency at 89.78%. This suggests that Bellabeat should not focus only on increasing step counts. Instead, Bellabeat can position itself as a balanced wellness companion that supports movement, recovery, sleep consistency, and stress management together.
Overall, the dashboard communicates that Bellabeat has an opportunity to personalize wellness messaging based on user behavior. Sedentary users may benefit from small movement goals, active but sleep-deprived users may benefit from recovery and bedtime support, and users with inconsistent sleep may benefit from sleep routine guidance. These findings support a marketing strategy focused on balanced, personalized wellness rather than one-size-fits-all fitness tracking.
</t>
  </si>
  <si>
    <t>Audience And Communication Approach</t>
  </si>
  <si>
    <t xml:space="preserve">The intended audience for this dashboard is Bellabeat’s marketing and executive team. The dashboard uses high-level KPIs, simple charts, and clear titles to communicate the main findings quickly. Because the audience may include both technical and non-technical stakeholders, the visualizations emphasize percentages, averages, and business implications rather than complex statistical methods.
The dashboard is designed to be accessible by using descriptive chart titles, consistent formatting, readable labels, and a limited number of visuals. Each chart answers a specific business question and supports a recommendation related to Bellabeat’s product positioning or marketing strategy.
</t>
  </si>
  <si>
    <t>Key Dashboard Takeaways</t>
  </si>
  <si>
    <t xml:space="preserve">1. More than half of tracked activity days were Sedentary or Low Active.
2. Nearly half of sleep records were below the recommended sleep range.
3. Users were most active on Saturdays and least active on Sundays.
4. Sunday had the longest average sleep duration but also the lowest sleep efficiency.
5. Higher step categories did not automatically align with better sleep outcomes.
6. Bellabeat can use these insights to promote balanced wellness, including movement, sleep, recovery, and stress management.
</t>
  </si>
  <si>
    <t>Deliverables</t>
  </si>
  <si>
    <t>Share phase completed by creating a Bellabeat Wellness Trends Dashboard and Share_Narrative sheet. The dashboard includes KPI cards, activity and sleep distribution charts, weekday trend charts, and an activity-sleep relationship chart. The dashboard is designed for Bellabeat marketing and executive stakeholders and focuses on high-level insights and business recommendations.</t>
  </si>
  <si>
    <t>Final Conclusion</t>
  </si>
  <si>
    <t xml:space="preserve">The Fitbit smart device data suggests that users show meaningful patterns in activity, sleep, and recovery behavior. More than half of tracked activity days were Sedentary or Low Active, while nearly half of sleep records were below the recommended sleep range. Weekday trends showed that users were most active on Saturdays and least active on Sundays, while Sunday had the longest average sleep duration but the lowest sleep efficiency.
The relationship analysis showed that higher activity levels did not automatically correspond with better sleep outcomes. Highly Active days had the lowest average sleep duration and lowest sleep efficiency, while Somewhat Active days had the highest sleep efficiency. These findings suggest that Bellabeat should promote balanced wellness habits, including movement, sleep consistency, recovery, and reduced sedentary time.
</t>
  </si>
  <si>
    <t>Top 3 recommendations</t>
  </si>
  <si>
    <t>Recommendation</t>
  </si>
  <si>
    <t>Evidence from Analysis</t>
  </si>
  <si>
    <t>Business Action for Bellabeat</t>
  </si>
  <si>
    <t>1. Promote balanced wellness instead of only step tracking.</t>
  </si>
  <si>
    <t>Higher step categories did not automatically align with better sleep outcomes. Highly Active days averaged 6.37 sleep hours and 89.78% sleep efficiency, while Somewhat Active days had the highest sleep efficiency at 93.29%</t>
  </si>
  <si>
    <t>Bellabeat should position its app and products as wellness tools that support movement, sleep, stress management, and recovery together. Marketing should emphasize sustainable routines rather than only high activity goals.</t>
  </si>
  <si>
    <t>2. Use personalized nudges to reduce sedentary and low-activity behavior.</t>
  </si>
  <si>
    <t>54.34% of tracked activity days were Sedentary or Low Active. Sedentary days represented 36.13% of records, and Low Active days represented 18.21%.</t>
  </si>
  <si>
    <t>Bellabeat can create personalized movement reminders, short walking challenges, standing prompts, and beginner-friendly goals to help users gradually increase daily activity.</t>
  </si>
  <si>
    <t>3. Support sleep consistency and recovery for active but sleep-deprived users.</t>
  </si>
  <si>
    <t>44.15% of sleep records were below recommended duration. Also, Insufficient Sleep records had the highest average steps at 9,230, while Below Recommended records had the highest active minutes at 268.99.</t>
  </si>
  <si>
    <t>Bellabeat can provide bedtime reminders, wind-down routines, recovery prompts, and personalized insights for users who are active but not getting enough sleep.</t>
  </si>
  <si>
    <t>Recommended Next Steps</t>
  </si>
  <si>
    <t>1. Develop behavior-based user segments.
Bellabeat can segment users into groups such as Sedentary, Low Active, Active but Sleep-Deprived, Consistent Sleepers, and Recovery-Focused Users.
2. Create personalized in-app campaigns.
Bellabeat can design different app messages for each user segment, such as movement reminders for sedentary users and wind-down reminders for active but sleep-deprived users.
3. Test weekday-specific messaging
Because activity and sleep patterns varied by day of week, Bellabeat can test Sunday movement prompts, Tuesday motivation challenges, and weekday sleep routine reminders.
4. Expand future data collection
Bellabeat should collect or analyze additional data such as age, gender, lifestyle goals, stress levels, menstrual cycle data, app engagement, and product usage to better understand customer needs.
5. Measure campaign performance
Bellabeat should track whether personalized reminders improve step counts, reduce sedentary time, increase sleep consistency, or improve user engagement.</t>
  </si>
  <si>
    <t>Limitations and Additional Data Needed</t>
  </si>
  <si>
    <t xml:space="preserve">This analysis is based on a small public Fitbit dataset. The activity data includes 35 users, while the sleep and merged activity-sleep data include 24 users. Because the dataset is small and does not include demographic information, the findings may not fully represent Bellabeat’s customer population.
The analysis is observational, so it can identify associations but cannot prove causation. For example, shorter sleep categories were associated with higher average steps, but the data does not prove that high activity causes shorter sleep or that shorter sleep causes higher activity.
Additional data would strengthen future analysis. Useful data could include Bellabeat customer demographics, app engagement data, product usage, menstrual cycle tracking, stress levels, wellness goals, subscription behavior, and customer feedback. This would help Bellabeat create more personalized and relevant marketing strategies.
</t>
  </si>
  <si>
    <t>Portfolio Summary Paragraph</t>
  </si>
  <si>
    <t>For this capstone project, I analyzed Fitbit smart device data to identify wellness behavior trends that could inform Bellabeat’s marketing strategy. Using Microsoft Excel, I cleaned and transformed daily activity and sleep datasets, created calculated fields, built PivotTables, developed a dashboard, and summarized key findings. The analysis showed that more than half of tracked activity days were Sedentary or Low Active, nearly half of sleep records were below recommended duration, and higher activity levels did not automatically align with better sleep outcomes. Based on these insights, I recommended that Bellabeat promote balanced wellness, personalize movement and sleep reminders, and support active users with recovery-focused guidance.</t>
  </si>
  <si>
    <t>Act phase completed by developing three high-level recommendations for Bellabeat based on the analysis. Recommendations focused on balanced wellness positioning, personalized movement nudges, and sleep consistency/recovery support. Limitations and additional data needs were documented, and a portfolio summary paragraph was created.</t>
  </si>
  <si>
    <t>Act phase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</si>
</sst>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2">
    <xf numFmtId="0" fontId="0" fillId="0" borderId="0" xfId="0"/>
    <xf numFmtId="14" fontId="0" fillId="0" borderId="0" xfId="0" applyNumberFormat="1"/>
    <xf numFmtId="22" fontId="0" fillId="0" borderId="0" xfId="0" applyNumberFormat="1"/>
    <xf numFmtId="0" fontId="2" fillId="0" borderId="0" xfId="0" applyFont="1"/>
    <xf numFmtId="14" fontId="2" fillId="0" borderId="0" xfId="0" applyNumberFormat="1" applyFont="1"/>
    <xf numFmtId="0" fontId="2" fillId="0" borderId="0" xfId="0" applyFont="1" applyAlignment="1">
      <alignment horizontal="center"/>
    </xf>
    <xf numFmtId="0" fontId="3" fillId="0" borderId="0" xfId="0" applyFont="1"/>
    <xf numFmtId="14" fontId="3" fillId="0" borderId="0" xfId="0" applyNumberFormat="1" applyFont="1"/>
    <xf numFmtId="0" fontId="3" fillId="0" borderId="0" xfId="0" applyFont="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xf>
    <xf numFmtId="14" fontId="0" fillId="0" borderId="0" xfId="0" applyNumberFormat="1" applyAlignment="1">
      <alignment horizontal="center"/>
    </xf>
    <xf numFmtId="0" fontId="4" fillId="0" borderId="0" xfId="0" applyFont="1"/>
    <xf numFmtId="0" fontId="5" fillId="0" borderId="0" xfId="0" applyFont="1"/>
    <xf numFmtId="0" fontId="6" fillId="0" borderId="0" xfId="0" applyFont="1" applyAlignment="1">
      <alignment horizontal="center"/>
    </xf>
    <xf numFmtId="0" fontId="2" fillId="2" borderId="0" xfId="0" applyFont="1" applyFill="1"/>
    <xf numFmtId="0" fontId="2" fillId="3" borderId="0" xfId="0" applyFont="1" applyFill="1"/>
    <xf numFmtId="0" fontId="2" fillId="4" borderId="0" xfId="0" applyFont="1" applyFill="1"/>
    <xf numFmtId="43" fontId="0" fillId="0" borderId="0" xfId="1" applyFont="1"/>
    <xf numFmtId="2"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64" fontId="0" fillId="0" borderId="0" xfId="0" applyNumberFormat="1"/>
    <xf numFmtId="10" fontId="0" fillId="0" borderId="0" xfId="0" applyNumberFormat="1"/>
    <xf numFmtId="1" fontId="0" fillId="0" borderId="0" xfId="0" applyNumberFormat="1"/>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vertical="center"/>
    </xf>
    <xf numFmtId="0" fontId="6" fillId="0" borderId="0" xfId="0" applyFont="1"/>
    <xf numFmtId="0" fontId="6" fillId="0" borderId="0" xfId="0" applyFont="1" applyAlignment="1">
      <alignment horizontal="center" vertical="top" wrapText="1"/>
    </xf>
    <xf numFmtId="0" fontId="5" fillId="0" borderId="1" xfId="0" applyFont="1" applyBorder="1"/>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wrapText="1"/>
    </xf>
    <xf numFmtId="0" fontId="5" fillId="0" borderId="0" xfId="0" applyFont="1" applyAlignment="1">
      <alignment horizontal="center"/>
    </xf>
    <xf numFmtId="0" fontId="2" fillId="0" borderId="0" xfId="0" applyFont="1" applyAlignment="1">
      <alignment horizontal="center"/>
    </xf>
    <xf numFmtId="0" fontId="0" fillId="0" borderId="0" xfId="0" applyAlignment="1">
      <alignment vertical="top" wrapText="1"/>
    </xf>
    <xf numFmtId="0" fontId="6" fillId="0" borderId="0" xfId="0" applyFont="1" applyAlignment="1">
      <alignment horizontal="center"/>
    </xf>
  </cellXfs>
  <cellStyles count="2">
    <cellStyle name="Comma" xfId="1" builtinId="3"/>
    <cellStyle name="Normal" xfId="0" builtinId="0"/>
  </cellStyles>
  <dxfs count="36">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27" formatCode="m/d/yyyy\ h:mm"/>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[Bellabeat_capstone_analysis.xlsx]PivotTables!PivotTable6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3"/>
                </a:solidFill>
              </a:rPr>
              <a:t>Daily Step Category Distribution</a:t>
            </a:r>
          </a:p>
        </c:rich>
      </c:tx>
      <c:layout>
        <c:manualLayout>
          <c:xMode val="edge"/>
          <c:yMode val="edge"/>
          <c:x val="0.2131903014564013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alpha val="60000"/>
            </a:srgbClr>
          </a:solidFill>
          <a:ln>
            <a:noFill/>
          </a:ln>
          <a:effectLst/>
        </c:spPr>
      </c:pivotFmt>
      <c:pivotFmt>
        <c:idx val="4"/>
        <c:spPr>
          <a:solidFill>
            <a:srgbClr val="FF0000">
              <a:alpha val="50000"/>
            </a:srgbClr>
          </a:solidFill>
          <a:ln>
            <a:noFill/>
          </a:ln>
          <a:effectLst/>
        </c:spPr>
      </c:pivotFmt>
      <c:pivotFmt>
        <c:idx val="5"/>
        <c:spPr>
          <a:solidFill>
            <a:schemeClr val="accent6">
              <a:lumMod val="75000"/>
              <a:alpha val="60000"/>
            </a:schemeClr>
          </a:solidFill>
          <a:ln>
            <a:noFill/>
          </a:ln>
          <a:effectLst/>
        </c:spPr>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PivotTables!$B$64</c:f>
              <c:strCache>
                <c:ptCount val="1"/>
                <c:pt idx="0">
                  <c:v>Count of Days</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6B95-4D4F-8BB5-B3580AA2AE89}"/>
              </c:ext>
            </c:extLst>
          </c:dPt>
          <c:dPt>
            <c:idx val="1"/>
            <c:invertIfNegative val="0"/>
            <c:bubble3D val="0"/>
            <c:spPr>
              <a:solidFill>
                <a:srgbClr val="FF0000">
                  <a:alpha val="60000"/>
                </a:srgbClr>
              </a:solidFill>
              <a:ln>
                <a:noFill/>
              </a:ln>
              <a:effectLst/>
            </c:spPr>
            <c:extLst>
              <c:ext xmlns:c16="http://schemas.microsoft.com/office/drawing/2014/chart" uri="{C3380CC4-5D6E-409C-BE32-E72D297353CC}">
                <c16:uniqueId val="{00000004-6B95-4D4F-8BB5-B3580AA2AE89}"/>
              </c:ext>
            </c:extLst>
          </c:dPt>
          <c:dPt>
            <c:idx val="2"/>
            <c:invertIfNegative val="0"/>
            <c:bubble3D val="0"/>
            <c:spPr>
              <a:solidFill>
                <a:srgbClr val="FF0000">
                  <a:alpha val="50000"/>
                </a:srgbClr>
              </a:solidFill>
              <a:ln>
                <a:noFill/>
              </a:ln>
              <a:effectLst/>
            </c:spPr>
            <c:extLst>
              <c:ext xmlns:c16="http://schemas.microsoft.com/office/drawing/2014/chart" uri="{C3380CC4-5D6E-409C-BE32-E72D297353CC}">
                <c16:uniqueId val="{00000005-6B95-4D4F-8BB5-B3580AA2AE89}"/>
              </c:ext>
            </c:extLst>
          </c:dPt>
          <c:dPt>
            <c:idx val="3"/>
            <c:invertIfNegative val="0"/>
            <c:bubble3D val="0"/>
            <c:spPr>
              <a:solidFill>
                <a:schemeClr val="accent6">
                  <a:lumMod val="75000"/>
                  <a:alpha val="60000"/>
                </a:schemeClr>
              </a:solidFill>
              <a:ln>
                <a:noFill/>
              </a:ln>
              <a:effectLst/>
            </c:spPr>
            <c:extLst>
              <c:ext xmlns:c16="http://schemas.microsoft.com/office/drawing/2014/chart" uri="{C3380CC4-5D6E-409C-BE32-E72D297353CC}">
                <c16:uniqueId val="{00000006-6B95-4D4F-8BB5-B3580AA2AE89}"/>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7-6B95-4D4F-8BB5-B3580AA2AE89}"/>
              </c:ext>
            </c:extLst>
          </c:dPt>
          <c:cat>
            <c:strRef>
              <c:f>PivotTables!$A$65:$A$70</c:f>
              <c:strCache>
                <c:ptCount val="5"/>
                <c:pt idx="0">
                  <c:v>Sedentary</c:v>
                </c:pt>
                <c:pt idx="1">
                  <c:v>Low Active</c:v>
                </c:pt>
                <c:pt idx="2">
                  <c:v>Somewhat Active</c:v>
                </c:pt>
                <c:pt idx="3">
                  <c:v>Active</c:v>
                </c:pt>
                <c:pt idx="4">
                  <c:v>Highly Active</c:v>
                </c:pt>
              </c:strCache>
            </c:strRef>
          </c:cat>
          <c:val>
            <c:numRef>
              <c:f>PivotTables!$B$65:$B$70</c:f>
              <c:numCache>
                <c:formatCode>General</c:formatCode>
                <c:ptCount val="5"/>
                <c:pt idx="0">
                  <c:v>496</c:v>
                </c:pt>
                <c:pt idx="1">
                  <c:v>250</c:v>
                </c:pt>
                <c:pt idx="2">
                  <c:v>207</c:v>
                </c:pt>
                <c:pt idx="3">
                  <c:v>225</c:v>
                </c:pt>
                <c:pt idx="4">
                  <c:v>195</c:v>
                </c:pt>
              </c:numCache>
            </c:numRef>
          </c:val>
          <c:extLst>
            <c:ext xmlns:c16="http://schemas.microsoft.com/office/drawing/2014/chart" uri="{C3380CC4-5D6E-409C-BE32-E72D297353CC}">
              <c16:uniqueId val="{00000000-6B95-4D4F-8BB5-B3580AA2AE89}"/>
            </c:ext>
          </c:extLst>
        </c:ser>
        <c:ser>
          <c:idx val="1"/>
          <c:order val="1"/>
          <c:tx>
            <c:strRef>
              <c:f>PivotTables!$C$64</c:f>
              <c:strCache>
                <c:ptCount val="1"/>
                <c:pt idx="0">
                  <c:v>% of Total</c:v>
                </c:pt>
              </c:strCache>
            </c:strRef>
          </c:tx>
          <c:spPr>
            <a:solidFill>
              <a:schemeClr val="accent2"/>
            </a:solidFill>
            <a:ln>
              <a:noFill/>
            </a:ln>
            <a:effectLst/>
          </c:spPr>
          <c:invertIfNegative val="0"/>
          <c:cat>
            <c:strRef>
              <c:f>PivotTables!$A$65:$A$70</c:f>
              <c:strCache>
                <c:ptCount val="5"/>
                <c:pt idx="0">
                  <c:v>Sedentary</c:v>
                </c:pt>
                <c:pt idx="1">
                  <c:v>Low Active</c:v>
                </c:pt>
                <c:pt idx="2">
                  <c:v>Somewhat Active</c:v>
                </c:pt>
                <c:pt idx="3">
                  <c:v>Active</c:v>
                </c:pt>
                <c:pt idx="4">
                  <c:v>Highly Active</c:v>
                </c:pt>
              </c:strCache>
            </c:strRef>
          </c:cat>
          <c:val>
            <c:numRef>
              <c:f>PivotTables!$C$65:$C$70</c:f>
              <c:numCache>
                <c:formatCode>0.00%</c:formatCode>
                <c:ptCount val="5"/>
                <c:pt idx="0">
                  <c:v>0.36125273124544793</c:v>
                </c:pt>
                <c:pt idx="1">
                  <c:v>0.1820830298616169</c:v>
                </c:pt>
                <c:pt idx="2">
                  <c:v>0.15076474872541878</c:v>
                </c:pt>
                <c:pt idx="3">
                  <c:v>0.16387472687545521</c:v>
                </c:pt>
                <c:pt idx="4">
                  <c:v>0.14202476329206118</c:v>
                </c:pt>
              </c:numCache>
            </c:numRef>
          </c:val>
          <c:extLst>
            <c:ext xmlns:c16="http://schemas.microsoft.com/office/drawing/2014/chart" uri="{C3380CC4-5D6E-409C-BE32-E72D297353CC}">
              <c16:uniqueId val="{00000001-6B95-4D4F-8BB5-B3580AA2AE89}"/>
            </c:ext>
          </c:extLst>
        </c:ser>
        <c:dLbls>
          <c:showLegendKey val="0"/>
          <c:showVal val="0"/>
          <c:showCatName val="0"/>
          <c:showSerName val="0"/>
          <c:showPercent val="0"/>
          <c:showBubbleSize val="0"/>
        </c:dLbls>
        <c:gapWidth val="40"/>
        <c:axId val="2115749647"/>
        <c:axId val="1736840239"/>
      </c:barChart>
      <c:catAx>
        <c:axId val="2115749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6840239"/>
        <c:crosses val="autoZero"/>
        <c:auto val="1"/>
        <c:lblAlgn val="ctr"/>
        <c:lblOffset val="100"/>
        <c:noMultiLvlLbl val="0"/>
      </c:catAx>
      <c:valAx>
        <c:axId val="17368402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1574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[Bellabeat_capstone_analysis.xlsx]PivotTables!PivotTable5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Shorter Sleep Categories Show Higher Average Steps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PivotTables!$B$181</c:f>
              <c:strCache>
                <c:ptCount val="1"/>
                <c:pt idx="0">
                  <c:v>Record Count</c:v>
                </c:pt>
              </c:strCache>
            </c:strRef>
          </c:tx>
          <c:spPr>
            <a:solidFill>
              <a:schemeClr val="accent1"/>
            </a:solidFill>
            <a:ln>
              <a:noFill/>
            </a:ln>
            <a:effectLst/>
          </c:spPr>
          <c:invertIfNegative val="0"/>
          <c:cat>
            <c:strRef>
              <c:f>PivotTables!$A$182:$A$186</c:f>
              <c:strCache>
                <c:ptCount val="4"/>
                <c:pt idx="0">
                  <c:v>Insufficient Sleep</c:v>
                </c:pt>
                <c:pt idx="1">
                  <c:v>Below Recommended</c:v>
                </c:pt>
                <c:pt idx="2">
                  <c:v>Recommended</c:v>
                </c:pt>
                <c:pt idx="3">
                  <c:v>Oversleeping</c:v>
                </c:pt>
              </c:strCache>
            </c:strRef>
          </c:cat>
          <c:val>
            <c:numRef>
              <c:f>PivotTables!$B$182:$B$186</c:f>
              <c:numCache>
                <c:formatCode>0</c:formatCode>
                <c:ptCount val="4"/>
                <c:pt idx="0">
                  <c:v>100</c:v>
                </c:pt>
                <c:pt idx="1">
                  <c:v>81</c:v>
                </c:pt>
                <c:pt idx="2">
                  <c:v>190</c:v>
                </c:pt>
                <c:pt idx="3">
                  <c:v>39</c:v>
                </c:pt>
              </c:numCache>
            </c:numRef>
          </c:val>
          <c:extLst>
            <c:ext xmlns:c16="http://schemas.microsoft.com/office/drawing/2014/chart" uri="{C3380CC4-5D6E-409C-BE32-E72D297353CC}">
              <c16:uniqueId val="{00000000-04B4-4C29-8281-BD34DDAB826B}"/>
            </c:ext>
          </c:extLst>
        </c:ser>
        <c:ser>
          <c:idx val="2"/>
          <c:order val="2"/>
          <c:tx>
            <c:strRef>
              <c:f>PivotTables!$D$181</c:f>
              <c:strCache>
                <c:ptCount val="1"/>
                <c:pt idx="0">
                  <c:v>Avg Active Minutes</c:v>
                </c:pt>
              </c:strCache>
            </c:strRef>
          </c:tx>
          <c:spPr>
            <a:solidFill>
              <a:schemeClr val="accent3"/>
            </a:solidFill>
            <a:ln>
              <a:noFill/>
            </a:ln>
            <a:effectLst/>
          </c:spPr>
          <c:invertIfNegative val="0"/>
          <c:cat>
            <c:strRef>
              <c:f>PivotTables!$A$182:$A$186</c:f>
              <c:strCache>
                <c:ptCount val="4"/>
                <c:pt idx="0">
                  <c:v>Insufficient Sleep</c:v>
                </c:pt>
                <c:pt idx="1">
                  <c:v>Below Recommended</c:v>
                </c:pt>
                <c:pt idx="2">
                  <c:v>Recommended</c:v>
                </c:pt>
                <c:pt idx="3">
                  <c:v>Oversleeping</c:v>
                </c:pt>
              </c:strCache>
            </c:strRef>
          </c:cat>
          <c:val>
            <c:numRef>
              <c:f>PivotTables!$D$182:$D$186</c:f>
              <c:numCache>
                <c:formatCode>0.00</c:formatCode>
                <c:ptCount val="4"/>
                <c:pt idx="0">
                  <c:v>254.46</c:v>
                </c:pt>
                <c:pt idx="1">
                  <c:v>268.98765432098764</c:v>
                </c:pt>
                <c:pt idx="2">
                  <c:v>253.63684210526316</c:v>
                </c:pt>
                <c:pt idx="3">
                  <c:v>222</c:v>
                </c:pt>
              </c:numCache>
            </c:numRef>
          </c:val>
          <c:extLst>
            <c:ext xmlns:c16="http://schemas.microsoft.com/office/drawing/2014/chart" uri="{C3380CC4-5D6E-409C-BE32-E72D297353CC}">
              <c16:uniqueId val="{00000002-04B4-4C29-8281-BD34DDAB826B}"/>
            </c:ext>
          </c:extLst>
        </c:ser>
        <c:dLbls>
          <c:showLegendKey val="0"/>
          <c:showVal val="0"/>
          <c:showCatName val="0"/>
          <c:showSerName val="0"/>
          <c:showPercent val="0"/>
          <c:showBubbleSize val="0"/>
        </c:dLbls>
        <c:gapWidth val="219"/>
        <c:axId val="1964812336"/>
        <c:axId val="1965117232"/>
      </c:barChart>
      <c:barChart>
        <c:barDir val="col"/>
        <c:grouping val="clustered"/>
        <c:varyColors val="0"/>
        <c:ser>
          <c:idx val="1"/>
          <c:order val="1"/>
          <c:tx>
            <c:strRef>
              <c:f>PivotTables!$C$181</c:f>
              <c:strCache>
                <c:ptCount val="1"/>
                <c:pt idx="0">
                  <c:v>Avg Steps</c:v>
                </c:pt>
              </c:strCache>
            </c:strRef>
          </c:tx>
          <c:spPr>
            <a:solidFill>
              <a:schemeClr val="accent2"/>
            </a:solidFill>
            <a:ln>
              <a:noFill/>
            </a:ln>
            <a:effectLst/>
          </c:spPr>
          <c:invertIfNegative val="0"/>
          <c:cat>
            <c:strRef>
              <c:f>PivotTables!$A$182:$A$186</c:f>
              <c:strCache>
                <c:ptCount val="4"/>
                <c:pt idx="0">
                  <c:v>Insufficient Sleep</c:v>
                </c:pt>
                <c:pt idx="1">
                  <c:v>Below Recommended</c:v>
                </c:pt>
                <c:pt idx="2">
                  <c:v>Recommended</c:v>
                </c:pt>
                <c:pt idx="3">
                  <c:v>Oversleeping</c:v>
                </c:pt>
              </c:strCache>
            </c:strRef>
          </c:cat>
          <c:val>
            <c:numRef>
              <c:f>PivotTables!$C$182:$C$186</c:f>
              <c:numCache>
                <c:formatCode>#,##0</c:formatCode>
                <c:ptCount val="4"/>
                <c:pt idx="0">
                  <c:v>9229.8799999999992</c:v>
                </c:pt>
                <c:pt idx="1">
                  <c:v>9160.4074074074069</c:v>
                </c:pt>
                <c:pt idx="2">
                  <c:v>7946.652631578947</c:v>
                </c:pt>
                <c:pt idx="3">
                  <c:v>6209.3589743589746</c:v>
                </c:pt>
              </c:numCache>
            </c:numRef>
          </c:val>
          <c:extLst>
            <c:ext xmlns:c16="http://schemas.microsoft.com/office/drawing/2014/chart" uri="{C3380CC4-5D6E-409C-BE32-E72D297353CC}">
              <c16:uniqueId val="{00000001-04B4-4C29-8281-BD34DDAB826B}"/>
            </c:ext>
          </c:extLst>
        </c:ser>
        <c:dLbls>
          <c:showLegendKey val="0"/>
          <c:showVal val="0"/>
          <c:showCatName val="0"/>
          <c:showSerName val="0"/>
          <c:showPercent val="0"/>
          <c:showBubbleSize val="0"/>
        </c:dLbls>
        <c:gapWidth val="219"/>
        <c:axId val="341745119"/>
        <c:axId val="1965169072"/>
      </c:barChart>
      <c:lineChart>
        <c:grouping val="standard"/>
        <c:varyColors val="0"/>
        <c:ser>
          <c:idx val="3"/>
          <c:order val="3"/>
          <c:tx>
            <c:strRef>
              <c:f>PivotTables!$E$181</c:f>
              <c:strCache>
                <c:ptCount val="1"/>
                <c:pt idx="0">
                  <c:v>Avg Sedentary Hours</c:v>
                </c:pt>
              </c:strCache>
            </c:strRef>
          </c:tx>
          <c:spPr>
            <a:ln w="28575" cap="rnd">
              <a:solidFill>
                <a:schemeClr val="accent4"/>
              </a:solidFill>
              <a:round/>
            </a:ln>
            <a:effectLst/>
          </c:spPr>
          <c:marker>
            <c:symbol val="none"/>
          </c:marker>
          <c:cat>
            <c:strRef>
              <c:f>PivotTables!$A$182:$A$186</c:f>
              <c:strCache>
                <c:ptCount val="4"/>
                <c:pt idx="0">
                  <c:v>Insufficient Sleep</c:v>
                </c:pt>
                <c:pt idx="1">
                  <c:v>Below Recommended</c:v>
                </c:pt>
                <c:pt idx="2">
                  <c:v>Recommended</c:v>
                </c:pt>
                <c:pt idx="3">
                  <c:v>Oversleeping</c:v>
                </c:pt>
              </c:strCache>
            </c:strRef>
          </c:cat>
          <c:val>
            <c:numRef>
              <c:f>PivotTables!$E$182:$E$186</c:f>
              <c:numCache>
                <c:formatCode>0.00</c:formatCode>
                <c:ptCount val="4"/>
                <c:pt idx="0">
                  <c:v>13.661800000000001</c:v>
                </c:pt>
                <c:pt idx="1">
                  <c:v>11.81246913580247</c:v>
                </c:pt>
                <c:pt idx="2">
                  <c:v>11.041315789473686</c:v>
                </c:pt>
                <c:pt idx="3">
                  <c:v>9.1546153846153864</c:v>
                </c:pt>
              </c:numCache>
            </c:numRef>
          </c:val>
          <c:smooth val="0"/>
          <c:extLst>
            <c:ext xmlns:c16="http://schemas.microsoft.com/office/drawing/2014/chart" uri="{C3380CC4-5D6E-409C-BE32-E72D297353CC}">
              <c16:uniqueId val="{00000003-04B4-4C29-8281-BD34DDAB826B}"/>
            </c:ext>
          </c:extLst>
        </c:ser>
        <c:ser>
          <c:idx val="4"/>
          <c:order val="4"/>
          <c:tx>
            <c:strRef>
              <c:f>PivotTables!$F$181</c:f>
              <c:strCache>
                <c:ptCount val="1"/>
                <c:pt idx="0">
                  <c:v>Avg Calories</c:v>
                </c:pt>
              </c:strCache>
            </c:strRef>
          </c:tx>
          <c:spPr>
            <a:ln w="28575" cap="rnd">
              <a:solidFill>
                <a:schemeClr val="accent5"/>
              </a:solidFill>
              <a:round/>
            </a:ln>
            <a:effectLst/>
          </c:spPr>
          <c:marker>
            <c:symbol val="none"/>
          </c:marker>
          <c:cat>
            <c:strRef>
              <c:f>PivotTables!$A$182:$A$186</c:f>
              <c:strCache>
                <c:ptCount val="4"/>
                <c:pt idx="0">
                  <c:v>Insufficient Sleep</c:v>
                </c:pt>
                <c:pt idx="1">
                  <c:v>Below Recommended</c:v>
                </c:pt>
                <c:pt idx="2">
                  <c:v>Recommended</c:v>
                </c:pt>
                <c:pt idx="3">
                  <c:v>Oversleeping</c:v>
                </c:pt>
              </c:strCache>
            </c:strRef>
          </c:cat>
          <c:val>
            <c:numRef>
              <c:f>PivotTables!$F$182:$F$186</c:f>
              <c:numCache>
                <c:formatCode>#,##0</c:formatCode>
                <c:ptCount val="4"/>
                <c:pt idx="0">
                  <c:v>2212.69</c:v>
                </c:pt>
                <c:pt idx="1">
                  <c:v>2588.4074074074074</c:v>
                </c:pt>
                <c:pt idx="2">
                  <c:v>2326.8421052631579</c:v>
                </c:pt>
                <c:pt idx="3">
                  <c:v>2205.9487179487178</c:v>
                </c:pt>
              </c:numCache>
            </c:numRef>
          </c:val>
          <c:smooth val="0"/>
          <c:extLst>
            <c:ext xmlns:c16="http://schemas.microsoft.com/office/drawing/2014/chart" uri="{C3380CC4-5D6E-409C-BE32-E72D297353CC}">
              <c16:uniqueId val="{00000004-04B4-4C29-8281-BD34DDAB826B}"/>
            </c:ext>
          </c:extLst>
        </c:ser>
        <c:dLbls>
          <c:showLegendKey val="0"/>
          <c:showVal val="0"/>
          <c:showCatName val="0"/>
          <c:showSerName val="0"/>
          <c:showPercent val="0"/>
          <c:showBubbleSize val="0"/>
        </c:dLbls>
        <c:marker val="1"/>
        <c:smooth val="0"/>
        <c:axId val="1964812336"/>
        <c:axId val="1965117232"/>
      </c:lineChart>
      <c:lineChart>
        <c:grouping val="standard"/>
        <c:varyColors val="0"/>
        <c:ser>
          <c:idx val="5"/>
          <c:order val="5"/>
          <c:tx>
            <c:strRef>
              <c:f>PivotTables!$G$181</c:f>
              <c:strCache>
                <c:ptCount val="1"/>
                <c:pt idx="0">
                  <c:v>Avg Sleep Hours</c:v>
                </c:pt>
              </c:strCache>
            </c:strRef>
          </c:tx>
          <c:spPr>
            <a:ln w="28575" cap="rnd">
              <a:solidFill>
                <a:schemeClr val="accent6"/>
              </a:solidFill>
              <a:round/>
            </a:ln>
            <a:effectLst/>
          </c:spPr>
          <c:marker>
            <c:symbol val="none"/>
          </c:marker>
          <c:cat>
            <c:strRef>
              <c:f>PivotTables!$A$182:$A$186</c:f>
              <c:strCache>
                <c:ptCount val="4"/>
                <c:pt idx="0">
                  <c:v>Insufficient Sleep</c:v>
                </c:pt>
                <c:pt idx="1">
                  <c:v>Below Recommended</c:v>
                </c:pt>
                <c:pt idx="2">
                  <c:v>Recommended</c:v>
                </c:pt>
                <c:pt idx="3">
                  <c:v>Oversleeping</c:v>
                </c:pt>
              </c:strCache>
            </c:strRef>
          </c:cat>
          <c:val>
            <c:numRef>
              <c:f>PivotTables!$G$182:$G$186</c:f>
              <c:numCache>
                <c:formatCode>0.00</c:formatCode>
                <c:ptCount val="4"/>
                <c:pt idx="0">
                  <c:v>4.4025000000000007</c:v>
                </c:pt>
                <c:pt idx="1">
                  <c:v>6.5353086419753073</c:v>
                </c:pt>
                <c:pt idx="2">
                  <c:v>7.8856315789473648</c:v>
                </c:pt>
                <c:pt idx="3">
                  <c:v>10.171538461538461</c:v>
                </c:pt>
              </c:numCache>
            </c:numRef>
          </c:val>
          <c:smooth val="0"/>
          <c:extLst>
            <c:ext xmlns:c16="http://schemas.microsoft.com/office/drawing/2014/chart" uri="{C3380CC4-5D6E-409C-BE32-E72D297353CC}">
              <c16:uniqueId val="{00000005-04B4-4C29-8281-BD34DDAB826B}"/>
            </c:ext>
          </c:extLst>
        </c:ser>
        <c:dLbls>
          <c:showLegendKey val="0"/>
          <c:showVal val="0"/>
          <c:showCatName val="0"/>
          <c:showSerName val="0"/>
          <c:showPercent val="0"/>
          <c:showBubbleSize val="0"/>
        </c:dLbls>
        <c:marker val="1"/>
        <c:smooth val="0"/>
        <c:axId val="341745119"/>
        <c:axId val="1965169072"/>
      </c:lineChart>
      <c:catAx>
        <c:axId val="19648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17232"/>
        <c:crosses val="autoZero"/>
        <c:auto val="1"/>
        <c:lblAlgn val="ctr"/>
        <c:lblOffset val="100"/>
        <c:noMultiLvlLbl val="0"/>
      </c:catAx>
      <c:valAx>
        <c:axId val="1965117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812336"/>
        <c:crosses val="autoZero"/>
        <c:crossBetween val="between"/>
      </c:valAx>
      <c:valAx>
        <c:axId val="19651690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45119"/>
        <c:crosses val="max"/>
        <c:crossBetween val="between"/>
      </c:valAx>
      <c:catAx>
        <c:axId val="341745119"/>
        <c:scaling>
          <c:orientation val="minMax"/>
        </c:scaling>
        <c:delete val="1"/>
        <c:axPos val="b"/>
        <c:numFmt formatCode="General" sourceLinked="1"/>
        <c:majorTickMark val="out"/>
        <c:minorTickMark val="none"/>
        <c:tickLblPos val="nextTo"/>
        <c:crossAx val="1965169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[Bellabeat_capstone_analysis.xlsx]PivotTables!PivotTable8</c:name>
    <c:fmtId val="3"/>
  </c:pivotSource>
  <c:chart>
    <c:title>
      <c:tx>
        <c:rich>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r>
              <a:rPr lang="en-US" sz="1400" b="1" i="0" u="none" strike="noStrike" baseline="0">
                <a:solidFill>
                  <a:schemeClr val="accent3"/>
                </a:solidFill>
                <a:effectLst/>
              </a:rPr>
              <a:t>Sleep Category Distribution</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PivotTables!$B$81</c:f>
              <c:strCache>
                <c:ptCount val="1"/>
                <c:pt idx="0">
                  <c:v>Count of Sleep Records</c:v>
                </c:pt>
              </c:strCache>
            </c:strRef>
          </c:tx>
          <c:dPt>
            <c:idx val="0"/>
            <c:bubble3D val="0"/>
            <c:spPr>
              <a:solidFill>
                <a:schemeClr val="accent1"/>
              </a:solidFill>
              <a:ln>
                <a:noFill/>
              </a:ln>
              <a:effectLst/>
            </c:spPr>
            <c:extLst>
              <c:ext xmlns:c16="http://schemas.microsoft.com/office/drawing/2014/chart" uri="{C3380CC4-5D6E-409C-BE32-E72D297353CC}">
                <c16:uniqueId val="{00000001-9AA4-431D-B39A-F6F4CCA46FE2}"/>
              </c:ext>
            </c:extLst>
          </c:dPt>
          <c:dPt>
            <c:idx val="1"/>
            <c:bubble3D val="0"/>
            <c:spPr>
              <a:solidFill>
                <a:schemeClr val="accent3"/>
              </a:solidFill>
              <a:ln>
                <a:noFill/>
              </a:ln>
              <a:effectLst/>
            </c:spPr>
            <c:extLst>
              <c:ext xmlns:c16="http://schemas.microsoft.com/office/drawing/2014/chart" uri="{C3380CC4-5D6E-409C-BE32-E72D297353CC}">
                <c16:uniqueId val="{00000003-9AA4-431D-B39A-F6F4CCA46FE2}"/>
              </c:ext>
            </c:extLst>
          </c:dPt>
          <c:dPt>
            <c:idx val="2"/>
            <c:bubble3D val="0"/>
            <c:spPr>
              <a:solidFill>
                <a:schemeClr val="accent5"/>
              </a:solidFill>
              <a:ln>
                <a:noFill/>
              </a:ln>
              <a:effectLst/>
            </c:spPr>
            <c:extLst>
              <c:ext xmlns:c16="http://schemas.microsoft.com/office/drawing/2014/chart" uri="{C3380CC4-5D6E-409C-BE32-E72D297353CC}">
                <c16:uniqueId val="{00000005-9AA4-431D-B39A-F6F4CCA46FE2}"/>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9AA4-431D-B39A-F6F4CCA46FE2}"/>
              </c:ext>
            </c:extLst>
          </c:dPt>
          <c:cat>
            <c:strRef>
              <c:f>PivotTables!$A$82:$A$86</c:f>
              <c:strCache>
                <c:ptCount val="4"/>
                <c:pt idx="0">
                  <c:v>Insufficient Sleep</c:v>
                </c:pt>
                <c:pt idx="1">
                  <c:v>Below Recommended</c:v>
                </c:pt>
                <c:pt idx="2">
                  <c:v>Recommended</c:v>
                </c:pt>
                <c:pt idx="3">
                  <c:v>Oversleeping</c:v>
                </c:pt>
              </c:strCache>
            </c:strRef>
          </c:cat>
          <c:val>
            <c:numRef>
              <c:f>PivotTables!$B$82:$B$86</c:f>
              <c:numCache>
                <c:formatCode>General</c:formatCode>
                <c:ptCount val="4"/>
                <c:pt idx="0">
                  <c:v>100</c:v>
                </c:pt>
                <c:pt idx="1">
                  <c:v>81</c:v>
                </c:pt>
                <c:pt idx="2">
                  <c:v>190</c:v>
                </c:pt>
                <c:pt idx="3">
                  <c:v>39</c:v>
                </c:pt>
              </c:numCache>
            </c:numRef>
          </c:val>
          <c:extLst>
            <c:ext xmlns:c16="http://schemas.microsoft.com/office/drawing/2014/chart" uri="{C3380CC4-5D6E-409C-BE32-E72D297353CC}">
              <c16:uniqueId val="{00000000-D590-4254-A375-41E5AE14D096}"/>
            </c:ext>
          </c:extLst>
        </c:ser>
        <c:ser>
          <c:idx val="1"/>
          <c:order val="1"/>
          <c:tx>
            <c:strRef>
              <c:f>PivotTables!$C$81</c:f>
              <c:strCache>
                <c:ptCount val="1"/>
                <c:pt idx="0">
                  <c:v>% of Total</c:v>
                </c:pt>
              </c:strCache>
            </c:strRef>
          </c:tx>
          <c:dPt>
            <c:idx val="0"/>
            <c:bubble3D val="0"/>
            <c:spPr>
              <a:solidFill>
                <a:schemeClr val="accent1"/>
              </a:solidFill>
              <a:ln>
                <a:noFill/>
              </a:ln>
              <a:effectLst/>
            </c:spPr>
            <c:extLst>
              <c:ext xmlns:c16="http://schemas.microsoft.com/office/drawing/2014/chart" uri="{C3380CC4-5D6E-409C-BE32-E72D297353CC}">
                <c16:uniqueId val="{00000009-9AA4-431D-B39A-F6F4CCA46FE2}"/>
              </c:ext>
            </c:extLst>
          </c:dPt>
          <c:dPt>
            <c:idx val="1"/>
            <c:bubble3D val="0"/>
            <c:spPr>
              <a:solidFill>
                <a:schemeClr val="accent3"/>
              </a:solidFill>
              <a:ln>
                <a:noFill/>
              </a:ln>
              <a:effectLst/>
            </c:spPr>
            <c:extLst>
              <c:ext xmlns:c16="http://schemas.microsoft.com/office/drawing/2014/chart" uri="{C3380CC4-5D6E-409C-BE32-E72D297353CC}">
                <c16:uniqueId val="{0000000B-9AA4-431D-B39A-F6F4CCA46FE2}"/>
              </c:ext>
            </c:extLst>
          </c:dPt>
          <c:dPt>
            <c:idx val="2"/>
            <c:bubble3D val="0"/>
            <c:spPr>
              <a:solidFill>
                <a:schemeClr val="accent5"/>
              </a:solidFill>
              <a:ln>
                <a:noFill/>
              </a:ln>
              <a:effectLst/>
            </c:spPr>
            <c:extLst>
              <c:ext xmlns:c16="http://schemas.microsoft.com/office/drawing/2014/chart" uri="{C3380CC4-5D6E-409C-BE32-E72D297353CC}">
                <c16:uniqueId val="{0000000D-9AA4-431D-B39A-F6F4CCA46FE2}"/>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F-9AA4-431D-B39A-F6F4CCA46FE2}"/>
              </c:ext>
            </c:extLst>
          </c:dPt>
          <c:cat>
            <c:strRef>
              <c:f>PivotTables!$A$82:$A$86</c:f>
              <c:strCache>
                <c:ptCount val="4"/>
                <c:pt idx="0">
                  <c:v>Insufficient Sleep</c:v>
                </c:pt>
                <c:pt idx="1">
                  <c:v>Below Recommended</c:v>
                </c:pt>
                <c:pt idx="2">
                  <c:v>Recommended</c:v>
                </c:pt>
                <c:pt idx="3">
                  <c:v>Oversleeping</c:v>
                </c:pt>
              </c:strCache>
            </c:strRef>
          </c:cat>
          <c:val>
            <c:numRef>
              <c:f>PivotTables!$C$82:$C$86</c:f>
              <c:numCache>
                <c:formatCode>0.00%</c:formatCode>
                <c:ptCount val="4"/>
                <c:pt idx="0">
                  <c:v>0.24390243902439024</c:v>
                </c:pt>
                <c:pt idx="1">
                  <c:v>0.19756097560975611</c:v>
                </c:pt>
                <c:pt idx="2">
                  <c:v>0.46341463414634149</c:v>
                </c:pt>
                <c:pt idx="3">
                  <c:v>9.5121951219512196E-2</c:v>
                </c:pt>
              </c:numCache>
            </c:numRef>
          </c:val>
          <c:extLst>
            <c:ext xmlns:c16="http://schemas.microsoft.com/office/drawing/2014/chart" uri="{C3380CC4-5D6E-409C-BE32-E72D297353CC}">
              <c16:uniqueId val="{00000001-D590-4254-A375-41E5AE14D09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[Bellabeat_capstone_analysis.xlsx]PivotTables!PivotTable1</c:name>
    <c:fmtId val="4"/>
  </c:pivotSource>
  <c:chart>
    <c:title>
      <c:tx>
        <c:rich>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r>
              <a:rPr lang="en-US" sz="1400" b="1" i="0" u="none" strike="noStrike" baseline="0">
                <a:solidFill>
                  <a:schemeClr val="accent3"/>
                </a:solidFill>
                <a:effectLst/>
              </a:rPr>
              <a:t>Avg Steps by Day of Week</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Avg Calories</c:v>
                </c:pt>
              </c:strCache>
            </c:strRef>
          </c:tx>
          <c:spPr>
            <a:solidFill>
              <a:schemeClr val="accent1"/>
            </a:solidFill>
            <a:ln>
              <a:noFill/>
            </a:ln>
            <a:effectLst/>
          </c:spPr>
          <c:invertIfNegative val="0"/>
          <c:cat>
            <c:strRef>
              <c:f>PivotTables!$A$4:$A$11</c:f>
              <c:strCache>
                <c:ptCount val="7"/>
                <c:pt idx="0">
                  <c:v>Monday</c:v>
                </c:pt>
                <c:pt idx="1">
                  <c:v>Tuesday</c:v>
                </c:pt>
                <c:pt idx="2">
                  <c:v>Wednesday</c:v>
                </c:pt>
                <c:pt idx="3">
                  <c:v>Thursday</c:v>
                </c:pt>
                <c:pt idx="4">
                  <c:v>Friday</c:v>
                </c:pt>
                <c:pt idx="5">
                  <c:v>Saturday</c:v>
                </c:pt>
                <c:pt idx="6">
                  <c:v>Sunday</c:v>
                </c:pt>
              </c:strCache>
            </c:strRef>
          </c:cat>
          <c:val>
            <c:numRef>
              <c:f>PivotTables!$B$4:$B$11</c:f>
              <c:numCache>
                <c:formatCode>#,##0</c:formatCode>
                <c:ptCount val="7"/>
                <c:pt idx="0">
                  <c:v>2298.4042553191489</c:v>
                </c:pt>
                <c:pt idx="1">
                  <c:v>2131.4776119402986</c:v>
                </c:pt>
                <c:pt idx="2">
                  <c:v>2320.7626262626263</c:v>
                </c:pt>
                <c:pt idx="3">
                  <c:v>2223.7538461538461</c:v>
                </c:pt>
                <c:pt idx="4">
                  <c:v>2325.0954773869348</c:v>
                </c:pt>
                <c:pt idx="5">
                  <c:v>2325.8040201005024</c:v>
                </c:pt>
                <c:pt idx="6">
                  <c:v>2227.4093264248704</c:v>
                </c:pt>
              </c:numCache>
            </c:numRef>
          </c:val>
          <c:extLst>
            <c:ext xmlns:c16="http://schemas.microsoft.com/office/drawing/2014/chart" uri="{C3380CC4-5D6E-409C-BE32-E72D297353CC}">
              <c16:uniqueId val="{00000000-EA9A-4D6E-867A-19C71C5ABECF}"/>
            </c:ext>
          </c:extLst>
        </c:ser>
        <c:ser>
          <c:idx val="1"/>
          <c:order val="1"/>
          <c:tx>
            <c:strRef>
              <c:f>PivotTables!$C$3</c:f>
              <c:strCache>
                <c:ptCount val="1"/>
                <c:pt idx="0">
                  <c:v>Avg Active Minutes</c:v>
                </c:pt>
              </c:strCache>
            </c:strRef>
          </c:tx>
          <c:spPr>
            <a:solidFill>
              <a:schemeClr val="accent2"/>
            </a:solidFill>
            <a:ln>
              <a:noFill/>
            </a:ln>
            <a:effectLst/>
          </c:spPr>
          <c:invertIfNegative val="0"/>
          <c:cat>
            <c:strRef>
              <c:f>PivotTables!$A$4:$A$11</c:f>
              <c:strCache>
                <c:ptCount val="7"/>
                <c:pt idx="0">
                  <c:v>Monday</c:v>
                </c:pt>
                <c:pt idx="1">
                  <c:v>Tuesday</c:v>
                </c:pt>
                <c:pt idx="2">
                  <c:v>Wednesday</c:v>
                </c:pt>
                <c:pt idx="3">
                  <c:v>Thursday</c:v>
                </c:pt>
                <c:pt idx="4">
                  <c:v>Friday</c:v>
                </c:pt>
                <c:pt idx="5">
                  <c:v>Saturday</c:v>
                </c:pt>
                <c:pt idx="6">
                  <c:v>Sunday</c:v>
                </c:pt>
              </c:strCache>
            </c:strRef>
          </c:cat>
          <c:val>
            <c:numRef>
              <c:f>PivotTables!$C$4:$C$11</c:f>
              <c:numCache>
                <c:formatCode>#,##0.00</c:formatCode>
                <c:ptCount val="7"/>
                <c:pt idx="0">
                  <c:v>218.97872340425531</c:v>
                </c:pt>
                <c:pt idx="1">
                  <c:v>202.96517412935324</c:v>
                </c:pt>
                <c:pt idx="2">
                  <c:v>223.22222222222223</c:v>
                </c:pt>
                <c:pt idx="3">
                  <c:v>212.45641025641027</c:v>
                </c:pt>
                <c:pt idx="4">
                  <c:v>229.05527638190955</c:v>
                </c:pt>
                <c:pt idx="5">
                  <c:v>235.71859296482413</c:v>
                </c:pt>
                <c:pt idx="6">
                  <c:v>200.89119170984455</c:v>
                </c:pt>
              </c:numCache>
            </c:numRef>
          </c:val>
          <c:extLst>
            <c:ext xmlns:c16="http://schemas.microsoft.com/office/drawing/2014/chart" uri="{C3380CC4-5D6E-409C-BE32-E72D297353CC}">
              <c16:uniqueId val="{00000001-EA9A-4D6E-867A-19C71C5ABECF}"/>
            </c:ext>
          </c:extLst>
        </c:ser>
        <c:ser>
          <c:idx val="2"/>
          <c:order val="2"/>
          <c:tx>
            <c:strRef>
              <c:f>PivotTables!$D$3</c:f>
              <c:strCache>
                <c:ptCount val="1"/>
                <c:pt idx="0">
                  <c:v>Avg Sedentary Hours</c:v>
                </c:pt>
              </c:strCache>
            </c:strRef>
          </c:tx>
          <c:spPr>
            <a:solidFill>
              <a:schemeClr val="accent3"/>
            </a:solidFill>
            <a:ln>
              <a:noFill/>
            </a:ln>
            <a:effectLst/>
          </c:spPr>
          <c:invertIfNegative val="0"/>
          <c:cat>
            <c:strRef>
              <c:f>PivotTables!$A$4:$A$11</c:f>
              <c:strCache>
                <c:ptCount val="7"/>
                <c:pt idx="0">
                  <c:v>Monday</c:v>
                </c:pt>
                <c:pt idx="1">
                  <c:v>Tuesday</c:v>
                </c:pt>
                <c:pt idx="2">
                  <c:v>Wednesday</c:v>
                </c:pt>
                <c:pt idx="3">
                  <c:v>Thursday</c:v>
                </c:pt>
                <c:pt idx="4">
                  <c:v>Friday</c:v>
                </c:pt>
                <c:pt idx="5">
                  <c:v>Saturday</c:v>
                </c:pt>
                <c:pt idx="6">
                  <c:v>Sunday</c:v>
                </c:pt>
              </c:strCache>
            </c:strRef>
          </c:cat>
          <c:val>
            <c:numRef>
              <c:f>PivotTables!$D$4:$D$11</c:f>
              <c:numCache>
                <c:formatCode>#,##0.00</c:formatCode>
                <c:ptCount val="7"/>
                <c:pt idx="0">
                  <c:v>17.161968085106384</c:v>
                </c:pt>
                <c:pt idx="1">
                  <c:v>15.968258706467662</c:v>
                </c:pt>
                <c:pt idx="2">
                  <c:v>16.578181818181815</c:v>
                </c:pt>
                <c:pt idx="3">
                  <c:v>16.414871794871789</c:v>
                </c:pt>
                <c:pt idx="4">
                  <c:v>17.004472361809043</c:v>
                </c:pt>
                <c:pt idx="5">
                  <c:v>16.14874371859295</c:v>
                </c:pt>
                <c:pt idx="6">
                  <c:v>16.66233160621762</c:v>
                </c:pt>
              </c:numCache>
            </c:numRef>
          </c:val>
          <c:extLst>
            <c:ext xmlns:c16="http://schemas.microsoft.com/office/drawing/2014/chart" uri="{C3380CC4-5D6E-409C-BE32-E72D297353CC}">
              <c16:uniqueId val="{00000002-EA9A-4D6E-867A-19C71C5ABECF}"/>
            </c:ext>
          </c:extLst>
        </c:ser>
        <c:ser>
          <c:idx val="3"/>
          <c:order val="3"/>
          <c:tx>
            <c:strRef>
              <c:f>PivotTables!$E$3</c:f>
              <c:strCache>
                <c:ptCount val="1"/>
                <c:pt idx="0">
                  <c:v>Avg Steps</c:v>
                </c:pt>
              </c:strCache>
            </c:strRef>
          </c:tx>
          <c:spPr>
            <a:solidFill>
              <a:schemeClr val="accent4"/>
            </a:solidFill>
            <a:ln>
              <a:noFill/>
            </a:ln>
            <a:effectLst/>
          </c:spPr>
          <c:invertIfNegative val="0"/>
          <c:cat>
            <c:strRef>
              <c:f>PivotTables!$A$4:$A$11</c:f>
              <c:strCache>
                <c:ptCount val="7"/>
                <c:pt idx="0">
                  <c:v>Monday</c:v>
                </c:pt>
                <c:pt idx="1">
                  <c:v>Tuesday</c:v>
                </c:pt>
                <c:pt idx="2">
                  <c:v>Wednesday</c:v>
                </c:pt>
                <c:pt idx="3">
                  <c:v>Thursday</c:v>
                </c:pt>
                <c:pt idx="4">
                  <c:v>Friday</c:v>
                </c:pt>
                <c:pt idx="5">
                  <c:v>Saturday</c:v>
                </c:pt>
                <c:pt idx="6">
                  <c:v>Sunday</c:v>
                </c:pt>
              </c:strCache>
            </c:strRef>
          </c:cat>
          <c:val>
            <c:numRef>
              <c:f>PivotTables!$E$4:$E$11</c:f>
              <c:numCache>
                <c:formatCode>#,##0</c:formatCode>
                <c:ptCount val="7"/>
                <c:pt idx="0">
                  <c:v>7541.3191489361698</c:v>
                </c:pt>
                <c:pt idx="1">
                  <c:v>6830.8507462686566</c:v>
                </c:pt>
                <c:pt idx="2">
                  <c:v>7547.575757575758</c:v>
                </c:pt>
                <c:pt idx="3">
                  <c:v>7268.2974358974361</c:v>
                </c:pt>
                <c:pt idx="4">
                  <c:v>7187.5326633165832</c:v>
                </c:pt>
                <c:pt idx="5">
                  <c:v>7752.2713567839191</c:v>
                </c:pt>
                <c:pt idx="6">
                  <c:v>6606.7253886010367</c:v>
                </c:pt>
              </c:numCache>
            </c:numRef>
          </c:val>
          <c:extLst>
            <c:ext xmlns:c16="http://schemas.microsoft.com/office/drawing/2014/chart" uri="{C3380CC4-5D6E-409C-BE32-E72D297353CC}">
              <c16:uniqueId val="{00000003-EA9A-4D6E-867A-19C71C5ABECF}"/>
            </c:ext>
          </c:extLst>
        </c:ser>
        <c:dLbls>
          <c:showLegendKey val="0"/>
          <c:showVal val="0"/>
          <c:showCatName val="0"/>
          <c:showSerName val="0"/>
          <c:showPercent val="0"/>
          <c:showBubbleSize val="0"/>
        </c:dLbls>
        <c:gapWidth val="219"/>
        <c:overlap val="-27"/>
        <c:axId val="578899503"/>
        <c:axId val="198037264"/>
      </c:barChart>
      <c:catAx>
        <c:axId val="57889950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037264"/>
        <c:crosses val="autoZero"/>
        <c:auto val="1"/>
        <c:lblAlgn val="ctr"/>
        <c:lblOffset val="100"/>
        <c:noMultiLvlLbl val="0"/>
      </c:catAx>
      <c:valAx>
        <c:axId val="19803726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Steps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889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[Bellabeat_capstone_analysis.xlsx]PivotTables!PivotTable3</c:name>
    <c:fmtId val="4"/>
  </c:pivotSource>
  <c:chart>
    <c:title>
      <c:tx>
        <c:rich>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r>
              <a:rPr lang="en-US" sz="1400" b="1" i="0" u="none" strike="noStrike" baseline="0">
                <a:solidFill>
                  <a:schemeClr val="accent3"/>
                </a:solidFill>
                <a:effectLst/>
              </a:rPr>
              <a:t>Avg Sleep Hours by Day of Week</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PivotTables!$B$39</c:f>
              <c:strCache>
                <c:ptCount val="1"/>
                <c:pt idx="0">
                  <c:v>Avg Sleep Hours</c:v>
                </c:pt>
              </c:strCache>
            </c:strRef>
          </c:tx>
          <c:spPr>
            <a:solidFill>
              <a:schemeClr val="accent1"/>
            </a:solidFill>
            <a:ln>
              <a:noFill/>
            </a:ln>
            <a:effectLst/>
          </c:spPr>
          <c:invertIfNegative val="0"/>
          <c:cat>
            <c:strRef>
              <c:f>PivotTables!$A$40:$A$47</c:f>
              <c:strCache>
                <c:ptCount val="7"/>
                <c:pt idx="0">
                  <c:v>Monday</c:v>
                </c:pt>
                <c:pt idx="1">
                  <c:v>Tuesday</c:v>
                </c:pt>
                <c:pt idx="2">
                  <c:v>Wednesday</c:v>
                </c:pt>
                <c:pt idx="3">
                  <c:v>Thursday</c:v>
                </c:pt>
                <c:pt idx="4">
                  <c:v>Friday</c:v>
                </c:pt>
                <c:pt idx="5">
                  <c:v>Saturday</c:v>
                </c:pt>
                <c:pt idx="6">
                  <c:v>Sunday</c:v>
                </c:pt>
              </c:strCache>
            </c:strRef>
          </c:cat>
          <c:val>
            <c:numRef>
              <c:f>PivotTables!$B$40:$B$47</c:f>
              <c:numCache>
                <c:formatCode>0.00</c:formatCode>
                <c:ptCount val="7"/>
                <c:pt idx="0">
                  <c:v>6.9923913043478265</c:v>
                </c:pt>
                <c:pt idx="1">
                  <c:v>6.7426153846153865</c:v>
                </c:pt>
                <c:pt idx="2">
                  <c:v>7.2456060606060602</c:v>
                </c:pt>
                <c:pt idx="3">
                  <c:v>6.6884374999999991</c:v>
                </c:pt>
                <c:pt idx="4">
                  <c:v>6.7573684210526306</c:v>
                </c:pt>
                <c:pt idx="5">
                  <c:v>6.9850877192982432</c:v>
                </c:pt>
                <c:pt idx="6">
                  <c:v>7.5465454545454547</c:v>
                </c:pt>
              </c:numCache>
            </c:numRef>
          </c:val>
          <c:extLst>
            <c:ext xmlns:c16="http://schemas.microsoft.com/office/drawing/2014/chart" uri="{C3380CC4-5D6E-409C-BE32-E72D297353CC}">
              <c16:uniqueId val="{00000000-B6EA-4218-BD7F-EA766C5616A1}"/>
            </c:ext>
          </c:extLst>
        </c:ser>
        <c:ser>
          <c:idx val="1"/>
          <c:order val="1"/>
          <c:tx>
            <c:strRef>
              <c:f>PivotTables!$C$39</c:f>
              <c:strCache>
                <c:ptCount val="1"/>
                <c:pt idx="0">
                  <c:v>Avg Time In Bed Hours</c:v>
                </c:pt>
              </c:strCache>
            </c:strRef>
          </c:tx>
          <c:spPr>
            <a:solidFill>
              <a:schemeClr val="accent2"/>
            </a:solidFill>
            <a:ln>
              <a:noFill/>
            </a:ln>
            <a:effectLst/>
          </c:spPr>
          <c:invertIfNegative val="0"/>
          <c:cat>
            <c:strRef>
              <c:f>PivotTables!$A$40:$A$47</c:f>
              <c:strCache>
                <c:ptCount val="7"/>
                <c:pt idx="0">
                  <c:v>Monday</c:v>
                </c:pt>
                <c:pt idx="1">
                  <c:v>Tuesday</c:v>
                </c:pt>
                <c:pt idx="2">
                  <c:v>Wednesday</c:v>
                </c:pt>
                <c:pt idx="3">
                  <c:v>Thursday</c:v>
                </c:pt>
                <c:pt idx="4">
                  <c:v>Friday</c:v>
                </c:pt>
                <c:pt idx="5">
                  <c:v>Saturday</c:v>
                </c:pt>
                <c:pt idx="6">
                  <c:v>Sunday</c:v>
                </c:pt>
              </c:strCache>
            </c:strRef>
          </c:cat>
          <c:val>
            <c:numRef>
              <c:f>PivotTables!$C$40:$C$47</c:f>
              <c:numCache>
                <c:formatCode>0.00</c:formatCode>
                <c:ptCount val="7"/>
                <c:pt idx="0">
                  <c:v>7.6219565217391292</c:v>
                </c:pt>
                <c:pt idx="1">
                  <c:v>7.3883076923076922</c:v>
                </c:pt>
                <c:pt idx="2">
                  <c:v>7.8336363636363613</c:v>
                </c:pt>
                <c:pt idx="3">
                  <c:v>7.2478125000000011</c:v>
                </c:pt>
                <c:pt idx="4">
                  <c:v>7.4173684210526307</c:v>
                </c:pt>
                <c:pt idx="5">
                  <c:v>7.6642105263157916</c:v>
                </c:pt>
                <c:pt idx="6">
                  <c:v>8.3912727272727263</c:v>
                </c:pt>
              </c:numCache>
            </c:numRef>
          </c:val>
          <c:extLst>
            <c:ext xmlns:c16="http://schemas.microsoft.com/office/drawing/2014/chart" uri="{C3380CC4-5D6E-409C-BE32-E72D297353CC}">
              <c16:uniqueId val="{00000001-B6EA-4218-BD7F-EA766C5616A1}"/>
            </c:ext>
          </c:extLst>
        </c:ser>
        <c:ser>
          <c:idx val="2"/>
          <c:order val="2"/>
          <c:tx>
            <c:strRef>
              <c:f>PivotTables!$D$39</c:f>
              <c:strCache>
                <c:ptCount val="1"/>
                <c:pt idx="0">
                  <c:v>Avg Awake In Bed Minutes</c:v>
                </c:pt>
              </c:strCache>
            </c:strRef>
          </c:tx>
          <c:spPr>
            <a:solidFill>
              <a:schemeClr val="accent3"/>
            </a:solidFill>
            <a:ln>
              <a:noFill/>
            </a:ln>
            <a:effectLst/>
          </c:spPr>
          <c:invertIfNegative val="0"/>
          <c:cat>
            <c:strRef>
              <c:f>PivotTables!$A$40:$A$47</c:f>
              <c:strCache>
                <c:ptCount val="7"/>
                <c:pt idx="0">
                  <c:v>Monday</c:v>
                </c:pt>
                <c:pt idx="1">
                  <c:v>Tuesday</c:v>
                </c:pt>
                <c:pt idx="2">
                  <c:v>Wednesday</c:v>
                </c:pt>
                <c:pt idx="3">
                  <c:v>Thursday</c:v>
                </c:pt>
                <c:pt idx="4">
                  <c:v>Friday</c:v>
                </c:pt>
                <c:pt idx="5">
                  <c:v>Saturday</c:v>
                </c:pt>
                <c:pt idx="6">
                  <c:v>Sunday</c:v>
                </c:pt>
              </c:strCache>
            </c:strRef>
          </c:cat>
          <c:val>
            <c:numRef>
              <c:f>PivotTables!$D$40:$D$47</c:f>
              <c:numCache>
                <c:formatCode>0.0</c:formatCode>
                <c:ptCount val="7"/>
                <c:pt idx="0">
                  <c:v>37.847826086956523</c:v>
                </c:pt>
                <c:pt idx="1">
                  <c:v>38.753846153846155</c:v>
                </c:pt>
                <c:pt idx="2">
                  <c:v>35.348484848484851</c:v>
                </c:pt>
                <c:pt idx="3">
                  <c:v>33.578125</c:v>
                </c:pt>
                <c:pt idx="4">
                  <c:v>39.631578947368418</c:v>
                </c:pt>
                <c:pt idx="5">
                  <c:v>40.771929824561404</c:v>
                </c:pt>
                <c:pt idx="6">
                  <c:v>50.763636363636365</c:v>
                </c:pt>
              </c:numCache>
            </c:numRef>
          </c:val>
          <c:extLst>
            <c:ext xmlns:c16="http://schemas.microsoft.com/office/drawing/2014/chart" uri="{C3380CC4-5D6E-409C-BE32-E72D297353CC}">
              <c16:uniqueId val="{00000002-B6EA-4218-BD7F-EA766C5616A1}"/>
            </c:ext>
          </c:extLst>
        </c:ser>
        <c:ser>
          <c:idx val="3"/>
          <c:order val="3"/>
          <c:tx>
            <c:strRef>
              <c:f>PivotTables!$E$39</c:f>
              <c:strCache>
                <c:ptCount val="1"/>
                <c:pt idx="0">
                  <c:v>Avg Sleep Efficiency</c:v>
                </c:pt>
              </c:strCache>
            </c:strRef>
          </c:tx>
          <c:spPr>
            <a:solidFill>
              <a:schemeClr val="accent4"/>
            </a:solidFill>
            <a:ln>
              <a:noFill/>
            </a:ln>
            <a:effectLst/>
          </c:spPr>
          <c:invertIfNegative val="0"/>
          <c:cat>
            <c:strRef>
              <c:f>PivotTables!$A$40:$A$47</c:f>
              <c:strCache>
                <c:ptCount val="7"/>
                <c:pt idx="0">
                  <c:v>Monday</c:v>
                </c:pt>
                <c:pt idx="1">
                  <c:v>Tuesday</c:v>
                </c:pt>
                <c:pt idx="2">
                  <c:v>Wednesday</c:v>
                </c:pt>
                <c:pt idx="3">
                  <c:v>Thursday</c:v>
                </c:pt>
                <c:pt idx="4">
                  <c:v>Friday</c:v>
                </c:pt>
                <c:pt idx="5">
                  <c:v>Saturday</c:v>
                </c:pt>
                <c:pt idx="6">
                  <c:v>Sunday</c:v>
                </c:pt>
              </c:strCache>
            </c:strRef>
          </c:cat>
          <c:val>
            <c:numRef>
              <c:f>PivotTables!$E$40:$E$47</c:f>
              <c:numCache>
                <c:formatCode>0.00</c:formatCode>
                <c:ptCount val="7"/>
                <c:pt idx="0">
                  <c:v>91.968913043478281</c:v>
                </c:pt>
                <c:pt idx="1">
                  <c:v>91.095076923076945</c:v>
                </c:pt>
                <c:pt idx="2">
                  <c:v>92.128636363636346</c:v>
                </c:pt>
                <c:pt idx="3">
                  <c:v>92.268124999999984</c:v>
                </c:pt>
                <c:pt idx="4">
                  <c:v>92.007719298245604</c:v>
                </c:pt>
                <c:pt idx="5">
                  <c:v>91.497368421052656</c:v>
                </c:pt>
                <c:pt idx="6">
                  <c:v>90.5089090909091</c:v>
                </c:pt>
              </c:numCache>
            </c:numRef>
          </c:val>
          <c:extLst>
            <c:ext xmlns:c16="http://schemas.microsoft.com/office/drawing/2014/chart" uri="{C3380CC4-5D6E-409C-BE32-E72D297353CC}">
              <c16:uniqueId val="{00000003-B6EA-4218-BD7F-EA766C5616A1}"/>
            </c:ext>
          </c:extLst>
        </c:ser>
        <c:dLbls>
          <c:showLegendKey val="0"/>
          <c:showVal val="0"/>
          <c:showCatName val="0"/>
          <c:showSerName val="0"/>
          <c:showPercent val="0"/>
          <c:showBubbleSize val="0"/>
        </c:dLbls>
        <c:gapWidth val="100"/>
        <c:overlap val="-27"/>
        <c:axId val="734478415"/>
        <c:axId val="488790384"/>
      </c:barChart>
      <c:catAx>
        <c:axId val="73447841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790384"/>
        <c:crosses val="autoZero"/>
        <c:auto val="1"/>
        <c:lblAlgn val="ctr"/>
        <c:lblOffset val="100"/>
        <c:noMultiLvlLbl val="0"/>
      </c:catAx>
      <c:valAx>
        <c:axId val="4887903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Sleep</a:t>
                </a:r>
                <a:r>
                  <a:rPr lang="en-US" b="1" baseline="0"/>
                  <a:t> time (Hours)</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447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[Bellabeat_capstone_analysis.xlsx]PivotTables!PivotTable2</c:name>
    <c:fmtId val="6"/>
  </c:pivotSource>
  <c:chart>
    <c:title>
      <c:tx>
        <c:rich>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r>
              <a:rPr lang="en-US" sz="1400" b="1" i="0" u="none" strike="noStrike" baseline="0">
                <a:solidFill>
                  <a:schemeClr val="accent3"/>
                </a:solidFill>
                <a:effectLst/>
              </a:rPr>
              <a:t>Sleep by Step Category</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PivotTables!$B$109</c:f>
              <c:strCache>
                <c:ptCount val="1"/>
                <c:pt idx="0">
                  <c:v>Record Count</c:v>
                </c:pt>
              </c:strCache>
            </c:strRef>
          </c:tx>
          <c:spPr>
            <a:solidFill>
              <a:schemeClr val="accent1"/>
            </a:solidFill>
            <a:ln>
              <a:noFill/>
            </a:ln>
            <a:effectLst/>
          </c:spPr>
          <c:invertIfNegative val="0"/>
          <c:cat>
            <c:strRef>
              <c:f>PivotTables!$A$110:$A$115</c:f>
              <c:strCache>
                <c:ptCount val="5"/>
                <c:pt idx="0">
                  <c:v>Sedentary</c:v>
                </c:pt>
                <c:pt idx="1">
                  <c:v>Low Active</c:v>
                </c:pt>
                <c:pt idx="2">
                  <c:v>Somewhat Active</c:v>
                </c:pt>
                <c:pt idx="3">
                  <c:v>Active</c:v>
                </c:pt>
                <c:pt idx="4">
                  <c:v>Highly Active</c:v>
                </c:pt>
              </c:strCache>
            </c:strRef>
          </c:cat>
          <c:val>
            <c:numRef>
              <c:f>PivotTables!$B$110:$B$115</c:f>
              <c:numCache>
                <c:formatCode>General</c:formatCode>
                <c:ptCount val="5"/>
                <c:pt idx="0">
                  <c:v>103</c:v>
                </c:pt>
                <c:pt idx="1">
                  <c:v>72</c:v>
                </c:pt>
                <c:pt idx="2">
                  <c:v>74</c:v>
                </c:pt>
                <c:pt idx="3">
                  <c:v>98</c:v>
                </c:pt>
                <c:pt idx="4">
                  <c:v>63</c:v>
                </c:pt>
              </c:numCache>
            </c:numRef>
          </c:val>
          <c:extLst>
            <c:ext xmlns:c16="http://schemas.microsoft.com/office/drawing/2014/chart" uri="{C3380CC4-5D6E-409C-BE32-E72D297353CC}">
              <c16:uniqueId val="{00000000-85D2-4681-B521-6DFF2D555858}"/>
            </c:ext>
          </c:extLst>
        </c:ser>
        <c:ser>
          <c:idx val="1"/>
          <c:order val="1"/>
          <c:tx>
            <c:strRef>
              <c:f>PivotTables!$C$109</c:f>
              <c:strCache>
                <c:ptCount val="1"/>
                <c:pt idx="0">
                  <c:v>Avg Steps</c:v>
                </c:pt>
              </c:strCache>
            </c:strRef>
          </c:tx>
          <c:spPr>
            <a:solidFill>
              <a:schemeClr val="accent2"/>
            </a:solidFill>
            <a:ln>
              <a:noFill/>
            </a:ln>
            <a:effectLst/>
          </c:spPr>
          <c:invertIfNegative val="0"/>
          <c:cat>
            <c:strRef>
              <c:f>PivotTables!$A$110:$A$115</c:f>
              <c:strCache>
                <c:ptCount val="5"/>
                <c:pt idx="0">
                  <c:v>Sedentary</c:v>
                </c:pt>
                <c:pt idx="1">
                  <c:v>Low Active</c:v>
                </c:pt>
                <c:pt idx="2">
                  <c:v>Somewhat Active</c:v>
                </c:pt>
                <c:pt idx="3">
                  <c:v>Active</c:v>
                </c:pt>
                <c:pt idx="4">
                  <c:v>Highly Active</c:v>
                </c:pt>
              </c:strCache>
            </c:strRef>
          </c:cat>
          <c:val>
            <c:numRef>
              <c:f>PivotTables!$C$110:$C$115</c:f>
              <c:numCache>
                <c:formatCode>#,##0</c:formatCode>
                <c:ptCount val="5"/>
                <c:pt idx="0">
                  <c:v>2831.7281553398057</c:v>
                </c:pt>
                <c:pt idx="1">
                  <c:v>6222.5277777777774</c:v>
                </c:pt>
                <c:pt idx="2">
                  <c:v>8874.8918918918916</c:v>
                </c:pt>
                <c:pt idx="3">
                  <c:v>11076.469387755102</c:v>
                </c:pt>
                <c:pt idx="4">
                  <c:v>14842.603174603175</c:v>
                </c:pt>
              </c:numCache>
            </c:numRef>
          </c:val>
          <c:extLst>
            <c:ext xmlns:c16="http://schemas.microsoft.com/office/drawing/2014/chart" uri="{C3380CC4-5D6E-409C-BE32-E72D297353CC}">
              <c16:uniqueId val="{00000001-85D2-4681-B521-6DFF2D555858}"/>
            </c:ext>
          </c:extLst>
        </c:ser>
        <c:ser>
          <c:idx val="2"/>
          <c:order val="2"/>
          <c:tx>
            <c:strRef>
              <c:f>PivotTables!$D$109</c:f>
              <c:strCache>
                <c:ptCount val="1"/>
                <c:pt idx="0">
                  <c:v>Avg Sleep Hours</c:v>
                </c:pt>
              </c:strCache>
            </c:strRef>
          </c:tx>
          <c:spPr>
            <a:solidFill>
              <a:schemeClr val="accent3"/>
            </a:solidFill>
            <a:ln>
              <a:noFill/>
            </a:ln>
            <a:effectLst/>
          </c:spPr>
          <c:invertIfNegative val="0"/>
          <c:cat>
            <c:strRef>
              <c:f>PivotTables!$A$110:$A$115</c:f>
              <c:strCache>
                <c:ptCount val="5"/>
                <c:pt idx="0">
                  <c:v>Sedentary</c:v>
                </c:pt>
                <c:pt idx="1">
                  <c:v>Low Active</c:v>
                </c:pt>
                <c:pt idx="2">
                  <c:v>Somewhat Active</c:v>
                </c:pt>
                <c:pt idx="3">
                  <c:v>Active</c:v>
                </c:pt>
                <c:pt idx="4">
                  <c:v>Highly Active</c:v>
                </c:pt>
              </c:strCache>
            </c:strRef>
          </c:cat>
          <c:val>
            <c:numRef>
              <c:f>PivotTables!$D$110:$D$115</c:f>
              <c:numCache>
                <c:formatCode>0.00</c:formatCode>
                <c:ptCount val="5"/>
                <c:pt idx="0">
                  <c:v>7.5133980582524265</c:v>
                </c:pt>
                <c:pt idx="1">
                  <c:v>6.9941666666666684</c:v>
                </c:pt>
                <c:pt idx="2">
                  <c:v>7.0987837837837802</c:v>
                </c:pt>
                <c:pt idx="3">
                  <c:v>6.7394897959183666</c:v>
                </c:pt>
                <c:pt idx="4">
                  <c:v>6.3703174603174597</c:v>
                </c:pt>
              </c:numCache>
            </c:numRef>
          </c:val>
          <c:extLst>
            <c:ext xmlns:c16="http://schemas.microsoft.com/office/drawing/2014/chart" uri="{C3380CC4-5D6E-409C-BE32-E72D297353CC}">
              <c16:uniqueId val="{00000002-85D2-4681-B521-6DFF2D555858}"/>
            </c:ext>
          </c:extLst>
        </c:ser>
        <c:dLbls>
          <c:showLegendKey val="0"/>
          <c:showVal val="0"/>
          <c:showCatName val="0"/>
          <c:showSerName val="0"/>
          <c:showPercent val="0"/>
          <c:showBubbleSize val="0"/>
        </c:dLbls>
        <c:gapWidth val="219"/>
        <c:overlap val="-27"/>
        <c:axId val="734358703"/>
        <c:axId val="488673264"/>
      </c:barChart>
      <c:lineChart>
        <c:grouping val="standard"/>
        <c:varyColors val="0"/>
        <c:ser>
          <c:idx val="3"/>
          <c:order val="3"/>
          <c:tx>
            <c:strRef>
              <c:f>PivotTables!$E$109</c:f>
              <c:strCache>
                <c:ptCount val="1"/>
                <c:pt idx="0">
                  <c:v>Avg Sleep Efficiency</c:v>
                </c:pt>
              </c:strCache>
            </c:strRef>
          </c:tx>
          <c:spPr>
            <a:ln w="28575" cap="rnd">
              <a:solidFill>
                <a:schemeClr val="accent4"/>
              </a:solidFill>
              <a:round/>
            </a:ln>
            <a:effectLst/>
          </c:spPr>
          <c:marker>
            <c:symbol val="none"/>
          </c:marker>
          <c:cat>
            <c:strRef>
              <c:f>PivotTables!$A$110:$A$115</c:f>
              <c:strCache>
                <c:ptCount val="5"/>
                <c:pt idx="0">
                  <c:v>Sedentary</c:v>
                </c:pt>
                <c:pt idx="1">
                  <c:v>Low Active</c:v>
                </c:pt>
                <c:pt idx="2">
                  <c:v>Somewhat Active</c:v>
                </c:pt>
                <c:pt idx="3">
                  <c:v>Active</c:v>
                </c:pt>
                <c:pt idx="4">
                  <c:v>Highly Active</c:v>
                </c:pt>
              </c:strCache>
            </c:strRef>
          </c:cat>
          <c:val>
            <c:numRef>
              <c:f>PivotTables!$E$110:$E$115</c:f>
              <c:numCache>
                <c:formatCode>0.00</c:formatCode>
                <c:ptCount val="5"/>
                <c:pt idx="0">
                  <c:v>92.635145631067985</c:v>
                </c:pt>
                <c:pt idx="1">
                  <c:v>92.020138888888894</c:v>
                </c:pt>
                <c:pt idx="2">
                  <c:v>93.289189189189187</c:v>
                </c:pt>
                <c:pt idx="3">
                  <c:v>90.290612244897972</c:v>
                </c:pt>
                <c:pt idx="4">
                  <c:v>89.784603174603205</c:v>
                </c:pt>
              </c:numCache>
            </c:numRef>
          </c:val>
          <c:smooth val="0"/>
          <c:extLst>
            <c:ext xmlns:c16="http://schemas.microsoft.com/office/drawing/2014/chart" uri="{C3380CC4-5D6E-409C-BE32-E72D297353CC}">
              <c16:uniqueId val="{00000003-85D2-4681-B521-6DFF2D555858}"/>
            </c:ext>
          </c:extLst>
        </c:ser>
        <c:ser>
          <c:idx val="4"/>
          <c:order val="4"/>
          <c:tx>
            <c:strRef>
              <c:f>PivotTables!$F$109</c:f>
              <c:strCache>
                <c:ptCount val="1"/>
                <c:pt idx="0">
                  <c:v>Avg Sedentary Hours</c:v>
                </c:pt>
              </c:strCache>
            </c:strRef>
          </c:tx>
          <c:spPr>
            <a:ln w="28575" cap="rnd">
              <a:solidFill>
                <a:schemeClr val="accent5"/>
              </a:solidFill>
              <a:round/>
            </a:ln>
            <a:effectLst/>
          </c:spPr>
          <c:marker>
            <c:symbol val="none"/>
          </c:marker>
          <c:cat>
            <c:strRef>
              <c:f>PivotTables!$A$110:$A$115</c:f>
              <c:strCache>
                <c:ptCount val="5"/>
                <c:pt idx="0">
                  <c:v>Sedentary</c:v>
                </c:pt>
                <c:pt idx="1">
                  <c:v>Low Active</c:v>
                </c:pt>
                <c:pt idx="2">
                  <c:v>Somewhat Active</c:v>
                </c:pt>
                <c:pt idx="3">
                  <c:v>Active</c:v>
                </c:pt>
                <c:pt idx="4">
                  <c:v>Highly Active</c:v>
                </c:pt>
              </c:strCache>
            </c:strRef>
          </c:cat>
          <c:val>
            <c:numRef>
              <c:f>PivotTables!$F$110:$F$115</c:f>
              <c:numCache>
                <c:formatCode>0.00</c:formatCode>
                <c:ptCount val="5"/>
                <c:pt idx="0">
                  <c:v>11.505242718446601</c:v>
                </c:pt>
                <c:pt idx="1">
                  <c:v>12.122500000000002</c:v>
                </c:pt>
                <c:pt idx="2">
                  <c:v>11.628378378378383</c:v>
                </c:pt>
                <c:pt idx="3">
                  <c:v>11.691938775510204</c:v>
                </c:pt>
                <c:pt idx="4">
                  <c:v>11.328571428571426</c:v>
                </c:pt>
              </c:numCache>
            </c:numRef>
          </c:val>
          <c:smooth val="0"/>
          <c:extLst>
            <c:ext xmlns:c16="http://schemas.microsoft.com/office/drawing/2014/chart" uri="{C3380CC4-5D6E-409C-BE32-E72D297353CC}">
              <c16:uniqueId val="{00000004-85D2-4681-B521-6DFF2D555858}"/>
            </c:ext>
          </c:extLst>
        </c:ser>
        <c:dLbls>
          <c:showLegendKey val="0"/>
          <c:showVal val="0"/>
          <c:showCatName val="0"/>
          <c:showSerName val="0"/>
          <c:showPercent val="0"/>
          <c:showBubbleSize val="0"/>
        </c:dLbls>
        <c:marker val="1"/>
        <c:smooth val="0"/>
        <c:axId val="734358703"/>
        <c:axId val="488673264"/>
      </c:lineChart>
      <c:catAx>
        <c:axId val="73435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673264"/>
        <c:crosses val="autoZero"/>
        <c:auto val="1"/>
        <c:lblAlgn val="ctr"/>
        <c:lblOffset val="100"/>
        <c:noMultiLvlLbl val="0"/>
      </c:catAx>
      <c:valAx>
        <c:axId val="488673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435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193430</xdr:colOff>
      <xdr:row>59</xdr:row>
      <xdr:rowOff>32238</xdr:rowOff>
    </xdr:from>
    <xdr:to>
      <xdr:col>6</xdr:col>
      <xdr:colOff>838199</xdr:colOff>
      <xdr:row>74</xdr:row>
      <xdr:rowOff>49823</xdr:rowOff>
    </xdr:to>
    <xdr:graphicFrame macro="">
      <xdr:nvGraphicFramePr>
        <xdr:cNvPr id="2" name="Chart 1">
          <a:extLst>
            <a:ext uri="{FF2B5EF4-FFF2-40B4-BE49-F238E27FC236}">
              <a16:creationId xmlns:a16="http://schemas.microsoft.com/office/drawing/2014/main" id="{D9F5540A-E85C-A1B2-AB69-B5EE8721B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633046</xdr:colOff>
      <xdr:row>177</xdr:row>
      <xdr:rowOff>73268</xdr:rowOff>
    </xdr:from>
    <xdr:to>
      <xdr:col>6</xdr:col>
      <xdr:colOff>550984</xdr:colOff>
      <xdr:row>192</xdr:row>
      <xdr:rowOff>90854</xdr:rowOff>
    </xdr:to>
    <xdr:graphicFrame macro="">
      <xdr:nvGraphicFramePr>
        <xdr:cNvPr id="4" name="Chart 3">
          <a:extLst>
            <a:ext uri="{FF2B5EF4-FFF2-40B4-BE49-F238E27FC236}">
              <a16:creationId xmlns:a16="http://schemas.microsoft.com/office/drawing/2014/main" id="{F47F4CF7-5F46-09E5-D27F-9E0BD5304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29308</xdr:colOff>
      <xdr:row>78</xdr:row>
      <xdr:rowOff>38099</xdr:rowOff>
    </xdr:from>
    <xdr:to>
      <xdr:col>7</xdr:col>
      <xdr:colOff>422031</xdr:colOff>
      <xdr:row>94</xdr:row>
      <xdr:rowOff>55685</xdr:rowOff>
    </xdr:to>
    <xdr:graphicFrame macro="">
      <xdr:nvGraphicFramePr>
        <xdr:cNvPr id="5" name="Chart 4">
          <a:extLst>
            <a:ext uri="{FF2B5EF4-FFF2-40B4-BE49-F238E27FC236}">
              <a16:creationId xmlns:a16="http://schemas.microsoft.com/office/drawing/2014/main" id="{08D225EF-812D-FC82-D8B1-F2247FCFD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52754</xdr:colOff>
      <xdr:row>0</xdr:row>
      <xdr:rowOff>155330</xdr:rowOff>
    </xdr:from>
    <xdr:to>
      <xdr:col>7</xdr:col>
      <xdr:colOff>445477</xdr:colOff>
      <xdr:row>15</xdr:row>
      <xdr:rowOff>172915</xdr:rowOff>
    </xdr:to>
    <xdr:graphicFrame macro="">
      <xdr:nvGraphicFramePr>
        <xdr:cNvPr id="7" name="Chart 6">
          <a:extLst>
            <a:ext uri="{FF2B5EF4-FFF2-40B4-BE49-F238E27FC236}">
              <a16:creationId xmlns:a16="http://schemas.microsoft.com/office/drawing/2014/main" id="{C63E150D-A981-08F7-3DF2-EC771B817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838200</xdr:colOff>
      <xdr:row>37</xdr:row>
      <xdr:rowOff>26376</xdr:rowOff>
    </xdr:from>
    <xdr:to>
      <xdr:col>7</xdr:col>
      <xdr:colOff>82062</xdr:colOff>
      <xdr:row>52</xdr:row>
      <xdr:rowOff>43961</xdr:rowOff>
    </xdr:to>
    <xdr:graphicFrame macro="">
      <xdr:nvGraphicFramePr>
        <xdr:cNvPr id="8" name="Chart 7">
          <a:extLst>
            <a:ext uri="{FF2B5EF4-FFF2-40B4-BE49-F238E27FC236}">
              <a16:creationId xmlns:a16="http://schemas.microsoft.com/office/drawing/2014/main" id="{C422B16C-58DF-AC31-8B55-653E6485B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404446</xdr:colOff>
      <xdr:row>103</xdr:row>
      <xdr:rowOff>55685</xdr:rowOff>
    </xdr:from>
    <xdr:to>
      <xdr:col>6</xdr:col>
      <xdr:colOff>644769</xdr:colOff>
      <xdr:row>118</xdr:row>
      <xdr:rowOff>73269</xdr:rowOff>
    </xdr:to>
    <xdr:graphicFrame macro="">
      <xdr:nvGraphicFramePr>
        <xdr:cNvPr id="9" name="Chart 8">
          <a:extLst>
            <a:ext uri="{FF2B5EF4-FFF2-40B4-BE49-F238E27FC236}">
              <a16:creationId xmlns:a16="http://schemas.microsoft.com/office/drawing/2014/main" id="{CE8BC9AD-40BA-95B0-2FA8-0E7D36D01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dele Oyadeyi" refreshedDate="46216.763040740741" createdVersion="8" refreshedVersion="8" minRefreshableVersion="3" recordCount="1373" xr:uid="{993BFAD2-8F82-4215-8CB0-A53C77B7774D}">
  <cacheSource type="worksheet">
    <worksheetSource name="tbl_working_daily"/>
  </cacheSource>
  <cacheFields count="24">
    <cacheField name="Id" numFmtId="0">
      <sharedItems containsSemiMixedTypes="0" containsString="0" containsNumber="1" containsInteger="1" minValue="1503960366" maxValue="8877689391"/>
    </cacheField>
    <cacheField name="ActivityDate" numFmtId="14">
      <sharedItems containsSemiMixedTypes="0" containsNonDate="0" containsDate="1" containsString="0" minDate="2016-03-12T00:00:00" maxDate="2016-05-13T00:00:00"/>
    </cacheField>
    <cacheField name="TotalSteps" numFmtId="0">
      <sharedItems containsSemiMixedTypes="0" containsString="0" containsNumber="1" containsInteger="1" minValue="0" maxValue="36019"/>
    </cacheField>
    <cacheField name="TotalDistance" numFmtId="0">
      <sharedItems containsSemiMixedTypes="0" containsString="0" containsNumber="1" minValue="0" maxValue="28.030000686645501"/>
    </cacheField>
    <cacheField name="TrackerDistance" numFmtId="0">
      <sharedItems containsSemiMixedTypes="0" containsString="0" containsNumber="1" minValue="0" maxValue="28.030000686645501"/>
    </cacheField>
    <cacheField name="LoggedActivitiesDistance" numFmtId="0">
      <sharedItems containsSemiMixedTypes="0" containsString="0" containsNumber="1" minValue="0" maxValue="6.7270569801330602"/>
    </cacheField>
    <cacheField name="VeryActiveDistance" numFmtId="0">
      <sharedItems containsSemiMixedTypes="0" containsString="0" containsNumber="1" minValue="0" maxValue="21.920000076293899"/>
    </cacheField>
    <cacheField name="ModeratelyActiveDistance" numFmtId="0">
      <sharedItems containsSemiMixedTypes="0" containsString="0" containsNumber="1" minValue="0" maxValue="6.4800000190734899"/>
    </cacheField>
    <cacheField name="LightActiveDistance" numFmtId="0">
      <sharedItems containsSemiMixedTypes="0" containsString="0" containsNumber="1" minValue="0" maxValue="12.5100002288818"/>
    </cacheField>
    <cacheField name="SedentaryActiveDistance" numFmtId="0">
      <sharedItems containsSemiMixedTypes="0" containsString="0" containsNumber="1" minValue="0" maxValue="0.109999999403954"/>
    </cacheField>
    <cacheField name="VeryActiveMinutes" numFmtId="0">
      <sharedItems containsSemiMixedTypes="0" containsString="0" containsNumber="1" containsInteger="1" minValue="0" maxValue="210"/>
    </cacheField>
    <cacheField name="FairlyActiveMinutes" numFmtId="0">
      <sharedItems containsSemiMixedTypes="0" containsString="0" containsNumber="1" containsInteger="1" minValue="0" maxValue="660"/>
    </cacheField>
    <cacheField name="LightlyActiveMinutes" numFmtId="0">
      <sharedItems containsSemiMixedTypes="0" containsString="0" containsNumber="1" containsInteger="1" minValue="0" maxValue="720"/>
    </cacheField>
    <cacheField name="SedentaryMinutes" numFmtId="0">
      <sharedItems containsSemiMixedTypes="0" containsString="0" containsNumber="1" containsInteger="1" minValue="0" maxValue="1440"/>
    </cacheField>
    <cacheField name="Calories" numFmtId="0">
      <sharedItems containsSemiMixedTypes="0" containsString="0" containsNumber="1" containsInteger="1" minValue="0" maxValue="4900"/>
    </cacheField>
    <cacheField name="DayOfWeek" numFmtId="0">
      <sharedItems count="7">
        <s v="Friday"/>
        <s v="Saturday"/>
        <s v="Sunday"/>
        <s v="Monday"/>
        <s v="Tuesday"/>
        <s v="Wednesday"/>
        <s v="Thursday"/>
      </sharedItems>
    </cacheField>
    <cacheField name="Month" numFmtId="0">
      <sharedItems/>
    </cacheField>
    <cacheField name="TotalActiveMinutes" numFmtId="0">
      <sharedItems containsSemiMixedTypes="0" containsString="0" containsNumber="1" containsInteger="1" minValue="0" maxValue="720"/>
    </cacheField>
    <cacheField name="TotalMinutes" numFmtId="0">
      <sharedItems containsSemiMixedTypes="0" containsString="0" containsNumber="1" containsInteger="1" minValue="2" maxValue="1440"/>
    </cacheField>
    <cacheField name="SedentaryHours" numFmtId="0">
      <sharedItems containsSemiMixedTypes="0" containsString="0" containsNumber="1" minValue="0" maxValue="24"/>
    </cacheField>
    <cacheField name="StepsCategory" numFmtId="0">
      <sharedItems count="5">
        <s v="Active"/>
        <s v="Highly Active"/>
        <s v="Sedentary"/>
        <s v="Somewhat Active"/>
        <s v="Low Active"/>
      </sharedItems>
    </cacheField>
    <cacheField name="ActivityLevel" numFmtId="0">
      <sharedItems/>
    </cacheField>
    <cacheField name="LookupKey" numFmtId="0">
      <sharedItems/>
    </cacheField>
    <cacheField name="MatchFou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dele Oyadeyi" refreshedDate="46217.525643402776" createdVersion="8" refreshedVersion="8" minRefreshableVersion="3" recordCount="410" xr:uid="{6F501DAC-35F3-4C89-9110-17EC6BA3BDE1}">
  <cacheSource type="worksheet">
    <worksheetSource name="tbl_working_sleep"/>
  </cacheSource>
  <cacheFields count="12">
    <cacheField name="Id" numFmtId="0">
      <sharedItems containsSemiMixedTypes="0" containsString="0" containsNumber="1" containsInteger="1" minValue="1503960366" maxValue="8792009665"/>
    </cacheField>
    <cacheField name="SleepDay" numFmtId="22">
      <sharedItems containsSemiMixedTypes="0" containsNonDate="0" containsDate="1" containsString="0" minDate="2016-04-12T00:00:00" maxDate="2016-05-13T00:00:00"/>
    </cacheField>
    <cacheField name="TotalSleepRecords" numFmtId="0">
      <sharedItems containsSemiMixedTypes="0" containsString="0" containsNumber="1" containsInteger="1" minValue="1" maxValue="3"/>
    </cacheField>
    <cacheField name="TotalMinutesAsleep" numFmtId="0">
      <sharedItems containsSemiMixedTypes="0" containsString="0" containsNumber="1" containsInteger="1" minValue="58" maxValue="796"/>
    </cacheField>
    <cacheField name="TotalTimeInBed" numFmtId="0">
      <sharedItems containsSemiMixedTypes="0" containsString="0" containsNumber="1" containsInteger="1" minValue="61" maxValue="961"/>
    </cacheField>
    <cacheField name="DayOfWeek" numFmtId="0">
      <sharedItems count="7">
        <s v="Tuesday"/>
        <s v="Wednesday"/>
        <s v="Friday"/>
        <s v="Saturday"/>
        <s v="Sunday"/>
        <s v="Thursday"/>
        <s v="Monday"/>
      </sharedItems>
    </cacheField>
    <cacheField name="SleepHours" numFmtId="0">
      <sharedItems containsSemiMixedTypes="0" containsString="0" containsNumber="1" minValue="0.97" maxValue="13.27"/>
    </cacheField>
    <cacheField name="TimeInBedHours" numFmtId="0">
      <sharedItems containsSemiMixedTypes="0" containsString="0" containsNumber="1" minValue="1.02" maxValue="16.02"/>
    </cacheField>
    <cacheField name="AwakeInBedMinutes" numFmtId="0">
      <sharedItems containsSemiMixedTypes="0" containsString="0" containsNumber="1" containsInteger="1" minValue="0" maxValue="371"/>
    </cacheField>
    <cacheField name="SleepEfficiency" numFmtId="0">
      <sharedItems containsSemiMixedTypes="0" containsString="0" containsNumber="1" minValue="49.84" maxValue="100"/>
    </cacheField>
    <cacheField name="SleepCategory" numFmtId="0">
      <sharedItems count="4">
        <s v="Insufficient Sleep"/>
        <s v="Below Recommended"/>
        <s v="Oversleeping"/>
        <s v="Recommended"/>
      </sharedItems>
    </cacheField>
    <cacheField name="LookupKe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dele Oyadeyi" refreshedDate="46219.421458564815" createdVersion="8" refreshedVersion="8" minRefreshableVersion="3" recordCount="410" xr:uid="{F5E195A4-5795-486F-96F0-DF37E09C5B94}">
  <cacheSource type="worksheet">
    <worksheetSource name="tbl_merged"/>
  </cacheSource>
  <cacheFields count="24">
    <cacheField name="Id" numFmtId="0">
      <sharedItems containsSemiMixedTypes="0" containsString="0" containsNumber="1" containsInteger="1" minValue="1503960366" maxValue="8792009665"/>
    </cacheField>
    <cacheField name="ActivityDate" numFmtId="14">
      <sharedItems containsSemiMixedTypes="0" containsNonDate="0" containsDate="1" containsString="0" minDate="2016-04-12T00:00:00" maxDate="2016-05-13T00:00:00"/>
    </cacheField>
    <cacheField name="TotalSteps" numFmtId="0">
      <sharedItems containsSemiMixedTypes="0" containsString="0" containsNumber="1" containsInteger="1" minValue="0" maxValue="22770"/>
    </cacheField>
    <cacheField name="TotalDistance" numFmtId="0">
      <sharedItems containsSemiMixedTypes="0" containsString="0" containsNumber="1" minValue="0" maxValue="17.540000915527301"/>
    </cacheField>
    <cacheField name="VeryActiveMinutes" numFmtId="0">
      <sharedItems containsSemiMixedTypes="0" containsString="0" containsNumber="1" containsInteger="1" minValue="0" maxValue="210"/>
    </cacheField>
    <cacheField name="FairlyActiveMinutes" numFmtId="0">
      <sharedItems containsSemiMixedTypes="0" containsString="0" containsNumber="1" containsInteger="1" minValue="0" maxValue="143"/>
    </cacheField>
    <cacheField name="LightlyActiveMinutes" numFmtId="0">
      <sharedItems containsSemiMixedTypes="0" containsString="0" containsNumber="1" containsInteger="1" minValue="0" maxValue="518"/>
    </cacheField>
    <cacheField name="SedentaryMinutes" numFmtId="0">
      <sharedItems containsSemiMixedTypes="0" containsString="0" containsNumber="1" containsInteger="1" minValue="0" maxValue="1440"/>
    </cacheField>
    <cacheField name="Calories" numFmtId="0">
      <sharedItems containsSemiMixedTypes="0" containsString="0" containsNumber="1" containsInteger="1" minValue="0" maxValue="4900"/>
    </cacheField>
    <cacheField name="DayOfWeek" numFmtId="0">
      <sharedItems/>
    </cacheField>
    <cacheField name="Month" numFmtId="0">
      <sharedItems/>
    </cacheField>
    <cacheField name="TotalActiveMinutes" numFmtId="0">
      <sharedItems containsSemiMixedTypes="0" containsString="0" containsNumber="1" containsInteger="1" minValue="0" maxValue="540"/>
    </cacheField>
    <cacheField name="TotalMinutes" numFmtId="0">
      <sharedItems containsSemiMixedTypes="0" containsString="0" containsNumber="1" containsInteger="1" minValue="2" maxValue="1440"/>
    </cacheField>
    <cacheField name="SedentaryHours" numFmtId="0">
      <sharedItems containsSemiMixedTypes="0" containsString="0" containsNumber="1" minValue="0" maxValue="24"/>
    </cacheField>
    <cacheField name="StepsCategory" numFmtId="0">
      <sharedItems count="5">
        <s v="Sedentary"/>
        <s v="Low Active"/>
        <s v="Active"/>
        <s v="Somewhat Active"/>
        <s v="Highly Active"/>
      </sharedItems>
    </cacheField>
    <cacheField name="ActivityLevel" numFmtId="0">
      <sharedItems/>
    </cacheField>
    <cacheField name="TotalSleepRecords" numFmtId="0">
      <sharedItems containsSemiMixedTypes="0" containsString="0" containsNumber="1" containsInteger="1" minValue="1" maxValue="3"/>
    </cacheField>
    <cacheField name="TotalMinutesAsleep" numFmtId="0">
      <sharedItems containsSemiMixedTypes="0" containsString="0" containsNumber="1" containsInteger="1" minValue="58" maxValue="796"/>
    </cacheField>
    <cacheField name="TotalTimeInBed" numFmtId="0">
      <sharedItems containsSemiMixedTypes="0" containsString="0" containsNumber="1" containsInteger="1" minValue="61" maxValue="961"/>
    </cacheField>
    <cacheField name="SleepHours" numFmtId="0">
      <sharedItems containsSemiMixedTypes="0" containsString="0" containsNumber="1" minValue="0.97" maxValue="13.27"/>
    </cacheField>
    <cacheField name="TimeInBedHours" numFmtId="0">
      <sharedItems containsSemiMixedTypes="0" containsString="0" containsNumber="1" minValue="1.02" maxValue="16.02"/>
    </cacheField>
    <cacheField name="AwakeInBedMinutes" numFmtId="0">
      <sharedItems containsSemiMixedTypes="0" containsString="0" containsNumber="1" containsInteger="1" minValue="0" maxValue="371"/>
    </cacheField>
    <cacheField name="SleepEfficiency" numFmtId="0">
      <sharedItems containsSemiMixedTypes="0" containsString="0" containsNumber="1" minValue="49.84" maxValue="100"/>
    </cacheField>
    <cacheField name="SleepCategory" numFmtId="0">
      <sharedItems count="4">
        <s v="Insufficient Sleep"/>
        <s v="Oversleeping"/>
        <s v="Recommended"/>
        <s v="Below Recommend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3">
  <r>
    <n v="1503960366"/>
    <d v="2016-03-25T00:00:00"/>
    <n v="11004"/>
    <n v="7.1100001335143999"/>
    <n v="7.1100001335143999"/>
    <n v="0"/>
    <n v="2.5699999332428001"/>
    <n v="0.46000000834464999"/>
    <n v="4.0700001716613796"/>
    <n v="0"/>
    <n v="33"/>
    <n v="12"/>
    <n v="205"/>
    <n v="804"/>
    <n v="1819"/>
    <x v="0"/>
    <s v="March"/>
    <n v="250"/>
    <n v="1054"/>
    <n v="13.4"/>
    <x v="0"/>
    <s v="Very Active"/>
    <s v="1503960366|2016-03-25"/>
    <b v="0"/>
  </r>
  <r>
    <n v="1503960366"/>
    <d v="2016-03-26T00:00:00"/>
    <n v="17609"/>
    <n v="11.550000190734901"/>
    <n v="11.550000190734901"/>
    <n v="0"/>
    <n v="6.9200000762939498"/>
    <n v="0.730000019073486"/>
    <n v="3.9100000858306898"/>
    <n v="0"/>
    <n v="89"/>
    <n v="17"/>
    <n v="274"/>
    <n v="588"/>
    <n v="2154"/>
    <x v="1"/>
    <s v="March"/>
    <n v="380"/>
    <n v="968"/>
    <n v="9.8000000000000007"/>
    <x v="1"/>
    <s v="Very Active"/>
    <s v="1503960366|2016-03-26"/>
    <b v="0"/>
  </r>
  <r>
    <n v="1503960366"/>
    <d v="2016-03-27T00:00:00"/>
    <n v="12736"/>
    <n v="8.5299997329711896"/>
    <n v="8.5299997329711896"/>
    <n v="0"/>
    <n v="4.6599998474121103"/>
    <n v="0.15999999642372101"/>
    <n v="3.71000003814697"/>
    <n v="0"/>
    <n v="56"/>
    <n v="5"/>
    <n v="268"/>
    <n v="605"/>
    <n v="1944"/>
    <x v="2"/>
    <s v="March"/>
    <n v="329"/>
    <n v="934"/>
    <n v="10.08"/>
    <x v="1"/>
    <s v="Very Active"/>
    <s v="1503960366|2016-03-27"/>
    <b v="0"/>
  </r>
  <r>
    <n v="1503960366"/>
    <d v="2016-03-28T00:00:00"/>
    <n v="13231"/>
    <n v="8.9300003051757795"/>
    <n v="8.9300003051757795"/>
    <n v="0"/>
    <n v="3.1900000572204599"/>
    <n v="0.79000002145767201"/>
    <n v="4.9499998092651403"/>
    <n v="0"/>
    <n v="39"/>
    <n v="20"/>
    <n v="224"/>
    <n v="1080"/>
    <n v="1932"/>
    <x v="3"/>
    <s v="March"/>
    <n v="283"/>
    <n v="1363"/>
    <n v="18"/>
    <x v="1"/>
    <s v="Very Active"/>
    <s v="1503960366|2016-03-28"/>
    <b v="0"/>
  </r>
  <r>
    <n v="1503960366"/>
    <d v="2016-03-29T00:00:00"/>
    <n v="12041"/>
    <n v="7.8499999046325701"/>
    <n v="7.8499999046325701"/>
    <n v="0"/>
    <n v="2.1600000858306898"/>
    <n v="1.0900000333786"/>
    <n v="4.6100001335143999"/>
    <n v="0"/>
    <n v="28"/>
    <n v="28"/>
    <n v="243"/>
    <n v="763"/>
    <n v="1886"/>
    <x v="4"/>
    <s v="March"/>
    <n v="299"/>
    <n v="1062"/>
    <n v="12.72"/>
    <x v="0"/>
    <s v="Moderately Active"/>
    <s v="1503960366|2016-03-29"/>
    <b v="0"/>
  </r>
  <r>
    <n v="1503960366"/>
    <d v="2016-03-30T00:00:00"/>
    <n v="10970"/>
    <n v="7.1599998474121103"/>
    <n v="7.1599998474121103"/>
    <n v="0"/>
    <n v="2.3599998950958301"/>
    <n v="0.50999999046325695"/>
    <n v="4.28999996185303"/>
    <n v="0"/>
    <n v="30"/>
    <n v="13"/>
    <n v="223"/>
    <n v="1174"/>
    <n v="1820"/>
    <x v="5"/>
    <s v="March"/>
    <n v="266"/>
    <n v="1440"/>
    <n v="19.57"/>
    <x v="0"/>
    <s v="Very Active"/>
    <s v="1503960366|2016-03-30"/>
    <b v="0"/>
  </r>
  <r>
    <n v="1503960366"/>
    <d v="2016-03-31T00:00:00"/>
    <n v="12256"/>
    <n v="7.8600001335143999"/>
    <n v="7.8600001335143999"/>
    <n v="0"/>
    <n v="2.28999996185303"/>
    <n v="0.490000009536743"/>
    <n v="5.03999996185303"/>
    <n v="0"/>
    <n v="33"/>
    <n v="12"/>
    <n v="239"/>
    <n v="820"/>
    <n v="1889"/>
    <x v="6"/>
    <s v="March"/>
    <n v="284"/>
    <n v="1104"/>
    <n v="13.67"/>
    <x v="0"/>
    <s v="Very Active"/>
    <s v="1503960366|2016-03-31"/>
    <b v="0"/>
  </r>
  <r>
    <n v="1503960366"/>
    <d v="2016-04-01T00:00:00"/>
    <n v="12262"/>
    <n v="7.8699998855590803"/>
    <n v="7.8699998855590803"/>
    <n v="0"/>
    <n v="3.3199999332428001"/>
    <n v="0.82999998331069902"/>
    <n v="3.6400001049041699"/>
    <n v="0"/>
    <n v="47"/>
    <n v="21"/>
    <n v="200"/>
    <n v="866"/>
    <n v="1868"/>
    <x v="0"/>
    <s v="April"/>
    <n v="268"/>
    <n v="1134"/>
    <n v="14.43"/>
    <x v="0"/>
    <s v="Very Active"/>
    <s v="1503960366|2016-04-01"/>
    <b v="0"/>
  </r>
  <r>
    <n v="1503960366"/>
    <d v="2016-04-02T00:00:00"/>
    <n v="11248"/>
    <n v="7.25"/>
    <n v="7.25"/>
    <n v="0"/>
    <n v="3"/>
    <n v="0.44999998807907099"/>
    <n v="3.7400000095367401"/>
    <n v="0"/>
    <n v="40"/>
    <n v="11"/>
    <n v="244"/>
    <n v="636"/>
    <n v="1843"/>
    <x v="1"/>
    <s v="April"/>
    <n v="295"/>
    <n v="931"/>
    <n v="10.6"/>
    <x v="0"/>
    <s v="Very Active"/>
    <s v="1503960366|2016-04-02"/>
    <b v="0"/>
  </r>
  <r>
    <n v="1503960366"/>
    <d v="2016-04-03T00:00:00"/>
    <n v="10016"/>
    <n v="6.3699998855590803"/>
    <n v="6.3699998855590803"/>
    <n v="0"/>
    <n v="0.91000002622604403"/>
    <n v="1.2799999713897701"/>
    <n v="4.1799998283386204"/>
    <n v="0"/>
    <n v="15"/>
    <n v="30"/>
    <n v="314"/>
    <n v="655"/>
    <n v="1850"/>
    <x v="2"/>
    <s v="April"/>
    <n v="359"/>
    <n v="1014"/>
    <n v="10.92"/>
    <x v="0"/>
    <s v="Moderately Active"/>
    <s v="1503960366|2016-04-03"/>
    <b v="0"/>
  </r>
  <r>
    <n v="1503960366"/>
    <d v="2016-04-04T00:00:00"/>
    <n v="14557"/>
    <n v="9.8000001907348597"/>
    <n v="9.8000001907348597"/>
    <n v="0"/>
    <n v="3.3900001049041699"/>
    <n v="0.69999998807907104"/>
    <n v="5.6900000572204599"/>
    <n v="0"/>
    <n v="43"/>
    <n v="18"/>
    <n v="285"/>
    <n v="757"/>
    <n v="2030"/>
    <x v="3"/>
    <s v="April"/>
    <n v="346"/>
    <n v="1103"/>
    <n v="12.62"/>
    <x v="1"/>
    <s v="Very Active"/>
    <s v="1503960366|2016-04-04"/>
    <b v="0"/>
  </r>
  <r>
    <n v="1503960366"/>
    <d v="2016-04-05T00:00:00"/>
    <n v="14844"/>
    <n v="9.7299995422363299"/>
    <n v="9.7299995422363299"/>
    <n v="0"/>
    <n v="2.9400000572204599"/>
    <n v="0.75999999046325695"/>
    <n v="6.03999996185303"/>
    <n v="0"/>
    <n v="36"/>
    <n v="18"/>
    <n v="341"/>
    <n v="736"/>
    <n v="2083"/>
    <x v="4"/>
    <s v="April"/>
    <n v="395"/>
    <n v="1131"/>
    <n v="12.27"/>
    <x v="1"/>
    <s v="Very Active"/>
    <s v="1503960366|2016-04-05"/>
    <b v="0"/>
  </r>
  <r>
    <n v="1503960366"/>
    <d v="2016-04-06T00:00:00"/>
    <n v="11974"/>
    <n v="7.6700000762939498"/>
    <n v="7.6700000762939498"/>
    <n v="0"/>
    <n v="2.03999996185303"/>
    <n v="0.479999989271164"/>
    <n v="5.1500000953674299"/>
    <n v="0"/>
    <n v="27"/>
    <n v="12"/>
    <n v="228"/>
    <n v="1173"/>
    <n v="1861"/>
    <x v="5"/>
    <s v="April"/>
    <n v="267"/>
    <n v="1440"/>
    <n v="19.55"/>
    <x v="0"/>
    <s v="Moderately Active"/>
    <s v="1503960366|2016-04-06"/>
    <b v="0"/>
  </r>
  <r>
    <n v="1503960366"/>
    <d v="2016-04-07T00:00:00"/>
    <n v="10198"/>
    <n v="6.4400000572204599"/>
    <n v="6.4400000572204599"/>
    <n v="0"/>
    <n v="1.20000004768372"/>
    <n v="0.79000002145767201"/>
    <n v="4.4499998092651403"/>
    <n v="0"/>
    <n v="17"/>
    <n v="20"/>
    <n v="195"/>
    <n v="1208"/>
    <n v="1755"/>
    <x v="6"/>
    <s v="April"/>
    <n v="232"/>
    <n v="1440"/>
    <n v="20.13"/>
    <x v="0"/>
    <s v="Moderately Active"/>
    <s v="1503960366|2016-04-07"/>
    <b v="0"/>
  </r>
  <r>
    <n v="1503960366"/>
    <d v="2016-04-08T00:00:00"/>
    <n v="12521"/>
    <n v="7.9400000572204599"/>
    <n v="7.9400000572204599"/>
    <n v="0"/>
    <n v="3.3099999427795401"/>
    <n v="0.89999997615814198"/>
    <n v="3.7400000095367401"/>
    <n v="0"/>
    <n v="46"/>
    <n v="22"/>
    <n v="212"/>
    <n v="1160"/>
    <n v="1895"/>
    <x v="0"/>
    <s v="April"/>
    <n v="280"/>
    <n v="1440"/>
    <n v="19.329999999999998"/>
    <x v="1"/>
    <s v="Very Active"/>
    <s v="1503960366|2016-04-08"/>
    <b v="0"/>
  </r>
  <r>
    <n v="1503960366"/>
    <d v="2016-04-09T00:00:00"/>
    <n v="12432"/>
    <n v="8.1000003814697301"/>
    <n v="8.1000003814697301"/>
    <n v="0"/>
    <n v="2.5899999141693102"/>
    <n v="0.58999997377395597"/>
    <n v="4.9200000762939498"/>
    <n v="0"/>
    <n v="32"/>
    <n v="15"/>
    <n v="248"/>
    <n v="738"/>
    <n v="1883"/>
    <x v="1"/>
    <s v="April"/>
    <n v="295"/>
    <n v="1033"/>
    <n v="12.3"/>
    <x v="0"/>
    <s v="Very Active"/>
    <s v="1503960366|2016-04-09"/>
    <b v="0"/>
  </r>
  <r>
    <n v="1503960366"/>
    <d v="2016-04-10T00:00:00"/>
    <n v="10057"/>
    <n v="6.9800000190734899"/>
    <n v="6.9800000190734899"/>
    <n v="0"/>
    <n v="4"/>
    <n v="0.490000009536743"/>
    <n v="2.4800000190734899"/>
    <n v="0"/>
    <n v="44"/>
    <n v="13"/>
    <n v="168"/>
    <n v="737"/>
    <n v="1755"/>
    <x v="2"/>
    <s v="April"/>
    <n v="225"/>
    <n v="962"/>
    <n v="12.28"/>
    <x v="0"/>
    <s v="Very Active"/>
    <s v="1503960366|2016-04-10"/>
    <b v="0"/>
  </r>
  <r>
    <n v="1503960366"/>
    <d v="2016-04-11T00:00:00"/>
    <n v="10990"/>
    <n v="7.2600002288818404"/>
    <n v="7.2600002288818404"/>
    <n v="0"/>
    <n v="2.03999996185303"/>
    <n v="0.56999999284744296"/>
    <n v="4.6500000953674299"/>
    <n v="0"/>
    <n v="26"/>
    <n v="14"/>
    <n v="216"/>
    <n v="855"/>
    <n v="1811"/>
    <x v="3"/>
    <s v="April"/>
    <n v="256"/>
    <n v="1111"/>
    <n v="14.25"/>
    <x v="0"/>
    <s v="Moderately Active"/>
    <s v="1503960366|2016-04-11"/>
    <b v="0"/>
  </r>
  <r>
    <n v="1503960366"/>
    <d v="2016-04-12T00:00:00"/>
    <n v="224"/>
    <n v="0.140000000596046"/>
    <n v="0.140000000596046"/>
    <n v="0"/>
    <n v="0"/>
    <n v="0"/>
    <n v="0.129999995231628"/>
    <n v="0"/>
    <n v="0"/>
    <n v="0"/>
    <n v="9"/>
    <n v="32"/>
    <n v="50"/>
    <x v="4"/>
    <s v="April"/>
    <n v="9"/>
    <n v="41"/>
    <n v="0.53"/>
    <x v="2"/>
    <s v="Sedentary"/>
    <s v="1503960366|2016-04-12"/>
    <b v="1"/>
  </r>
  <r>
    <n v="1624580081"/>
    <d v="2016-03-25T00:00:00"/>
    <n v="1810"/>
    <n v="1.1799999475479099"/>
    <n v="1.1799999475479099"/>
    <n v="0"/>
    <n v="0"/>
    <n v="0"/>
    <n v="1.12999999523163"/>
    <n v="9.9999997764825804E-3"/>
    <n v="0"/>
    <n v="0"/>
    <n v="121"/>
    <n v="1319"/>
    <n v="1373"/>
    <x v="0"/>
    <s v="March"/>
    <n v="121"/>
    <n v="1440"/>
    <n v="21.98"/>
    <x v="2"/>
    <s v="Sedentary"/>
    <s v="1624580081|2016-03-25"/>
    <b v="0"/>
  </r>
  <r>
    <n v="1624580081"/>
    <d v="2016-03-26T00:00:00"/>
    <n v="815"/>
    <n v="0.52999997138977095"/>
    <n v="0.52999997138977095"/>
    <n v="0"/>
    <n v="0"/>
    <n v="0"/>
    <n v="0.52999997138977095"/>
    <n v="0"/>
    <n v="0"/>
    <n v="0"/>
    <n v="47"/>
    <n v="1393"/>
    <n v="1264"/>
    <x v="1"/>
    <s v="March"/>
    <n v="47"/>
    <n v="1440"/>
    <n v="23.22"/>
    <x v="2"/>
    <s v="Sedentary"/>
    <s v="1624580081|2016-03-26"/>
    <b v="0"/>
  </r>
  <r>
    <n v="1624580081"/>
    <d v="2016-03-27T00:00:00"/>
    <n v="1985"/>
    <n v="1.28999996185303"/>
    <n v="1.28999996185303"/>
    <n v="0"/>
    <n v="0"/>
    <n v="0"/>
    <n v="1.2799999713897701"/>
    <n v="9.9999997764825804E-3"/>
    <n v="0"/>
    <n v="0"/>
    <n v="112"/>
    <n v="1328"/>
    <n v="1350"/>
    <x v="2"/>
    <s v="March"/>
    <n v="112"/>
    <n v="1440"/>
    <n v="22.13"/>
    <x v="2"/>
    <s v="Sedentary"/>
    <s v="1624580081|2016-03-27"/>
    <b v="0"/>
  </r>
  <r>
    <n v="1624580081"/>
    <d v="2016-03-28T00:00:00"/>
    <n v="1905"/>
    <n v="1.2400000095367401"/>
    <n v="1.2400000095367401"/>
    <n v="0"/>
    <n v="0"/>
    <n v="0"/>
    <n v="1.2400000095367401"/>
    <n v="0"/>
    <n v="0"/>
    <n v="0"/>
    <n v="95"/>
    <n v="1345"/>
    <n v="1342"/>
    <x v="3"/>
    <s v="March"/>
    <n v="95"/>
    <n v="1440"/>
    <n v="22.42"/>
    <x v="2"/>
    <s v="Sedentary"/>
    <s v="1624580081|2016-03-28"/>
    <b v="0"/>
  </r>
  <r>
    <n v="1624580081"/>
    <d v="2016-03-29T00:00:00"/>
    <n v="1552"/>
    <n v="1.0099999904632599"/>
    <n v="1.0099999904632599"/>
    <n v="0"/>
    <n v="0"/>
    <n v="0"/>
    <n v="1"/>
    <n v="0"/>
    <n v="0"/>
    <n v="0"/>
    <n v="66"/>
    <n v="1374"/>
    <n v="1300"/>
    <x v="4"/>
    <s v="March"/>
    <n v="66"/>
    <n v="1440"/>
    <n v="22.9"/>
    <x v="2"/>
    <s v="Sedentary"/>
    <s v="1624580081|2016-03-29"/>
    <b v="0"/>
  </r>
  <r>
    <n v="1624580081"/>
    <d v="2016-03-30T00:00:00"/>
    <n v="1675"/>
    <n v="1.0900000333786"/>
    <n v="1.0900000333786"/>
    <n v="0"/>
    <n v="0"/>
    <n v="0"/>
    <n v="1.0900000333786"/>
    <n v="0"/>
    <n v="0"/>
    <n v="0"/>
    <n v="84"/>
    <n v="1356"/>
    <n v="1313"/>
    <x v="5"/>
    <s v="March"/>
    <n v="84"/>
    <n v="1440"/>
    <n v="22.6"/>
    <x v="2"/>
    <s v="Sedentary"/>
    <s v="1624580081|2016-03-30"/>
    <b v="0"/>
  </r>
  <r>
    <n v="1624580081"/>
    <d v="2016-03-31T00:00:00"/>
    <n v="4506"/>
    <n v="2.9300000667571999"/>
    <n v="2.9300000667571999"/>
    <n v="0"/>
    <n v="0.50999999046325695"/>
    <n v="0.270000010728836"/>
    <n v="2.1500000953674299"/>
    <n v="9.9999997764825804E-3"/>
    <n v="7"/>
    <n v="4"/>
    <n v="144"/>
    <n v="1285"/>
    <n v="1498"/>
    <x v="6"/>
    <s v="March"/>
    <n v="155"/>
    <n v="1440"/>
    <n v="21.42"/>
    <x v="2"/>
    <s v="Lightly Active"/>
    <s v="1624580081|2016-03-31"/>
    <b v="0"/>
  </r>
  <r>
    <n v="1624580081"/>
    <d v="2016-04-01T00:00:00"/>
    <n v="9218"/>
    <n v="5.9899997711181596"/>
    <n v="5.9899997711181596"/>
    <n v="0"/>
    <n v="0"/>
    <n v="0"/>
    <n v="5.9699997901916504"/>
    <n v="9.9999997764825804E-3"/>
    <n v="0"/>
    <n v="0"/>
    <n v="221"/>
    <n v="1219"/>
    <n v="1541"/>
    <x v="0"/>
    <s v="April"/>
    <n v="221"/>
    <n v="1440"/>
    <n v="20.32"/>
    <x v="3"/>
    <s v="Sedentary"/>
    <s v="1624580081|2016-04-01"/>
    <b v="0"/>
  </r>
  <r>
    <n v="1624580081"/>
    <d v="2016-04-02T00:00:00"/>
    <n v="1556"/>
    <n v="1.0099999904632599"/>
    <n v="1.0099999904632599"/>
    <n v="0"/>
    <n v="0"/>
    <n v="0"/>
    <n v="1.0099999904632599"/>
    <n v="9.9999997764825804E-3"/>
    <n v="0"/>
    <n v="0"/>
    <n v="88"/>
    <n v="1352"/>
    <n v="1327"/>
    <x v="1"/>
    <s v="April"/>
    <n v="88"/>
    <n v="1440"/>
    <n v="22.53"/>
    <x v="2"/>
    <s v="Sedentary"/>
    <s v="1624580081|2016-04-02"/>
    <b v="0"/>
  </r>
  <r>
    <n v="1624580081"/>
    <d v="2016-04-03T00:00:00"/>
    <n v="2910"/>
    <n v="1.8899999856948899"/>
    <n v="1.8899999856948899"/>
    <n v="0"/>
    <n v="0"/>
    <n v="0"/>
    <n v="1.87999999523163"/>
    <n v="9.9999997764825804E-3"/>
    <n v="0"/>
    <n v="0"/>
    <n v="157"/>
    <n v="1283"/>
    <n v="1452"/>
    <x v="2"/>
    <s v="April"/>
    <n v="157"/>
    <n v="1440"/>
    <n v="21.38"/>
    <x v="2"/>
    <s v="Sedentary"/>
    <s v="1624580081|2016-04-03"/>
    <b v="0"/>
  </r>
  <r>
    <n v="1624580081"/>
    <d v="2016-04-04T00:00:00"/>
    <n v="18464"/>
    <n v="12"/>
    <n v="12"/>
    <n v="0"/>
    <n v="0"/>
    <n v="0"/>
    <n v="12"/>
    <n v="0"/>
    <n v="0"/>
    <n v="0"/>
    <n v="270"/>
    <n v="1170"/>
    <n v="1574"/>
    <x v="3"/>
    <s v="April"/>
    <n v="270"/>
    <n v="1440"/>
    <n v="19.5"/>
    <x v="1"/>
    <s v="Sedentary"/>
    <s v="1624580081|2016-04-04"/>
    <b v="0"/>
  </r>
  <r>
    <n v="1624580081"/>
    <d v="2016-04-05T00:00:00"/>
    <n v="1335"/>
    <n v="0.87000000476837203"/>
    <n v="0.87000000476837203"/>
    <n v="0"/>
    <n v="0"/>
    <n v="0"/>
    <n v="0.87000000476837203"/>
    <n v="0"/>
    <n v="0"/>
    <n v="0"/>
    <n v="74"/>
    <n v="1366"/>
    <n v="1308"/>
    <x v="4"/>
    <s v="April"/>
    <n v="74"/>
    <n v="1440"/>
    <n v="22.77"/>
    <x v="2"/>
    <s v="Sedentary"/>
    <s v="1624580081|2016-04-05"/>
    <b v="0"/>
  </r>
  <r>
    <n v="1624580081"/>
    <d v="2016-04-06T00:00:00"/>
    <n v="1004"/>
    <n v="0.64999997615814198"/>
    <n v="0.64999997615814198"/>
    <n v="0"/>
    <n v="0"/>
    <n v="0"/>
    <n v="0.64999997615814198"/>
    <n v="0"/>
    <n v="0"/>
    <n v="0"/>
    <n v="55"/>
    <n v="1385"/>
    <n v="1276"/>
    <x v="5"/>
    <s v="April"/>
    <n v="55"/>
    <n v="1440"/>
    <n v="23.08"/>
    <x v="2"/>
    <s v="Sedentary"/>
    <s v="1624580081|2016-04-06"/>
    <b v="0"/>
  </r>
  <r>
    <n v="1624580081"/>
    <d v="2016-04-07T00:00:00"/>
    <n v="1111"/>
    <n v="0.72000002861022905"/>
    <n v="0.72000002861022905"/>
    <n v="0"/>
    <n v="0"/>
    <n v="0"/>
    <n v="0.72000002861022905"/>
    <n v="0"/>
    <n v="0"/>
    <n v="0"/>
    <n v="54"/>
    <n v="1386"/>
    <n v="1278"/>
    <x v="6"/>
    <s v="April"/>
    <n v="54"/>
    <n v="1440"/>
    <n v="23.1"/>
    <x v="2"/>
    <s v="Sedentary"/>
    <s v="1624580081|2016-04-07"/>
    <b v="0"/>
  </r>
  <r>
    <n v="1624580081"/>
    <d v="2016-04-08T00:00:00"/>
    <n v="6344"/>
    <n v="4.1199998855590803"/>
    <n v="4.1199998855590803"/>
    <n v="0"/>
    <n v="0"/>
    <n v="0"/>
    <n v="4.0999999046325701"/>
    <n v="0"/>
    <n v="0"/>
    <n v="0"/>
    <n v="143"/>
    <n v="1297"/>
    <n v="1409"/>
    <x v="0"/>
    <s v="April"/>
    <n v="143"/>
    <n v="1440"/>
    <n v="21.62"/>
    <x v="4"/>
    <s v="Sedentary"/>
    <s v="1624580081|2016-04-08"/>
    <b v="0"/>
  </r>
  <r>
    <n v="1624580081"/>
    <d v="2016-04-09T00:00:00"/>
    <n v="3572"/>
    <n v="2.3199999332428001"/>
    <n v="2.3199999332428001"/>
    <n v="0"/>
    <n v="0"/>
    <n v="0"/>
    <n v="2.28999996185303"/>
    <n v="2.9999999329447701E-2"/>
    <n v="0"/>
    <n v="0"/>
    <n v="122"/>
    <n v="1318"/>
    <n v="1370"/>
    <x v="1"/>
    <s v="April"/>
    <n v="122"/>
    <n v="1440"/>
    <n v="21.97"/>
    <x v="2"/>
    <s v="Sedentary"/>
    <s v="1624580081|2016-04-09"/>
    <b v="0"/>
  </r>
  <r>
    <n v="1624580081"/>
    <d v="2016-04-10T00:00:00"/>
    <n v="3910"/>
    <n v="2.53999996185303"/>
    <n v="2.53999996185303"/>
    <n v="0"/>
    <n v="0.46999999880790699"/>
    <n v="0.25"/>
    <n v="1.8099999427795399"/>
    <n v="9.9999997764825804E-3"/>
    <n v="7"/>
    <n v="7"/>
    <n v="186"/>
    <n v="1240"/>
    <n v="1555"/>
    <x v="2"/>
    <s v="April"/>
    <n v="200"/>
    <n v="1440"/>
    <n v="20.67"/>
    <x v="2"/>
    <s v="Lightly Active"/>
    <s v="1624580081|2016-04-10"/>
    <b v="0"/>
  </r>
  <r>
    <n v="1624580081"/>
    <d v="2016-04-11T00:00:00"/>
    <n v="10000"/>
    <n v="6.5"/>
    <n v="6.5"/>
    <n v="0"/>
    <n v="0"/>
    <n v="0"/>
    <n v="6.5"/>
    <n v="0"/>
    <n v="0"/>
    <n v="0"/>
    <n v="172"/>
    <n v="1268"/>
    <n v="1469"/>
    <x v="3"/>
    <s v="April"/>
    <n v="172"/>
    <n v="1440"/>
    <n v="21.13"/>
    <x v="0"/>
    <s v="Sedentary"/>
    <s v="1624580081|2016-04-11"/>
    <b v="0"/>
  </r>
  <r>
    <n v="1624580081"/>
    <d v="2016-04-12T00:00:00"/>
    <n v="6627"/>
    <n v="4.3099999427795401"/>
    <n v="4.3099999427795401"/>
    <n v="0"/>
    <n v="0"/>
    <n v="0"/>
    <n v="4.3099999427795401"/>
    <n v="0"/>
    <n v="0"/>
    <n v="0"/>
    <n v="89"/>
    <n v="604"/>
    <n v="706"/>
    <x v="4"/>
    <s v="April"/>
    <n v="89"/>
    <n v="693"/>
    <n v="10.07"/>
    <x v="4"/>
    <s v="Sedentary"/>
    <s v="1624580081|2016-04-12"/>
    <b v="0"/>
  </r>
  <r>
    <n v="1644430081"/>
    <d v="2016-04-01T00:00:00"/>
    <n v="4636"/>
    <n v="3.4100000858306898"/>
    <n v="3.4100000858306898"/>
    <n v="0"/>
    <n v="0"/>
    <n v="0.77999997138977095"/>
    <n v="2.5999999046325701"/>
    <n v="2.9999999329447701E-2"/>
    <n v="0"/>
    <n v="16"/>
    <n v="586"/>
    <n v="838"/>
    <n v="3323"/>
    <x v="0"/>
    <s v="April"/>
    <n v="602"/>
    <n v="1440"/>
    <n v="13.97"/>
    <x v="2"/>
    <s v="Sedentary"/>
    <s v="1644430081|2016-04-01"/>
    <b v="0"/>
  </r>
  <r>
    <n v="1644430081"/>
    <d v="2016-04-02T00:00:00"/>
    <n v="20237"/>
    <n v="14.710000038146999"/>
    <n v="14.710000038146999"/>
    <n v="0"/>
    <n v="2.5699999332428001"/>
    <n v="6.4000000953674299"/>
    <n v="5.7300000190734899"/>
    <n v="9.9999997764825804E-3"/>
    <n v="34"/>
    <n v="141"/>
    <n v="347"/>
    <n v="918"/>
    <n v="4029"/>
    <x v="1"/>
    <s v="April"/>
    <n v="522"/>
    <n v="1440"/>
    <n v="15.3"/>
    <x v="1"/>
    <s v="Very Active"/>
    <s v="1644430081|2016-04-02"/>
    <b v="0"/>
  </r>
  <r>
    <n v="1644430081"/>
    <d v="2016-04-03T00:00:00"/>
    <n v="12912"/>
    <n v="9.4099998474121094"/>
    <n v="9.4099998474121094"/>
    <n v="0"/>
    <n v="4.8299999237060502"/>
    <n v="0.769999980926514"/>
    <n v="3.78999996185303"/>
    <n v="2.9999999329447701E-2"/>
    <n v="59"/>
    <n v="16"/>
    <n v="283"/>
    <n v="1082"/>
    <n v="3436"/>
    <x v="2"/>
    <s v="April"/>
    <n v="358"/>
    <n v="1440"/>
    <n v="18.03"/>
    <x v="1"/>
    <s v="Very Active"/>
    <s v="1644430081|2016-04-03"/>
    <b v="0"/>
  </r>
  <r>
    <n v="1644430081"/>
    <d v="2016-04-04T00:00:00"/>
    <n v="2819"/>
    <n v="2.0499999523162802"/>
    <n v="2.0499999523162802"/>
    <n v="0"/>
    <n v="0.31000000238418601"/>
    <n v="0.17000000178813901"/>
    <n v="1.5599999427795399"/>
    <n v="9.9999997764825804E-3"/>
    <n v="4"/>
    <n v="4"/>
    <n v="87"/>
    <n v="1345"/>
    <n v="2444"/>
    <x v="3"/>
    <s v="April"/>
    <n v="95"/>
    <n v="1440"/>
    <n v="22.42"/>
    <x v="2"/>
    <s v="Lightly Active"/>
    <s v="1644430081|2016-04-04"/>
    <b v="0"/>
  </r>
  <r>
    <n v="1644430081"/>
    <d v="2016-04-05T00:00:00"/>
    <n v="9921"/>
    <n v="7.21000003814697"/>
    <n v="7.21000003814697"/>
    <n v="0"/>
    <n v="0.34000000357627902"/>
    <n v="1.5199999809265099"/>
    <n v="5.3600001335143999"/>
    <n v="0"/>
    <n v="5"/>
    <n v="35"/>
    <n v="219"/>
    <n v="1181"/>
    <n v="3098"/>
    <x v="4"/>
    <s v="April"/>
    <n v="259"/>
    <n v="1440"/>
    <n v="19.68"/>
    <x v="3"/>
    <s v="Lightly Active"/>
    <s v="1644430081|2016-04-05"/>
    <b v="0"/>
  </r>
  <r>
    <n v="1644430081"/>
    <d v="2016-04-06T00:00:00"/>
    <n v="8046"/>
    <n v="5.8499999046325701"/>
    <n v="5.8499999046325701"/>
    <n v="0"/>
    <n v="1.28999996185303"/>
    <n v="2.1199998855590798"/>
    <n v="2.4500000476837198"/>
    <n v="0"/>
    <n v="18"/>
    <n v="41"/>
    <n v="137"/>
    <n v="1244"/>
    <n v="2925"/>
    <x v="5"/>
    <s v="April"/>
    <n v="196"/>
    <n v="1440"/>
    <n v="20.73"/>
    <x v="3"/>
    <s v="Moderately Active"/>
    <s v="1644430081|2016-04-06"/>
    <b v="0"/>
  </r>
  <r>
    <n v="1644430081"/>
    <d v="2016-04-07T00:00:00"/>
    <n v="11166"/>
    <n v="8.1199998855590803"/>
    <n v="8.1199998855590803"/>
    <n v="0"/>
    <n v="0.20999999344348899"/>
    <n v="2.4100000858306898"/>
    <n v="5.5"/>
    <n v="0"/>
    <n v="3"/>
    <n v="58"/>
    <n v="230"/>
    <n v="1149"/>
    <n v="3202"/>
    <x v="6"/>
    <s v="April"/>
    <n v="291"/>
    <n v="1440"/>
    <n v="19.149999999999999"/>
    <x v="0"/>
    <s v="Lightly Active"/>
    <s v="1644430081|2016-04-07"/>
    <b v="0"/>
  </r>
  <r>
    <n v="1644430081"/>
    <d v="2016-04-08T00:00:00"/>
    <n v="7842"/>
    <n v="5.6999998092651403"/>
    <n v="5.6999998092651403"/>
    <n v="0"/>
    <n v="0.479999989271164"/>
    <n v="2.4100000858306898"/>
    <n v="2.8099999427795401"/>
    <n v="0"/>
    <n v="7"/>
    <n v="43"/>
    <n v="161"/>
    <n v="1229"/>
    <n v="2928"/>
    <x v="0"/>
    <s v="April"/>
    <n v="211"/>
    <n v="1440"/>
    <n v="20.48"/>
    <x v="3"/>
    <s v="Lightly Active"/>
    <s v="1644430081|2016-04-08"/>
    <b v="0"/>
  </r>
  <r>
    <n v="1644430081"/>
    <d v="2016-04-09T00:00:00"/>
    <n v="13840"/>
    <n v="10.060000419616699"/>
    <n v="10.060000419616699"/>
    <n v="0"/>
    <n v="1.3099999427795399"/>
    <n v="3.7200000286102299"/>
    <n v="5.0300002098083496"/>
    <n v="0"/>
    <n v="18"/>
    <n v="81"/>
    <n v="192"/>
    <n v="1149"/>
    <n v="3290"/>
    <x v="1"/>
    <s v="April"/>
    <n v="291"/>
    <n v="1440"/>
    <n v="19.149999999999999"/>
    <x v="1"/>
    <s v="Moderately Active"/>
    <s v="1644430081|2016-04-09"/>
    <b v="0"/>
  </r>
  <r>
    <n v="1644430081"/>
    <d v="2016-04-10T00:00:00"/>
    <n v="1329"/>
    <n v="0.97000002861022905"/>
    <n v="0.97000002861022905"/>
    <n v="0"/>
    <n v="0"/>
    <n v="0"/>
    <n v="0.97000002861022905"/>
    <n v="0"/>
    <n v="0"/>
    <n v="0"/>
    <n v="35"/>
    <n v="207"/>
    <n v="489"/>
    <x v="2"/>
    <s v="April"/>
    <n v="35"/>
    <n v="242"/>
    <n v="3.45"/>
    <x v="2"/>
    <s v="Sedentary"/>
    <s v="1644430081|2016-04-10"/>
    <b v="0"/>
  </r>
  <r>
    <n v="1844505072"/>
    <d v="2016-04-01T00:00:00"/>
    <n v="6847"/>
    <n v="4.5300002098083496"/>
    <n v="4.5300002098083496"/>
    <n v="0"/>
    <n v="0.61000001430511497"/>
    <n v="0.37000000476837203"/>
    <n v="3.5499999523162802"/>
    <n v="0"/>
    <n v="9"/>
    <n v="9"/>
    <n v="251"/>
    <n v="1171"/>
    <n v="1969"/>
    <x v="0"/>
    <s v="April"/>
    <n v="269"/>
    <n v="1440"/>
    <n v="19.52"/>
    <x v="4"/>
    <s v="Lightly Active"/>
    <s v="1844505072|2016-04-01"/>
    <b v="0"/>
  </r>
  <r>
    <n v="1844505072"/>
    <d v="2016-04-02T00:00:00"/>
    <n v="5367"/>
    <n v="3.5499999523162802"/>
    <n v="3.5499999523162802"/>
    <n v="0"/>
    <n v="0"/>
    <n v="0"/>
    <n v="3.5499999523162802"/>
    <n v="0"/>
    <n v="0"/>
    <n v="0"/>
    <n v="263"/>
    <n v="1177"/>
    <n v="1889"/>
    <x v="1"/>
    <s v="April"/>
    <n v="263"/>
    <n v="1440"/>
    <n v="19.62"/>
    <x v="4"/>
    <s v="Sedentary"/>
    <s v="1844505072|2016-04-02"/>
    <b v="0"/>
  </r>
  <r>
    <n v="1844505072"/>
    <d v="2016-04-03T00:00:00"/>
    <n v="2841"/>
    <n v="1.87999999523163"/>
    <n v="1.87999999523163"/>
    <n v="0"/>
    <n v="0"/>
    <n v="0"/>
    <n v="1.87999999523163"/>
    <n v="0"/>
    <n v="0"/>
    <n v="0"/>
    <n v="136"/>
    <n v="1114"/>
    <n v="1636"/>
    <x v="2"/>
    <s v="April"/>
    <n v="136"/>
    <n v="1250"/>
    <n v="18.57"/>
    <x v="2"/>
    <s v="Sedentary"/>
    <s v="1844505072|2016-04-03"/>
    <b v="0"/>
  </r>
  <r>
    <n v="1844505072"/>
    <d v="2016-04-04T00:00:00"/>
    <n v="0"/>
    <n v="0"/>
    <n v="0"/>
    <n v="0"/>
    <n v="0"/>
    <n v="0"/>
    <n v="0"/>
    <n v="0"/>
    <n v="0"/>
    <n v="0"/>
    <n v="0"/>
    <n v="669"/>
    <n v="1347"/>
    <x v="3"/>
    <s v="April"/>
    <n v="0"/>
    <n v="669"/>
    <n v="11.15"/>
    <x v="2"/>
    <s v="Sedentary"/>
    <s v="1844505072|2016-04-04"/>
    <b v="0"/>
  </r>
  <r>
    <n v="1844505072"/>
    <d v="2016-04-05T00:00:00"/>
    <n v="0"/>
    <n v="0"/>
    <n v="0"/>
    <n v="0"/>
    <n v="0"/>
    <n v="0"/>
    <n v="0"/>
    <n v="0"/>
    <n v="0"/>
    <n v="0"/>
    <n v="0"/>
    <n v="1440"/>
    <n v="1347"/>
    <x v="4"/>
    <s v="April"/>
    <n v="0"/>
    <n v="1440"/>
    <n v="24"/>
    <x v="2"/>
    <s v="Sedentary"/>
    <s v="1844505072|2016-04-05"/>
    <b v="0"/>
  </r>
  <r>
    <n v="1844505072"/>
    <d v="2016-04-06T00:00:00"/>
    <n v="7"/>
    <n v="0"/>
    <n v="0"/>
    <n v="0"/>
    <n v="0"/>
    <n v="0"/>
    <n v="0"/>
    <n v="0"/>
    <n v="0"/>
    <n v="0"/>
    <n v="1"/>
    <n v="1439"/>
    <n v="1349"/>
    <x v="5"/>
    <s v="April"/>
    <n v="1"/>
    <n v="1440"/>
    <n v="23.98"/>
    <x v="2"/>
    <s v="Sedentary"/>
    <s v="1844505072|2016-04-06"/>
    <b v="0"/>
  </r>
  <r>
    <n v="1844505072"/>
    <d v="2016-04-07T00:00:00"/>
    <n v="6344"/>
    <n v="4.1900000572204599"/>
    <n v="4.1900000572204599"/>
    <n v="0"/>
    <n v="0"/>
    <n v="0"/>
    <n v="4.1900000572204599"/>
    <n v="0"/>
    <n v="0"/>
    <n v="0"/>
    <n v="290"/>
    <n v="1150"/>
    <n v="1965"/>
    <x v="6"/>
    <s v="April"/>
    <n v="290"/>
    <n v="1440"/>
    <n v="19.170000000000002"/>
    <x v="4"/>
    <s v="Sedentary"/>
    <s v="1844505072|2016-04-07"/>
    <b v="0"/>
  </r>
  <r>
    <n v="1844505072"/>
    <d v="2016-04-08T00:00:00"/>
    <n v="5316"/>
    <n v="3.5099999904632599"/>
    <n v="3.5099999904632599"/>
    <n v="0"/>
    <n v="0"/>
    <n v="0"/>
    <n v="3.5099999904632599"/>
    <n v="0"/>
    <n v="0"/>
    <n v="0"/>
    <n v="221"/>
    <n v="1219"/>
    <n v="1824"/>
    <x v="0"/>
    <s v="April"/>
    <n v="221"/>
    <n v="1440"/>
    <n v="20.32"/>
    <x v="4"/>
    <s v="Sedentary"/>
    <s v="1844505072|2016-04-08"/>
    <b v="0"/>
  </r>
  <r>
    <n v="1844505072"/>
    <d v="2016-04-09T00:00:00"/>
    <n v="4979"/>
    <n v="3.28999996185303"/>
    <n v="3.28999996185303"/>
    <n v="0"/>
    <n v="0"/>
    <n v="0"/>
    <n v="3.28999996185303"/>
    <n v="0"/>
    <n v="0"/>
    <n v="0"/>
    <n v="184"/>
    <n v="620"/>
    <n v="1807"/>
    <x v="1"/>
    <s v="April"/>
    <n v="184"/>
    <n v="804"/>
    <n v="10.33"/>
    <x v="2"/>
    <s v="Sedentary"/>
    <s v="1844505072|2016-04-09"/>
    <b v="0"/>
  </r>
  <r>
    <n v="1844505072"/>
    <d v="2016-04-10T00:00:00"/>
    <n v="6556"/>
    <n v="4.3400001525878897"/>
    <n v="4.3400001525878897"/>
    <n v="0"/>
    <n v="0"/>
    <n v="0"/>
    <n v="4.3299999237060502"/>
    <n v="0"/>
    <n v="0"/>
    <n v="0"/>
    <n v="305"/>
    <n v="810"/>
    <n v="1971"/>
    <x v="2"/>
    <s v="April"/>
    <n v="305"/>
    <n v="1115"/>
    <n v="13.5"/>
    <x v="4"/>
    <s v="Sedentary"/>
    <s v="1844505072|2016-04-10"/>
    <b v="0"/>
  </r>
  <r>
    <n v="1844505072"/>
    <d v="2016-04-11T00:00:00"/>
    <n v="5430"/>
    <n v="3.5899999141693102"/>
    <n v="3.5899999141693102"/>
    <n v="0"/>
    <n v="0"/>
    <n v="0"/>
    <n v="3.5899999141693102"/>
    <n v="0"/>
    <n v="0"/>
    <n v="0"/>
    <n v="251"/>
    <n v="1189"/>
    <n v="1888"/>
    <x v="3"/>
    <s v="April"/>
    <n v="251"/>
    <n v="1440"/>
    <n v="19.82"/>
    <x v="4"/>
    <s v="Sedentary"/>
    <s v="1844505072|2016-04-11"/>
    <b v="0"/>
  </r>
  <r>
    <n v="1844505072"/>
    <d v="2016-04-12T00:00:00"/>
    <n v="0"/>
    <n v="0"/>
    <n v="0"/>
    <n v="0"/>
    <n v="0"/>
    <n v="0"/>
    <n v="0"/>
    <n v="0"/>
    <n v="0"/>
    <n v="0"/>
    <n v="0"/>
    <n v="426"/>
    <n v="399"/>
    <x v="4"/>
    <s v="April"/>
    <n v="0"/>
    <n v="426"/>
    <n v="7.1"/>
    <x v="2"/>
    <s v="Sedentary"/>
    <s v="1844505072|2016-04-12"/>
    <b v="0"/>
  </r>
  <r>
    <n v="1927972279"/>
    <d v="2016-04-01T00:00:00"/>
    <n v="4317"/>
    <n v="2.9900000095367401"/>
    <n v="2.9900000095367401"/>
    <n v="0"/>
    <n v="0"/>
    <n v="0.37000000476837203"/>
    <n v="2.6199998855590798"/>
    <n v="0"/>
    <n v="0"/>
    <n v="11"/>
    <n v="192"/>
    <n v="854"/>
    <n v="2590"/>
    <x v="0"/>
    <s v="April"/>
    <n v="203"/>
    <n v="1057"/>
    <n v="14.23"/>
    <x v="2"/>
    <s v="Sedentary"/>
    <s v="1927972279|2016-04-01"/>
    <b v="0"/>
  </r>
  <r>
    <n v="1927972279"/>
    <d v="2016-04-02T00:00:00"/>
    <n v="5662"/>
    <n v="3.9200000762939502"/>
    <n v="3.9200000762939502"/>
    <n v="0"/>
    <n v="0"/>
    <n v="0"/>
    <n v="3.9200000762939502"/>
    <n v="0"/>
    <n v="0"/>
    <n v="0"/>
    <n v="267"/>
    <n v="858"/>
    <n v="2783"/>
    <x v="1"/>
    <s v="April"/>
    <n v="267"/>
    <n v="1125"/>
    <n v="14.3"/>
    <x v="4"/>
    <s v="Sedentary"/>
    <s v="1927972279|2016-04-02"/>
    <b v="0"/>
  </r>
  <r>
    <n v="1927972279"/>
    <d v="2016-04-03T00:00:00"/>
    <n v="3198"/>
    <n v="2.21000003814697"/>
    <n v="2.21000003814697"/>
    <n v="0"/>
    <n v="0"/>
    <n v="0"/>
    <n v="2.21000003814697"/>
    <n v="0"/>
    <n v="0"/>
    <n v="0"/>
    <n v="146"/>
    <n v="1183"/>
    <n v="2449"/>
    <x v="2"/>
    <s v="April"/>
    <n v="146"/>
    <n v="1329"/>
    <n v="19.72"/>
    <x v="2"/>
    <s v="Sedentary"/>
    <s v="1927972279|2016-04-03"/>
    <b v="0"/>
  </r>
  <r>
    <n v="1927972279"/>
    <d v="2016-04-04T00:00:00"/>
    <n v="2352"/>
    <n v="1.62999999523163"/>
    <n v="1.62999999523163"/>
    <n v="0"/>
    <n v="0"/>
    <n v="0"/>
    <n v="1.62999999523163"/>
    <n v="0"/>
    <n v="0"/>
    <n v="0"/>
    <n v="128"/>
    <n v="829"/>
    <n v="2380"/>
    <x v="3"/>
    <s v="April"/>
    <n v="128"/>
    <n v="957"/>
    <n v="13.82"/>
    <x v="2"/>
    <s v="Sedentary"/>
    <s v="1927972279|2016-04-04"/>
    <b v="0"/>
  </r>
  <r>
    <n v="1927972279"/>
    <d v="2016-04-05T00:00:00"/>
    <n v="2234"/>
    <n v="1.54999995231628"/>
    <n v="1.54999995231628"/>
    <n v="0"/>
    <n v="0"/>
    <n v="0"/>
    <n v="1.54999995231628"/>
    <n v="0"/>
    <n v="0"/>
    <n v="0"/>
    <n v="108"/>
    <n v="912"/>
    <n v="2344"/>
    <x v="4"/>
    <s v="April"/>
    <n v="108"/>
    <n v="1020"/>
    <n v="15.2"/>
    <x v="2"/>
    <s v="Sedentary"/>
    <s v="1927972279|2016-04-05"/>
    <b v="0"/>
  </r>
  <r>
    <n v="1927972279"/>
    <d v="2016-04-06T00:00:00"/>
    <n v="1259"/>
    <n v="0.87000000476837203"/>
    <n v="0.87000000476837203"/>
    <n v="0"/>
    <n v="0"/>
    <n v="0"/>
    <n v="0.87000000476837203"/>
    <n v="0"/>
    <n v="0"/>
    <n v="0"/>
    <n v="73"/>
    <n v="938"/>
    <n v="2202"/>
    <x v="5"/>
    <s v="April"/>
    <n v="73"/>
    <n v="1011"/>
    <n v="15.63"/>
    <x v="2"/>
    <s v="Sedentary"/>
    <s v="1927972279|2016-04-06"/>
    <b v="0"/>
  </r>
  <r>
    <n v="1927972279"/>
    <d v="2016-04-07T00:00:00"/>
    <n v="768"/>
    <n v="0.52999997138977095"/>
    <n v="0.52999997138977095"/>
    <n v="0"/>
    <n v="0"/>
    <n v="0"/>
    <n v="0.52999997138977095"/>
    <n v="0"/>
    <n v="0"/>
    <n v="0"/>
    <n v="43"/>
    <n v="1397"/>
    <n v="2130"/>
    <x v="6"/>
    <s v="April"/>
    <n v="43"/>
    <n v="1440"/>
    <n v="23.28"/>
    <x v="2"/>
    <s v="Sedentary"/>
    <s v="1927972279|2016-04-07"/>
    <b v="0"/>
  </r>
  <r>
    <n v="1927972279"/>
    <d v="2016-04-08T00:00:00"/>
    <n v="519"/>
    <n v="0.36000001430511502"/>
    <n v="0.36000001430511502"/>
    <n v="0"/>
    <n v="0"/>
    <n v="0"/>
    <n v="0.36000001430511502"/>
    <n v="0"/>
    <n v="0"/>
    <n v="0"/>
    <n v="34"/>
    <n v="1406"/>
    <n v="2088"/>
    <x v="0"/>
    <s v="April"/>
    <n v="34"/>
    <n v="1440"/>
    <n v="23.43"/>
    <x v="2"/>
    <s v="Sedentary"/>
    <s v="1927972279|2016-04-08"/>
    <b v="0"/>
  </r>
  <r>
    <n v="1927972279"/>
    <d v="2016-04-09T00:00:00"/>
    <n v="2523"/>
    <n v="1.75"/>
    <n v="1.75"/>
    <n v="0"/>
    <n v="0"/>
    <n v="0.37000000476837203"/>
    <n v="1.37999999523163"/>
    <n v="0"/>
    <n v="0"/>
    <n v="9"/>
    <n v="134"/>
    <n v="1250"/>
    <n v="2443"/>
    <x v="1"/>
    <s v="April"/>
    <n v="143"/>
    <n v="1393"/>
    <n v="20.83"/>
    <x v="2"/>
    <s v="Sedentary"/>
    <s v="1927972279|2016-04-09"/>
    <b v="0"/>
  </r>
  <r>
    <n v="1927972279"/>
    <d v="2016-04-10T00:00:00"/>
    <n v="2105"/>
    <n v="1.46000003814697"/>
    <n v="1.46000003814697"/>
    <n v="0"/>
    <n v="0"/>
    <n v="0"/>
    <n v="1.46000003814697"/>
    <n v="0"/>
    <n v="0"/>
    <n v="0"/>
    <n v="139"/>
    <n v="805"/>
    <n v="2442"/>
    <x v="2"/>
    <s v="April"/>
    <n v="139"/>
    <n v="944"/>
    <n v="13.42"/>
    <x v="2"/>
    <s v="Sedentary"/>
    <s v="1927972279|2016-04-10"/>
    <b v="0"/>
  </r>
  <r>
    <n v="1927972279"/>
    <d v="2016-04-11T00:00:00"/>
    <n v="1209"/>
    <n v="0.83999997377395597"/>
    <n v="0.83999997377395597"/>
    <n v="0"/>
    <n v="0"/>
    <n v="0"/>
    <n v="0.83999997377395597"/>
    <n v="0"/>
    <n v="0"/>
    <n v="0"/>
    <n v="73"/>
    <n v="842"/>
    <n v="2255"/>
    <x v="3"/>
    <s v="April"/>
    <n v="73"/>
    <n v="915"/>
    <n v="14.03"/>
    <x v="2"/>
    <s v="Sedentary"/>
    <s v="1927972279|2016-04-11"/>
    <b v="0"/>
  </r>
  <r>
    <n v="1927972279"/>
    <d v="2016-04-12T00:00:00"/>
    <n v="24"/>
    <n v="1.9999999552965199E-2"/>
    <n v="1.9999999552965199E-2"/>
    <n v="0"/>
    <n v="0"/>
    <n v="0"/>
    <n v="1.9999999552965199E-2"/>
    <n v="0"/>
    <n v="0"/>
    <n v="0"/>
    <n v="3"/>
    <n v="161"/>
    <n v="942"/>
    <x v="4"/>
    <s v="April"/>
    <n v="3"/>
    <n v="164"/>
    <n v="2.68"/>
    <x v="2"/>
    <s v="Sedentary"/>
    <s v="1927972279|2016-04-12"/>
    <b v="1"/>
  </r>
  <r>
    <n v="2022484408"/>
    <d v="2016-04-01T00:00:00"/>
    <n v="13603"/>
    <n v="9.6000003814697301"/>
    <n v="9.6000003814697301"/>
    <n v="0"/>
    <n v="5.46000003814697"/>
    <n v="0.62999999523162797"/>
    <n v="3.5099999904632599"/>
    <n v="0"/>
    <n v="72"/>
    <n v="16"/>
    <n v="213"/>
    <n v="1139"/>
    <n v="2645"/>
    <x v="0"/>
    <s v="April"/>
    <n v="301"/>
    <n v="1440"/>
    <n v="18.98"/>
    <x v="1"/>
    <s v="Very Active"/>
    <s v="2022484408|2016-04-01"/>
    <b v="0"/>
  </r>
  <r>
    <n v="2022484408"/>
    <d v="2016-04-02T00:00:00"/>
    <n v="5477"/>
    <n v="3.8399999141693102"/>
    <n v="3.8399999141693102"/>
    <n v="0"/>
    <n v="0"/>
    <n v="0"/>
    <n v="3.8399999141693102"/>
    <n v="0"/>
    <n v="0"/>
    <n v="0"/>
    <n v="237"/>
    <n v="1203"/>
    <n v="2040"/>
    <x v="1"/>
    <s v="April"/>
    <n v="237"/>
    <n v="1440"/>
    <n v="20.05"/>
    <x v="4"/>
    <s v="Sedentary"/>
    <s v="2022484408|2016-04-02"/>
    <b v="0"/>
  </r>
  <r>
    <n v="2022484408"/>
    <d v="2016-04-03T00:00:00"/>
    <n v="11144"/>
    <n v="7.8200001716613796"/>
    <n v="7.8200001716613796"/>
    <n v="0"/>
    <n v="1.78999996185303"/>
    <n v="0.88999998569488503"/>
    <n v="5.1399998664856001"/>
    <n v="0"/>
    <n v="25"/>
    <n v="22"/>
    <n v="279"/>
    <n v="1114"/>
    <n v="2395"/>
    <x v="2"/>
    <s v="April"/>
    <n v="326"/>
    <n v="1440"/>
    <n v="18.57"/>
    <x v="0"/>
    <s v="Moderately Active"/>
    <s v="2022484408|2016-04-03"/>
    <b v="0"/>
  </r>
  <r>
    <n v="2022484408"/>
    <d v="2016-04-04T00:00:00"/>
    <n v="15313"/>
    <n v="11"/>
    <n v="11"/>
    <n v="0"/>
    <n v="5.0199999809265101"/>
    <n v="1.28999996185303"/>
    <n v="4.6900000572204599"/>
    <n v="0"/>
    <n v="62"/>
    <n v="19"/>
    <n v="233"/>
    <n v="1126"/>
    <n v="2581"/>
    <x v="3"/>
    <s v="April"/>
    <n v="314"/>
    <n v="1440"/>
    <n v="18.77"/>
    <x v="1"/>
    <s v="Very Active"/>
    <s v="2022484408|2016-04-04"/>
    <b v="0"/>
  </r>
  <r>
    <n v="2022484408"/>
    <d v="2016-04-05T00:00:00"/>
    <n v="10805"/>
    <n v="7.5900001525878897"/>
    <n v="7.5900001525878897"/>
    <n v="0"/>
    <n v="0.72000002861022905"/>
    <n v="0.980000019073486"/>
    <n v="5.8899998664856001"/>
    <n v="0"/>
    <n v="36"/>
    <n v="37"/>
    <n v="298"/>
    <n v="1069"/>
    <n v="2735"/>
    <x v="4"/>
    <s v="April"/>
    <n v="371"/>
    <n v="1440"/>
    <n v="17.82"/>
    <x v="0"/>
    <s v="Very Active"/>
    <s v="2022484408|2016-04-05"/>
    <b v="0"/>
  </r>
  <r>
    <n v="2022484408"/>
    <d v="2016-04-06T00:00:00"/>
    <n v="15392"/>
    <n v="10.930000305175801"/>
    <n v="10.930000305175801"/>
    <n v="0"/>
    <n v="3.4300000667571999"/>
    <n v="1.75"/>
    <n v="5.75"/>
    <n v="0"/>
    <n v="47"/>
    <n v="42"/>
    <n v="258"/>
    <n v="1093"/>
    <n v="2733"/>
    <x v="5"/>
    <s v="April"/>
    <n v="347"/>
    <n v="1440"/>
    <n v="18.22"/>
    <x v="1"/>
    <s v="Very Active"/>
    <s v="2022484408|2016-04-06"/>
    <b v="0"/>
  </r>
  <r>
    <n v="2022484408"/>
    <d v="2016-04-07T00:00:00"/>
    <n v="18247"/>
    <n v="13.829999923706101"/>
    <n v="13.829999923706101"/>
    <n v="0"/>
    <n v="7.1100001335143999"/>
    <n v="2.21000003814697"/>
    <n v="4.5100002288818404"/>
    <n v="0"/>
    <n v="72"/>
    <n v="62"/>
    <n v="252"/>
    <n v="1054"/>
    <n v="3021"/>
    <x v="6"/>
    <s v="April"/>
    <n v="386"/>
    <n v="1440"/>
    <n v="17.57"/>
    <x v="1"/>
    <s v="Very Active"/>
    <s v="2022484408|2016-04-07"/>
    <b v="0"/>
  </r>
  <r>
    <n v="2022484408"/>
    <d v="2016-04-08T00:00:00"/>
    <n v="13023"/>
    <n v="9.2600002288818395"/>
    <n v="9.2600002288818395"/>
    <n v="0"/>
    <n v="3.2300000190734899"/>
    <n v="0.56000000238418601"/>
    <n v="5.4699997901916504"/>
    <n v="0"/>
    <n v="40"/>
    <n v="12"/>
    <n v="296"/>
    <n v="1092"/>
    <n v="2577"/>
    <x v="0"/>
    <s v="April"/>
    <n v="348"/>
    <n v="1440"/>
    <n v="18.2"/>
    <x v="1"/>
    <s v="Very Active"/>
    <s v="2022484408|2016-04-08"/>
    <b v="0"/>
  </r>
  <r>
    <n v="2022484408"/>
    <d v="2016-04-09T00:00:00"/>
    <n v="16267"/>
    <n v="12.5900001525879"/>
    <n v="12.5900001525879"/>
    <n v="0"/>
    <n v="5.75"/>
    <n v="0.46999999880790699"/>
    <n v="6.3699998855590803"/>
    <n v="0"/>
    <n v="44"/>
    <n v="16"/>
    <n v="302"/>
    <n v="1078"/>
    <n v="2811"/>
    <x v="1"/>
    <s v="April"/>
    <n v="362"/>
    <n v="1440"/>
    <n v="17.97"/>
    <x v="1"/>
    <s v="Very Active"/>
    <s v="2022484408|2016-04-09"/>
    <b v="0"/>
  </r>
  <r>
    <n v="2022484408"/>
    <d v="2016-04-10T00:00:00"/>
    <n v="10005"/>
    <n v="7.0199999809265101"/>
    <n v="7.0199999809265101"/>
    <n v="0"/>
    <n v="7.9999998211860698E-2"/>
    <n v="1.04999995231628"/>
    <n v="5.9000000953674299"/>
    <n v="0"/>
    <n v="1"/>
    <n v="23"/>
    <n v="339"/>
    <n v="1077"/>
    <n v="2458"/>
    <x v="2"/>
    <s v="April"/>
    <n v="363"/>
    <n v="1440"/>
    <n v="17.95"/>
    <x v="0"/>
    <s v="Lightly Active"/>
    <s v="2022484408|2016-04-10"/>
    <b v="0"/>
  </r>
  <r>
    <n v="2022484408"/>
    <d v="2016-04-11T00:00:00"/>
    <n v="10106"/>
    <n v="7.0900001525878897"/>
    <n v="7.0900001525878897"/>
    <n v="0"/>
    <n v="1.21000003814697"/>
    <n v="0.56000000238418601"/>
    <n v="5.3299999237060502"/>
    <n v="0"/>
    <n v="41"/>
    <n v="16"/>
    <n v="272"/>
    <n v="1111"/>
    <n v="2568"/>
    <x v="3"/>
    <s v="April"/>
    <n v="329"/>
    <n v="1440"/>
    <n v="18.52"/>
    <x v="0"/>
    <s v="Very Active"/>
    <s v="2022484408|2016-04-11"/>
    <b v="0"/>
  </r>
  <r>
    <n v="2022484408"/>
    <d v="2016-04-12T00:00:00"/>
    <n v="6717"/>
    <n v="4.7199997901916504"/>
    <n v="4.7199997901916504"/>
    <n v="0"/>
    <n v="3.2300000190734899"/>
    <n v="0.21999999880790699"/>
    <n v="1.2699999809265099"/>
    <n v="0"/>
    <n v="41"/>
    <n v="5"/>
    <n v="67"/>
    <n v="551"/>
    <n v="1140"/>
    <x v="4"/>
    <s v="April"/>
    <n v="113"/>
    <n v="664"/>
    <n v="9.18"/>
    <x v="4"/>
    <s v="Very Active"/>
    <s v="2022484408|2016-04-12"/>
    <b v="0"/>
  </r>
  <r>
    <n v="2026352035"/>
    <d v="2016-04-01T00:00:00"/>
    <n v="2605"/>
    <n v="1.62000000476837"/>
    <n v="1.62000000476837"/>
    <n v="0"/>
    <n v="0"/>
    <n v="0"/>
    <n v="1.62000000476837"/>
    <n v="0"/>
    <n v="0"/>
    <n v="0"/>
    <n v="166"/>
    <n v="729"/>
    <n v="1407"/>
    <x v="0"/>
    <s v="April"/>
    <n v="166"/>
    <n v="895"/>
    <n v="12.15"/>
    <x v="2"/>
    <s v="Sedentary"/>
    <s v="2026352035|2016-04-01"/>
    <b v="0"/>
  </r>
  <r>
    <n v="2026352035"/>
    <d v="2016-04-02T00:00:00"/>
    <n v="1229"/>
    <n v="0.75999999046325695"/>
    <n v="0.75999999046325695"/>
    <n v="0"/>
    <n v="0"/>
    <n v="0"/>
    <n v="0.75999999046325695"/>
    <n v="0"/>
    <n v="0"/>
    <n v="0"/>
    <n v="69"/>
    <n v="795"/>
    <n v="1237"/>
    <x v="1"/>
    <s v="April"/>
    <n v="69"/>
    <n v="864"/>
    <n v="13.25"/>
    <x v="2"/>
    <s v="Sedentary"/>
    <s v="2026352035|2016-04-02"/>
    <b v="0"/>
  </r>
  <r>
    <n v="2026352035"/>
    <d v="2016-04-03T00:00:00"/>
    <n v="2308"/>
    <n v="1.4299999475479099"/>
    <n v="1.4299999475479099"/>
    <n v="0"/>
    <n v="0"/>
    <n v="0"/>
    <n v="1.4299999475479099"/>
    <n v="0"/>
    <n v="0"/>
    <n v="0"/>
    <n v="115"/>
    <n v="720"/>
    <n v="1330"/>
    <x v="2"/>
    <s v="April"/>
    <n v="115"/>
    <n v="835"/>
    <n v="12"/>
    <x v="2"/>
    <s v="Sedentary"/>
    <s v="2026352035|2016-04-03"/>
    <b v="0"/>
  </r>
  <r>
    <n v="2026352035"/>
    <d v="2016-04-04T00:00:00"/>
    <n v="6679"/>
    <n v="4.1399998664856001"/>
    <n v="4.1399998664856001"/>
    <n v="0"/>
    <n v="0"/>
    <n v="0"/>
    <n v="4.1399998664856001"/>
    <n v="0"/>
    <n v="0"/>
    <n v="0"/>
    <n v="263"/>
    <n v="644"/>
    <n v="1583"/>
    <x v="3"/>
    <s v="April"/>
    <n v="263"/>
    <n v="907"/>
    <n v="10.73"/>
    <x v="4"/>
    <s v="Sedentary"/>
    <s v="2026352035|2016-04-04"/>
    <b v="0"/>
  </r>
  <r>
    <n v="2026352035"/>
    <d v="2016-04-05T00:00:00"/>
    <n v="5645"/>
    <n v="3.5"/>
    <n v="3.5"/>
    <n v="0"/>
    <n v="0"/>
    <n v="0"/>
    <n v="3.5"/>
    <n v="0"/>
    <n v="0"/>
    <n v="0"/>
    <n v="248"/>
    <n v="621"/>
    <n v="1538"/>
    <x v="4"/>
    <s v="April"/>
    <n v="248"/>
    <n v="869"/>
    <n v="10.35"/>
    <x v="4"/>
    <s v="Sedentary"/>
    <s v="2026352035|2016-04-05"/>
    <b v="0"/>
  </r>
  <r>
    <n v="2026352035"/>
    <d v="2016-04-06T00:00:00"/>
    <n v="3180"/>
    <n v="1.9700000286102299"/>
    <n v="1.9700000286102299"/>
    <n v="0"/>
    <n v="0"/>
    <n v="0"/>
    <n v="1.9700000286102299"/>
    <n v="0"/>
    <n v="0"/>
    <n v="0"/>
    <n v="185"/>
    <n v="738"/>
    <n v="1421"/>
    <x v="5"/>
    <s v="April"/>
    <n v="185"/>
    <n v="923"/>
    <n v="12.3"/>
    <x v="2"/>
    <s v="Sedentary"/>
    <s v="2026352035|2016-04-06"/>
    <b v="0"/>
  </r>
  <r>
    <n v="2026352035"/>
    <d v="2016-04-07T00:00:00"/>
    <n v="2767"/>
    <n v="1.7200000286102299"/>
    <n v="1.7200000286102299"/>
    <n v="0"/>
    <n v="0"/>
    <n v="0"/>
    <n v="1.7200000286102299"/>
    <n v="0"/>
    <n v="0"/>
    <n v="0"/>
    <n v="170"/>
    <n v="673"/>
    <n v="1392"/>
    <x v="6"/>
    <s v="April"/>
    <n v="170"/>
    <n v="843"/>
    <n v="11.22"/>
    <x v="2"/>
    <s v="Sedentary"/>
    <s v="2026352035|2016-04-07"/>
    <b v="0"/>
  </r>
  <r>
    <n v="2026352035"/>
    <d v="2016-04-08T00:00:00"/>
    <n v="3762"/>
    <n v="2.3299999237060498"/>
    <n v="2.3299999237060498"/>
    <n v="0"/>
    <n v="0"/>
    <n v="0"/>
    <n v="2.3299999237060498"/>
    <n v="0"/>
    <n v="0"/>
    <n v="0"/>
    <n v="173"/>
    <n v="719"/>
    <n v="1425"/>
    <x v="0"/>
    <s v="April"/>
    <n v="173"/>
    <n v="892"/>
    <n v="11.98"/>
    <x v="2"/>
    <s v="Sedentary"/>
    <s v="2026352035|2016-04-08"/>
    <b v="0"/>
  </r>
  <r>
    <n v="2026352035"/>
    <d v="2016-04-09T00:00:00"/>
    <n v="3098"/>
    <n v="1.91999995708466"/>
    <n v="1.91999995708466"/>
    <n v="0"/>
    <n v="0"/>
    <n v="0"/>
    <n v="1.91999995708466"/>
    <n v="0"/>
    <n v="0"/>
    <n v="0"/>
    <n v="185"/>
    <n v="700"/>
    <n v="1413"/>
    <x v="1"/>
    <s v="April"/>
    <n v="185"/>
    <n v="885"/>
    <n v="11.67"/>
    <x v="2"/>
    <s v="Sedentary"/>
    <s v="2026352035|2016-04-09"/>
    <b v="0"/>
  </r>
  <r>
    <n v="2026352035"/>
    <d v="2016-04-10T00:00:00"/>
    <n v="5142"/>
    <n v="3.1900000572204599"/>
    <n v="3.1900000572204599"/>
    <n v="0"/>
    <n v="0"/>
    <n v="0"/>
    <n v="3.1900000572204599"/>
    <n v="0"/>
    <n v="0"/>
    <n v="0"/>
    <n v="230"/>
    <n v="654"/>
    <n v="1515"/>
    <x v="2"/>
    <s v="April"/>
    <n v="230"/>
    <n v="884"/>
    <n v="10.9"/>
    <x v="4"/>
    <s v="Sedentary"/>
    <s v="2026352035|2016-04-10"/>
    <b v="0"/>
  </r>
  <r>
    <n v="2026352035"/>
    <d v="2016-04-11T00:00:00"/>
    <n v="3279"/>
    <n v="2.0299999713897701"/>
    <n v="2.0299999713897701"/>
    <n v="0"/>
    <n v="0"/>
    <n v="0"/>
    <n v="2.0299999713897701"/>
    <n v="0"/>
    <n v="0"/>
    <n v="0"/>
    <n v="164"/>
    <n v="694"/>
    <n v="1405"/>
    <x v="3"/>
    <s v="April"/>
    <n v="164"/>
    <n v="858"/>
    <n v="11.57"/>
    <x v="2"/>
    <s v="Sedentary"/>
    <s v="2026352035|2016-04-11"/>
    <b v="0"/>
  </r>
  <r>
    <n v="2026352035"/>
    <d v="2016-04-12T00:00:00"/>
    <n v="1019"/>
    <n v="0.62999999523162797"/>
    <n v="0.62999999523162797"/>
    <n v="0"/>
    <n v="0"/>
    <n v="0"/>
    <n v="0.62999999523162797"/>
    <n v="0"/>
    <n v="0"/>
    <n v="0"/>
    <n v="64"/>
    <n v="223"/>
    <n v="600"/>
    <x v="4"/>
    <s v="April"/>
    <n v="64"/>
    <n v="287"/>
    <n v="3.72"/>
    <x v="2"/>
    <s v="Sedentary"/>
    <s v="2026352035|2016-04-12"/>
    <b v="1"/>
  </r>
  <r>
    <n v="2320127002"/>
    <d v="2016-04-01T00:00:00"/>
    <n v="0"/>
    <n v="0"/>
    <n v="0"/>
    <n v="0"/>
    <n v="0"/>
    <n v="0"/>
    <n v="0"/>
    <n v="0"/>
    <n v="0"/>
    <n v="0"/>
    <n v="0"/>
    <n v="1440"/>
    <n v="1324"/>
    <x v="0"/>
    <s v="April"/>
    <n v="0"/>
    <n v="1440"/>
    <n v="24"/>
    <x v="2"/>
    <s v="Sedentary"/>
    <s v="2320127002|2016-04-01"/>
    <b v="0"/>
  </r>
  <r>
    <n v="2320127002"/>
    <d v="2016-04-02T00:00:00"/>
    <n v="0"/>
    <n v="0"/>
    <n v="0"/>
    <n v="0"/>
    <n v="0"/>
    <n v="0"/>
    <n v="0"/>
    <n v="0"/>
    <n v="0"/>
    <n v="0"/>
    <n v="0"/>
    <n v="1440"/>
    <n v="1324"/>
    <x v="1"/>
    <s v="April"/>
    <n v="0"/>
    <n v="1440"/>
    <n v="24"/>
    <x v="2"/>
    <s v="Sedentary"/>
    <s v="2320127002|2016-04-02"/>
    <b v="0"/>
  </r>
  <r>
    <n v="2320127002"/>
    <d v="2016-04-03T00:00:00"/>
    <n v="0"/>
    <n v="0"/>
    <n v="0"/>
    <n v="0"/>
    <n v="0"/>
    <n v="0"/>
    <n v="0"/>
    <n v="0"/>
    <n v="0"/>
    <n v="0"/>
    <n v="0"/>
    <n v="1440"/>
    <n v="1324"/>
    <x v="2"/>
    <s v="April"/>
    <n v="0"/>
    <n v="1440"/>
    <n v="24"/>
    <x v="2"/>
    <s v="Sedentary"/>
    <s v="2320127002|2016-04-03"/>
    <b v="0"/>
  </r>
  <r>
    <n v="2320127002"/>
    <d v="2016-04-04T00:00:00"/>
    <n v="0"/>
    <n v="0"/>
    <n v="0"/>
    <n v="0"/>
    <n v="0"/>
    <n v="0"/>
    <n v="0"/>
    <n v="0"/>
    <n v="0"/>
    <n v="0"/>
    <n v="0"/>
    <n v="1440"/>
    <n v="1324"/>
    <x v="3"/>
    <s v="April"/>
    <n v="0"/>
    <n v="1440"/>
    <n v="24"/>
    <x v="2"/>
    <s v="Sedentary"/>
    <s v="2320127002|2016-04-04"/>
    <b v="0"/>
  </r>
  <r>
    <n v="2320127002"/>
    <d v="2016-04-05T00:00:00"/>
    <n v="4931"/>
    <n v="3.3199999332428001"/>
    <n v="3.3199999332428001"/>
    <n v="0"/>
    <n v="0"/>
    <n v="0"/>
    <n v="3.3199999332428001"/>
    <n v="0"/>
    <n v="0"/>
    <n v="0"/>
    <n v="175"/>
    <n v="1265"/>
    <n v="1708"/>
    <x v="4"/>
    <s v="April"/>
    <n v="175"/>
    <n v="1440"/>
    <n v="21.08"/>
    <x v="2"/>
    <s v="Sedentary"/>
    <s v="2320127002|2016-04-05"/>
    <b v="0"/>
  </r>
  <r>
    <n v="2320127002"/>
    <d v="2016-04-06T00:00:00"/>
    <n v="6999"/>
    <n v="4.7199997901916504"/>
    <n v="4.7199997901916504"/>
    <n v="0"/>
    <n v="0"/>
    <n v="0"/>
    <n v="4.7199997901916504"/>
    <n v="0"/>
    <n v="0"/>
    <n v="0"/>
    <n v="320"/>
    <n v="1120"/>
    <n v="1950"/>
    <x v="5"/>
    <s v="April"/>
    <n v="320"/>
    <n v="1440"/>
    <n v="18.670000000000002"/>
    <x v="4"/>
    <s v="Sedentary"/>
    <s v="2320127002|2016-04-06"/>
    <b v="0"/>
  </r>
  <r>
    <n v="2320127002"/>
    <d v="2016-04-07T00:00:00"/>
    <n v="1846"/>
    <n v="1.2400000095367401"/>
    <n v="1.2400000095367401"/>
    <n v="0"/>
    <n v="0"/>
    <n v="0"/>
    <n v="1.2400000095367401"/>
    <n v="0"/>
    <n v="0"/>
    <n v="0"/>
    <n v="93"/>
    <n v="1347"/>
    <n v="1508"/>
    <x v="6"/>
    <s v="April"/>
    <n v="93"/>
    <n v="1440"/>
    <n v="22.45"/>
    <x v="2"/>
    <s v="Sedentary"/>
    <s v="2320127002|2016-04-07"/>
    <b v="0"/>
  </r>
  <r>
    <n v="2320127002"/>
    <d v="2016-04-08T00:00:00"/>
    <n v="3417"/>
    <n v="2.2999999523162802"/>
    <n v="2.2999999523162802"/>
    <n v="0"/>
    <n v="0"/>
    <n v="0"/>
    <n v="2.2999999523162802"/>
    <n v="0"/>
    <n v="0"/>
    <n v="0"/>
    <n v="153"/>
    <n v="1287"/>
    <n v="1625"/>
    <x v="0"/>
    <s v="April"/>
    <n v="153"/>
    <n v="1440"/>
    <n v="21.45"/>
    <x v="2"/>
    <s v="Sedentary"/>
    <s v="2320127002|2016-04-08"/>
    <b v="0"/>
  </r>
  <r>
    <n v="2320127002"/>
    <d v="2016-04-09T00:00:00"/>
    <n v="4863"/>
    <n v="3.2799999713897701"/>
    <n v="3.2799999713897701"/>
    <n v="0"/>
    <n v="5.9999998658895499E-2"/>
    <n v="0.41999998688697798"/>
    <n v="2.7999999523162802"/>
    <n v="0"/>
    <n v="1"/>
    <n v="11"/>
    <n v="208"/>
    <n v="1220"/>
    <n v="1772"/>
    <x v="1"/>
    <s v="April"/>
    <n v="220"/>
    <n v="1440"/>
    <n v="20.329999999999998"/>
    <x v="2"/>
    <s v="Lightly Active"/>
    <s v="2320127002|2016-04-09"/>
    <b v="0"/>
  </r>
  <r>
    <n v="2320127002"/>
    <d v="2016-04-10T00:00:00"/>
    <n v="2277"/>
    <n v="1.5299999713897701"/>
    <n v="1.5299999713897701"/>
    <n v="0"/>
    <n v="0"/>
    <n v="0"/>
    <n v="1.5299999713897701"/>
    <n v="0"/>
    <n v="0"/>
    <n v="0"/>
    <n v="103"/>
    <n v="1337"/>
    <n v="1530"/>
    <x v="2"/>
    <s v="April"/>
    <n v="103"/>
    <n v="1440"/>
    <n v="22.28"/>
    <x v="2"/>
    <s v="Sedentary"/>
    <s v="2320127002|2016-04-10"/>
    <b v="0"/>
  </r>
  <r>
    <n v="2320127002"/>
    <d v="2016-04-11T00:00:00"/>
    <n v="11230"/>
    <n v="7.6700000762939498"/>
    <n v="7.6700000762939498"/>
    <n v="0"/>
    <n v="0.88999998569488503"/>
    <n v="0.119999997317791"/>
    <n v="6.6599998474121103"/>
    <n v="0"/>
    <n v="10"/>
    <n v="2"/>
    <n v="390"/>
    <n v="1038"/>
    <n v="2206"/>
    <x v="3"/>
    <s v="April"/>
    <n v="402"/>
    <n v="1440"/>
    <n v="17.3"/>
    <x v="0"/>
    <s v="Lightly Active"/>
    <s v="2320127002|2016-04-11"/>
    <b v="0"/>
  </r>
  <r>
    <n v="2320127002"/>
    <d v="2016-04-12T00:00:00"/>
    <n v="2098"/>
    <n v="1.4099999666214"/>
    <n v="1.4099999666214"/>
    <n v="0"/>
    <n v="0"/>
    <n v="0"/>
    <n v="1.4099999666214"/>
    <n v="0"/>
    <n v="0"/>
    <n v="0"/>
    <n v="69"/>
    <n v="617"/>
    <n v="790"/>
    <x v="4"/>
    <s v="April"/>
    <n v="69"/>
    <n v="686"/>
    <n v="10.28"/>
    <x v="2"/>
    <s v="Sedentary"/>
    <s v="2320127002|2016-04-12"/>
    <b v="0"/>
  </r>
  <r>
    <n v="2347167796"/>
    <d v="2016-03-29T00:00:00"/>
    <n v="10272"/>
    <n v="6.78999996185303"/>
    <n v="6.78999996185303"/>
    <n v="0"/>
    <n v="0.15999999642372101"/>
    <n v="3.1199998855590798"/>
    <n v="3.5"/>
    <n v="0"/>
    <n v="2"/>
    <n v="58"/>
    <n v="208"/>
    <n v="700"/>
    <n v="2041"/>
    <x v="4"/>
    <s v="March"/>
    <n v="268"/>
    <n v="968"/>
    <n v="11.67"/>
    <x v="0"/>
    <s v="Lightly Active"/>
    <s v="2347167796|2016-03-29"/>
    <b v="0"/>
  </r>
  <r>
    <n v="2347167796"/>
    <d v="2016-03-30T00:00:00"/>
    <n v="10533"/>
    <n v="7.0999999046325701"/>
    <n v="7.0999999046325701"/>
    <n v="0"/>
    <n v="1.7699999809265099"/>
    <n v="2.0599999427795401"/>
    <n v="3.2699999809265101"/>
    <n v="0"/>
    <n v="21"/>
    <n v="35"/>
    <n v="255"/>
    <n v="615"/>
    <n v="2187"/>
    <x v="5"/>
    <s v="March"/>
    <n v="311"/>
    <n v="926"/>
    <n v="10.25"/>
    <x v="0"/>
    <s v="Moderately Active"/>
    <s v="2347167796|2016-03-30"/>
    <b v="0"/>
  </r>
  <r>
    <n v="2347167796"/>
    <d v="2016-03-31T00:00:00"/>
    <n v="6760"/>
    <n v="4.4699997901916504"/>
    <n v="4.4699997901916504"/>
    <n v="0"/>
    <n v="0"/>
    <n v="0"/>
    <n v="4.4699997901916504"/>
    <n v="0"/>
    <n v="0"/>
    <n v="0"/>
    <n v="250"/>
    <n v="613"/>
    <n v="1929"/>
    <x v="6"/>
    <s v="March"/>
    <n v="250"/>
    <n v="863"/>
    <n v="10.220000000000001"/>
    <x v="4"/>
    <s v="Sedentary"/>
    <s v="2347167796|2016-03-31"/>
    <b v="0"/>
  </r>
  <r>
    <n v="2347167796"/>
    <d v="2016-04-01T00:00:00"/>
    <n v="8328"/>
    <n v="5.5100002288818404"/>
    <n v="5.5100002288818404"/>
    <n v="0"/>
    <n v="0"/>
    <n v="2"/>
    <n v="3.5"/>
    <n v="0"/>
    <n v="0"/>
    <n v="33"/>
    <n v="212"/>
    <n v="804"/>
    <n v="1935"/>
    <x v="0"/>
    <s v="April"/>
    <n v="245"/>
    <n v="1049"/>
    <n v="13.4"/>
    <x v="3"/>
    <s v="Sedentary"/>
    <s v="2347167796|2016-04-01"/>
    <b v="0"/>
  </r>
  <r>
    <n v="2347167796"/>
    <d v="2016-04-02T00:00:00"/>
    <n v="15459"/>
    <n v="10.2200002670288"/>
    <n v="10.2200002670288"/>
    <n v="0"/>
    <n v="3.5899999141693102"/>
    <n v="0.81000000238418601"/>
    <n v="5.8200001716613796"/>
    <n v="0"/>
    <n v="51"/>
    <n v="16"/>
    <n v="327"/>
    <n v="583"/>
    <n v="2438"/>
    <x v="1"/>
    <s v="April"/>
    <n v="394"/>
    <n v="977"/>
    <n v="9.7200000000000006"/>
    <x v="1"/>
    <s v="Very Active"/>
    <s v="2347167796|2016-04-02"/>
    <b v="0"/>
  </r>
  <r>
    <n v="2347167796"/>
    <d v="2016-04-03T00:00:00"/>
    <n v="7485"/>
    <n v="4.9499998092651403"/>
    <n v="4.9499998092651403"/>
    <n v="0"/>
    <n v="0"/>
    <n v="0"/>
    <n v="4.9499998092651403"/>
    <n v="0"/>
    <n v="0"/>
    <n v="0"/>
    <n v="324"/>
    <n v="491"/>
    <n v="2035"/>
    <x v="2"/>
    <s v="April"/>
    <n v="324"/>
    <n v="815"/>
    <n v="8.18"/>
    <x v="4"/>
    <s v="Sedentary"/>
    <s v="2347167796|2016-04-03"/>
    <b v="0"/>
  </r>
  <r>
    <n v="2347167796"/>
    <d v="2016-04-04T00:00:00"/>
    <n v="10254"/>
    <n v="6.8000001907348597"/>
    <n v="6.8000001907348597"/>
    <n v="0"/>
    <n v="1.41999995708466"/>
    <n v="1.2300000190734901"/>
    <n v="4.1599998474121103"/>
    <n v="0"/>
    <n v="21"/>
    <n v="25"/>
    <n v="231"/>
    <n v="638"/>
    <n v="2099"/>
    <x v="3"/>
    <s v="April"/>
    <n v="277"/>
    <n v="915"/>
    <n v="10.63"/>
    <x v="0"/>
    <s v="Moderately Active"/>
    <s v="2347167796|2016-04-04"/>
    <b v="0"/>
  </r>
  <r>
    <n v="2347167796"/>
    <d v="2016-04-05T00:00:00"/>
    <n v="10114"/>
    <n v="6.8200001716613796"/>
    <n v="6.8200001716613796"/>
    <n v="0"/>
    <n v="1.6399999856948899"/>
    <n v="0.479999989271164"/>
    <n v="4.6799998283386204"/>
    <n v="0"/>
    <n v="18"/>
    <n v="9"/>
    <n v="269"/>
    <n v="696"/>
    <n v="2096"/>
    <x v="4"/>
    <s v="April"/>
    <n v="296"/>
    <n v="992"/>
    <n v="11.6"/>
    <x v="0"/>
    <s v="Moderately Active"/>
    <s v="2347167796|2016-04-05"/>
    <b v="0"/>
  </r>
  <r>
    <n v="2347167796"/>
    <d v="2016-04-06T00:00:00"/>
    <n v="11107"/>
    <n v="7.3400001525878897"/>
    <n v="7.3400001525878897"/>
    <n v="0"/>
    <n v="0.89999997615814198"/>
    <n v="2.7599999904632599"/>
    <n v="3.6800000667571999"/>
    <n v="0"/>
    <n v="14"/>
    <n v="46"/>
    <n v="196"/>
    <n v="759"/>
    <n v="2058"/>
    <x v="5"/>
    <s v="April"/>
    <n v="256"/>
    <n v="1015"/>
    <n v="12.65"/>
    <x v="0"/>
    <s v="Lightly Active"/>
    <s v="2347167796|2016-04-06"/>
    <b v="0"/>
  </r>
  <r>
    <n v="2347167796"/>
    <d v="2016-04-07T00:00:00"/>
    <n v="10320"/>
    <n v="6.8499999046325701"/>
    <n v="6.8499999046325701"/>
    <n v="0"/>
    <n v="0.68000000715255704"/>
    <n v="1.2300000190734901"/>
    <n v="4.9400000572204599"/>
    <n v="0"/>
    <n v="15"/>
    <n v="32"/>
    <n v="315"/>
    <n v="1002"/>
    <n v="2338"/>
    <x v="6"/>
    <s v="April"/>
    <n v="362"/>
    <n v="1364"/>
    <n v="16.7"/>
    <x v="0"/>
    <s v="Moderately Active"/>
    <s v="2347167796|2016-04-07"/>
    <b v="0"/>
  </r>
  <r>
    <n v="2347167796"/>
    <d v="2016-04-08T00:00:00"/>
    <n v="10209"/>
    <n v="6.75"/>
    <n v="6.75"/>
    <n v="0"/>
    <n v="0.15999999642372101"/>
    <n v="0.34999999403953602"/>
    <n v="6.2300000190734899"/>
    <n v="0"/>
    <n v="2"/>
    <n v="6"/>
    <n v="316"/>
    <n v="711"/>
    <n v="2104"/>
    <x v="0"/>
    <s v="April"/>
    <n v="324"/>
    <n v="1035"/>
    <n v="11.85"/>
    <x v="0"/>
    <s v="Lightly Active"/>
    <s v="2347167796|2016-04-08"/>
    <b v="0"/>
  </r>
  <r>
    <n v="2347167796"/>
    <d v="2016-04-09T00:00:00"/>
    <n v="16081"/>
    <n v="10.6300001144409"/>
    <n v="10.6300001144409"/>
    <n v="0"/>
    <n v="1.25"/>
    <n v="1.8200000524520901"/>
    <n v="7.5599999427795401"/>
    <n v="0"/>
    <n v="16"/>
    <n v="32"/>
    <n v="401"/>
    <n v="970"/>
    <n v="2488"/>
    <x v="1"/>
    <s v="April"/>
    <n v="449"/>
    <n v="1419"/>
    <n v="16.170000000000002"/>
    <x v="1"/>
    <s v="Moderately Active"/>
    <s v="2347167796|2016-04-09"/>
    <b v="0"/>
  </r>
  <r>
    <n v="2347167796"/>
    <d v="2016-04-10T00:00:00"/>
    <n v="10078"/>
    <n v="6.8299999237060502"/>
    <n v="6.8299999237060502"/>
    <n v="0"/>
    <n v="1.0199999809265099"/>
    <n v="0.119999997317791"/>
    <n v="5.6900000572204599"/>
    <n v="0"/>
    <n v="12"/>
    <n v="3"/>
    <n v="303"/>
    <n v="463"/>
    <n v="2164"/>
    <x v="2"/>
    <s v="April"/>
    <n v="318"/>
    <n v="781"/>
    <n v="7.72"/>
    <x v="0"/>
    <s v="Lightly Active"/>
    <s v="2347167796|2016-04-10"/>
    <b v="0"/>
  </r>
  <r>
    <n v="2347167796"/>
    <d v="2016-04-11T00:00:00"/>
    <n v="10001"/>
    <n v="6.6100001335143999"/>
    <n v="6.6100001335143999"/>
    <n v="0"/>
    <n v="0.33000001311302202"/>
    <n v="2.9300000667571999"/>
    <n v="3.3599998950958301"/>
    <n v="0"/>
    <n v="5"/>
    <n v="52"/>
    <n v="196"/>
    <n v="788"/>
    <n v="2009"/>
    <x v="3"/>
    <s v="April"/>
    <n v="253"/>
    <n v="1041"/>
    <n v="13.13"/>
    <x v="0"/>
    <s v="Lightly Active"/>
    <s v="2347167796|2016-04-11"/>
    <b v="0"/>
  </r>
  <r>
    <n v="2347167796"/>
    <d v="2016-04-12T00:00:00"/>
    <n v="0"/>
    <n v="0"/>
    <n v="0"/>
    <n v="0"/>
    <n v="0"/>
    <n v="0"/>
    <n v="0"/>
    <n v="0"/>
    <n v="0"/>
    <n v="0"/>
    <n v="0"/>
    <n v="425"/>
    <n v="399"/>
    <x v="4"/>
    <s v="April"/>
    <n v="0"/>
    <n v="425"/>
    <n v="7.08"/>
    <x v="2"/>
    <s v="Sedentary"/>
    <s v="2347167796|2016-04-12"/>
    <b v="0"/>
  </r>
  <r>
    <n v="2873212765"/>
    <d v="2016-04-01T00:00:00"/>
    <n v="890"/>
    <n v="0.60000002384185802"/>
    <n v="0.60000002384185802"/>
    <n v="0"/>
    <n v="0"/>
    <n v="0"/>
    <n v="0.60000002384185802"/>
    <n v="0"/>
    <n v="0"/>
    <n v="0"/>
    <n v="41"/>
    <n v="1399"/>
    <n v="1335"/>
    <x v="0"/>
    <s v="April"/>
    <n v="41"/>
    <n v="1440"/>
    <n v="23.32"/>
    <x v="2"/>
    <s v="Sedentary"/>
    <s v="2873212765|2016-04-01"/>
    <b v="0"/>
  </r>
  <r>
    <n v="2873212765"/>
    <d v="2016-04-02T00:00:00"/>
    <n v="2214"/>
    <n v="1.4900000095367401"/>
    <n v="1.4900000095367401"/>
    <n v="0"/>
    <n v="0"/>
    <n v="0"/>
    <n v="1.4900000095367401"/>
    <n v="0"/>
    <n v="0"/>
    <n v="0"/>
    <n v="197"/>
    <n v="1243"/>
    <n v="1559"/>
    <x v="1"/>
    <s v="April"/>
    <n v="197"/>
    <n v="1440"/>
    <n v="20.72"/>
    <x v="2"/>
    <s v="Sedentary"/>
    <s v="2873212765|2016-04-02"/>
    <b v="0"/>
  </r>
  <r>
    <n v="2873212765"/>
    <d v="2016-04-03T00:00:00"/>
    <n v="7640"/>
    <n v="5.1300001144409197"/>
    <n v="5.1300001144409197"/>
    <n v="0"/>
    <n v="0.18999999761581399"/>
    <n v="0.80000001192092896"/>
    <n v="4.1500000953674299"/>
    <n v="0"/>
    <n v="3"/>
    <n v="15"/>
    <n v="315"/>
    <n v="1107"/>
    <n v="1845"/>
    <x v="2"/>
    <s v="April"/>
    <n v="333"/>
    <n v="1440"/>
    <n v="18.45"/>
    <x v="3"/>
    <s v="Lightly Active"/>
    <s v="2873212765|2016-04-03"/>
    <b v="0"/>
  </r>
  <r>
    <n v="2873212765"/>
    <d v="2016-04-04T00:00:00"/>
    <n v="9713"/>
    <n v="6.5300002098083496"/>
    <n v="6.5300002098083496"/>
    <n v="0"/>
    <n v="0.34000000357627902"/>
    <n v="0.88999998569488503"/>
    <n v="5.28999996185303"/>
    <n v="0"/>
    <n v="6"/>
    <n v="24"/>
    <n v="355"/>
    <n v="1055"/>
    <n v="2046"/>
    <x v="3"/>
    <s v="April"/>
    <n v="385"/>
    <n v="1440"/>
    <n v="17.579999999999998"/>
    <x v="3"/>
    <s v="Lightly Active"/>
    <s v="2873212765|2016-04-04"/>
    <b v="0"/>
  </r>
  <r>
    <n v="2873212765"/>
    <d v="2016-04-05T00:00:00"/>
    <n v="8432"/>
    <n v="5.6700000762939498"/>
    <n v="5.6700000762939498"/>
    <n v="0"/>
    <n v="0"/>
    <n v="0"/>
    <n v="5.6500000953674299"/>
    <n v="9.9999997764825804E-3"/>
    <n v="0"/>
    <n v="0"/>
    <n v="374"/>
    <n v="1066"/>
    <n v="1953"/>
    <x v="4"/>
    <s v="April"/>
    <n v="374"/>
    <n v="1440"/>
    <n v="17.77"/>
    <x v="3"/>
    <s v="Sedentary"/>
    <s v="2873212765|2016-04-05"/>
    <b v="0"/>
  </r>
  <r>
    <n v="2873212765"/>
    <d v="2016-04-06T00:00:00"/>
    <n v="7350"/>
    <n v="4.9400000572204599"/>
    <n v="4.9400000572204599"/>
    <n v="0"/>
    <n v="0"/>
    <n v="0"/>
    <n v="4.9400000572204599"/>
    <n v="0"/>
    <n v="0"/>
    <n v="0"/>
    <n v="382"/>
    <n v="1058"/>
    <n v="1910"/>
    <x v="5"/>
    <s v="April"/>
    <n v="382"/>
    <n v="1440"/>
    <n v="17.63"/>
    <x v="4"/>
    <s v="Sedentary"/>
    <s v="2873212765|2016-04-06"/>
    <b v="0"/>
  </r>
  <r>
    <n v="2873212765"/>
    <d v="2016-04-07T00:00:00"/>
    <n v="9353"/>
    <n v="6.3099999427795401"/>
    <n v="6.3099999427795401"/>
    <n v="0"/>
    <n v="0.37000000476837203"/>
    <n v="0.68999999761581399"/>
    <n v="5.2399997711181596"/>
    <n v="0"/>
    <n v="5"/>
    <n v="17"/>
    <n v="363"/>
    <n v="1055"/>
    <n v="2035"/>
    <x v="6"/>
    <s v="April"/>
    <n v="385"/>
    <n v="1440"/>
    <n v="17.579999999999998"/>
    <x v="3"/>
    <s v="Lightly Active"/>
    <s v="2873212765|2016-04-07"/>
    <b v="0"/>
  </r>
  <r>
    <n v="2873212765"/>
    <d v="2016-04-08T00:00:00"/>
    <n v="7157"/>
    <n v="4.8099999427795401"/>
    <n v="4.8099999427795401"/>
    <n v="0"/>
    <n v="0"/>
    <n v="0"/>
    <n v="4.8099999427795401"/>
    <n v="0"/>
    <n v="0"/>
    <n v="0"/>
    <n v="380"/>
    <n v="1060"/>
    <n v="1944"/>
    <x v="0"/>
    <s v="April"/>
    <n v="380"/>
    <n v="1440"/>
    <n v="17.670000000000002"/>
    <x v="4"/>
    <s v="Sedentary"/>
    <s v="2873212765|2016-04-08"/>
    <b v="0"/>
  </r>
  <r>
    <n v="2873212765"/>
    <d v="2016-04-09T00:00:00"/>
    <n v="14103"/>
    <n v="9.5600004196166992"/>
    <n v="9.5600004196166992"/>
    <n v="0"/>
    <n v="3.0199999809265101"/>
    <n v="0.40999999642372098"/>
    <n v="6.1399998664856001"/>
    <n v="9.9999997764825804E-3"/>
    <n v="46"/>
    <n v="8"/>
    <n v="288"/>
    <n v="1098"/>
    <n v="2257"/>
    <x v="1"/>
    <s v="April"/>
    <n v="342"/>
    <n v="1440"/>
    <n v="18.3"/>
    <x v="1"/>
    <s v="Very Active"/>
    <s v="2873212765|2016-04-09"/>
    <b v="0"/>
  </r>
  <r>
    <n v="2873212765"/>
    <d v="2016-04-10T00:00:00"/>
    <n v="5290"/>
    <n v="3.5499999523162802"/>
    <n v="3.5499999523162802"/>
    <n v="0"/>
    <n v="3.9999999105930301E-2"/>
    <n v="0.34000000357627902"/>
    <n v="3.1700000762939502"/>
    <n v="0"/>
    <n v="1"/>
    <n v="8"/>
    <n v="251"/>
    <n v="1180"/>
    <n v="1724"/>
    <x v="2"/>
    <s v="April"/>
    <n v="260"/>
    <n v="1440"/>
    <n v="19.670000000000002"/>
    <x v="4"/>
    <s v="Lightly Active"/>
    <s v="2873212765|2016-04-10"/>
    <b v="0"/>
  </r>
  <r>
    <n v="2873212765"/>
    <d v="2016-04-11T00:00:00"/>
    <n v="7497"/>
    <n v="5.03999996185303"/>
    <n v="5.03999996185303"/>
    <n v="0"/>
    <n v="0"/>
    <n v="0"/>
    <n v="5.03999996185303"/>
    <n v="0"/>
    <n v="0"/>
    <n v="0"/>
    <n v="357"/>
    <n v="882"/>
    <n v="1741"/>
    <x v="3"/>
    <s v="April"/>
    <n v="357"/>
    <n v="1239"/>
    <n v="14.7"/>
    <x v="4"/>
    <s v="Sedentary"/>
    <s v="2873212765|2016-04-11"/>
    <b v="0"/>
  </r>
  <r>
    <n v="2873212765"/>
    <d v="2016-04-12T00:00:00"/>
    <n v="0"/>
    <n v="0"/>
    <n v="0"/>
    <n v="0"/>
    <n v="0"/>
    <n v="0"/>
    <n v="0"/>
    <n v="0"/>
    <n v="0"/>
    <n v="0"/>
    <n v="0"/>
    <n v="1440"/>
    <n v="0"/>
    <x v="4"/>
    <s v="April"/>
    <n v="0"/>
    <n v="1440"/>
    <n v="24"/>
    <x v="2"/>
    <s v="Sedentary"/>
    <s v="2873212765|2016-04-12"/>
    <b v="0"/>
  </r>
  <r>
    <n v="2891001357"/>
    <d v="2016-03-29T00:00:00"/>
    <n v="0"/>
    <n v="0"/>
    <n v="0"/>
    <n v="0"/>
    <n v="0"/>
    <n v="0"/>
    <n v="0"/>
    <n v="0"/>
    <n v="0"/>
    <n v="0"/>
    <n v="0"/>
    <n v="1440"/>
    <n v="1920"/>
    <x v="4"/>
    <s v="March"/>
    <n v="0"/>
    <n v="1440"/>
    <n v="24"/>
    <x v="2"/>
    <s v="Sedentary"/>
    <s v="2891001357|2016-03-29"/>
    <b v="0"/>
  </r>
  <r>
    <n v="2891001357"/>
    <d v="2016-03-30T00:00:00"/>
    <n v="0"/>
    <n v="0"/>
    <n v="0"/>
    <n v="0"/>
    <n v="0"/>
    <n v="0"/>
    <n v="0"/>
    <n v="0"/>
    <n v="0"/>
    <n v="0"/>
    <n v="0"/>
    <n v="1440"/>
    <n v="1920"/>
    <x v="5"/>
    <s v="March"/>
    <n v="0"/>
    <n v="1440"/>
    <n v="24"/>
    <x v="2"/>
    <s v="Sedentary"/>
    <s v="2891001357|2016-03-30"/>
    <b v="0"/>
  </r>
  <r>
    <n v="2891001357"/>
    <d v="2016-03-31T00:00:00"/>
    <n v="0"/>
    <n v="0"/>
    <n v="0"/>
    <n v="0"/>
    <n v="0"/>
    <n v="0"/>
    <n v="0"/>
    <n v="0"/>
    <n v="0"/>
    <n v="0"/>
    <n v="0"/>
    <n v="1440"/>
    <n v="1920"/>
    <x v="6"/>
    <s v="March"/>
    <n v="0"/>
    <n v="1440"/>
    <n v="24"/>
    <x v="2"/>
    <s v="Sedentary"/>
    <s v="2891001357|2016-03-31"/>
    <b v="0"/>
  </r>
  <r>
    <n v="2891001357"/>
    <d v="2016-04-01T00:00:00"/>
    <n v="0"/>
    <n v="0"/>
    <n v="0"/>
    <n v="4.8280320167541504"/>
    <n v="0"/>
    <n v="0"/>
    <n v="0"/>
    <n v="0"/>
    <n v="0"/>
    <n v="660"/>
    <n v="0"/>
    <n v="780"/>
    <n v="4562"/>
    <x v="0"/>
    <s v="April"/>
    <n v="660"/>
    <n v="1440"/>
    <n v="13"/>
    <x v="2"/>
    <s v="Sedentary"/>
    <s v="2891001357|2016-04-01"/>
    <b v="0"/>
  </r>
  <r>
    <n v="2891001357"/>
    <d v="2016-04-02T00:00:00"/>
    <n v="4126"/>
    <n v="3.2200000286102299"/>
    <n v="0"/>
    <n v="3.21868801116943"/>
    <n v="0"/>
    <n v="0"/>
    <n v="3.2200000286102299"/>
    <n v="0"/>
    <n v="0"/>
    <n v="0"/>
    <n v="720"/>
    <n v="720"/>
    <n v="2881"/>
    <x v="1"/>
    <s v="April"/>
    <n v="720"/>
    <n v="1440"/>
    <n v="12"/>
    <x v="2"/>
    <s v="Sedentary"/>
    <s v="2891001357|2016-04-02"/>
    <b v="0"/>
  </r>
  <r>
    <n v="2891001357"/>
    <d v="2016-04-03T00:00:00"/>
    <n v="0"/>
    <n v="0"/>
    <n v="0"/>
    <n v="0"/>
    <n v="0"/>
    <n v="0"/>
    <n v="0"/>
    <n v="0"/>
    <n v="0"/>
    <n v="0"/>
    <n v="0"/>
    <n v="1440"/>
    <n v="1920"/>
    <x v="2"/>
    <s v="April"/>
    <n v="0"/>
    <n v="1440"/>
    <n v="24"/>
    <x v="2"/>
    <s v="Sedentary"/>
    <s v="2891001357|2016-04-03"/>
    <b v="0"/>
  </r>
  <r>
    <n v="2891001357"/>
    <d v="2016-04-04T00:00:00"/>
    <n v="0"/>
    <n v="0"/>
    <n v="0"/>
    <n v="0"/>
    <n v="0"/>
    <n v="0"/>
    <n v="0"/>
    <n v="0"/>
    <n v="0"/>
    <n v="0"/>
    <n v="0"/>
    <n v="1440"/>
    <n v="1920"/>
    <x v="3"/>
    <s v="April"/>
    <n v="0"/>
    <n v="1440"/>
    <n v="24"/>
    <x v="2"/>
    <s v="Sedentary"/>
    <s v="2891001357|2016-04-04"/>
    <b v="0"/>
  </r>
  <r>
    <n v="2891001357"/>
    <d v="2016-04-05T00:00:00"/>
    <n v="2063"/>
    <n v="1.6100000143051101"/>
    <n v="0"/>
    <n v="1.6093440055847199"/>
    <n v="0"/>
    <n v="0"/>
    <n v="1.6100000143051101"/>
    <n v="0"/>
    <n v="0"/>
    <n v="0"/>
    <n v="630"/>
    <n v="99"/>
    <n v="1144"/>
    <x v="4"/>
    <s v="April"/>
    <n v="630"/>
    <n v="729"/>
    <n v="1.65"/>
    <x v="2"/>
    <s v="Sedentary"/>
    <s v="2891001357|2016-04-05"/>
    <b v="0"/>
  </r>
  <r>
    <n v="3372868164"/>
    <d v="2016-04-01T00:00:00"/>
    <n v="5785"/>
    <n v="3.9500000476837198"/>
    <n v="3.9500000476837198"/>
    <n v="0"/>
    <n v="0"/>
    <n v="0"/>
    <n v="3.9100000858306898"/>
    <n v="3.9999999105930301E-2"/>
    <n v="0"/>
    <n v="0"/>
    <n v="311"/>
    <n v="1129"/>
    <n v="1852"/>
    <x v="0"/>
    <s v="April"/>
    <n v="311"/>
    <n v="1440"/>
    <n v="18.82"/>
    <x v="4"/>
    <s v="Sedentary"/>
    <s v="3372868164|2016-04-01"/>
    <b v="0"/>
  </r>
  <r>
    <n v="3372868164"/>
    <d v="2016-04-02T00:00:00"/>
    <n v="7625"/>
    <n v="5.2300000190734899"/>
    <n v="5.2300000190734899"/>
    <n v="0"/>
    <n v="1.6799999475479099"/>
    <n v="3.9999999105930301E-2"/>
    <n v="3.5"/>
    <n v="9.9999997764825804E-3"/>
    <n v="24"/>
    <n v="1"/>
    <n v="341"/>
    <n v="1074"/>
    <n v="2069"/>
    <x v="1"/>
    <s v="April"/>
    <n v="366"/>
    <n v="1440"/>
    <n v="17.899999999999999"/>
    <x v="3"/>
    <s v="Moderately Active"/>
    <s v="3372868164|2016-04-02"/>
    <b v="0"/>
  </r>
  <r>
    <n v="3372868164"/>
    <d v="2016-04-03T00:00:00"/>
    <n v="4706"/>
    <n v="3.21000003814697"/>
    <n v="3.21000003814697"/>
    <n v="0"/>
    <n v="0"/>
    <n v="0"/>
    <n v="3.21000003814697"/>
    <n v="0"/>
    <n v="0"/>
    <n v="0"/>
    <n v="299"/>
    <n v="1141"/>
    <n v="1816"/>
    <x v="2"/>
    <s v="April"/>
    <n v="299"/>
    <n v="1440"/>
    <n v="19.02"/>
    <x v="2"/>
    <s v="Sedentary"/>
    <s v="3372868164|2016-04-03"/>
    <b v="0"/>
  </r>
  <r>
    <n v="3372868164"/>
    <d v="2016-04-04T00:00:00"/>
    <n v="5861"/>
    <n v="4.0199999809265101"/>
    <n v="4.0199999809265101"/>
    <n v="0"/>
    <n v="1.29999995231628"/>
    <n v="0.21999999880790699"/>
    <n v="2.4900000095367401"/>
    <n v="9.9999997764825804E-3"/>
    <n v="20"/>
    <n v="7"/>
    <n v="233"/>
    <n v="1180"/>
    <n v="1878"/>
    <x v="3"/>
    <s v="April"/>
    <n v="260"/>
    <n v="1440"/>
    <n v="19.670000000000002"/>
    <x v="4"/>
    <s v="Moderately Active"/>
    <s v="3372868164|2016-04-04"/>
    <b v="0"/>
  </r>
  <r>
    <n v="3372868164"/>
    <d v="2016-04-05T00:00:00"/>
    <n v="4460"/>
    <n v="3.03999996185303"/>
    <n v="3.03999996185303"/>
    <n v="0"/>
    <n v="0"/>
    <n v="0"/>
    <n v="3.0199999809265101"/>
    <n v="2.9999999329447701E-2"/>
    <n v="0"/>
    <n v="0"/>
    <n v="248"/>
    <n v="1192"/>
    <n v="1787"/>
    <x v="4"/>
    <s v="April"/>
    <n v="248"/>
    <n v="1440"/>
    <n v="19.87"/>
    <x v="2"/>
    <s v="Sedentary"/>
    <s v="3372868164|2016-04-05"/>
    <b v="0"/>
  </r>
  <r>
    <n v="3372868164"/>
    <d v="2016-04-06T00:00:00"/>
    <n v="6406"/>
    <n v="4.3899998664856001"/>
    <n v="4.3899998664856001"/>
    <n v="0"/>
    <n v="0.77999997138977095"/>
    <n v="9.00000035762787E-2"/>
    <n v="3.5199999809265101"/>
    <n v="9.9999997764825804E-3"/>
    <n v="17"/>
    <n v="4"/>
    <n v="325"/>
    <n v="1094"/>
    <n v="2010"/>
    <x v="5"/>
    <s v="April"/>
    <n v="346"/>
    <n v="1440"/>
    <n v="18.23"/>
    <x v="4"/>
    <s v="Moderately Active"/>
    <s v="3372868164|2016-04-06"/>
    <b v="0"/>
  </r>
  <r>
    <n v="3372868164"/>
    <d v="2016-04-07T00:00:00"/>
    <n v="7392"/>
    <n v="5.0999999046325701"/>
    <n v="5.0999999046325701"/>
    <n v="0"/>
    <n v="0.87000000476837203"/>
    <n v="0.15999999642372101"/>
    <n v="4.0500001907348597"/>
    <n v="1.9999999552965199E-2"/>
    <n v="14"/>
    <n v="9"/>
    <n v="332"/>
    <n v="1085"/>
    <n v="2038"/>
    <x v="6"/>
    <s v="April"/>
    <n v="355"/>
    <n v="1440"/>
    <n v="18.079999999999998"/>
    <x v="4"/>
    <s v="Lightly Active"/>
    <s v="3372868164|2016-04-07"/>
    <b v="0"/>
  </r>
  <r>
    <n v="3372868164"/>
    <d v="2016-04-08T00:00:00"/>
    <n v="5551"/>
    <n v="3.78999996185303"/>
    <n v="3.78999996185303"/>
    <n v="0"/>
    <n v="0"/>
    <n v="0"/>
    <n v="3.7699999809265101"/>
    <n v="9.9999997764825804E-3"/>
    <n v="0"/>
    <n v="0"/>
    <n v="282"/>
    <n v="1158"/>
    <n v="1815"/>
    <x v="0"/>
    <s v="April"/>
    <n v="282"/>
    <n v="1440"/>
    <n v="19.3"/>
    <x v="4"/>
    <s v="Sedentary"/>
    <s v="3372868164|2016-04-08"/>
    <b v="0"/>
  </r>
  <r>
    <n v="3372868164"/>
    <d v="2016-04-09T00:00:00"/>
    <n v="8827"/>
    <n v="6.25"/>
    <n v="6.25"/>
    <n v="0"/>
    <n v="1.7699999809265099"/>
    <n v="0.479999989271164"/>
    <n v="4"/>
    <n v="9.9999997764825804E-3"/>
    <n v="21"/>
    <n v="10"/>
    <n v="346"/>
    <n v="1063"/>
    <n v="2062"/>
    <x v="1"/>
    <s v="April"/>
    <n v="377"/>
    <n v="1440"/>
    <n v="17.72"/>
    <x v="3"/>
    <s v="Moderately Active"/>
    <s v="3372868164|2016-04-09"/>
    <b v="0"/>
  </r>
  <r>
    <n v="3372868164"/>
    <d v="2016-04-10T00:00:00"/>
    <n v="4662"/>
    <n v="3.1800000667571999"/>
    <n v="3.1800000667571999"/>
    <n v="0"/>
    <n v="1.03999996185303"/>
    <n v="0.15000000596046401"/>
    <n v="1.9900000095367401"/>
    <n v="0"/>
    <n v="22"/>
    <n v="4"/>
    <n v="152"/>
    <n v="735"/>
    <n v="1276"/>
    <x v="2"/>
    <s v="April"/>
    <n v="178"/>
    <n v="913"/>
    <n v="12.25"/>
    <x v="2"/>
    <s v="Moderately Active"/>
    <s v="3372868164|2016-04-10"/>
    <b v="0"/>
  </r>
  <r>
    <n v="3977333714"/>
    <d v="2016-04-01T00:00:00"/>
    <n v="4499"/>
    <n v="3.0099999904632599"/>
    <n v="3.0099999904632599"/>
    <n v="0"/>
    <n v="0"/>
    <n v="0"/>
    <n v="3.0099999904632599"/>
    <n v="0"/>
    <n v="0"/>
    <n v="0"/>
    <n v="168"/>
    <n v="842"/>
    <n v="1288"/>
    <x v="0"/>
    <s v="April"/>
    <n v="168"/>
    <n v="1010"/>
    <n v="14.03"/>
    <x v="2"/>
    <s v="Sedentary"/>
    <s v="3977333714|2016-04-01"/>
    <b v="0"/>
  </r>
  <r>
    <n v="3977333714"/>
    <d v="2016-04-02T00:00:00"/>
    <n v="7618"/>
    <n v="5.0999999046325701"/>
    <n v="5.0999999046325701"/>
    <n v="0"/>
    <n v="0"/>
    <n v="0.18000000715255701"/>
    <n v="4.9099998474121103"/>
    <n v="0"/>
    <n v="0"/>
    <n v="6"/>
    <n v="302"/>
    <n v="842"/>
    <n v="1490"/>
    <x v="1"/>
    <s v="April"/>
    <n v="308"/>
    <n v="1150"/>
    <n v="14.03"/>
    <x v="3"/>
    <s v="Sedentary"/>
    <s v="3977333714|2016-04-02"/>
    <b v="0"/>
  </r>
  <r>
    <n v="3977333714"/>
    <d v="2016-04-03T00:00:00"/>
    <n v="11508"/>
    <n v="7.6999998092651403"/>
    <n v="7.6999998092651403"/>
    <n v="0"/>
    <n v="2.1700000762939502"/>
    <n v="0.83999997377395597"/>
    <n v="4.6900000572204599"/>
    <n v="0"/>
    <n v="29"/>
    <n v="22"/>
    <n v="282"/>
    <n v="748"/>
    <n v="1630"/>
    <x v="2"/>
    <s v="April"/>
    <n v="333"/>
    <n v="1081"/>
    <n v="12.47"/>
    <x v="0"/>
    <s v="Moderately Active"/>
    <s v="3977333714|2016-04-03"/>
    <b v="0"/>
  </r>
  <r>
    <n v="3977333714"/>
    <d v="2016-04-04T00:00:00"/>
    <n v="11943"/>
    <n v="7.9899997711181596"/>
    <n v="7.9899997711181596"/>
    <n v="0"/>
    <n v="1.0299999713897701"/>
    <n v="2.0099999904632599"/>
    <n v="4.9499998092651403"/>
    <n v="0"/>
    <n v="16"/>
    <n v="43"/>
    <n v="297"/>
    <n v="710"/>
    <n v="1648"/>
    <x v="3"/>
    <s v="April"/>
    <n v="356"/>
    <n v="1066"/>
    <n v="11.83"/>
    <x v="0"/>
    <s v="Moderately Active"/>
    <s v="3977333714|2016-04-04"/>
    <b v="0"/>
  </r>
  <r>
    <n v="3977333714"/>
    <d v="2016-04-05T00:00:00"/>
    <n v="12303"/>
    <n v="8.2299995422363299"/>
    <n v="8.2299995422363299"/>
    <n v="0"/>
    <n v="1.71000003814697"/>
    <n v="1.3500000238418599"/>
    <n v="5.1700000762939498"/>
    <n v="0"/>
    <n v="26"/>
    <n v="32"/>
    <n v="291"/>
    <n v="605"/>
    <n v="1649"/>
    <x v="4"/>
    <s v="April"/>
    <n v="349"/>
    <n v="954"/>
    <n v="10.08"/>
    <x v="0"/>
    <s v="Moderately Active"/>
    <s v="3977333714|2016-04-05"/>
    <b v="0"/>
  </r>
  <r>
    <n v="3977333714"/>
    <d v="2016-04-06T00:00:00"/>
    <n v="15425"/>
    <n v="10.319999694824199"/>
    <n v="10.319999694824199"/>
    <n v="0"/>
    <n v="1.62000000476837"/>
    <n v="1.8200000524520901"/>
    <n v="6.8699998855590803"/>
    <n v="0"/>
    <n v="24"/>
    <n v="45"/>
    <n v="331"/>
    <n v="614"/>
    <n v="1783"/>
    <x v="5"/>
    <s v="April"/>
    <n v="400"/>
    <n v="1014"/>
    <n v="10.23"/>
    <x v="1"/>
    <s v="Moderately Active"/>
    <s v="3977333714|2016-04-06"/>
    <b v="0"/>
  </r>
  <r>
    <n v="3977333714"/>
    <d v="2016-04-07T00:00:00"/>
    <n v="8422"/>
    <n v="5.6300001144409197"/>
    <n v="5.6300001144409197"/>
    <n v="0"/>
    <n v="0"/>
    <n v="3.5999999046325701"/>
    <n v="2.03999996185303"/>
    <n v="0"/>
    <n v="0"/>
    <n v="81"/>
    <n v="139"/>
    <n v="815"/>
    <n v="1431"/>
    <x v="6"/>
    <s v="April"/>
    <n v="220"/>
    <n v="1035"/>
    <n v="13.58"/>
    <x v="3"/>
    <s v="Sedentary"/>
    <s v="3977333714|2016-04-07"/>
    <b v="0"/>
  </r>
  <r>
    <n v="3977333714"/>
    <d v="2016-04-08T00:00:00"/>
    <n v="10226"/>
    <n v="6.8400001525878897"/>
    <n v="6.8400001525878897"/>
    <n v="0"/>
    <n v="0"/>
    <n v="4.4400000572204599"/>
    <n v="2.4000000953674299"/>
    <n v="0"/>
    <n v="0"/>
    <n v="101"/>
    <n v="174"/>
    <n v="685"/>
    <n v="1524"/>
    <x v="0"/>
    <s v="April"/>
    <n v="275"/>
    <n v="960"/>
    <n v="11.42"/>
    <x v="0"/>
    <s v="Sedentary"/>
    <s v="3977333714|2016-04-08"/>
    <b v="0"/>
  </r>
  <r>
    <n v="3977333714"/>
    <d v="2016-04-09T00:00:00"/>
    <n v="14583"/>
    <n v="9.7600002288818395"/>
    <n v="9.7600002288818395"/>
    <n v="0"/>
    <n v="2.4800000190734899"/>
    <n v="1.7400000095367401"/>
    <n v="5.5300002098083496"/>
    <n v="0"/>
    <n v="35"/>
    <n v="36"/>
    <n v="254"/>
    <n v="697"/>
    <n v="1697"/>
    <x v="1"/>
    <s v="April"/>
    <n v="325"/>
    <n v="1022"/>
    <n v="11.62"/>
    <x v="1"/>
    <s v="Very Active"/>
    <s v="3977333714|2016-04-09"/>
    <b v="0"/>
  </r>
  <r>
    <n v="3977333714"/>
    <d v="2016-04-10T00:00:00"/>
    <n v="3573"/>
    <n v="2.3900001049041699"/>
    <n v="2.3900001049041699"/>
    <n v="0"/>
    <n v="0.93999999761581399"/>
    <n v="0.40999999642372098"/>
    <n v="0.97000002861022905"/>
    <n v="0"/>
    <n v="15"/>
    <n v="8"/>
    <n v="99"/>
    <n v="866"/>
    <n v="1232"/>
    <x v="2"/>
    <s v="April"/>
    <n v="122"/>
    <n v="988"/>
    <n v="14.43"/>
    <x v="2"/>
    <s v="Moderately Active"/>
    <s v="3977333714|2016-04-10"/>
    <b v="0"/>
  </r>
  <r>
    <n v="3977333714"/>
    <d v="2016-04-11T00:00:00"/>
    <n v="3108"/>
    <n v="2.1400001049041699"/>
    <n v="2.1400001049041699"/>
    <n v="0"/>
    <n v="7.0000000298023196E-2"/>
    <n v="3.9999999105930301E-2"/>
    <n v="1.96000003814697"/>
    <n v="0"/>
    <n v="1"/>
    <n v="1"/>
    <n v="129"/>
    <n v="894"/>
    <n v="1223"/>
    <x v="3"/>
    <s v="April"/>
    <n v="131"/>
    <n v="1025"/>
    <n v="14.9"/>
    <x v="2"/>
    <s v="Lightly Active"/>
    <s v="3977333714|2016-04-11"/>
    <b v="0"/>
  </r>
  <r>
    <n v="3977333714"/>
    <d v="2016-04-12T00:00:00"/>
    <n v="759"/>
    <n v="0.56999999284744296"/>
    <n v="0.56999999284744296"/>
    <n v="0"/>
    <n v="0"/>
    <n v="0"/>
    <n v="0.56999999284744296"/>
    <n v="0"/>
    <n v="0"/>
    <n v="0"/>
    <n v="17"/>
    <n v="187"/>
    <n v="182"/>
    <x v="4"/>
    <s v="April"/>
    <n v="17"/>
    <n v="204"/>
    <n v="3.12"/>
    <x v="2"/>
    <s v="Sedentary"/>
    <s v="3977333714|2016-04-12"/>
    <b v="1"/>
  </r>
  <r>
    <n v="4020332650"/>
    <d v="2016-03-12T00:00:00"/>
    <n v="5543"/>
    <n v="3.9700000286102299"/>
    <n v="3.9700000286102299"/>
    <n v="0"/>
    <n v="0"/>
    <n v="0"/>
    <n v="3.96000003814697"/>
    <n v="9.9999997764825804E-3"/>
    <n v="0"/>
    <n v="0"/>
    <n v="254"/>
    <n v="757"/>
    <n v="2990"/>
    <x v="1"/>
    <s v="March"/>
    <n v="254"/>
    <n v="1011"/>
    <n v="12.62"/>
    <x v="4"/>
    <s v="Sedentary"/>
    <s v="4020332650|2016-03-12"/>
    <b v="0"/>
  </r>
  <r>
    <n v="4020332650"/>
    <d v="2016-03-13T00:00:00"/>
    <n v="3226"/>
    <n v="2.3099999427795401"/>
    <n v="2.3099999427795401"/>
    <n v="0"/>
    <n v="0"/>
    <n v="0"/>
    <n v="2.2799999713897701"/>
    <n v="0"/>
    <n v="0"/>
    <n v="0"/>
    <n v="136"/>
    <n v="771"/>
    <n v="2480"/>
    <x v="2"/>
    <s v="March"/>
    <n v="136"/>
    <n v="907"/>
    <n v="12.85"/>
    <x v="2"/>
    <s v="Sedentary"/>
    <s v="4020332650|2016-03-13"/>
    <b v="0"/>
  </r>
  <r>
    <n v="4020332650"/>
    <d v="2016-03-14T00:00:00"/>
    <n v="3023"/>
    <n v="2.1700000762939502"/>
    <n v="2.1700000762939502"/>
    <n v="0"/>
    <n v="0"/>
    <n v="0"/>
    <n v="2.1400001049041699"/>
    <n v="0"/>
    <n v="0"/>
    <n v="0"/>
    <n v="145"/>
    <n v="1005"/>
    <n v="2570"/>
    <x v="3"/>
    <s v="March"/>
    <n v="145"/>
    <n v="1150"/>
    <n v="16.75"/>
    <x v="2"/>
    <s v="Sedentary"/>
    <s v="4020332650|2016-03-14"/>
    <b v="0"/>
  </r>
  <r>
    <n v="4020332650"/>
    <d v="2016-03-15T00:00:00"/>
    <n v="5906"/>
    <n v="4.2300000190734899"/>
    <n v="4.2300000190734899"/>
    <n v="0"/>
    <n v="0"/>
    <n v="0.15999999642372101"/>
    <n v="4.03999996185303"/>
    <n v="0"/>
    <n v="0"/>
    <n v="10"/>
    <n v="215"/>
    <n v="874"/>
    <n v="3016"/>
    <x v="4"/>
    <s v="March"/>
    <n v="225"/>
    <n v="1099"/>
    <n v="14.57"/>
    <x v="4"/>
    <s v="Sedentary"/>
    <s v="4020332650|2016-03-15"/>
    <b v="0"/>
  </r>
  <r>
    <n v="4020332650"/>
    <d v="2016-03-16T00:00:00"/>
    <n v="12483"/>
    <n v="8.9899997711181605"/>
    <n v="8.9899997711181605"/>
    <n v="0"/>
    <n v="1.45000004768372"/>
    <n v="0.56999999284744296"/>
    <n v="6.9000000953674299"/>
    <n v="0"/>
    <n v="25"/>
    <n v="14"/>
    <n v="309"/>
    <n v="599"/>
    <n v="3830"/>
    <x v="5"/>
    <s v="March"/>
    <n v="348"/>
    <n v="947"/>
    <n v="9.98"/>
    <x v="0"/>
    <s v="Moderately Active"/>
    <s v="4020332650|2016-03-16"/>
    <b v="0"/>
  </r>
  <r>
    <n v="4020332650"/>
    <d v="2016-03-17T00:00:00"/>
    <n v="8940"/>
    <n v="6.4099998474121103"/>
    <n v="6.4099998474121103"/>
    <n v="0"/>
    <n v="0"/>
    <n v="0"/>
    <n v="0.61000001430511497"/>
    <n v="3.9999999105930301E-2"/>
    <n v="0"/>
    <n v="0"/>
    <n v="47"/>
    <n v="986"/>
    <n v="3706"/>
    <x v="6"/>
    <s v="March"/>
    <n v="47"/>
    <n v="1033"/>
    <n v="16.43"/>
    <x v="3"/>
    <s v="Sedentary"/>
    <s v="4020332650|2016-03-17"/>
    <b v="0"/>
  </r>
  <r>
    <n v="4020332650"/>
    <d v="2016-03-18T00:00:00"/>
    <n v="368"/>
    <n v="0.259999990463257"/>
    <n v="0.259999990463257"/>
    <n v="0"/>
    <n v="0"/>
    <n v="0"/>
    <n v="0"/>
    <n v="0"/>
    <n v="0"/>
    <n v="0"/>
    <n v="0"/>
    <n v="1440"/>
    <n v="2024"/>
    <x v="0"/>
    <s v="March"/>
    <n v="0"/>
    <n v="1440"/>
    <n v="24"/>
    <x v="2"/>
    <s v="Sedentary"/>
    <s v="4020332650|2016-03-18"/>
    <b v="0"/>
  </r>
  <r>
    <n v="4020332650"/>
    <d v="2016-03-19T00:00:00"/>
    <n v="5702"/>
    <n v="4.0900001525878897"/>
    <n v="4.0900001525878897"/>
    <n v="0"/>
    <n v="0"/>
    <n v="0"/>
    <n v="0"/>
    <n v="0"/>
    <n v="0"/>
    <n v="0"/>
    <n v="0"/>
    <n v="1440"/>
    <n v="2980"/>
    <x v="1"/>
    <s v="March"/>
    <n v="0"/>
    <n v="1440"/>
    <n v="24"/>
    <x v="4"/>
    <s v="Sedentary"/>
    <s v="4020332650|2016-03-19"/>
    <b v="0"/>
  </r>
  <r>
    <n v="4020332650"/>
    <d v="2016-03-20T00:00:00"/>
    <n v="10330"/>
    <n v="7.4099998474121103"/>
    <n v="7.4099998474121103"/>
    <n v="0"/>
    <n v="0"/>
    <n v="0"/>
    <n v="0"/>
    <n v="0"/>
    <n v="0"/>
    <n v="0"/>
    <n v="0"/>
    <n v="1440"/>
    <n v="3728"/>
    <x v="2"/>
    <s v="March"/>
    <n v="0"/>
    <n v="1440"/>
    <n v="24"/>
    <x v="0"/>
    <s v="Sedentary"/>
    <s v="4020332650|2016-03-20"/>
    <b v="0"/>
  </r>
  <r>
    <n v="4020332650"/>
    <d v="2016-03-21T00:00:00"/>
    <n v="8778"/>
    <n v="6.28999996185303"/>
    <n v="6.28999996185303"/>
    <n v="0"/>
    <n v="0"/>
    <n v="0"/>
    <n v="0"/>
    <n v="0"/>
    <n v="0"/>
    <n v="0"/>
    <n v="0"/>
    <n v="1440"/>
    <n v="3348"/>
    <x v="3"/>
    <s v="March"/>
    <n v="0"/>
    <n v="1440"/>
    <n v="24"/>
    <x v="3"/>
    <s v="Sedentary"/>
    <s v="4020332650|2016-03-21"/>
    <b v="0"/>
  </r>
  <r>
    <n v="4020332650"/>
    <d v="2016-03-22T00:00:00"/>
    <n v="6662"/>
    <n v="4.7800002098083496"/>
    <n v="4.7800002098083496"/>
    <n v="0"/>
    <n v="0"/>
    <n v="0"/>
    <n v="0"/>
    <n v="0"/>
    <n v="0"/>
    <n v="0"/>
    <n v="0"/>
    <n v="1440"/>
    <n v="3162"/>
    <x v="4"/>
    <s v="March"/>
    <n v="0"/>
    <n v="1440"/>
    <n v="24"/>
    <x v="4"/>
    <s v="Sedentary"/>
    <s v="4020332650|2016-03-22"/>
    <b v="0"/>
  </r>
  <r>
    <n v="4020332650"/>
    <d v="2016-03-23T00:00:00"/>
    <n v="6309"/>
    <n v="4.5199999809265101"/>
    <n v="4.5199999809265101"/>
    <n v="0"/>
    <n v="0"/>
    <n v="0"/>
    <n v="0"/>
    <n v="0"/>
    <n v="0"/>
    <n v="0"/>
    <n v="0"/>
    <n v="1440"/>
    <n v="3140"/>
    <x v="5"/>
    <s v="March"/>
    <n v="0"/>
    <n v="1440"/>
    <n v="24"/>
    <x v="4"/>
    <s v="Sedentary"/>
    <s v="4020332650|2016-03-23"/>
    <b v="0"/>
  </r>
  <r>
    <n v="4020332650"/>
    <d v="2016-03-24T00:00:00"/>
    <n v="1951"/>
    <n v="1.4099999666214"/>
    <n v="1.4099999666214"/>
    <n v="0"/>
    <n v="0"/>
    <n v="0"/>
    <n v="0"/>
    <n v="0"/>
    <n v="0"/>
    <n v="0"/>
    <n v="0"/>
    <n v="1440"/>
    <n v="1980"/>
    <x v="6"/>
    <s v="March"/>
    <n v="0"/>
    <n v="1440"/>
    <n v="24"/>
    <x v="2"/>
    <s v="Sedentary"/>
    <s v="4020332650|2016-03-24"/>
    <b v="0"/>
  </r>
  <r>
    <n v="4020332650"/>
    <d v="2016-03-25T00:00:00"/>
    <n v="5563"/>
    <n v="3.9900000095367401"/>
    <n v="3.9900000095367401"/>
    <n v="0"/>
    <n v="0"/>
    <n v="0"/>
    <n v="0"/>
    <n v="0"/>
    <n v="0"/>
    <n v="0"/>
    <n v="0"/>
    <n v="1440"/>
    <n v="3681"/>
    <x v="0"/>
    <s v="March"/>
    <n v="0"/>
    <n v="1440"/>
    <n v="24"/>
    <x v="4"/>
    <s v="Sedentary"/>
    <s v="4020332650|2016-03-25"/>
    <b v="0"/>
  </r>
  <r>
    <n v="4020332650"/>
    <d v="2016-03-26T00:00:00"/>
    <n v="4370"/>
    <n v="3.1300001144409202"/>
    <n v="3.1300001144409202"/>
    <n v="0"/>
    <n v="0"/>
    <n v="0"/>
    <n v="0"/>
    <n v="0"/>
    <n v="0"/>
    <n v="0"/>
    <n v="0"/>
    <n v="1440"/>
    <n v="3444"/>
    <x v="1"/>
    <s v="March"/>
    <n v="0"/>
    <n v="1440"/>
    <n v="24"/>
    <x v="2"/>
    <s v="Sedentary"/>
    <s v="4020332650|2016-03-26"/>
    <b v="0"/>
  </r>
  <r>
    <n v="4020332650"/>
    <d v="2016-03-27T00:00:00"/>
    <n v="7144"/>
    <n v="5.1199998855590803"/>
    <n v="5.1199998855590803"/>
    <n v="0"/>
    <n v="0"/>
    <n v="0"/>
    <n v="0"/>
    <n v="0"/>
    <n v="0"/>
    <n v="0"/>
    <n v="0"/>
    <n v="1440"/>
    <n v="3510"/>
    <x v="2"/>
    <s v="March"/>
    <n v="0"/>
    <n v="1440"/>
    <n v="24"/>
    <x v="4"/>
    <s v="Sedentary"/>
    <s v="4020332650|2016-03-27"/>
    <b v="0"/>
  </r>
  <r>
    <n v="4020332650"/>
    <d v="2016-03-28T00:00:00"/>
    <n v="2106"/>
    <n v="1.5099999904632599"/>
    <n v="1.5099999904632599"/>
    <n v="0"/>
    <n v="1.9999999552965199E-2"/>
    <n v="5.0000000745058101E-2"/>
    <n v="0.20999999344348899"/>
    <n v="0"/>
    <n v="31"/>
    <n v="45"/>
    <n v="75"/>
    <n v="1289"/>
    <n v="4010"/>
    <x v="3"/>
    <s v="March"/>
    <n v="151"/>
    <n v="1440"/>
    <n v="21.48"/>
    <x v="2"/>
    <s v="Very Active"/>
    <s v="4020332650|2016-03-28"/>
    <b v="0"/>
  </r>
  <r>
    <n v="4020332650"/>
    <d v="2016-03-29T00:00:00"/>
    <n v="4152"/>
    <n v="2.9800000190734899"/>
    <n v="2.9800000190734899"/>
    <n v="0"/>
    <n v="0"/>
    <n v="0"/>
    <n v="2.96000003814697"/>
    <n v="0"/>
    <n v="0"/>
    <n v="0"/>
    <n v="187"/>
    <n v="1253"/>
    <n v="2976"/>
    <x v="4"/>
    <s v="March"/>
    <n v="187"/>
    <n v="1440"/>
    <n v="20.88"/>
    <x v="2"/>
    <s v="Sedentary"/>
    <s v="4020332650|2016-03-29"/>
    <b v="0"/>
  </r>
  <r>
    <n v="4020332650"/>
    <d v="2016-03-30T00:00:00"/>
    <n v="5400"/>
    <n v="3.8699998855590798"/>
    <n v="3.8699998855590798"/>
    <n v="0"/>
    <n v="0"/>
    <n v="0"/>
    <n v="3.8499999046325701"/>
    <n v="0"/>
    <n v="0"/>
    <n v="0"/>
    <n v="258"/>
    <n v="795"/>
    <n v="3418"/>
    <x v="5"/>
    <s v="March"/>
    <n v="258"/>
    <n v="1053"/>
    <n v="13.25"/>
    <x v="4"/>
    <s v="Sedentary"/>
    <s v="4020332650|2016-03-30"/>
    <b v="0"/>
  </r>
  <r>
    <n v="4020332650"/>
    <d v="2016-03-31T00:00:00"/>
    <n v="7428"/>
    <n v="5.3299999237060502"/>
    <n v="5.3299999237060502"/>
    <n v="0"/>
    <n v="0.87000000476837203"/>
    <n v="0.92000001668930098"/>
    <n v="3.5099999904632599"/>
    <n v="0"/>
    <n v="18"/>
    <n v="33"/>
    <n v="261"/>
    <n v="860"/>
    <n v="3439"/>
    <x v="6"/>
    <s v="March"/>
    <n v="312"/>
    <n v="1172"/>
    <n v="14.33"/>
    <x v="4"/>
    <s v="Moderately Active"/>
    <s v="4020332650|2016-03-31"/>
    <b v="0"/>
  </r>
  <r>
    <n v="4020332650"/>
    <d v="2016-04-01T00:00:00"/>
    <n v="5351"/>
    <n v="3.8399999141693102"/>
    <n v="3.8399999141693102"/>
    <n v="0"/>
    <n v="0.62000000476837203"/>
    <n v="0.18000000715255701"/>
    <n v="3.0099999904632599"/>
    <n v="0"/>
    <n v="15"/>
    <n v="17"/>
    <n v="210"/>
    <n v="748"/>
    <n v="3338"/>
    <x v="0"/>
    <s v="April"/>
    <n v="242"/>
    <n v="990"/>
    <n v="12.47"/>
    <x v="4"/>
    <s v="Moderately Active"/>
    <s v="4020332650|2016-04-01"/>
    <b v="0"/>
  </r>
  <r>
    <n v="4020332650"/>
    <d v="2016-04-02T00:00:00"/>
    <n v="4299"/>
    <n v="3.0999999046325701"/>
    <n v="3.0999999046325701"/>
    <n v="0"/>
    <n v="9.00000035762787E-2"/>
    <n v="0.20999999344348899"/>
    <n v="2.7400000095367401"/>
    <n v="3.9999999105930301E-2"/>
    <n v="3"/>
    <n v="15"/>
    <n v="162"/>
    <n v="752"/>
    <n v="2892"/>
    <x v="1"/>
    <s v="April"/>
    <n v="180"/>
    <n v="932"/>
    <n v="12.53"/>
    <x v="2"/>
    <s v="Lightly Active"/>
    <s v="4020332650|2016-04-02"/>
    <b v="0"/>
  </r>
  <r>
    <n v="4020332650"/>
    <d v="2016-04-03T00:00:00"/>
    <n v="6107"/>
    <n v="4.3800001144409197"/>
    <n v="4.3800001144409197"/>
    <n v="0"/>
    <n v="0"/>
    <n v="0"/>
    <n v="4.3600001335143999"/>
    <n v="0"/>
    <n v="0"/>
    <n v="0"/>
    <n v="265"/>
    <n v="776"/>
    <n v="3313"/>
    <x v="2"/>
    <s v="April"/>
    <n v="265"/>
    <n v="1041"/>
    <n v="12.93"/>
    <x v="4"/>
    <s v="Sedentary"/>
    <s v="4020332650|2016-04-03"/>
    <b v="0"/>
  </r>
  <r>
    <n v="4020332650"/>
    <d v="2016-04-04T00:00:00"/>
    <n v="6429"/>
    <n v="4.5999999046325701"/>
    <n v="4.5999999046325701"/>
    <n v="0"/>
    <n v="0"/>
    <n v="0.94999998807907104"/>
    <n v="3.6500000953674299"/>
    <n v="0"/>
    <n v="0"/>
    <n v="28"/>
    <n v="193"/>
    <n v="741"/>
    <n v="3118"/>
    <x v="3"/>
    <s v="April"/>
    <n v="221"/>
    <n v="962"/>
    <n v="12.35"/>
    <x v="4"/>
    <s v="Sedentary"/>
    <s v="4020332650|2016-04-04"/>
    <b v="0"/>
  </r>
  <r>
    <n v="4020332650"/>
    <d v="2016-04-05T00:00:00"/>
    <n v="6880"/>
    <n v="4.9299998283386204"/>
    <n v="4.9299998283386204"/>
    <n v="0"/>
    <n v="0.5"/>
    <n v="0.75999999046325695"/>
    <n v="3.6500000953674299"/>
    <n v="0"/>
    <n v="7"/>
    <n v="19"/>
    <n v="165"/>
    <n v="1249"/>
    <n v="2966"/>
    <x v="4"/>
    <s v="April"/>
    <n v="191"/>
    <n v="1440"/>
    <n v="20.82"/>
    <x v="4"/>
    <s v="Lightly Active"/>
    <s v="4020332650|2016-04-05"/>
    <b v="0"/>
  </r>
  <r>
    <n v="4020332650"/>
    <d v="2016-04-06T00:00:00"/>
    <n v="7476"/>
    <n v="5.3600001335143999"/>
    <n v="5.3600001335143999"/>
    <n v="0"/>
    <n v="0"/>
    <n v="0"/>
    <n v="5.3099999427795401"/>
    <n v="0"/>
    <n v="0"/>
    <n v="0"/>
    <n v="263"/>
    <n v="920"/>
    <n v="3253"/>
    <x v="5"/>
    <s v="April"/>
    <n v="263"/>
    <n v="1183"/>
    <n v="15.33"/>
    <x v="4"/>
    <s v="Sedentary"/>
    <s v="4020332650|2016-04-06"/>
    <b v="0"/>
  </r>
  <r>
    <n v="4020332650"/>
    <d v="2016-04-07T00:00:00"/>
    <n v="6581"/>
    <n v="4.7199997901916504"/>
    <n v="4.7199997901916504"/>
    <n v="0"/>
    <n v="0"/>
    <n v="0.28999999165535001"/>
    <n v="4.3899998664856001"/>
    <n v="0"/>
    <n v="0"/>
    <n v="8"/>
    <n v="241"/>
    <n v="1191"/>
    <n v="3032"/>
    <x v="6"/>
    <s v="April"/>
    <n v="249"/>
    <n v="1440"/>
    <n v="19.850000000000001"/>
    <x v="4"/>
    <s v="Sedentary"/>
    <s v="4020332650|2016-04-07"/>
    <b v="0"/>
  </r>
  <r>
    <n v="4020332650"/>
    <d v="2016-04-08T00:00:00"/>
    <n v="10480"/>
    <n v="7.5100002288818404"/>
    <n v="7.5100002288818404"/>
    <n v="0"/>
    <n v="0.40999999642372098"/>
    <n v="1.4700000286102299"/>
    <n v="5.0100002288818404"/>
    <n v="3.9999999105930301E-2"/>
    <n v="6"/>
    <n v="37"/>
    <n v="272"/>
    <n v="1125"/>
    <n v="4034"/>
    <x v="0"/>
    <s v="April"/>
    <n v="315"/>
    <n v="1440"/>
    <n v="18.75"/>
    <x v="0"/>
    <s v="Lightly Active"/>
    <s v="4020332650|2016-04-08"/>
    <b v="0"/>
  </r>
  <r>
    <n v="4020332650"/>
    <d v="2016-04-09T00:00:00"/>
    <n v="7734"/>
    <n v="5.5500001907348597"/>
    <n v="5.5500001907348597"/>
    <n v="0"/>
    <n v="1.1599999666214"/>
    <n v="0.490000009536743"/>
    <n v="3.8199999332428001"/>
    <n v="5.9999998658895499E-2"/>
    <n v="20"/>
    <n v="12"/>
    <n v="223"/>
    <n v="1185"/>
    <n v="3264"/>
    <x v="1"/>
    <s v="April"/>
    <n v="255"/>
    <n v="1440"/>
    <n v="19.75"/>
    <x v="3"/>
    <s v="Moderately Active"/>
    <s v="4020332650|2016-04-09"/>
    <b v="0"/>
  </r>
  <r>
    <n v="4020332650"/>
    <d v="2016-04-10T00:00:00"/>
    <n v="5129"/>
    <n v="3.6800000667571999"/>
    <n v="3.6800000667571999"/>
    <n v="0"/>
    <n v="0.18000000715255701"/>
    <n v="0.239999994635582"/>
    <n v="3.21000003814697"/>
    <n v="9.9999997764825804E-3"/>
    <n v="5"/>
    <n v="7"/>
    <n v="176"/>
    <n v="1178"/>
    <n v="2817"/>
    <x v="2"/>
    <s v="April"/>
    <n v="188"/>
    <n v="1366"/>
    <n v="19.63"/>
    <x v="4"/>
    <s v="Lightly Active"/>
    <s v="4020332650|2016-04-10"/>
    <b v="0"/>
  </r>
  <r>
    <n v="4020332650"/>
    <d v="2016-04-11T00:00:00"/>
    <n v="2993"/>
    <n v="2.1500000953674299"/>
    <n v="2.1500000953674299"/>
    <n v="0"/>
    <n v="0"/>
    <n v="0"/>
    <n v="2.0899999141693102"/>
    <n v="0"/>
    <n v="0"/>
    <n v="0"/>
    <n v="114"/>
    <n v="888"/>
    <n v="2507"/>
    <x v="3"/>
    <s v="April"/>
    <n v="114"/>
    <n v="1002"/>
    <n v="14.8"/>
    <x v="2"/>
    <s v="Sedentary"/>
    <s v="4020332650|2016-04-11"/>
    <b v="0"/>
  </r>
  <r>
    <n v="4020332650"/>
    <d v="2016-04-12T00:00:00"/>
    <n v="8"/>
    <n v="9.9999997764825804E-3"/>
    <n v="9.9999997764825804E-3"/>
    <n v="0"/>
    <n v="0"/>
    <n v="0"/>
    <n v="9.9999997764825804E-3"/>
    <n v="0"/>
    <n v="0"/>
    <n v="0"/>
    <n v="1"/>
    <n v="321"/>
    <n v="446"/>
    <x v="4"/>
    <s v="April"/>
    <n v="1"/>
    <n v="322"/>
    <n v="5.35"/>
    <x v="2"/>
    <s v="Sedentary"/>
    <s v="4020332650|2016-04-12"/>
    <b v="1"/>
  </r>
  <r>
    <n v="4057192912"/>
    <d v="2016-03-12T00:00:00"/>
    <n v="0"/>
    <n v="0"/>
    <n v="0"/>
    <n v="0"/>
    <n v="0"/>
    <n v="0"/>
    <n v="0"/>
    <n v="0"/>
    <n v="0"/>
    <n v="0"/>
    <n v="0"/>
    <n v="1440"/>
    <n v="1777"/>
    <x v="1"/>
    <s v="March"/>
    <n v="0"/>
    <n v="1440"/>
    <n v="24"/>
    <x v="2"/>
    <s v="Sedentary"/>
    <s v="4057192912|2016-03-12"/>
    <b v="0"/>
  </r>
  <r>
    <n v="4057192912"/>
    <d v="2016-03-13T00:00:00"/>
    <n v="0"/>
    <n v="0"/>
    <n v="0"/>
    <n v="0"/>
    <n v="0"/>
    <n v="0"/>
    <n v="0"/>
    <n v="0"/>
    <n v="0"/>
    <n v="0"/>
    <n v="0"/>
    <n v="1440"/>
    <n v="1777"/>
    <x v="2"/>
    <s v="March"/>
    <n v="0"/>
    <n v="1440"/>
    <n v="24"/>
    <x v="2"/>
    <s v="Sedentary"/>
    <s v="4057192912|2016-03-13"/>
    <b v="0"/>
  </r>
  <r>
    <n v="4057192912"/>
    <d v="2016-03-14T00:00:00"/>
    <n v="8433"/>
    <n v="6.2300000190734899"/>
    <n v="6.2300000190734899"/>
    <n v="0"/>
    <n v="2.4500000476837198"/>
    <n v="0.33000001311302202"/>
    <n v="3.4400000572204599"/>
    <n v="0"/>
    <n v="30"/>
    <n v="7"/>
    <n v="135"/>
    <n v="1268"/>
    <n v="2453"/>
    <x v="3"/>
    <s v="March"/>
    <n v="172"/>
    <n v="1440"/>
    <n v="21.13"/>
    <x v="3"/>
    <s v="Very Active"/>
    <s v="4057192912|2016-03-14"/>
    <b v="0"/>
  </r>
  <r>
    <n v="4057192912"/>
    <d v="2016-03-15T00:00:00"/>
    <n v="0"/>
    <n v="0"/>
    <n v="0"/>
    <n v="0"/>
    <n v="0"/>
    <n v="0"/>
    <n v="0"/>
    <n v="0"/>
    <n v="0"/>
    <n v="0"/>
    <n v="0"/>
    <n v="1440"/>
    <n v="1776"/>
    <x v="4"/>
    <s v="March"/>
    <n v="0"/>
    <n v="1440"/>
    <n v="24"/>
    <x v="2"/>
    <s v="Sedentary"/>
    <s v="4057192912|2016-03-15"/>
    <b v="0"/>
  </r>
  <r>
    <n v="4057192912"/>
    <d v="2016-03-16T00:00:00"/>
    <n v="2139"/>
    <n v="1.5599999427795399"/>
    <n v="1.5599999427795399"/>
    <n v="0"/>
    <n v="0"/>
    <n v="1.29999995231628"/>
    <n v="0.259999990463257"/>
    <n v="0"/>
    <n v="0"/>
    <n v="28"/>
    <n v="15"/>
    <n v="1397"/>
    <n v="1935"/>
    <x v="5"/>
    <s v="March"/>
    <n v="43"/>
    <n v="1440"/>
    <n v="23.28"/>
    <x v="2"/>
    <s v="Sedentary"/>
    <s v="4057192912|2016-03-16"/>
    <b v="0"/>
  </r>
  <r>
    <n v="4057192912"/>
    <d v="2016-03-17T00:00:00"/>
    <n v="0"/>
    <n v="0"/>
    <n v="0"/>
    <n v="0"/>
    <n v="0"/>
    <n v="0"/>
    <n v="0"/>
    <n v="0"/>
    <n v="0"/>
    <n v="0"/>
    <n v="0"/>
    <n v="1440"/>
    <n v="1776"/>
    <x v="6"/>
    <s v="March"/>
    <n v="0"/>
    <n v="1440"/>
    <n v="24"/>
    <x v="2"/>
    <s v="Sedentary"/>
    <s v="4057192912|2016-03-17"/>
    <b v="0"/>
  </r>
  <r>
    <n v="4057192912"/>
    <d v="2016-03-18T00:00:00"/>
    <n v="949"/>
    <n v="0.68999999761581399"/>
    <n v="0.68999999761581399"/>
    <n v="0"/>
    <n v="0"/>
    <n v="0"/>
    <n v="0.68999999761581399"/>
    <n v="0"/>
    <n v="0"/>
    <n v="0"/>
    <n v="34"/>
    <n v="1406"/>
    <n v="1870"/>
    <x v="0"/>
    <s v="March"/>
    <n v="34"/>
    <n v="1440"/>
    <n v="23.43"/>
    <x v="2"/>
    <s v="Sedentary"/>
    <s v="4057192912|2016-03-18"/>
    <b v="0"/>
  </r>
  <r>
    <n v="4057192912"/>
    <d v="2016-03-19T00:00:00"/>
    <n v="0"/>
    <n v="0"/>
    <n v="0"/>
    <n v="0"/>
    <n v="0"/>
    <n v="0"/>
    <n v="0"/>
    <n v="0"/>
    <n v="0"/>
    <n v="0"/>
    <n v="0"/>
    <n v="1440"/>
    <n v="1777"/>
    <x v="1"/>
    <s v="March"/>
    <n v="0"/>
    <n v="1440"/>
    <n v="24"/>
    <x v="2"/>
    <s v="Sedentary"/>
    <s v="4057192912|2016-03-19"/>
    <b v="0"/>
  </r>
  <r>
    <n v="4057192912"/>
    <d v="2016-03-20T00:00:00"/>
    <n v="44"/>
    <n v="2.9999999329447701E-2"/>
    <n v="2.9999999329447701E-2"/>
    <n v="0"/>
    <n v="0"/>
    <n v="0"/>
    <n v="2.9999999329447701E-2"/>
    <n v="0"/>
    <n v="0"/>
    <n v="0"/>
    <n v="2"/>
    <n v="1438"/>
    <n v="1782"/>
    <x v="2"/>
    <s v="March"/>
    <n v="2"/>
    <n v="1440"/>
    <n v="23.97"/>
    <x v="2"/>
    <s v="Sedentary"/>
    <s v="4057192912|2016-03-20"/>
    <b v="0"/>
  </r>
  <r>
    <n v="4057192912"/>
    <d v="2016-03-21T00:00:00"/>
    <n v="2660"/>
    <n v="1.9400000572204601"/>
    <n v="1.9400000572204601"/>
    <n v="0"/>
    <n v="0"/>
    <n v="0"/>
    <n v="1.9400000572204601"/>
    <n v="0"/>
    <n v="0"/>
    <n v="0"/>
    <n v="46"/>
    <n v="1394"/>
    <n v="1978"/>
    <x v="3"/>
    <s v="March"/>
    <n v="46"/>
    <n v="1440"/>
    <n v="23.23"/>
    <x v="2"/>
    <s v="Sedentary"/>
    <s v="4057192912|2016-03-21"/>
    <b v="0"/>
  </r>
  <r>
    <n v="4057192912"/>
    <d v="2016-03-22T00:00:00"/>
    <n v="5561"/>
    <n v="4.1900000572204599"/>
    <n v="4.1900000572204599"/>
    <n v="0"/>
    <n v="0"/>
    <n v="0"/>
    <n v="4.0700001716613796"/>
    <n v="0"/>
    <n v="0"/>
    <n v="0"/>
    <n v="169"/>
    <n v="1271"/>
    <n v="2296"/>
    <x v="4"/>
    <s v="March"/>
    <n v="169"/>
    <n v="1440"/>
    <n v="21.18"/>
    <x v="4"/>
    <s v="Sedentary"/>
    <s v="4057192912|2016-03-22"/>
    <b v="0"/>
  </r>
  <r>
    <n v="4057192912"/>
    <d v="2016-03-23T00:00:00"/>
    <n v="7239"/>
    <n v="5.3400001525878897"/>
    <n v="5.3400001525878897"/>
    <n v="0"/>
    <n v="0.55000001192092896"/>
    <n v="0.36000001430511502"/>
    <n v="4.3800001144409197"/>
    <n v="0"/>
    <n v="7"/>
    <n v="7"/>
    <n v="190"/>
    <n v="1236"/>
    <n v="2484"/>
    <x v="5"/>
    <s v="March"/>
    <n v="204"/>
    <n v="1440"/>
    <n v="20.6"/>
    <x v="4"/>
    <s v="Lightly Active"/>
    <s v="4057192912|2016-03-23"/>
    <b v="0"/>
  </r>
  <r>
    <n v="4057192912"/>
    <d v="2016-03-24T00:00:00"/>
    <n v="7"/>
    <n v="9.9999997764825804E-3"/>
    <n v="9.9999997764825804E-3"/>
    <n v="0"/>
    <n v="0"/>
    <n v="0"/>
    <n v="9.9999997764825804E-3"/>
    <n v="0"/>
    <n v="0"/>
    <n v="0"/>
    <n v="1"/>
    <n v="1439"/>
    <n v="1787"/>
    <x v="6"/>
    <s v="March"/>
    <n v="1"/>
    <n v="1440"/>
    <n v="23.98"/>
    <x v="2"/>
    <s v="Sedentary"/>
    <s v="4057192912|2016-03-24"/>
    <b v="0"/>
  </r>
  <r>
    <n v="4057192912"/>
    <d v="2016-03-25T00:00:00"/>
    <n v="0"/>
    <n v="0"/>
    <n v="0"/>
    <n v="0"/>
    <n v="0"/>
    <n v="0"/>
    <n v="0"/>
    <n v="0"/>
    <n v="0"/>
    <n v="0"/>
    <n v="0"/>
    <n v="1440"/>
    <n v="1776"/>
    <x v="0"/>
    <s v="March"/>
    <n v="0"/>
    <n v="1440"/>
    <n v="24"/>
    <x v="2"/>
    <s v="Sedentary"/>
    <s v="4057192912|2016-03-25"/>
    <b v="0"/>
  </r>
  <r>
    <n v="4057192912"/>
    <d v="2016-03-26T00:00:00"/>
    <n v="0"/>
    <n v="0"/>
    <n v="0"/>
    <n v="0"/>
    <n v="0"/>
    <n v="0"/>
    <n v="0"/>
    <n v="0"/>
    <n v="0"/>
    <n v="0"/>
    <n v="0"/>
    <n v="1440"/>
    <n v="1776"/>
    <x v="1"/>
    <s v="March"/>
    <n v="0"/>
    <n v="1440"/>
    <n v="24"/>
    <x v="2"/>
    <s v="Sedentary"/>
    <s v="4057192912|2016-03-26"/>
    <b v="0"/>
  </r>
  <r>
    <n v="4057192912"/>
    <d v="2016-03-27T00:00:00"/>
    <n v="2275"/>
    <n v="1.6799999475479099"/>
    <n v="1.6799999475479099"/>
    <n v="0"/>
    <n v="0"/>
    <n v="0"/>
    <n v="1.6599999666214"/>
    <n v="0"/>
    <n v="0"/>
    <n v="0"/>
    <n v="86"/>
    <n v="1354"/>
    <n v="2005"/>
    <x v="2"/>
    <s v="March"/>
    <n v="86"/>
    <n v="1440"/>
    <n v="22.57"/>
    <x v="2"/>
    <s v="Sedentary"/>
    <s v="4057192912|2016-03-27"/>
    <b v="0"/>
  </r>
  <r>
    <n v="4057192912"/>
    <d v="2016-03-28T00:00:00"/>
    <n v="8"/>
    <n v="9.9999997764825804E-3"/>
    <n v="9.9999997764825804E-3"/>
    <n v="0"/>
    <n v="0"/>
    <n v="0"/>
    <n v="9.9999997764825804E-3"/>
    <n v="0"/>
    <n v="0"/>
    <n v="0"/>
    <n v="1"/>
    <n v="1439"/>
    <n v="1778"/>
    <x v="3"/>
    <s v="March"/>
    <n v="1"/>
    <n v="1440"/>
    <n v="23.98"/>
    <x v="2"/>
    <s v="Sedentary"/>
    <s v="4057192912|2016-03-28"/>
    <b v="0"/>
  </r>
  <r>
    <n v="4057192912"/>
    <d v="2016-03-29T00:00:00"/>
    <n v="5137"/>
    <n v="3.7599999904632599"/>
    <n v="3.7599999904632599"/>
    <n v="0"/>
    <n v="0"/>
    <n v="0"/>
    <n v="3.7599999904632599"/>
    <n v="0"/>
    <n v="0"/>
    <n v="0"/>
    <n v="160"/>
    <n v="1280"/>
    <n v="2293"/>
    <x v="4"/>
    <s v="March"/>
    <n v="160"/>
    <n v="1440"/>
    <n v="21.33"/>
    <x v="4"/>
    <s v="Sedentary"/>
    <s v="4057192912|2016-03-29"/>
    <b v="0"/>
  </r>
  <r>
    <n v="4057192912"/>
    <d v="2016-03-30T00:00:00"/>
    <n v="5419"/>
    <n v="4"/>
    <n v="4.5700001716613796"/>
    <n v="5.5842999368906E-2"/>
    <n v="0"/>
    <n v="0"/>
    <n v="3.9100000858306898"/>
    <n v="5.9999998658895499E-2"/>
    <n v="0"/>
    <n v="0"/>
    <n v="145"/>
    <n v="1295"/>
    <n v="2259"/>
    <x v="5"/>
    <s v="March"/>
    <n v="145"/>
    <n v="1440"/>
    <n v="21.58"/>
    <x v="4"/>
    <s v="Sedentary"/>
    <s v="4057192912|2016-03-30"/>
    <b v="0"/>
  </r>
  <r>
    <n v="4057192912"/>
    <d v="2016-03-31T00:00:00"/>
    <n v="0"/>
    <n v="0"/>
    <n v="0"/>
    <n v="0"/>
    <n v="0"/>
    <n v="0"/>
    <n v="0"/>
    <n v="0"/>
    <n v="0"/>
    <n v="0"/>
    <n v="0"/>
    <n v="1440"/>
    <n v="1776"/>
    <x v="6"/>
    <s v="March"/>
    <n v="0"/>
    <n v="1440"/>
    <n v="24"/>
    <x v="2"/>
    <s v="Sedentary"/>
    <s v="4057192912|2016-03-31"/>
    <b v="0"/>
  </r>
  <r>
    <n v="4057192912"/>
    <d v="2016-04-01T00:00:00"/>
    <n v="0"/>
    <n v="0"/>
    <n v="0"/>
    <n v="0"/>
    <n v="0"/>
    <n v="0"/>
    <n v="0"/>
    <n v="0"/>
    <n v="0"/>
    <n v="0"/>
    <n v="0"/>
    <n v="1440"/>
    <n v="1776"/>
    <x v="0"/>
    <s v="April"/>
    <n v="0"/>
    <n v="1440"/>
    <n v="24"/>
    <x v="2"/>
    <s v="Sedentary"/>
    <s v="4057192912|2016-04-01"/>
    <b v="0"/>
  </r>
  <r>
    <n v="4057192912"/>
    <d v="2016-04-02T00:00:00"/>
    <n v="0"/>
    <n v="0"/>
    <n v="0"/>
    <n v="0"/>
    <n v="0"/>
    <n v="0"/>
    <n v="0"/>
    <n v="0"/>
    <n v="0"/>
    <n v="0"/>
    <n v="0"/>
    <n v="1440"/>
    <n v="1776"/>
    <x v="1"/>
    <s v="April"/>
    <n v="0"/>
    <n v="1440"/>
    <n v="24"/>
    <x v="2"/>
    <s v="Sedentary"/>
    <s v="4057192912|2016-04-02"/>
    <b v="0"/>
  </r>
  <r>
    <n v="4057192912"/>
    <d v="2016-04-03T00:00:00"/>
    <n v="0"/>
    <n v="0"/>
    <n v="0"/>
    <n v="0"/>
    <n v="0"/>
    <n v="0"/>
    <n v="0"/>
    <n v="0"/>
    <n v="0"/>
    <n v="0"/>
    <n v="0"/>
    <n v="1440"/>
    <n v="1776"/>
    <x v="2"/>
    <s v="April"/>
    <n v="0"/>
    <n v="1440"/>
    <n v="24"/>
    <x v="2"/>
    <s v="Sedentary"/>
    <s v="4057192912|2016-04-03"/>
    <b v="0"/>
  </r>
  <r>
    <n v="4057192912"/>
    <d v="2016-04-04T00:00:00"/>
    <n v="0"/>
    <n v="0"/>
    <n v="0"/>
    <n v="0"/>
    <n v="0"/>
    <n v="0"/>
    <n v="0"/>
    <n v="0"/>
    <n v="0"/>
    <n v="0"/>
    <n v="0"/>
    <n v="1440"/>
    <n v="1776"/>
    <x v="3"/>
    <s v="April"/>
    <n v="0"/>
    <n v="1440"/>
    <n v="24"/>
    <x v="2"/>
    <s v="Sedentary"/>
    <s v="4057192912|2016-04-04"/>
    <b v="0"/>
  </r>
  <r>
    <n v="4057192912"/>
    <d v="2016-04-05T00:00:00"/>
    <n v="0"/>
    <n v="0"/>
    <n v="0"/>
    <n v="0"/>
    <n v="0"/>
    <n v="0"/>
    <n v="0"/>
    <n v="0"/>
    <n v="0"/>
    <n v="0"/>
    <n v="0"/>
    <n v="1440"/>
    <n v="1776"/>
    <x v="4"/>
    <s v="April"/>
    <n v="0"/>
    <n v="1440"/>
    <n v="24"/>
    <x v="2"/>
    <s v="Sedentary"/>
    <s v="4057192912|2016-04-05"/>
    <b v="0"/>
  </r>
  <r>
    <n v="4057192912"/>
    <d v="2016-04-06T00:00:00"/>
    <n v="18"/>
    <n v="9.9999997764825804E-3"/>
    <n v="9.9999997764825804E-3"/>
    <n v="0"/>
    <n v="0"/>
    <n v="0"/>
    <n v="9.9999997764825804E-3"/>
    <n v="0"/>
    <n v="0"/>
    <n v="0"/>
    <n v="2"/>
    <n v="1438"/>
    <n v="1780"/>
    <x v="5"/>
    <s v="April"/>
    <n v="2"/>
    <n v="1440"/>
    <n v="23.97"/>
    <x v="2"/>
    <s v="Sedentary"/>
    <s v="4057192912|2016-04-06"/>
    <b v="0"/>
  </r>
  <r>
    <n v="4057192912"/>
    <d v="2016-04-07T00:00:00"/>
    <n v="4"/>
    <n v="0"/>
    <n v="0"/>
    <n v="0"/>
    <n v="0"/>
    <n v="0"/>
    <n v="0"/>
    <n v="0"/>
    <n v="0"/>
    <n v="0"/>
    <n v="1"/>
    <n v="1439"/>
    <n v="1778"/>
    <x v="6"/>
    <s v="April"/>
    <n v="1"/>
    <n v="1440"/>
    <n v="23.98"/>
    <x v="2"/>
    <s v="Sedentary"/>
    <s v="4057192912|2016-04-07"/>
    <b v="0"/>
  </r>
  <r>
    <n v="4057192912"/>
    <d v="2016-04-08T00:00:00"/>
    <n v="8426"/>
    <n v="6.1599998474121103"/>
    <n v="6.1599998474121103"/>
    <n v="0"/>
    <n v="0.129999995231628"/>
    <n v="5.4899997711181596"/>
    <n v="0.54000002145767201"/>
    <n v="0"/>
    <n v="2"/>
    <n v="120"/>
    <n v="25"/>
    <n v="1293"/>
    <n v="2360"/>
    <x v="0"/>
    <s v="April"/>
    <n v="147"/>
    <n v="1440"/>
    <n v="21.55"/>
    <x v="3"/>
    <s v="Lightly Active"/>
    <s v="4057192912|2016-04-08"/>
    <b v="0"/>
  </r>
  <r>
    <n v="4057192912"/>
    <d v="2016-04-09T00:00:00"/>
    <n v="1650"/>
    <n v="1.21000003814697"/>
    <n v="1.21000003814697"/>
    <n v="0"/>
    <n v="0"/>
    <n v="0"/>
    <n v="1.21000003814697"/>
    <n v="0"/>
    <n v="0"/>
    <n v="0"/>
    <n v="60"/>
    <n v="1380"/>
    <n v="1952"/>
    <x v="1"/>
    <s v="April"/>
    <n v="60"/>
    <n v="1440"/>
    <n v="23"/>
    <x v="2"/>
    <s v="Sedentary"/>
    <s v="4057192912|2016-04-09"/>
    <b v="0"/>
  </r>
  <r>
    <n v="4057192912"/>
    <d v="2016-04-10T00:00:00"/>
    <n v="3434"/>
    <n v="2.5099999904632599"/>
    <n v="2.5099999904632599"/>
    <n v="0"/>
    <n v="7.0000000298023196E-2"/>
    <n v="0.30000001192092901"/>
    <n v="2.1400001049041699"/>
    <n v="0"/>
    <n v="1"/>
    <n v="7"/>
    <n v="108"/>
    <n v="1324"/>
    <n v="2101"/>
    <x v="2"/>
    <s v="April"/>
    <n v="116"/>
    <n v="1440"/>
    <n v="22.07"/>
    <x v="2"/>
    <s v="Lightly Active"/>
    <s v="4057192912|2016-04-10"/>
    <b v="0"/>
  </r>
  <r>
    <n v="4057192912"/>
    <d v="2016-04-11T00:00:00"/>
    <n v="6801"/>
    <n v="4.9800000190734899"/>
    <n v="4.9800000190734899"/>
    <n v="0"/>
    <n v="0"/>
    <n v="0"/>
    <n v="4.9699997901916504"/>
    <n v="0"/>
    <n v="0"/>
    <n v="0"/>
    <n v="193"/>
    <n v="1247"/>
    <n v="2393"/>
    <x v="3"/>
    <s v="April"/>
    <n v="193"/>
    <n v="1440"/>
    <n v="20.78"/>
    <x v="4"/>
    <s v="Sedentary"/>
    <s v="4057192912|2016-04-11"/>
    <b v="0"/>
  </r>
  <r>
    <n v="4057192912"/>
    <d v="2016-04-12T00:00:00"/>
    <n v="187"/>
    <n v="0.140000000596046"/>
    <n v="0.140000000596046"/>
    <n v="0"/>
    <n v="0"/>
    <n v="0"/>
    <n v="0.140000000596046"/>
    <n v="0"/>
    <n v="0"/>
    <n v="0"/>
    <n v="11"/>
    <n v="400"/>
    <n v="538"/>
    <x v="4"/>
    <s v="April"/>
    <n v="11"/>
    <n v="411"/>
    <n v="6.67"/>
    <x v="2"/>
    <s v="Sedentary"/>
    <s v="4057192912|2016-04-12"/>
    <b v="0"/>
  </r>
  <r>
    <n v="4319703577"/>
    <d v="2016-03-29T00:00:00"/>
    <n v="5643"/>
    <n v="3.78999996185303"/>
    <n v="3.78999996185303"/>
    <n v="0"/>
    <n v="0.230000004172325"/>
    <n v="0.33000001311302202"/>
    <n v="3.2300000190734899"/>
    <n v="0"/>
    <n v="3"/>
    <n v="8"/>
    <n v="199"/>
    <n v="683"/>
    <n v="1958"/>
    <x v="4"/>
    <s v="March"/>
    <n v="210"/>
    <n v="893"/>
    <n v="11.38"/>
    <x v="4"/>
    <s v="Lightly Active"/>
    <s v="4319703577|2016-03-29"/>
    <b v="0"/>
  </r>
  <r>
    <n v="4319703577"/>
    <d v="2016-03-30T00:00:00"/>
    <n v="9043"/>
    <n v="6.0700001716613796"/>
    <n v="6.0700001716613796"/>
    <n v="0"/>
    <n v="0.25"/>
    <n v="0.43000000715255698"/>
    <n v="5.3699998855590803"/>
    <n v="0"/>
    <n v="4"/>
    <n v="12"/>
    <n v="244"/>
    <n v="702"/>
    <n v="2141"/>
    <x v="5"/>
    <s v="March"/>
    <n v="260"/>
    <n v="962"/>
    <n v="11.7"/>
    <x v="3"/>
    <s v="Lightly Active"/>
    <s v="4319703577|2016-03-30"/>
    <b v="0"/>
  </r>
  <r>
    <n v="4319703577"/>
    <d v="2016-03-31T00:00:00"/>
    <n v="8144"/>
    <n v="5.46000003814697"/>
    <n v="5.46000003814697"/>
    <n v="0"/>
    <n v="0.25"/>
    <n v="0.61000001430511497"/>
    <n v="4.6100001335143999"/>
    <n v="0"/>
    <n v="4"/>
    <n v="17"/>
    <n v="247"/>
    <n v="1125"/>
    <n v="2129"/>
    <x v="6"/>
    <s v="March"/>
    <n v="268"/>
    <n v="1393"/>
    <n v="18.75"/>
    <x v="3"/>
    <s v="Lightly Active"/>
    <s v="4319703577|2016-03-31"/>
    <b v="0"/>
  </r>
  <r>
    <n v="4319703577"/>
    <d v="2016-04-01T00:00:00"/>
    <n v="9343"/>
    <n v="6.2699999809265101"/>
    <n v="6.2699999809265101"/>
    <n v="0"/>
    <n v="0.95999997854232799"/>
    <n v="0.85000002384185802"/>
    <n v="4.46000003814697"/>
    <n v="0"/>
    <n v="14"/>
    <n v="20"/>
    <n v="268"/>
    <n v="654"/>
    <n v="2216"/>
    <x v="0"/>
    <s v="April"/>
    <n v="302"/>
    <n v="956"/>
    <n v="10.9"/>
    <x v="3"/>
    <s v="Lightly Active"/>
    <s v="4319703577|2016-04-01"/>
    <b v="0"/>
  </r>
  <r>
    <n v="4319703577"/>
    <d v="2016-04-02T00:00:00"/>
    <n v="8405"/>
    <n v="5.6599998474121103"/>
    <n v="5.6599998474121103"/>
    <n v="0"/>
    <n v="1.12999999523163"/>
    <n v="0.18999999761581399"/>
    <n v="4.3400001525878897"/>
    <n v="0"/>
    <n v="15"/>
    <n v="4"/>
    <n v="257"/>
    <n v="621"/>
    <n v="2154"/>
    <x v="1"/>
    <s v="April"/>
    <n v="276"/>
    <n v="897"/>
    <n v="10.35"/>
    <x v="3"/>
    <s v="Moderately Active"/>
    <s v="4319703577|2016-04-02"/>
    <b v="0"/>
  </r>
  <r>
    <n v="4319703577"/>
    <d v="2016-04-03T00:00:00"/>
    <n v="8223"/>
    <n v="5.5199999809265101"/>
    <n v="5.5199999809265101"/>
    <n v="0"/>
    <n v="0.80000001192092896"/>
    <n v="1.5099999904632599"/>
    <n v="3.21000003814697"/>
    <n v="0"/>
    <n v="12"/>
    <n v="37"/>
    <n v="257"/>
    <n v="551"/>
    <n v="2178"/>
    <x v="2"/>
    <s v="April"/>
    <n v="306"/>
    <n v="857"/>
    <n v="9.18"/>
    <x v="3"/>
    <s v="Lightly Active"/>
    <s v="4319703577|2016-04-03"/>
    <b v="0"/>
  </r>
  <r>
    <n v="4319703577"/>
    <d v="2016-04-04T00:00:00"/>
    <n v="10067"/>
    <n v="6.7600002288818404"/>
    <n v="6.7600002288818404"/>
    <n v="0"/>
    <n v="0.36000001430511502"/>
    <n v="1.41999995708466"/>
    <n v="4.9699997901916504"/>
    <n v="0"/>
    <n v="5"/>
    <n v="39"/>
    <n v="313"/>
    <n v="578"/>
    <n v="2308"/>
    <x v="3"/>
    <s v="April"/>
    <n v="357"/>
    <n v="935"/>
    <n v="9.6300000000000008"/>
    <x v="0"/>
    <s v="Lightly Active"/>
    <s v="4319703577|2016-04-04"/>
    <b v="0"/>
  </r>
  <r>
    <n v="4319703577"/>
    <d v="2016-04-05T00:00:00"/>
    <n v="8359"/>
    <n v="5.6300001144409197"/>
    <n v="5.6300001144409197"/>
    <n v="0"/>
    <n v="0.230000004172325"/>
    <n v="0.52999997138977095"/>
    <n v="4.8699998855590803"/>
    <n v="0"/>
    <n v="3"/>
    <n v="14"/>
    <n v="311"/>
    <n v="638"/>
    <n v="2201"/>
    <x v="4"/>
    <s v="April"/>
    <n v="328"/>
    <n v="966"/>
    <n v="10.63"/>
    <x v="3"/>
    <s v="Lightly Active"/>
    <s v="4319703577|2016-04-05"/>
    <b v="0"/>
  </r>
  <r>
    <n v="4319703577"/>
    <d v="2016-04-06T00:00:00"/>
    <n v="10946"/>
    <n v="7.3499999046325701"/>
    <n v="7.3499999046325701"/>
    <n v="0"/>
    <n v="0.54000002145767201"/>
    <n v="2.0899999141693102"/>
    <n v="4.7199997901916504"/>
    <n v="0"/>
    <n v="8"/>
    <n v="51"/>
    <n v="308"/>
    <n v="569"/>
    <n v="2341"/>
    <x v="5"/>
    <s v="April"/>
    <n v="367"/>
    <n v="936"/>
    <n v="9.48"/>
    <x v="0"/>
    <s v="Lightly Active"/>
    <s v="4319703577|2016-04-06"/>
    <b v="0"/>
  </r>
  <r>
    <n v="4319703577"/>
    <d v="2016-04-07T00:00:00"/>
    <n v="9130"/>
    <n v="6.1500000953674299"/>
    <n v="6.1500000953674299"/>
    <n v="0"/>
    <n v="0.5"/>
    <n v="0.37999999523162797"/>
    <n v="5.2699999809265101"/>
    <n v="0"/>
    <n v="7"/>
    <n v="11"/>
    <n v="304"/>
    <n v="668"/>
    <n v="2236"/>
    <x v="6"/>
    <s v="April"/>
    <n v="322"/>
    <n v="990"/>
    <n v="11.13"/>
    <x v="3"/>
    <s v="Lightly Active"/>
    <s v="4319703577|2016-04-07"/>
    <b v="0"/>
  </r>
  <r>
    <n v="4319703577"/>
    <d v="2016-04-08T00:00:00"/>
    <n v="6544"/>
    <n v="4.4099998474121103"/>
    <n v="4.4099998474121103"/>
    <n v="0"/>
    <n v="0.28999999165535001"/>
    <n v="0.259999990463257"/>
    <n v="3.8599998950958301"/>
    <n v="0"/>
    <n v="4"/>
    <n v="6"/>
    <n v="276"/>
    <n v="1132"/>
    <n v="2069"/>
    <x v="0"/>
    <s v="April"/>
    <n v="286"/>
    <n v="1418"/>
    <n v="18.87"/>
    <x v="4"/>
    <s v="Lightly Active"/>
    <s v="4319703577|2016-04-08"/>
    <b v="0"/>
  </r>
  <r>
    <n v="4319703577"/>
    <d v="2016-04-09T00:00:00"/>
    <n v="0"/>
    <n v="0"/>
    <n v="0"/>
    <n v="0"/>
    <n v="0"/>
    <n v="0"/>
    <n v="0"/>
    <n v="0"/>
    <n v="0"/>
    <n v="0"/>
    <n v="0"/>
    <n v="1440"/>
    <n v="0"/>
    <x v="1"/>
    <s v="April"/>
    <n v="0"/>
    <n v="1440"/>
    <n v="24"/>
    <x v="2"/>
    <s v="Sedentary"/>
    <s v="4319703577|2016-04-09"/>
    <b v="0"/>
  </r>
  <r>
    <n v="4388161847"/>
    <d v="2016-03-29T00:00:00"/>
    <n v="0"/>
    <n v="0"/>
    <n v="0"/>
    <n v="0"/>
    <n v="0"/>
    <n v="0"/>
    <n v="0"/>
    <n v="0"/>
    <n v="0"/>
    <n v="0"/>
    <n v="0"/>
    <n v="1440"/>
    <n v="1878"/>
    <x v="4"/>
    <s v="March"/>
    <n v="0"/>
    <n v="1440"/>
    <n v="24"/>
    <x v="2"/>
    <s v="Sedentary"/>
    <s v="4388161847|2016-03-29"/>
    <b v="0"/>
  </r>
  <r>
    <n v="4388161847"/>
    <d v="2016-03-30T00:00:00"/>
    <n v="0"/>
    <n v="0"/>
    <n v="0"/>
    <n v="0"/>
    <n v="0"/>
    <n v="0"/>
    <n v="0"/>
    <n v="0"/>
    <n v="0"/>
    <n v="0"/>
    <n v="0"/>
    <n v="1440"/>
    <n v="1878"/>
    <x v="5"/>
    <s v="March"/>
    <n v="0"/>
    <n v="1440"/>
    <n v="24"/>
    <x v="2"/>
    <s v="Sedentary"/>
    <s v="4388161847|2016-03-30"/>
    <b v="0"/>
  </r>
  <r>
    <n v="4388161847"/>
    <d v="2016-03-31T00:00:00"/>
    <n v="0"/>
    <n v="0"/>
    <n v="0"/>
    <n v="0"/>
    <n v="0"/>
    <n v="0"/>
    <n v="0"/>
    <n v="0"/>
    <n v="0"/>
    <n v="0"/>
    <n v="0"/>
    <n v="1440"/>
    <n v="1878"/>
    <x v="6"/>
    <s v="March"/>
    <n v="0"/>
    <n v="1440"/>
    <n v="24"/>
    <x v="2"/>
    <s v="Sedentary"/>
    <s v="4388161847|2016-03-31"/>
    <b v="0"/>
  </r>
  <r>
    <n v="4388161847"/>
    <d v="2016-04-01T00:00:00"/>
    <n v="0"/>
    <n v="0"/>
    <n v="0"/>
    <n v="0"/>
    <n v="0"/>
    <n v="0"/>
    <n v="0"/>
    <n v="0"/>
    <n v="0"/>
    <n v="0"/>
    <n v="0"/>
    <n v="1440"/>
    <n v="1878"/>
    <x v="0"/>
    <s v="April"/>
    <n v="0"/>
    <n v="1440"/>
    <n v="24"/>
    <x v="2"/>
    <s v="Sedentary"/>
    <s v="4388161847|2016-04-01"/>
    <b v="0"/>
  </r>
  <r>
    <n v="4388161847"/>
    <d v="2016-04-02T00:00:00"/>
    <n v="0"/>
    <n v="0"/>
    <n v="0"/>
    <n v="0"/>
    <n v="0"/>
    <n v="0"/>
    <n v="0"/>
    <n v="0"/>
    <n v="0"/>
    <n v="0"/>
    <n v="0"/>
    <n v="1440"/>
    <n v="1878"/>
    <x v="1"/>
    <s v="April"/>
    <n v="0"/>
    <n v="1440"/>
    <n v="24"/>
    <x v="2"/>
    <s v="Sedentary"/>
    <s v="4388161847|2016-04-02"/>
    <b v="0"/>
  </r>
  <r>
    <n v="4388161847"/>
    <d v="2016-04-03T00:00:00"/>
    <n v="0"/>
    <n v="0"/>
    <n v="0"/>
    <n v="0"/>
    <n v="0"/>
    <n v="0"/>
    <n v="0"/>
    <n v="0"/>
    <n v="0"/>
    <n v="0"/>
    <n v="0"/>
    <n v="1440"/>
    <n v="1878"/>
    <x v="2"/>
    <s v="April"/>
    <n v="0"/>
    <n v="1440"/>
    <n v="24"/>
    <x v="2"/>
    <s v="Sedentary"/>
    <s v="4388161847|2016-04-03"/>
    <b v="0"/>
  </r>
  <r>
    <n v="4388161847"/>
    <d v="2016-04-04T00:00:00"/>
    <n v="0"/>
    <n v="0"/>
    <n v="0"/>
    <n v="0"/>
    <n v="0"/>
    <n v="0"/>
    <n v="0"/>
    <n v="0"/>
    <n v="0"/>
    <n v="0"/>
    <n v="0"/>
    <n v="1440"/>
    <n v="1878"/>
    <x v="3"/>
    <s v="April"/>
    <n v="0"/>
    <n v="1440"/>
    <n v="24"/>
    <x v="2"/>
    <s v="Sedentary"/>
    <s v="4388161847|2016-04-04"/>
    <b v="0"/>
  </r>
  <r>
    <n v="4388161847"/>
    <d v="2016-04-05T00:00:00"/>
    <n v="0"/>
    <n v="0"/>
    <n v="0"/>
    <n v="0"/>
    <n v="0"/>
    <n v="0"/>
    <n v="0"/>
    <n v="0"/>
    <n v="0"/>
    <n v="0"/>
    <n v="0"/>
    <n v="994"/>
    <n v="1296"/>
    <x v="4"/>
    <s v="April"/>
    <n v="0"/>
    <n v="994"/>
    <n v="16.57"/>
    <x v="2"/>
    <s v="Sedentary"/>
    <s v="4388161847|2016-04-05"/>
    <b v="0"/>
  </r>
  <r>
    <n v="4445114986"/>
    <d v="2016-03-29T00:00:00"/>
    <n v="2303"/>
    <n v="1.54999995231628"/>
    <n v="1.54999995231628"/>
    <n v="0"/>
    <n v="0"/>
    <n v="0"/>
    <n v="1.54999995231628"/>
    <n v="0"/>
    <n v="0"/>
    <n v="0"/>
    <n v="155"/>
    <n v="807"/>
    <n v="2010"/>
    <x v="4"/>
    <s v="March"/>
    <n v="155"/>
    <n v="962"/>
    <n v="13.45"/>
    <x v="2"/>
    <s v="Sedentary"/>
    <s v="4445114986|2016-03-29"/>
    <b v="0"/>
  </r>
  <r>
    <n v="4445114986"/>
    <d v="2016-03-30T00:00:00"/>
    <n v="2600"/>
    <n v="1.7400000095367401"/>
    <n v="1.7400000095367401"/>
    <n v="0"/>
    <n v="0"/>
    <n v="0"/>
    <n v="1.7400000095367401"/>
    <n v="0"/>
    <n v="0"/>
    <n v="0"/>
    <n v="163"/>
    <n v="1277"/>
    <n v="2032"/>
    <x v="5"/>
    <s v="March"/>
    <n v="163"/>
    <n v="1440"/>
    <n v="21.28"/>
    <x v="2"/>
    <s v="Sedentary"/>
    <s v="4445114986|2016-03-30"/>
    <b v="0"/>
  </r>
  <r>
    <n v="4445114986"/>
    <d v="2016-03-31T00:00:00"/>
    <n v="4804"/>
    <n v="3.2200000286102299"/>
    <n v="3.2200000286102299"/>
    <n v="0"/>
    <n v="0"/>
    <n v="0"/>
    <n v="3.2200000286102299"/>
    <n v="0"/>
    <n v="0"/>
    <n v="0"/>
    <n v="238"/>
    <n v="786"/>
    <n v="2227"/>
    <x v="6"/>
    <s v="March"/>
    <n v="238"/>
    <n v="1024"/>
    <n v="13.1"/>
    <x v="2"/>
    <s v="Sedentary"/>
    <s v="4445114986|2016-03-31"/>
    <b v="0"/>
  </r>
  <r>
    <n v="4445114986"/>
    <d v="2016-04-01T00:00:00"/>
    <n v="3271"/>
    <n v="2.1900000572204599"/>
    <n v="2.1900000572204599"/>
    <n v="0"/>
    <n v="0"/>
    <n v="0"/>
    <n v="2.1900000572204599"/>
    <n v="0"/>
    <n v="0"/>
    <n v="0"/>
    <n v="205"/>
    <n v="898"/>
    <n v="2133"/>
    <x v="0"/>
    <s v="April"/>
    <n v="205"/>
    <n v="1103"/>
    <n v="14.97"/>
    <x v="2"/>
    <s v="Sedentary"/>
    <s v="4445114986|2016-04-01"/>
    <b v="0"/>
  </r>
  <r>
    <n v="4445114986"/>
    <d v="2016-04-02T00:00:00"/>
    <n v="5406"/>
    <n v="3.6300001144409202"/>
    <n v="3.6300001144409202"/>
    <n v="0"/>
    <n v="0"/>
    <n v="0"/>
    <n v="3.6099998950958301"/>
    <n v="0"/>
    <n v="0"/>
    <n v="0"/>
    <n v="273"/>
    <n v="672"/>
    <n v="2317"/>
    <x v="1"/>
    <s v="April"/>
    <n v="273"/>
    <n v="945"/>
    <n v="11.2"/>
    <x v="4"/>
    <s v="Sedentary"/>
    <s v="4445114986|2016-04-02"/>
    <b v="0"/>
  </r>
  <r>
    <n v="4445114986"/>
    <d v="2016-04-03T00:00:00"/>
    <n v="3146"/>
    <n v="2.1099998950958301"/>
    <n v="2.1099998950958301"/>
    <n v="0"/>
    <n v="0"/>
    <n v="0"/>
    <n v="2.1099998950958301"/>
    <n v="0"/>
    <n v="0"/>
    <n v="0"/>
    <n v="171"/>
    <n v="1269"/>
    <n v="2058"/>
    <x v="2"/>
    <s v="April"/>
    <n v="171"/>
    <n v="1440"/>
    <n v="21.15"/>
    <x v="2"/>
    <s v="Sedentary"/>
    <s v="4445114986|2016-04-03"/>
    <b v="0"/>
  </r>
  <r>
    <n v="4445114986"/>
    <d v="2016-04-04T00:00:00"/>
    <n v="2422"/>
    <n v="1.62999999523163"/>
    <n v="1.62999999523163"/>
    <n v="0"/>
    <n v="0"/>
    <n v="0"/>
    <n v="1.62999999523163"/>
    <n v="0"/>
    <n v="0"/>
    <n v="0"/>
    <n v="110"/>
    <n v="1330"/>
    <n v="1935"/>
    <x v="3"/>
    <s v="April"/>
    <n v="110"/>
    <n v="1440"/>
    <n v="22.17"/>
    <x v="2"/>
    <s v="Sedentary"/>
    <s v="4445114986|2016-04-04"/>
    <b v="0"/>
  </r>
  <r>
    <n v="4445114986"/>
    <d v="2016-04-05T00:00:00"/>
    <n v="4239"/>
    <n v="2.8399999141693102"/>
    <n v="2.8399999141693102"/>
    <n v="0"/>
    <n v="5.9999998658895499E-2"/>
    <n v="0.239999994635582"/>
    <n v="2.5299999713897701"/>
    <n v="0"/>
    <n v="1"/>
    <n v="6"/>
    <n v="235"/>
    <n v="702"/>
    <n v="2217"/>
    <x v="4"/>
    <s v="April"/>
    <n v="242"/>
    <n v="944"/>
    <n v="11.7"/>
    <x v="2"/>
    <s v="Lightly Active"/>
    <s v="4445114986|2016-04-05"/>
    <b v="0"/>
  </r>
  <r>
    <n v="4445114986"/>
    <d v="2016-04-06T00:00:00"/>
    <n v="6911"/>
    <n v="4.7800002098083496"/>
    <n v="4.7800002098083496"/>
    <n v="0"/>
    <n v="2.3199999332428001"/>
    <n v="0.10000000149011599"/>
    <n v="2.3599998950958301"/>
    <n v="0"/>
    <n v="28"/>
    <n v="2"/>
    <n v="215"/>
    <n v="745"/>
    <n v="2374"/>
    <x v="5"/>
    <s v="April"/>
    <n v="245"/>
    <n v="990"/>
    <n v="12.42"/>
    <x v="4"/>
    <s v="Moderately Active"/>
    <s v="4445114986|2016-04-06"/>
    <b v="0"/>
  </r>
  <r>
    <n v="4445114986"/>
    <d v="2016-04-07T00:00:00"/>
    <n v="6667"/>
    <n v="4.6100001335143999"/>
    <n v="4.6100001335143999"/>
    <n v="0"/>
    <n v="2.0199999809265101"/>
    <n v="5.0000000745058101E-2"/>
    <n v="2.5499999523162802"/>
    <n v="0"/>
    <n v="24"/>
    <n v="1"/>
    <n v="208"/>
    <n v="939"/>
    <n v="2335"/>
    <x v="6"/>
    <s v="April"/>
    <n v="233"/>
    <n v="1172"/>
    <n v="15.65"/>
    <x v="4"/>
    <s v="Moderately Active"/>
    <s v="4445114986|2016-04-07"/>
    <b v="0"/>
  </r>
  <r>
    <n v="4445114986"/>
    <d v="2016-04-08T00:00:00"/>
    <n v="5543"/>
    <n v="3.7200000286102299"/>
    <n v="3.7200000286102299"/>
    <n v="0"/>
    <n v="0"/>
    <n v="0"/>
    <n v="3.7200000286102299"/>
    <n v="0"/>
    <n v="0"/>
    <n v="0"/>
    <n v="266"/>
    <n v="941"/>
    <n v="2303"/>
    <x v="0"/>
    <s v="April"/>
    <n v="266"/>
    <n v="1207"/>
    <n v="15.68"/>
    <x v="4"/>
    <s v="Sedentary"/>
    <s v="4445114986|2016-04-08"/>
    <b v="0"/>
  </r>
  <r>
    <n v="4445114986"/>
    <d v="2016-04-09T00:00:00"/>
    <n v="4195"/>
    <n v="2.8099999427795401"/>
    <n v="2.8099999427795401"/>
    <n v="0"/>
    <n v="0"/>
    <n v="0"/>
    <n v="2.8099999427795401"/>
    <n v="0"/>
    <n v="0"/>
    <n v="0"/>
    <n v="239"/>
    <n v="758"/>
    <n v="2210"/>
    <x v="1"/>
    <s v="April"/>
    <n v="239"/>
    <n v="997"/>
    <n v="12.63"/>
    <x v="2"/>
    <s v="Sedentary"/>
    <s v="4445114986|2016-04-09"/>
    <b v="0"/>
  </r>
  <r>
    <n v="4445114986"/>
    <d v="2016-04-10T00:00:00"/>
    <n v="6625"/>
    <n v="4.4499998092651403"/>
    <n v="4.4499998092651403"/>
    <n v="0"/>
    <n v="0"/>
    <n v="0"/>
    <n v="4.4499998092651403"/>
    <n v="0"/>
    <n v="0"/>
    <n v="0"/>
    <n v="316"/>
    <n v="755"/>
    <n v="2424"/>
    <x v="2"/>
    <s v="April"/>
    <n v="316"/>
    <n v="1071"/>
    <n v="12.58"/>
    <x v="4"/>
    <s v="Sedentary"/>
    <s v="4445114986|2016-04-10"/>
    <b v="0"/>
  </r>
  <r>
    <n v="4445114986"/>
    <d v="2016-04-11T00:00:00"/>
    <n v="5986"/>
    <n v="4.1300001144409197"/>
    <n v="4.1300001144409197"/>
    <n v="0"/>
    <n v="1.95000004768372"/>
    <n v="0.230000004172325"/>
    <n v="1.95000004768372"/>
    <n v="0"/>
    <n v="23"/>
    <n v="5"/>
    <n v="195"/>
    <n v="789"/>
    <n v="2297"/>
    <x v="3"/>
    <s v="April"/>
    <n v="223"/>
    <n v="1012"/>
    <n v="13.15"/>
    <x v="4"/>
    <s v="Moderately Active"/>
    <s v="4445114986|2016-04-11"/>
    <b v="0"/>
  </r>
  <r>
    <n v="4445114986"/>
    <d v="2016-04-12T00:00:00"/>
    <n v="278"/>
    <n v="0.18999999761581399"/>
    <n v="0.18999999761581399"/>
    <n v="0"/>
    <n v="0"/>
    <n v="0"/>
    <n v="0.18999999761581399"/>
    <n v="0"/>
    <n v="0"/>
    <n v="0"/>
    <n v="20"/>
    <n v="253"/>
    <n v="745"/>
    <x v="4"/>
    <s v="April"/>
    <n v="20"/>
    <n v="273"/>
    <n v="4.22"/>
    <x v="2"/>
    <s v="Sedentary"/>
    <s v="4445114986|2016-04-12"/>
    <b v="1"/>
  </r>
  <r>
    <n v="4558609924"/>
    <d v="2016-04-01T00:00:00"/>
    <n v="5336"/>
    <n v="3.5299999713897701"/>
    <n v="3.5299999713897701"/>
    <n v="0"/>
    <n v="0"/>
    <n v="0"/>
    <n v="3.5299999713897701"/>
    <n v="0"/>
    <n v="0"/>
    <n v="0"/>
    <n v="258"/>
    <n v="1182"/>
    <n v="1902"/>
    <x v="0"/>
    <s v="April"/>
    <n v="258"/>
    <n v="1440"/>
    <n v="19.7"/>
    <x v="4"/>
    <s v="Sedentary"/>
    <s v="4558609924|2016-04-01"/>
    <b v="0"/>
  </r>
  <r>
    <n v="4558609924"/>
    <d v="2016-04-02T00:00:00"/>
    <n v="3183"/>
    <n v="2.0999999046325701"/>
    <n v="2.0999999046325701"/>
    <n v="0"/>
    <n v="0"/>
    <n v="0"/>
    <n v="2.0999999046325701"/>
    <n v="0"/>
    <n v="0"/>
    <n v="0"/>
    <n v="173"/>
    <n v="1180"/>
    <n v="1680"/>
    <x v="1"/>
    <s v="April"/>
    <n v="173"/>
    <n v="1353"/>
    <n v="19.670000000000002"/>
    <x v="2"/>
    <s v="Sedentary"/>
    <s v="4558609924|2016-04-02"/>
    <b v="0"/>
  </r>
  <r>
    <n v="4558609924"/>
    <d v="2016-04-03T00:00:00"/>
    <n v="6176"/>
    <n v="4.0799999237060502"/>
    <n v="4.0799999237060502"/>
    <n v="0"/>
    <n v="7.0000000298023196E-2"/>
    <n v="0.259999990463257"/>
    <n v="3.75"/>
    <n v="0"/>
    <n v="1"/>
    <n v="7"/>
    <n v="269"/>
    <n v="886"/>
    <n v="1901"/>
    <x v="2"/>
    <s v="April"/>
    <n v="277"/>
    <n v="1163"/>
    <n v="14.77"/>
    <x v="4"/>
    <s v="Lightly Active"/>
    <s v="4558609924|2016-04-03"/>
    <b v="0"/>
  </r>
  <r>
    <n v="4558609924"/>
    <d v="2016-04-04T00:00:00"/>
    <n v="8205"/>
    <n v="5.4200000762939498"/>
    <n v="5.4200000762939498"/>
    <n v="0"/>
    <n v="0"/>
    <n v="0"/>
    <n v="5.4200000762939498"/>
    <n v="0"/>
    <n v="0"/>
    <n v="0"/>
    <n v="367"/>
    <n v="1073"/>
    <n v="2078"/>
    <x v="3"/>
    <s v="April"/>
    <n v="367"/>
    <n v="1440"/>
    <n v="17.88"/>
    <x v="3"/>
    <s v="Sedentary"/>
    <s v="4558609924|2016-04-04"/>
    <b v="0"/>
  </r>
  <r>
    <n v="4558609924"/>
    <d v="2016-04-05T00:00:00"/>
    <n v="6799"/>
    <n v="4.4899997711181596"/>
    <n v="4.4899997711181596"/>
    <n v="0"/>
    <n v="1.5900000333786"/>
    <n v="0.86000001430511497"/>
    <n v="2.03999996185303"/>
    <n v="0"/>
    <n v="24"/>
    <n v="14"/>
    <n v="185"/>
    <n v="1217"/>
    <n v="1876"/>
    <x v="4"/>
    <s v="April"/>
    <n v="223"/>
    <n v="1440"/>
    <n v="20.28"/>
    <x v="4"/>
    <s v="Moderately Active"/>
    <s v="4558609924|2016-04-05"/>
    <b v="0"/>
  </r>
  <r>
    <n v="4558609924"/>
    <d v="2016-04-06T00:00:00"/>
    <n v="5668"/>
    <n v="3.75"/>
    <n v="3.75"/>
    <n v="0"/>
    <n v="0"/>
    <n v="0"/>
    <n v="3.75"/>
    <n v="0"/>
    <n v="0"/>
    <n v="0"/>
    <n v="259"/>
    <n v="1181"/>
    <n v="1853"/>
    <x v="5"/>
    <s v="April"/>
    <n v="259"/>
    <n v="1440"/>
    <n v="19.68"/>
    <x v="4"/>
    <s v="Sedentary"/>
    <s v="4558609924|2016-04-06"/>
    <b v="0"/>
  </r>
  <r>
    <n v="4558609924"/>
    <d v="2016-04-07T00:00:00"/>
    <n v="7998"/>
    <n v="5.28999996185303"/>
    <n v="5.28999996185303"/>
    <n v="0"/>
    <n v="0.50999999046325695"/>
    <n v="0.25"/>
    <n v="4.5300002098083496"/>
    <n v="0"/>
    <n v="27"/>
    <n v="12"/>
    <n v="296"/>
    <n v="1105"/>
    <n v="2235"/>
    <x v="6"/>
    <s v="April"/>
    <n v="335"/>
    <n v="1440"/>
    <n v="18.420000000000002"/>
    <x v="3"/>
    <s v="Moderately Active"/>
    <s v="4558609924|2016-04-07"/>
    <b v="0"/>
  </r>
  <r>
    <n v="4558609924"/>
    <d v="2016-04-08T00:00:00"/>
    <n v="4195"/>
    <n v="2.7699999809265101"/>
    <n v="2.7699999809265101"/>
    <n v="0"/>
    <n v="0"/>
    <n v="0"/>
    <n v="2.7699999809265101"/>
    <n v="0"/>
    <n v="0"/>
    <n v="0"/>
    <n v="241"/>
    <n v="1199"/>
    <n v="1778"/>
    <x v="0"/>
    <s v="April"/>
    <n v="241"/>
    <n v="1440"/>
    <n v="19.98"/>
    <x v="2"/>
    <s v="Sedentary"/>
    <s v="4558609924|2016-04-08"/>
    <b v="0"/>
  </r>
  <r>
    <n v="4558609924"/>
    <d v="2016-04-09T00:00:00"/>
    <n v="5512"/>
    <n v="3.6400001049041699"/>
    <n v="3.6400001049041699"/>
    <n v="0"/>
    <n v="0"/>
    <n v="0"/>
    <n v="3.6400001049041699"/>
    <n v="0"/>
    <n v="0"/>
    <n v="0"/>
    <n v="276"/>
    <n v="1164"/>
    <n v="1882"/>
    <x v="1"/>
    <s v="April"/>
    <n v="276"/>
    <n v="1440"/>
    <n v="19.399999999999999"/>
    <x v="4"/>
    <s v="Sedentary"/>
    <s v="4558609924|2016-04-09"/>
    <b v="0"/>
  </r>
  <r>
    <n v="4558609924"/>
    <d v="2016-04-10T00:00:00"/>
    <n v="6263"/>
    <n v="4.1399998664856001"/>
    <n v="4.1399998664856001"/>
    <n v="0"/>
    <n v="0"/>
    <n v="0"/>
    <n v="4.1300001144409197"/>
    <n v="0"/>
    <n v="0"/>
    <n v="0"/>
    <n v="290"/>
    <n v="1150"/>
    <n v="1906"/>
    <x v="2"/>
    <s v="April"/>
    <n v="290"/>
    <n v="1440"/>
    <n v="19.170000000000002"/>
    <x v="4"/>
    <s v="Sedentary"/>
    <s v="4558609924|2016-04-10"/>
    <b v="0"/>
  </r>
  <r>
    <n v="4558609924"/>
    <d v="2016-04-11T00:00:00"/>
    <n v="8828"/>
    <n v="5.8400001525878897"/>
    <n v="5.8400001525878897"/>
    <n v="0"/>
    <n v="0"/>
    <n v="0"/>
    <n v="5.8400001525878897"/>
    <n v="0"/>
    <n v="0"/>
    <n v="0"/>
    <n v="308"/>
    <n v="1132"/>
    <n v="2149"/>
    <x v="3"/>
    <s v="April"/>
    <n v="308"/>
    <n v="1440"/>
    <n v="18.87"/>
    <x v="3"/>
    <s v="Sedentary"/>
    <s v="4558609924|2016-04-11"/>
    <b v="0"/>
  </r>
  <r>
    <n v="4558609924"/>
    <d v="2016-04-12T00:00:00"/>
    <n v="1260"/>
    <n v="0.82999998331069902"/>
    <n v="0.82999998331069902"/>
    <n v="0"/>
    <n v="0"/>
    <n v="0"/>
    <n v="0.81999999284744296"/>
    <n v="0"/>
    <n v="0"/>
    <n v="0"/>
    <n v="76"/>
    <n v="555"/>
    <n v="722"/>
    <x v="4"/>
    <s v="April"/>
    <n v="76"/>
    <n v="631"/>
    <n v="9.25"/>
    <x v="2"/>
    <s v="Sedentary"/>
    <s v="4558609924|2016-04-12"/>
    <b v="0"/>
  </r>
  <r>
    <n v="4702921684"/>
    <d v="2016-03-29T00:00:00"/>
    <n v="6506"/>
    <n v="5.2800002098083496"/>
    <n v="5.2800002098083496"/>
    <n v="0"/>
    <n v="0.33000001311302202"/>
    <n v="0.270000010728836"/>
    <n v="4.6700000762939498"/>
    <n v="0"/>
    <n v="4"/>
    <n v="5"/>
    <n v="241"/>
    <n v="760"/>
    <n v="2886"/>
    <x v="4"/>
    <s v="March"/>
    <n v="250"/>
    <n v="1010"/>
    <n v="12.67"/>
    <x v="4"/>
    <s v="Lightly Active"/>
    <s v="4702921684|2016-03-29"/>
    <b v="0"/>
  </r>
  <r>
    <n v="4702921684"/>
    <d v="2016-03-30T00:00:00"/>
    <n v="7583"/>
    <n v="6.1500000953674299"/>
    <n v="6.1500000953674299"/>
    <n v="0"/>
    <n v="0.25"/>
    <n v="0.55000001192092896"/>
    <n v="5.3499999046325701"/>
    <n v="0"/>
    <n v="3"/>
    <n v="13"/>
    <n v="227"/>
    <n v="742"/>
    <n v="2915"/>
    <x v="5"/>
    <s v="March"/>
    <n v="243"/>
    <n v="985"/>
    <n v="12.37"/>
    <x v="3"/>
    <s v="Lightly Active"/>
    <s v="4702921684|2016-03-30"/>
    <b v="0"/>
  </r>
  <r>
    <n v="4702921684"/>
    <d v="2016-03-31T00:00:00"/>
    <n v="6963"/>
    <n v="5.6500000953674299"/>
    <n v="5.6500000953674299"/>
    <n v="0"/>
    <n v="0"/>
    <n v="0"/>
    <n v="5.6500000953674299"/>
    <n v="0"/>
    <n v="0"/>
    <n v="0"/>
    <n v="256"/>
    <n v="759"/>
    <n v="2895"/>
    <x v="6"/>
    <s v="March"/>
    <n v="256"/>
    <n v="1015"/>
    <n v="12.65"/>
    <x v="4"/>
    <s v="Sedentary"/>
    <s v="4702921684|2016-03-31"/>
    <b v="0"/>
  </r>
  <r>
    <n v="4702921684"/>
    <d v="2016-04-01T00:00:00"/>
    <n v="7165"/>
    <n v="5.8099999427795401"/>
    <n v="5.8099999427795401"/>
    <n v="0"/>
    <n v="0"/>
    <n v="0.37000000476837203"/>
    <n v="5.4400000572204599"/>
    <n v="0"/>
    <n v="0"/>
    <n v="9"/>
    <n v="248"/>
    <n v="708"/>
    <n v="2923"/>
    <x v="0"/>
    <s v="April"/>
    <n v="257"/>
    <n v="965"/>
    <n v="11.8"/>
    <x v="4"/>
    <s v="Sedentary"/>
    <s v="4702921684|2016-04-01"/>
    <b v="0"/>
  </r>
  <r>
    <n v="4702921684"/>
    <d v="2016-04-02T00:00:00"/>
    <n v="10328"/>
    <n v="8.3800001144409197"/>
    <n v="8.3800001144409197"/>
    <n v="0"/>
    <n v="0"/>
    <n v="1.46000003814697"/>
    <n v="6.9200000762939498"/>
    <n v="0"/>
    <n v="0"/>
    <n v="32"/>
    <n v="367"/>
    <n v="475"/>
    <n v="3323"/>
    <x v="1"/>
    <s v="April"/>
    <n v="399"/>
    <n v="874"/>
    <n v="7.92"/>
    <x v="0"/>
    <s v="Sedentary"/>
    <s v="4702921684|2016-04-02"/>
    <b v="0"/>
  </r>
  <r>
    <n v="4702921684"/>
    <d v="2016-04-03T00:00:00"/>
    <n v="12116"/>
    <n v="9.8299999237060494"/>
    <n v="9.8299999237060494"/>
    <n v="0"/>
    <n v="0.25"/>
    <n v="2.8499999046325701"/>
    <n v="6.7199997901916504"/>
    <n v="0"/>
    <n v="3"/>
    <n v="57"/>
    <n v="323"/>
    <n v="471"/>
    <n v="3357"/>
    <x v="2"/>
    <s v="April"/>
    <n v="383"/>
    <n v="854"/>
    <n v="7.85"/>
    <x v="0"/>
    <s v="Lightly Active"/>
    <s v="4702921684|2016-04-03"/>
    <b v="0"/>
  </r>
  <r>
    <n v="4702921684"/>
    <d v="2016-04-04T00:00:00"/>
    <n v="7810"/>
    <n v="6.3600001335143999"/>
    <n v="6.3600001335143999"/>
    <n v="0"/>
    <n v="0.479999989271164"/>
    <n v="1.20000004768372"/>
    <n v="4.6799998283386204"/>
    <n v="0"/>
    <n v="6"/>
    <n v="27"/>
    <n v="216"/>
    <n v="746"/>
    <n v="2931"/>
    <x v="3"/>
    <s v="April"/>
    <n v="249"/>
    <n v="995"/>
    <n v="12.43"/>
    <x v="3"/>
    <s v="Lightly Active"/>
    <s v="4702921684|2016-04-04"/>
    <b v="0"/>
  </r>
  <r>
    <n v="4702921684"/>
    <d v="2016-04-05T00:00:00"/>
    <n v="6670"/>
    <n v="5.4099998474121103"/>
    <n v="5.4099998474121103"/>
    <n v="0"/>
    <n v="1.2400000095367401"/>
    <n v="0.80000001192092896"/>
    <n v="3.3699998855590798"/>
    <n v="0"/>
    <n v="15"/>
    <n v="16"/>
    <n v="199"/>
    <n v="770"/>
    <n v="2848"/>
    <x v="4"/>
    <s v="April"/>
    <n v="230"/>
    <n v="1000"/>
    <n v="12.83"/>
    <x v="4"/>
    <s v="Moderately Active"/>
    <s v="4702921684|2016-04-05"/>
    <b v="0"/>
  </r>
  <r>
    <n v="4702921684"/>
    <d v="2016-04-06T00:00:00"/>
    <n v="7605"/>
    <n v="6.1799998283386204"/>
    <n v="6.1799998283386204"/>
    <n v="0"/>
    <n v="0.33000001311302202"/>
    <n v="0.20999999344348899"/>
    <n v="5.6300001144409197"/>
    <n v="0"/>
    <n v="4"/>
    <n v="4"/>
    <n v="248"/>
    <n v="708"/>
    <n v="2943"/>
    <x v="5"/>
    <s v="April"/>
    <n v="256"/>
    <n v="964"/>
    <n v="11.8"/>
    <x v="3"/>
    <s v="Lightly Active"/>
    <s v="4702921684|2016-04-06"/>
    <b v="0"/>
  </r>
  <r>
    <n v="4702921684"/>
    <d v="2016-04-07T00:00:00"/>
    <n v="6585"/>
    <n v="5.3400001525878897"/>
    <n v="5.3400001525878897"/>
    <n v="0"/>
    <n v="0"/>
    <n v="0"/>
    <n v="5.3400001525878897"/>
    <n v="0"/>
    <n v="0"/>
    <n v="0"/>
    <n v="210"/>
    <n v="770"/>
    <n v="2822"/>
    <x v="6"/>
    <s v="April"/>
    <n v="210"/>
    <n v="980"/>
    <n v="12.83"/>
    <x v="4"/>
    <s v="Sedentary"/>
    <s v="4702921684|2016-04-07"/>
    <b v="0"/>
  </r>
  <r>
    <n v="4702921684"/>
    <d v="2016-04-08T00:00:00"/>
    <n v="8184"/>
    <n v="6.6399998664856001"/>
    <n v="6.6399998664856001"/>
    <n v="0"/>
    <n v="0"/>
    <n v="0.62000000476837203"/>
    <n v="5.9499998092651403"/>
    <n v="0"/>
    <n v="0"/>
    <n v="15"/>
    <n v="247"/>
    <n v="808"/>
    <n v="2981"/>
    <x v="0"/>
    <s v="April"/>
    <n v="262"/>
    <n v="1070"/>
    <n v="13.47"/>
    <x v="3"/>
    <s v="Sedentary"/>
    <s v="4702921684|2016-04-08"/>
    <b v="0"/>
  </r>
  <r>
    <n v="4702921684"/>
    <d v="2016-04-09T00:00:00"/>
    <n v="14002"/>
    <n v="11.3599996566772"/>
    <n v="11.3599996566772"/>
    <n v="0"/>
    <n v="0.61000001430511497"/>
    <n v="2.6800000667571999"/>
    <n v="8.0600004196166992"/>
    <n v="0"/>
    <n v="8"/>
    <n v="56"/>
    <n v="381"/>
    <n v="407"/>
    <n v="3597"/>
    <x v="1"/>
    <s v="April"/>
    <n v="445"/>
    <n v="852"/>
    <n v="6.78"/>
    <x v="1"/>
    <s v="Lightly Active"/>
    <s v="4702921684|2016-04-09"/>
    <b v="0"/>
  </r>
  <r>
    <n v="4702921684"/>
    <d v="2016-04-10T00:00:00"/>
    <n v="11135"/>
    <n v="9.0299997329711896"/>
    <n v="9.0299997329711896"/>
    <n v="0"/>
    <n v="7.9999998211860698E-2"/>
    <n v="1.1599999666214"/>
    <n v="7.78999996185303"/>
    <n v="0"/>
    <n v="1"/>
    <n v="25"/>
    <n v="331"/>
    <n v="528"/>
    <n v="3224"/>
    <x v="2"/>
    <s v="April"/>
    <n v="357"/>
    <n v="885"/>
    <n v="8.8000000000000007"/>
    <x v="0"/>
    <s v="Lightly Active"/>
    <s v="4702921684|2016-04-10"/>
    <b v="0"/>
  </r>
  <r>
    <n v="4702921684"/>
    <d v="2016-04-11T00:00:00"/>
    <n v="6499"/>
    <n v="5.2699999809265101"/>
    <n v="5.2699999809265101"/>
    <n v="0"/>
    <n v="0"/>
    <n v="0"/>
    <n v="5.2699999809265101"/>
    <n v="0"/>
    <n v="0"/>
    <n v="0"/>
    <n v="207"/>
    <n v="809"/>
    <n v="2677"/>
    <x v="3"/>
    <s v="April"/>
    <n v="207"/>
    <n v="1016"/>
    <n v="13.48"/>
    <x v="4"/>
    <s v="Sedentary"/>
    <s v="4702921684|2016-04-11"/>
    <b v="0"/>
  </r>
  <r>
    <n v="4702921684"/>
    <d v="2016-04-12T00:00:00"/>
    <n v="0"/>
    <n v="0"/>
    <n v="0"/>
    <n v="0"/>
    <n v="0"/>
    <n v="0"/>
    <n v="0"/>
    <n v="0"/>
    <n v="0"/>
    <n v="0"/>
    <n v="0"/>
    <n v="1440"/>
    <n v="0"/>
    <x v="4"/>
    <s v="April"/>
    <n v="0"/>
    <n v="1440"/>
    <n v="24"/>
    <x v="2"/>
    <s v="Sedentary"/>
    <s v="4702921684|2016-04-12"/>
    <b v="1"/>
  </r>
  <r>
    <n v="5553957443"/>
    <d v="2016-04-01T00:00:00"/>
    <n v="12409"/>
    <n v="8.1000003814697301"/>
    <n v="8.1000003814697301"/>
    <n v="0"/>
    <n v="2.9000000953674299"/>
    <n v="0.62999999523162797"/>
    <n v="4.5799999237060502"/>
    <n v="0"/>
    <n v="51"/>
    <n v="12"/>
    <n v="235"/>
    <n v="782"/>
    <n v="2142"/>
    <x v="0"/>
    <s v="April"/>
    <n v="298"/>
    <n v="1080"/>
    <n v="13.03"/>
    <x v="0"/>
    <s v="Very Active"/>
    <s v="5553957443|2016-04-01"/>
    <b v="0"/>
  </r>
  <r>
    <n v="5553957443"/>
    <d v="2016-04-02T00:00:00"/>
    <n v="2937"/>
    <n v="1.91999995708466"/>
    <n v="1.91999995708466"/>
    <n v="0"/>
    <n v="0"/>
    <n v="0"/>
    <n v="1.9099999666214"/>
    <n v="0"/>
    <n v="0"/>
    <n v="0"/>
    <n v="181"/>
    <n v="356"/>
    <n v="1615"/>
    <x v="1"/>
    <s v="April"/>
    <n v="181"/>
    <n v="537"/>
    <n v="5.93"/>
    <x v="2"/>
    <s v="Sedentary"/>
    <s v="5553957443|2016-04-02"/>
    <b v="0"/>
  </r>
  <r>
    <n v="5553957443"/>
    <d v="2016-04-03T00:00:00"/>
    <n v="1515"/>
    <n v="0.99000000953674305"/>
    <n v="0.99000000953674305"/>
    <n v="0"/>
    <n v="0"/>
    <n v="0"/>
    <n v="0.99000000953674305"/>
    <n v="0"/>
    <n v="0"/>
    <n v="0"/>
    <n v="93"/>
    <n v="507"/>
    <n v="1481"/>
    <x v="2"/>
    <s v="April"/>
    <n v="93"/>
    <n v="600"/>
    <n v="8.4499999999999993"/>
    <x v="2"/>
    <s v="Sedentary"/>
    <s v="5553957443|2016-04-03"/>
    <b v="0"/>
  </r>
  <r>
    <n v="5553957443"/>
    <d v="2016-04-04T00:00:00"/>
    <n v="8921"/>
    <n v="5.8800001144409197"/>
    <n v="5.8800001144409197"/>
    <n v="0"/>
    <n v="2.0699999332428001"/>
    <n v="0.43999999761581399"/>
    <n v="3.3599998950958301"/>
    <n v="0"/>
    <n v="27"/>
    <n v="8"/>
    <n v="198"/>
    <n v="754"/>
    <n v="1892"/>
    <x v="3"/>
    <s v="April"/>
    <n v="233"/>
    <n v="987"/>
    <n v="12.57"/>
    <x v="3"/>
    <s v="Moderately Active"/>
    <s v="5553957443|2016-04-04"/>
    <b v="0"/>
  </r>
  <r>
    <n v="5553957443"/>
    <d v="2016-04-05T00:00:00"/>
    <n v="11306"/>
    <n v="7.3800001144409197"/>
    <n v="7.3800001144409197"/>
    <n v="0"/>
    <n v="2.3099999427795401"/>
    <n v="0.980000019073486"/>
    <n v="4.0900001525878897"/>
    <n v="0"/>
    <n v="40"/>
    <n v="26"/>
    <n v="218"/>
    <n v="772"/>
    <n v="2086"/>
    <x v="4"/>
    <s v="April"/>
    <n v="284"/>
    <n v="1056"/>
    <n v="12.87"/>
    <x v="0"/>
    <s v="Very Active"/>
    <s v="5553957443|2016-04-05"/>
    <b v="0"/>
  </r>
  <r>
    <n v="5553957443"/>
    <d v="2016-04-06T00:00:00"/>
    <n v="12252"/>
    <n v="8"/>
    <n v="8"/>
    <n v="0"/>
    <n v="2.4100000858306898"/>
    <n v="1.70000004768372"/>
    <n v="3.8900001049041699"/>
    <n v="0"/>
    <n v="33"/>
    <n v="28"/>
    <n v="229"/>
    <n v="745"/>
    <n v="2044"/>
    <x v="5"/>
    <s v="April"/>
    <n v="290"/>
    <n v="1035"/>
    <n v="12.42"/>
    <x v="0"/>
    <s v="Very Active"/>
    <s v="5553957443|2016-04-06"/>
    <b v="0"/>
  </r>
  <r>
    <n v="5553957443"/>
    <d v="2016-04-07T00:00:00"/>
    <n v="15444"/>
    <n v="10.079999923706101"/>
    <n v="10.079999923706101"/>
    <n v="0"/>
    <n v="3.2699999809265101"/>
    <n v="1.7300000190734901"/>
    <n v="5.0799999237060502"/>
    <n v="0"/>
    <n v="51"/>
    <n v="39"/>
    <n v="243"/>
    <n v="731"/>
    <n v="2249"/>
    <x v="6"/>
    <s v="April"/>
    <n v="333"/>
    <n v="1064"/>
    <n v="12.18"/>
    <x v="1"/>
    <s v="Very Active"/>
    <s v="5553957443|2016-04-07"/>
    <b v="0"/>
  </r>
  <r>
    <n v="5553957443"/>
    <d v="2016-04-08T00:00:00"/>
    <n v="9938"/>
    <n v="6.4899997711181596"/>
    <n v="6.4899997711181596"/>
    <n v="0"/>
    <n v="2.1400001049041699"/>
    <n v="1.2799999713897701"/>
    <n v="3.0799999237060498"/>
    <n v="0"/>
    <n v="38"/>
    <n v="24"/>
    <n v="193"/>
    <n v="767"/>
    <n v="2019"/>
    <x v="0"/>
    <s v="April"/>
    <n v="255"/>
    <n v="1022"/>
    <n v="12.78"/>
    <x v="3"/>
    <s v="Very Active"/>
    <s v="5553957443|2016-04-08"/>
    <b v="0"/>
  </r>
  <r>
    <n v="5553957443"/>
    <d v="2016-04-09T00:00:00"/>
    <n v="4599"/>
    <n v="3"/>
    <n v="3"/>
    <n v="0"/>
    <n v="0"/>
    <n v="0"/>
    <n v="3"/>
    <n v="0"/>
    <n v="0"/>
    <n v="0"/>
    <n v="176"/>
    <n v="578"/>
    <n v="1692"/>
    <x v="1"/>
    <s v="April"/>
    <n v="176"/>
    <n v="754"/>
    <n v="9.6300000000000008"/>
    <x v="2"/>
    <s v="Sedentary"/>
    <s v="5553957443|2016-04-09"/>
    <b v="0"/>
  </r>
  <r>
    <n v="5553957443"/>
    <d v="2016-04-10T00:00:00"/>
    <n v="5594"/>
    <n v="3.6500000953674299"/>
    <n v="3.6500000953674299"/>
    <n v="0"/>
    <n v="0.28000000119209301"/>
    <n v="1.4800000190734901"/>
    <n v="1.8899999856948899"/>
    <n v="0"/>
    <n v="4"/>
    <n v="25"/>
    <n v="150"/>
    <n v="552"/>
    <n v="1712"/>
    <x v="2"/>
    <s v="April"/>
    <n v="179"/>
    <n v="731"/>
    <n v="9.1999999999999993"/>
    <x v="4"/>
    <s v="Lightly Active"/>
    <s v="5553957443|2016-04-10"/>
    <b v="0"/>
  </r>
  <r>
    <n v="5553957443"/>
    <d v="2016-04-11T00:00:00"/>
    <n v="11906"/>
    <n v="7.7699999809265101"/>
    <n v="7.7699999809265101"/>
    <n v="0"/>
    <n v="2.2599999904632599"/>
    <n v="1.5199999809265099"/>
    <n v="3.9900000095367401"/>
    <n v="0"/>
    <n v="32"/>
    <n v="27"/>
    <n v="234"/>
    <n v="688"/>
    <n v="2065"/>
    <x v="3"/>
    <s v="April"/>
    <n v="293"/>
    <n v="981"/>
    <n v="11.47"/>
    <x v="0"/>
    <s v="Very Active"/>
    <s v="5553957443|2016-04-11"/>
    <b v="0"/>
  </r>
  <r>
    <n v="5553957443"/>
    <d v="2016-04-12T00:00:00"/>
    <n v="3436"/>
    <n v="2.2400000095367401"/>
    <n v="2.2400000095367401"/>
    <n v="0"/>
    <n v="0.5"/>
    <n v="0.67000001668930098"/>
    <n v="1.04999995231628"/>
    <n v="0"/>
    <n v="7"/>
    <n v="11"/>
    <n v="50"/>
    <n v="61"/>
    <n v="633"/>
    <x v="4"/>
    <s v="April"/>
    <n v="68"/>
    <n v="129"/>
    <n v="1.02"/>
    <x v="2"/>
    <s v="Lightly Active"/>
    <s v="5553957443|2016-04-12"/>
    <b v="1"/>
  </r>
  <r>
    <n v="5577150313"/>
    <d v="2016-04-01T00:00:00"/>
    <n v="10461"/>
    <n v="7.8699998855590803"/>
    <n v="7.8699998855590803"/>
    <n v="0"/>
    <n v="4.7600002288818404"/>
    <n v="0.85000002384185802"/>
    <n v="2.25"/>
    <n v="0"/>
    <n v="99"/>
    <n v="31"/>
    <n v="142"/>
    <n v="721"/>
    <n v="3625"/>
    <x v="0"/>
    <s v="April"/>
    <n v="272"/>
    <n v="993"/>
    <n v="12.02"/>
    <x v="0"/>
    <s v="Very Active"/>
    <s v="5577150313|2016-04-01"/>
    <b v="0"/>
  </r>
  <r>
    <n v="5577150313"/>
    <d v="2016-04-02T00:00:00"/>
    <n v="14873"/>
    <n v="11.1099996566772"/>
    <n v="11.1099996566772"/>
    <n v="0"/>
    <n v="8.1899995803833008"/>
    <n v="0.60000002384185802"/>
    <n v="2.3099999427795401"/>
    <n v="0"/>
    <n v="202"/>
    <n v="36"/>
    <n v="153"/>
    <n v="663"/>
    <n v="4430"/>
    <x v="1"/>
    <s v="April"/>
    <n v="391"/>
    <n v="1054"/>
    <n v="11.05"/>
    <x v="1"/>
    <s v="Very Active"/>
    <s v="5577150313|2016-04-02"/>
    <b v="0"/>
  </r>
  <r>
    <n v="5577150313"/>
    <d v="2016-04-03T00:00:00"/>
    <n v="9917"/>
    <n v="7.4099998474121103"/>
    <n v="7.4099998474121103"/>
    <n v="0"/>
    <n v="1.9900000095367401"/>
    <n v="0.97000002861022905"/>
    <n v="4.4400000572204599"/>
    <n v="0"/>
    <n v="58"/>
    <n v="27"/>
    <n v="240"/>
    <n v="700"/>
    <n v="3427"/>
    <x v="2"/>
    <s v="April"/>
    <n v="325"/>
    <n v="1025"/>
    <n v="11.67"/>
    <x v="3"/>
    <s v="Very Active"/>
    <s v="5577150313|2016-04-03"/>
    <b v="0"/>
  </r>
  <r>
    <n v="5577150313"/>
    <d v="2016-04-04T00:00:00"/>
    <n v="7401"/>
    <n v="5.5599999427795401"/>
    <n v="5.5599999427795401"/>
    <n v="0"/>
    <n v="2.3199999332428001"/>
    <n v="0.36000001430511502"/>
    <n v="2.8800001144409202"/>
    <n v="0"/>
    <n v="70"/>
    <n v="19"/>
    <n v="204"/>
    <n v="689"/>
    <n v="3492"/>
    <x v="3"/>
    <s v="April"/>
    <n v="293"/>
    <n v="982"/>
    <n v="11.48"/>
    <x v="4"/>
    <s v="Very Active"/>
    <s v="5577150313|2016-04-04"/>
    <b v="0"/>
  </r>
  <r>
    <n v="5577150313"/>
    <d v="2016-04-05T00:00:00"/>
    <n v="8964"/>
    <n v="6.6999998092651403"/>
    <n v="6.6999998092651403"/>
    <n v="0"/>
    <n v="3.9700000286102299"/>
    <n v="0.18999999761581399"/>
    <n v="2.5299999713897701"/>
    <n v="0"/>
    <n v="107"/>
    <n v="18"/>
    <n v="145"/>
    <n v="756"/>
    <n v="3597"/>
    <x v="4"/>
    <s v="April"/>
    <n v="270"/>
    <n v="1026"/>
    <n v="12.6"/>
    <x v="3"/>
    <s v="Very Active"/>
    <s v="5577150313|2016-04-05"/>
    <b v="0"/>
  </r>
  <r>
    <n v="5577150313"/>
    <d v="2016-04-06T00:00:00"/>
    <n v="11080"/>
    <n v="8.3000001907348597"/>
    <n v="8.3000001907348597"/>
    <n v="0"/>
    <n v="3.1300001144409202"/>
    <n v="1.37000000476837"/>
    <n v="3.8099999427795401"/>
    <n v="0"/>
    <n v="83"/>
    <n v="52"/>
    <n v="190"/>
    <n v="695"/>
    <n v="3765"/>
    <x v="5"/>
    <s v="April"/>
    <n v="325"/>
    <n v="1020"/>
    <n v="11.58"/>
    <x v="0"/>
    <s v="Very Active"/>
    <s v="5577150313|2016-04-06"/>
    <b v="0"/>
  </r>
  <r>
    <n v="5577150313"/>
    <d v="2016-04-07T00:00:00"/>
    <n v="4499"/>
    <n v="3.3599998950958301"/>
    <n v="3.3599998950958301"/>
    <n v="0"/>
    <n v="0.88999998569488503"/>
    <n v="0.259999990463257"/>
    <n v="2.21000003814697"/>
    <n v="0"/>
    <n v="31"/>
    <n v="11"/>
    <n v="146"/>
    <n v="756"/>
    <n v="2775"/>
    <x v="6"/>
    <s v="April"/>
    <n v="188"/>
    <n v="944"/>
    <n v="12.6"/>
    <x v="2"/>
    <s v="Very Active"/>
    <s v="5577150313|2016-04-07"/>
    <b v="0"/>
  </r>
  <r>
    <n v="5577150313"/>
    <d v="2016-04-08T00:00:00"/>
    <n v="4363"/>
    <n v="3.2599999904632599"/>
    <n v="3.2599999904632599"/>
    <n v="0"/>
    <n v="0.129999995231628"/>
    <n v="5.9999998658895499E-2"/>
    <n v="3.0799999237060498"/>
    <n v="0"/>
    <n v="8"/>
    <n v="2"/>
    <n v="156"/>
    <n v="813"/>
    <n v="2486"/>
    <x v="0"/>
    <s v="April"/>
    <n v="166"/>
    <n v="979"/>
    <n v="13.55"/>
    <x v="2"/>
    <s v="Lightly Active"/>
    <s v="5577150313|2016-04-08"/>
    <b v="0"/>
  </r>
  <r>
    <n v="5577150313"/>
    <d v="2016-04-09T00:00:00"/>
    <n v="10494"/>
    <n v="7.8400001525878897"/>
    <n v="7.8400001525878897"/>
    <n v="0"/>
    <n v="4.9099998474121103"/>
    <n v="0.77999997138977095"/>
    <n v="2.1500000953674299"/>
    <n v="0"/>
    <n v="123"/>
    <n v="62"/>
    <n v="138"/>
    <n v="601"/>
    <n v="3817"/>
    <x v="1"/>
    <s v="April"/>
    <n v="323"/>
    <n v="924"/>
    <n v="10.02"/>
    <x v="0"/>
    <s v="Very Active"/>
    <s v="5577150313|2016-04-09"/>
    <b v="0"/>
  </r>
  <r>
    <n v="5577150313"/>
    <d v="2016-04-10T00:00:00"/>
    <n v="9776"/>
    <n v="7.3800001144409197"/>
    <n v="7.3800001144409197"/>
    <n v="0"/>
    <n v="2.9300000667571999"/>
    <n v="1.4299999475479099"/>
    <n v="3.0199999809265101"/>
    <n v="0"/>
    <n v="80"/>
    <n v="35"/>
    <n v="162"/>
    <n v="721"/>
    <n v="3378"/>
    <x v="2"/>
    <s v="April"/>
    <n v="277"/>
    <n v="998"/>
    <n v="12.02"/>
    <x v="3"/>
    <s v="Very Active"/>
    <s v="5577150313|2016-04-10"/>
    <b v="0"/>
  </r>
  <r>
    <n v="5577150313"/>
    <d v="2016-04-11T00:00:00"/>
    <n v="2862"/>
    <n v="2.1400001049041699"/>
    <n v="2.1400001049041699"/>
    <n v="0"/>
    <n v="1.03999996185303"/>
    <n v="0.25"/>
    <n v="0.83999997377395597"/>
    <n v="0"/>
    <n v="39"/>
    <n v="17"/>
    <n v="54"/>
    <n v="209"/>
    <n v="1511"/>
    <x v="3"/>
    <s v="April"/>
    <n v="110"/>
    <n v="319"/>
    <n v="3.48"/>
    <x v="2"/>
    <s v="Very Active"/>
    <s v="5577150313|2016-04-11"/>
    <b v="0"/>
  </r>
  <r>
    <n v="6117666160"/>
    <d v="2016-04-01T00:00:00"/>
    <n v="7444"/>
    <n v="5.6199998855590803"/>
    <n v="5.6199998855590803"/>
    <n v="0"/>
    <n v="0"/>
    <n v="0"/>
    <n v="5.6199998855590803"/>
    <n v="0"/>
    <n v="0"/>
    <n v="0"/>
    <n v="286"/>
    <n v="568"/>
    <n v="2210"/>
    <x v="0"/>
    <s v="April"/>
    <n v="286"/>
    <n v="854"/>
    <n v="9.4700000000000006"/>
    <x v="4"/>
    <s v="Sedentary"/>
    <s v="6117666160|2016-04-01"/>
    <b v="0"/>
  </r>
  <r>
    <n v="6117666160"/>
    <d v="2016-04-02T00:00:00"/>
    <n v="19658"/>
    <n v="14.8400001525879"/>
    <n v="14.8400001525879"/>
    <n v="0"/>
    <n v="0.239999994635582"/>
    <n v="2.0899999141693102"/>
    <n v="12.5100002288818"/>
    <n v="0"/>
    <n v="3"/>
    <n v="30"/>
    <n v="475"/>
    <n v="466"/>
    <n v="2884"/>
    <x v="1"/>
    <s v="April"/>
    <n v="508"/>
    <n v="974"/>
    <n v="7.77"/>
    <x v="1"/>
    <s v="Lightly Active"/>
    <s v="6117666160|2016-04-02"/>
    <b v="0"/>
  </r>
  <r>
    <n v="6117666160"/>
    <d v="2016-04-03T00:00:00"/>
    <n v="0"/>
    <n v="0"/>
    <n v="0"/>
    <n v="0"/>
    <n v="0"/>
    <n v="0"/>
    <n v="0"/>
    <n v="0"/>
    <n v="0"/>
    <n v="0"/>
    <n v="0"/>
    <n v="1440"/>
    <n v="1496"/>
    <x v="2"/>
    <s v="April"/>
    <n v="0"/>
    <n v="1440"/>
    <n v="24"/>
    <x v="2"/>
    <s v="Sedentary"/>
    <s v="6117666160|2016-04-03"/>
    <b v="0"/>
  </r>
  <r>
    <n v="6117666160"/>
    <d v="2016-04-04T00:00:00"/>
    <n v="8468"/>
    <n v="6.3899998664856001"/>
    <n v="6.3899998664856001"/>
    <n v="0"/>
    <n v="0.18000000715255701"/>
    <n v="0.63999998569488503"/>
    <n v="5.5700001716613796"/>
    <n v="0"/>
    <n v="2"/>
    <n v="11"/>
    <n v="279"/>
    <n v="1148"/>
    <n v="2262"/>
    <x v="3"/>
    <s v="April"/>
    <n v="292"/>
    <n v="1440"/>
    <n v="19.13"/>
    <x v="3"/>
    <s v="Lightly Active"/>
    <s v="6117666160|2016-04-04"/>
    <b v="0"/>
  </r>
  <r>
    <n v="6117666160"/>
    <d v="2016-04-05T00:00:00"/>
    <n v="9910"/>
    <n v="7.4800000190734899"/>
    <n v="7.4800000190734899"/>
    <n v="0"/>
    <n v="0"/>
    <n v="0"/>
    <n v="7.4800000190734899"/>
    <n v="0"/>
    <n v="0"/>
    <n v="0"/>
    <n v="384"/>
    <n v="990"/>
    <n v="2445"/>
    <x v="4"/>
    <s v="April"/>
    <n v="384"/>
    <n v="1374"/>
    <n v="16.5"/>
    <x v="3"/>
    <s v="Sedentary"/>
    <s v="6117666160|2016-04-05"/>
    <b v="0"/>
  </r>
  <r>
    <n v="6117666160"/>
    <d v="2016-04-06T00:00:00"/>
    <n v="12409"/>
    <n v="9.3699998855590803"/>
    <n v="9.3699998855590803"/>
    <n v="0"/>
    <n v="0"/>
    <n v="0"/>
    <n v="9.3699998855590803"/>
    <n v="0"/>
    <n v="0"/>
    <n v="0"/>
    <n v="491"/>
    <n v="388"/>
    <n v="2694"/>
    <x v="5"/>
    <s v="April"/>
    <n v="491"/>
    <n v="879"/>
    <n v="6.47"/>
    <x v="0"/>
    <s v="Sedentary"/>
    <s v="6117666160|2016-04-06"/>
    <b v="0"/>
  </r>
  <r>
    <n v="6117666160"/>
    <d v="2016-04-07T00:00:00"/>
    <n v="4853"/>
    <n v="3.6600000858306898"/>
    <n v="3.6600000858306898"/>
    <n v="0"/>
    <n v="0"/>
    <n v="0"/>
    <n v="3.6600000858306898"/>
    <n v="0"/>
    <n v="0"/>
    <n v="0"/>
    <n v="156"/>
    <n v="770"/>
    <n v="1903"/>
    <x v="6"/>
    <s v="April"/>
    <n v="156"/>
    <n v="926"/>
    <n v="12.83"/>
    <x v="2"/>
    <s v="Sedentary"/>
    <s v="6117666160|2016-04-07"/>
    <b v="0"/>
  </r>
  <r>
    <n v="6117666160"/>
    <d v="2016-04-08T00:00:00"/>
    <n v="8955"/>
    <n v="6.7600002288818404"/>
    <n v="6.7600002288818404"/>
    <n v="0"/>
    <n v="0"/>
    <n v="0"/>
    <n v="6.7300000190734899"/>
    <n v="0"/>
    <n v="0"/>
    <n v="0"/>
    <n v="422"/>
    <n v="1018"/>
    <n v="2482"/>
    <x v="0"/>
    <s v="April"/>
    <n v="422"/>
    <n v="1440"/>
    <n v="16.97"/>
    <x v="3"/>
    <s v="Sedentary"/>
    <s v="6117666160|2016-04-08"/>
    <b v="0"/>
  </r>
  <r>
    <n v="6117666160"/>
    <d v="2016-04-09T00:00:00"/>
    <n v="10789"/>
    <n v="8.1499996185302699"/>
    <n v="8.1499996185302699"/>
    <n v="0"/>
    <n v="0"/>
    <n v="0"/>
    <n v="8.1499996185302699"/>
    <n v="0"/>
    <n v="0"/>
    <n v="0"/>
    <n v="506"/>
    <n v="413"/>
    <n v="2617"/>
    <x v="1"/>
    <s v="April"/>
    <n v="506"/>
    <n v="919"/>
    <n v="6.88"/>
    <x v="0"/>
    <s v="Sedentary"/>
    <s v="6117666160|2016-04-09"/>
    <b v="0"/>
  </r>
  <r>
    <n v="6117666160"/>
    <d v="2016-04-10T00:00:00"/>
    <n v="0"/>
    <n v="0"/>
    <n v="0"/>
    <n v="0"/>
    <n v="0"/>
    <n v="0"/>
    <n v="0"/>
    <n v="0"/>
    <n v="0"/>
    <n v="0"/>
    <n v="0"/>
    <n v="1440"/>
    <n v="0"/>
    <x v="2"/>
    <s v="April"/>
    <n v="0"/>
    <n v="1440"/>
    <n v="24"/>
    <x v="2"/>
    <s v="Sedentary"/>
    <s v="6117666160|2016-04-10"/>
    <b v="0"/>
  </r>
  <r>
    <n v="6290855005"/>
    <d v="2016-04-01T00:00:00"/>
    <n v="6633"/>
    <n v="5.0100002288818404"/>
    <n v="5.0100002288818404"/>
    <n v="0"/>
    <n v="0"/>
    <n v="0"/>
    <n v="5.0100002288818404"/>
    <n v="0"/>
    <n v="0"/>
    <n v="0"/>
    <n v="280"/>
    <n v="1160"/>
    <n v="2778"/>
    <x v="0"/>
    <s v="April"/>
    <n v="280"/>
    <n v="1440"/>
    <n v="19.329999999999998"/>
    <x v="4"/>
    <s v="Sedentary"/>
    <s v="6290855005|2016-04-01"/>
    <b v="0"/>
  </r>
  <r>
    <n v="6290855005"/>
    <d v="2016-04-02T00:00:00"/>
    <n v="9548"/>
    <n v="7.2199997901916504"/>
    <n v="7.2199997901916504"/>
    <n v="0"/>
    <n v="2.0199999809265101"/>
    <n v="3.6800000667571999"/>
    <n v="1.5199999809265099"/>
    <n v="0"/>
    <n v="25"/>
    <n v="107"/>
    <n v="113"/>
    <n v="1195"/>
    <n v="3119"/>
    <x v="1"/>
    <s v="April"/>
    <n v="245"/>
    <n v="1440"/>
    <n v="19.920000000000002"/>
    <x v="3"/>
    <s v="Moderately Active"/>
    <s v="6290855005|2016-04-02"/>
    <b v="0"/>
  </r>
  <r>
    <n v="6290855005"/>
    <d v="2016-04-03T00:00:00"/>
    <n v="0"/>
    <n v="0"/>
    <n v="0"/>
    <n v="0"/>
    <n v="0"/>
    <n v="0"/>
    <n v="0"/>
    <n v="0"/>
    <n v="33"/>
    <n v="0"/>
    <n v="0"/>
    <n v="1407"/>
    <n v="2664"/>
    <x v="2"/>
    <s v="April"/>
    <n v="33"/>
    <n v="1440"/>
    <n v="23.45"/>
    <x v="2"/>
    <s v="Very Active"/>
    <s v="6290855005|2016-04-03"/>
    <b v="0"/>
  </r>
  <r>
    <n v="6290855005"/>
    <d v="2016-04-04T00:00:00"/>
    <n v="0"/>
    <n v="0"/>
    <n v="0"/>
    <n v="0"/>
    <n v="0"/>
    <n v="0"/>
    <n v="0"/>
    <n v="0"/>
    <n v="0"/>
    <n v="0"/>
    <n v="0"/>
    <n v="1440"/>
    <n v="2060"/>
    <x v="3"/>
    <s v="April"/>
    <n v="0"/>
    <n v="1440"/>
    <n v="24"/>
    <x v="2"/>
    <s v="Sedentary"/>
    <s v="6290855005|2016-04-04"/>
    <b v="0"/>
  </r>
  <r>
    <n v="6290855005"/>
    <d v="2016-04-05T00:00:00"/>
    <n v="0"/>
    <n v="0"/>
    <n v="0"/>
    <n v="0"/>
    <n v="0"/>
    <n v="0"/>
    <n v="0"/>
    <n v="0"/>
    <n v="0"/>
    <n v="0"/>
    <n v="0"/>
    <n v="1440"/>
    <n v="2060"/>
    <x v="4"/>
    <s v="April"/>
    <n v="0"/>
    <n v="1440"/>
    <n v="24"/>
    <x v="2"/>
    <s v="Sedentary"/>
    <s v="6290855005|2016-04-05"/>
    <b v="0"/>
  </r>
  <r>
    <n v="6290855005"/>
    <d v="2016-04-06T00:00:00"/>
    <n v="0"/>
    <n v="0"/>
    <n v="0"/>
    <n v="0"/>
    <n v="0"/>
    <n v="0"/>
    <n v="0"/>
    <n v="0"/>
    <n v="0"/>
    <n v="0"/>
    <n v="0"/>
    <n v="1440"/>
    <n v="2060"/>
    <x v="5"/>
    <s v="April"/>
    <n v="0"/>
    <n v="1440"/>
    <n v="24"/>
    <x v="2"/>
    <s v="Sedentary"/>
    <s v="6290855005|2016-04-06"/>
    <b v="0"/>
  </r>
  <r>
    <n v="6290855005"/>
    <d v="2016-04-07T00:00:00"/>
    <n v="0"/>
    <n v="0"/>
    <n v="0"/>
    <n v="0"/>
    <n v="0"/>
    <n v="0"/>
    <n v="0"/>
    <n v="0"/>
    <n v="0"/>
    <n v="0"/>
    <n v="0"/>
    <n v="1440"/>
    <n v="2060"/>
    <x v="6"/>
    <s v="April"/>
    <n v="0"/>
    <n v="1440"/>
    <n v="24"/>
    <x v="2"/>
    <s v="Sedentary"/>
    <s v="6290855005|2016-04-07"/>
    <b v="0"/>
  </r>
  <r>
    <n v="6290855005"/>
    <d v="2016-04-08T00:00:00"/>
    <n v="0"/>
    <n v="0"/>
    <n v="0"/>
    <n v="0"/>
    <n v="0"/>
    <n v="0"/>
    <n v="0"/>
    <n v="0"/>
    <n v="0"/>
    <n v="0"/>
    <n v="0"/>
    <n v="1440"/>
    <n v="2060"/>
    <x v="0"/>
    <s v="April"/>
    <n v="0"/>
    <n v="1440"/>
    <n v="24"/>
    <x v="2"/>
    <s v="Sedentary"/>
    <s v="6290855005|2016-04-08"/>
    <b v="0"/>
  </r>
  <r>
    <n v="6290855005"/>
    <d v="2016-04-09T00:00:00"/>
    <n v="0"/>
    <n v="0"/>
    <n v="0"/>
    <n v="0"/>
    <n v="0"/>
    <n v="0"/>
    <n v="0"/>
    <n v="0"/>
    <n v="0"/>
    <n v="0"/>
    <n v="0"/>
    <n v="1440"/>
    <n v="2060"/>
    <x v="1"/>
    <s v="April"/>
    <n v="0"/>
    <n v="1440"/>
    <n v="24"/>
    <x v="2"/>
    <s v="Sedentary"/>
    <s v="6290855005|2016-04-09"/>
    <b v="0"/>
  </r>
  <r>
    <n v="6290855005"/>
    <d v="2016-04-10T00:00:00"/>
    <n v="0"/>
    <n v="0"/>
    <n v="0"/>
    <n v="0"/>
    <n v="0"/>
    <n v="0"/>
    <n v="0"/>
    <n v="0"/>
    <n v="20"/>
    <n v="0"/>
    <n v="0"/>
    <n v="494"/>
    <n v="735"/>
    <x v="2"/>
    <s v="April"/>
    <n v="20"/>
    <n v="514"/>
    <n v="8.23"/>
    <x v="2"/>
    <s v="Moderately Active"/>
    <s v="6290855005|2016-04-10"/>
    <b v="0"/>
  </r>
  <r>
    <n v="6391747486"/>
    <d v="2016-04-01T00:00:00"/>
    <n v="0"/>
    <n v="0"/>
    <n v="0"/>
    <n v="0"/>
    <n v="0"/>
    <n v="0"/>
    <n v="0"/>
    <n v="0"/>
    <n v="0"/>
    <n v="0"/>
    <n v="0"/>
    <n v="1440"/>
    <n v="1820"/>
    <x v="0"/>
    <s v="April"/>
    <n v="0"/>
    <n v="1440"/>
    <n v="24"/>
    <x v="2"/>
    <s v="Sedentary"/>
    <s v="6391747486|2016-04-01"/>
    <b v="0"/>
  </r>
  <r>
    <n v="6391747486"/>
    <d v="2016-04-02T00:00:00"/>
    <n v="2101"/>
    <n v="2.0299999713897701"/>
    <n v="0"/>
    <n v="2.0277729034423801"/>
    <n v="2.0299999713897701"/>
    <n v="0"/>
    <n v="0"/>
    <n v="0"/>
    <n v="46"/>
    <n v="0"/>
    <n v="0"/>
    <n v="1394"/>
    <n v="2224"/>
    <x v="1"/>
    <s v="April"/>
    <n v="46"/>
    <n v="1440"/>
    <n v="23.23"/>
    <x v="2"/>
    <s v="Very Active"/>
    <s v="6391747486|2016-04-02"/>
    <b v="0"/>
  </r>
  <r>
    <n v="6391747486"/>
    <d v="2016-04-03T00:00:00"/>
    <n v="0"/>
    <n v="0"/>
    <n v="0"/>
    <n v="0"/>
    <n v="0"/>
    <n v="0"/>
    <n v="0"/>
    <n v="0"/>
    <n v="0"/>
    <n v="0"/>
    <n v="0"/>
    <n v="1440"/>
    <n v="1820"/>
    <x v="2"/>
    <s v="April"/>
    <n v="0"/>
    <n v="1440"/>
    <n v="24"/>
    <x v="2"/>
    <s v="Sedentary"/>
    <s v="6391747486|2016-04-03"/>
    <b v="0"/>
  </r>
  <r>
    <n v="6391747486"/>
    <d v="2016-04-04T00:00:00"/>
    <n v="0"/>
    <n v="0"/>
    <n v="0"/>
    <n v="0"/>
    <n v="0"/>
    <n v="0"/>
    <n v="0"/>
    <n v="0"/>
    <n v="0"/>
    <n v="0"/>
    <n v="0"/>
    <n v="1440"/>
    <n v="1820"/>
    <x v="3"/>
    <s v="April"/>
    <n v="0"/>
    <n v="1440"/>
    <n v="24"/>
    <x v="2"/>
    <s v="Sedentary"/>
    <s v="6391747486|2016-04-04"/>
    <b v="0"/>
  </r>
  <r>
    <n v="6391747486"/>
    <d v="2016-04-05T00:00:00"/>
    <n v="9766"/>
    <n v="7.5100002288818404"/>
    <n v="0.77999997138977095"/>
    <n v="6.7270569801330602"/>
    <n v="0"/>
    <n v="5.0000000745058101E-2"/>
    <n v="7.46000003814697"/>
    <n v="0"/>
    <n v="0"/>
    <n v="6"/>
    <n v="301"/>
    <n v="1133"/>
    <n v="2442"/>
    <x v="4"/>
    <s v="April"/>
    <n v="307"/>
    <n v="1440"/>
    <n v="18.88"/>
    <x v="3"/>
    <s v="Sedentary"/>
    <s v="6391747486|2016-04-05"/>
    <b v="0"/>
  </r>
  <r>
    <n v="6391747486"/>
    <d v="2016-04-06T00:00:00"/>
    <n v="165"/>
    <n v="0.129999995231628"/>
    <n v="0.129999995231628"/>
    <n v="0"/>
    <n v="0"/>
    <n v="0"/>
    <n v="0.129999995231628"/>
    <n v="0"/>
    <n v="0"/>
    <n v="0"/>
    <n v="8"/>
    <n v="1432"/>
    <n v="1849"/>
    <x v="5"/>
    <s v="April"/>
    <n v="8"/>
    <n v="1440"/>
    <n v="23.87"/>
    <x v="2"/>
    <s v="Sedentary"/>
    <s v="6391747486|2016-04-06"/>
    <b v="0"/>
  </r>
  <r>
    <n v="6391747486"/>
    <d v="2016-04-07T00:00:00"/>
    <n v="0"/>
    <n v="0"/>
    <n v="0"/>
    <n v="0"/>
    <n v="0"/>
    <n v="0"/>
    <n v="0"/>
    <n v="0"/>
    <n v="0"/>
    <n v="0"/>
    <n v="0"/>
    <n v="1440"/>
    <n v="1822"/>
    <x v="6"/>
    <s v="April"/>
    <n v="0"/>
    <n v="1440"/>
    <n v="24"/>
    <x v="2"/>
    <s v="Sedentary"/>
    <s v="6391747486|2016-04-07"/>
    <b v="0"/>
  </r>
  <r>
    <n v="6391747486"/>
    <d v="2016-04-08T00:00:00"/>
    <n v="0"/>
    <n v="0"/>
    <n v="0"/>
    <n v="0"/>
    <n v="0"/>
    <n v="0"/>
    <n v="0"/>
    <n v="0"/>
    <n v="0"/>
    <n v="0"/>
    <n v="0"/>
    <n v="1440"/>
    <n v="1820"/>
    <x v="0"/>
    <s v="April"/>
    <n v="0"/>
    <n v="1440"/>
    <n v="24"/>
    <x v="2"/>
    <s v="Sedentary"/>
    <s v="6391747486|2016-04-08"/>
    <b v="0"/>
  </r>
  <r>
    <n v="6391747486"/>
    <d v="2016-04-09T00:00:00"/>
    <n v="0"/>
    <n v="0"/>
    <n v="0"/>
    <n v="0"/>
    <n v="0"/>
    <n v="0"/>
    <n v="0"/>
    <n v="0"/>
    <n v="0"/>
    <n v="0"/>
    <n v="0"/>
    <n v="198"/>
    <n v="251"/>
    <x v="1"/>
    <s v="April"/>
    <n v="0"/>
    <n v="198"/>
    <n v="3.3"/>
    <x v="2"/>
    <s v="Sedentary"/>
    <s v="6391747486|2016-04-09"/>
    <b v="0"/>
  </r>
  <r>
    <n v="6775888955"/>
    <d v="2016-04-01T00:00:00"/>
    <n v="7225"/>
    <n v="5.1799998283386204"/>
    <n v="5.1799998283386204"/>
    <n v="0"/>
    <n v="1.7300000190734901"/>
    <n v="1.2699999809265099"/>
    <n v="2.1800000667571999"/>
    <n v="0"/>
    <n v="25"/>
    <n v="50"/>
    <n v="163"/>
    <n v="1189"/>
    <n v="3065"/>
    <x v="0"/>
    <s v="April"/>
    <n v="238"/>
    <n v="1427"/>
    <n v="19.82"/>
    <x v="4"/>
    <s v="Moderately Active"/>
    <s v="6775888955|2016-04-01"/>
    <b v="0"/>
  </r>
  <r>
    <n v="6775888955"/>
    <d v="2016-04-02T00:00:00"/>
    <n v="1988"/>
    <n v="1.4299999475479099"/>
    <n v="1.4299999475479099"/>
    <n v="0"/>
    <n v="0"/>
    <n v="0"/>
    <n v="1.4299999475479099"/>
    <n v="0"/>
    <n v="0"/>
    <n v="0"/>
    <n v="79"/>
    <n v="909"/>
    <n v="2207"/>
    <x v="1"/>
    <s v="April"/>
    <n v="79"/>
    <n v="988"/>
    <n v="15.15"/>
    <x v="2"/>
    <s v="Sedentary"/>
    <s v="6775888955|2016-04-02"/>
    <b v="0"/>
  </r>
  <r>
    <n v="6775888955"/>
    <d v="2016-04-03T00:00:00"/>
    <n v="1577"/>
    <n v="1.12999999523163"/>
    <n v="1.12999999523163"/>
    <n v="0"/>
    <n v="7.0000000298023196E-2"/>
    <n v="0.88999998569488503"/>
    <n v="0.17000000178813901"/>
    <n v="0"/>
    <n v="1"/>
    <n v="17"/>
    <n v="8"/>
    <n v="1414"/>
    <n v="1977"/>
    <x v="2"/>
    <s v="April"/>
    <n v="26"/>
    <n v="1440"/>
    <n v="23.57"/>
    <x v="2"/>
    <s v="Lightly Active"/>
    <s v="6775888955|2016-04-03"/>
    <b v="0"/>
  </r>
  <r>
    <n v="6775888955"/>
    <d v="2016-04-04T00:00:00"/>
    <n v="0"/>
    <n v="0"/>
    <n v="0"/>
    <n v="0"/>
    <n v="0"/>
    <n v="0"/>
    <n v="0"/>
    <n v="0"/>
    <n v="0"/>
    <n v="0"/>
    <n v="0"/>
    <n v="1440"/>
    <n v="1841"/>
    <x v="3"/>
    <s v="April"/>
    <n v="0"/>
    <n v="1440"/>
    <n v="24"/>
    <x v="2"/>
    <s v="Sedentary"/>
    <s v="6775888955|2016-04-04"/>
    <b v="0"/>
  </r>
  <r>
    <n v="6775888955"/>
    <d v="2016-04-05T00:00:00"/>
    <n v="9348"/>
    <n v="6.6999998092651403"/>
    <n v="6.6999998092651403"/>
    <n v="0"/>
    <n v="1.12999999523163"/>
    <n v="2.03999996185303"/>
    <n v="3.1400001049041699"/>
    <n v="0"/>
    <n v="56"/>
    <n v="133"/>
    <n v="240"/>
    <n v="1011"/>
    <n v="4286"/>
    <x v="4"/>
    <s v="April"/>
    <n v="429"/>
    <n v="1440"/>
    <n v="16.850000000000001"/>
    <x v="3"/>
    <s v="Very Active"/>
    <s v="6775888955|2016-04-05"/>
    <b v="0"/>
  </r>
  <r>
    <n v="6775888955"/>
    <d v="2016-04-06T00:00:00"/>
    <n v="11761"/>
    <n v="8.4300003051757795"/>
    <n v="8.4300003051757795"/>
    <n v="0"/>
    <n v="1.3099999427795399"/>
    <n v="2.4400000572204599"/>
    <n v="4.6799998283386204"/>
    <n v="0"/>
    <n v="24"/>
    <n v="99"/>
    <n v="300"/>
    <n v="550"/>
    <n v="3920"/>
    <x v="5"/>
    <s v="April"/>
    <n v="423"/>
    <n v="973"/>
    <n v="9.17"/>
    <x v="0"/>
    <s v="Moderately Active"/>
    <s v="6775888955|2016-04-06"/>
    <b v="0"/>
  </r>
  <r>
    <n v="6775888955"/>
    <d v="2016-04-07T00:00:00"/>
    <n v="13987"/>
    <n v="10.0299997329712"/>
    <n v="10.0299997329712"/>
    <n v="0"/>
    <n v="2.8699998855590798"/>
    <n v="3.3399999141693102"/>
    <n v="3.8199999332428001"/>
    <n v="0"/>
    <n v="46"/>
    <n v="114"/>
    <n v="250"/>
    <n v="739"/>
    <n v="3856"/>
    <x v="6"/>
    <s v="April"/>
    <n v="410"/>
    <n v="1149"/>
    <n v="12.32"/>
    <x v="1"/>
    <s v="Very Active"/>
    <s v="6775888955|2016-04-07"/>
    <b v="0"/>
  </r>
  <r>
    <n v="6775888955"/>
    <d v="2016-04-08T00:00:00"/>
    <n v="4131"/>
    <n v="2.96000003814697"/>
    <n v="2.96000003814697"/>
    <n v="0"/>
    <n v="1.37000000476837"/>
    <n v="0.61000001430511497"/>
    <n v="0.980000019073486"/>
    <n v="0"/>
    <n v="27"/>
    <n v="30"/>
    <n v="75"/>
    <n v="1308"/>
    <n v="2584"/>
    <x v="0"/>
    <s v="April"/>
    <n v="132"/>
    <n v="1440"/>
    <n v="21.8"/>
    <x v="2"/>
    <s v="Moderately Active"/>
    <s v="6775888955|2016-04-08"/>
    <b v="0"/>
  </r>
  <r>
    <n v="6775888955"/>
    <d v="2016-04-09T00:00:00"/>
    <n v="14"/>
    <n v="9.9999997764825804E-3"/>
    <n v="9.9999997764825804E-3"/>
    <n v="0"/>
    <n v="0"/>
    <n v="0"/>
    <n v="9.9999997764825804E-3"/>
    <n v="0"/>
    <n v="0"/>
    <n v="0"/>
    <n v="1"/>
    <n v="601"/>
    <n v="787"/>
    <x v="1"/>
    <s v="April"/>
    <n v="1"/>
    <n v="602"/>
    <n v="10.02"/>
    <x v="2"/>
    <s v="Sedentary"/>
    <s v="6775888955|2016-04-09"/>
    <b v="0"/>
  </r>
  <r>
    <n v="6962181067"/>
    <d v="2016-03-30T00:00:00"/>
    <n v="15491"/>
    <n v="10.2399997711182"/>
    <n v="10.2399997711182"/>
    <n v="0"/>
    <n v="1.28999996185303"/>
    <n v="4.4899997711181596"/>
    <n v="4.46000003814697"/>
    <n v="0"/>
    <n v="18"/>
    <n v="77"/>
    <n v="272"/>
    <n v="641"/>
    <n v="2244"/>
    <x v="5"/>
    <s v="March"/>
    <n v="367"/>
    <n v="1008"/>
    <n v="10.68"/>
    <x v="1"/>
    <s v="Moderately Active"/>
    <s v="6962181067|2016-03-30"/>
    <b v="0"/>
  </r>
  <r>
    <n v="6962181067"/>
    <d v="2016-03-31T00:00:00"/>
    <n v="14097"/>
    <n v="9.3199996948242205"/>
    <n v="9.3199996948242205"/>
    <n v="0"/>
    <n v="3.5"/>
    <n v="1.91999995708466"/>
    <n v="3.9000000953674299"/>
    <n v="0"/>
    <n v="50"/>
    <n v="32"/>
    <n v="234"/>
    <n v="595"/>
    <n v="2188"/>
    <x v="6"/>
    <s v="March"/>
    <n v="316"/>
    <n v="911"/>
    <n v="9.92"/>
    <x v="1"/>
    <s v="Very Active"/>
    <s v="6962181067|2016-03-31"/>
    <b v="0"/>
  </r>
  <r>
    <n v="6962181067"/>
    <d v="2016-04-01T00:00:00"/>
    <n v="10467"/>
    <n v="6.9800000190734899"/>
    <n v="6.9800000190734899"/>
    <n v="0"/>
    <n v="0.69999998807907104"/>
    <n v="2.4300000667571999"/>
    <n v="3.8499999046325701"/>
    <n v="0"/>
    <n v="9"/>
    <n v="45"/>
    <n v="252"/>
    <n v="602"/>
    <n v="2014"/>
    <x v="0"/>
    <s v="April"/>
    <n v="306"/>
    <n v="908"/>
    <n v="10.029999999999999"/>
    <x v="0"/>
    <s v="Lightly Active"/>
    <s v="6962181067|2016-04-01"/>
    <b v="0"/>
  </r>
  <r>
    <n v="6962181067"/>
    <d v="2016-04-02T00:00:00"/>
    <n v="12437"/>
    <n v="8.3000001907348597"/>
    <n v="8.3000001907348597"/>
    <n v="0"/>
    <n v="3.7599999904632599"/>
    <n v="1.28999996185303"/>
    <n v="3.2400000095367401"/>
    <n v="0"/>
    <n v="50"/>
    <n v="24"/>
    <n v="219"/>
    <n v="732"/>
    <n v="2115"/>
    <x v="1"/>
    <s v="April"/>
    <n v="293"/>
    <n v="1025"/>
    <n v="12.2"/>
    <x v="0"/>
    <s v="Very Active"/>
    <s v="6962181067|2016-04-02"/>
    <b v="0"/>
  </r>
  <r>
    <n v="6962181067"/>
    <d v="2016-04-03T00:00:00"/>
    <n v="12307"/>
    <n v="8.1400003433227504"/>
    <n v="8.1400003433227504"/>
    <n v="0"/>
    <n v="1.0099999904632599"/>
    <n v="3.2599999904632599"/>
    <n v="3.8699998855590798"/>
    <n v="0"/>
    <n v="14"/>
    <n v="51"/>
    <n v="218"/>
    <n v="589"/>
    <n v="2055"/>
    <x v="2"/>
    <s v="April"/>
    <n v="283"/>
    <n v="872"/>
    <n v="9.82"/>
    <x v="0"/>
    <s v="Lightly Active"/>
    <s v="6962181067|2016-04-03"/>
    <b v="0"/>
  </r>
  <r>
    <n v="6962181067"/>
    <d v="2016-04-04T00:00:00"/>
    <n v="18952"/>
    <n v="12.800000190734901"/>
    <n v="12.800000190734901"/>
    <n v="0"/>
    <n v="5.9099998474121103"/>
    <n v="1.2300000190734901"/>
    <n v="5.6599998474121103"/>
    <n v="0"/>
    <n v="73"/>
    <n v="20"/>
    <n v="327"/>
    <n v="570"/>
    <n v="2437"/>
    <x v="3"/>
    <s v="April"/>
    <n v="420"/>
    <n v="990"/>
    <n v="9.5"/>
    <x v="1"/>
    <s v="Very Active"/>
    <s v="6962181067|2016-04-04"/>
    <b v="0"/>
  </r>
  <r>
    <n v="6962181067"/>
    <d v="2016-04-05T00:00:00"/>
    <n v="12010"/>
    <n v="7.9400000572204599"/>
    <n v="7.9400000572204599"/>
    <n v="0"/>
    <n v="2.3800001144409202"/>
    <n v="0.94999998807907104"/>
    <n v="4.6100001335143999"/>
    <n v="0"/>
    <n v="38"/>
    <n v="17"/>
    <n v="287"/>
    <n v="692"/>
    <n v="2158"/>
    <x v="4"/>
    <s v="April"/>
    <n v="342"/>
    <n v="1034"/>
    <n v="11.53"/>
    <x v="0"/>
    <s v="Very Active"/>
    <s v="6962181067|2016-04-05"/>
    <b v="0"/>
  </r>
  <r>
    <n v="6962181067"/>
    <d v="2016-04-06T00:00:00"/>
    <n v="12480"/>
    <n v="8.8599996566772496"/>
    <n v="8.25"/>
    <n v="3.9727950096130402"/>
    <n v="4.1799998283386204"/>
    <n v="0.68999999761581399"/>
    <n v="4"/>
    <n v="0"/>
    <n v="55"/>
    <n v="14"/>
    <n v="276"/>
    <n v="593"/>
    <n v="2170"/>
    <x v="5"/>
    <s v="April"/>
    <n v="345"/>
    <n v="938"/>
    <n v="9.8800000000000008"/>
    <x v="0"/>
    <s v="Very Active"/>
    <s v="6962181067|2016-04-06"/>
    <b v="0"/>
  </r>
  <r>
    <n v="6962181067"/>
    <d v="2016-04-07T00:00:00"/>
    <n v="13417"/>
    <n v="9.6499996185302699"/>
    <n v="8.8699998855590803"/>
    <n v="1.92630195617676"/>
    <n v="3.3900001049041699"/>
    <n v="1.25"/>
    <n v="4.9099998474121103"/>
    <n v="0.10000000149011599"/>
    <n v="45"/>
    <n v="16"/>
    <n v="284"/>
    <n v="665"/>
    <n v="2244"/>
    <x v="6"/>
    <s v="April"/>
    <n v="345"/>
    <n v="1010"/>
    <n v="11.08"/>
    <x v="1"/>
    <s v="Very Active"/>
    <s v="6962181067|2016-04-07"/>
    <b v="0"/>
  </r>
  <r>
    <n v="6962181067"/>
    <d v="2016-04-08T00:00:00"/>
    <n v="14400"/>
    <n v="10.8800001144409"/>
    <n v="9.5200004577636701"/>
    <n v="5.4568638801574698"/>
    <n v="2.4700000286102299"/>
    <n v="2.8800001144409202"/>
    <n v="5.5300002098083496"/>
    <n v="0"/>
    <n v="27"/>
    <n v="37"/>
    <n v="276"/>
    <n v="697"/>
    <n v="2188"/>
    <x v="0"/>
    <s v="April"/>
    <n v="340"/>
    <n v="1037"/>
    <n v="11.62"/>
    <x v="1"/>
    <s v="Moderately Active"/>
    <s v="6962181067|2016-04-08"/>
    <b v="0"/>
  </r>
  <r>
    <n v="6962181067"/>
    <d v="2016-04-09T00:00:00"/>
    <n v="12495"/>
    <n v="8.2600002288818395"/>
    <n v="8.2600002288818395"/>
    <n v="0"/>
    <n v="2.21000003814697"/>
    <n v="1.0900000333786"/>
    <n v="4.96000003814697"/>
    <n v="0"/>
    <n v="33"/>
    <n v="19"/>
    <n v="324"/>
    <n v="609"/>
    <n v="2231"/>
    <x v="1"/>
    <s v="April"/>
    <n v="376"/>
    <n v="985"/>
    <n v="10.15"/>
    <x v="0"/>
    <s v="Very Active"/>
    <s v="6962181067|2016-04-09"/>
    <b v="0"/>
  </r>
  <r>
    <n v="6962181067"/>
    <d v="2016-04-10T00:00:00"/>
    <n v="10148"/>
    <n v="6.71000003814697"/>
    <n v="6.71000003814697"/>
    <n v="0"/>
    <n v="1.3600000143051101"/>
    <n v="0.21999999880790699"/>
    <n v="5.1300001144409197"/>
    <n v="0"/>
    <n v="19"/>
    <n v="7"/>
    <n v="306"/>
    <n v="679"/>
    <n v="2100"/>
    <x v="2"/>
    <s v="April"/>
    <n v="332"/>
    <n v="1011"/>
    <n v="11.32"/>
    <x v="0"/>
    <s v="Moderately Active"/>
    <s v="6962181067|2016-04-10"/>
    <b v="0"/>
  </r>
  <r>
    <n v="6962181067"/>
    <d v="2016-04-11T00:00:00"/>
    <n v="12362"/>
    <n v="9.0900001525878906"/>
    <n v="8.1700000762939506"/>
    <n v="2.6964550018310498"/>
    <n v="1.0900000333786"/>
    <n v="2.7300000190734899"/>
    <n v="5.2699999809265101"/>
    <n v="0"/>
    <n v="21"/>
    <n v="38"/>
    <n v="297"/>
    <n v="678"/>
    <n v="2188"/>
    <x v="3"/>
    <s v="April"/>
    <n v="356"/>
    <n v="1034"/>
    <n v="11.3"/>
    <x v="0"/>
    <s v="Moderately Active"/>
    <s v="6962181067|2016-04-11"/>
    <b v="0"/>
  </r>
  <r>
    <n v="6962181067"/>
    <d v="2016-04-12T00:00:00"/>
    <n v="5893"/>
    <n v="3.9000000953674299"/>
    <n v="3.9000000953674299"/>
    <n v="0"/>
    <n v="2.8800001144409202"/>
    <n v="0.56000000238418601"/>
    <n v="0.46000000834464999"/>
    <n v="0"/>
    <n v="43"/>
    <n v="9"/>
    <n v="48"/>
    <n v="146"/>
    <n v="917"/>
    <x v="4"/>
    <s v="April"/>
    <n v="100"/>
    <n v="246"/>
    <n v="2.4300000000000002"/>
    <x v="4"/>
    <s v="Very Active"/>
    <s v="6962181067|2016-04-12"/>
    <b v="1"/>
  </r>
  <r>
    <n v="7007744171"/>
    <d v="2016-04-01T00:00:00"/>
    <n v="11680"/>
    <n v="9.0600004196166992"/>
    <n v="7.8099999427795401"/>
    <n v="4.9012827873229998"/>
    <n v="4.4899997711181596"/>
    <n v="0.33000001311302202"/>
    <n v="4.2399997711181596"/>
    <n v="0"/>
    <n v="50"/>
    <n v="7"/>
    <n v="244"/>
    <n v="1139"/>
    <n v="2573"/>
    <x v="0"/>
    <s v="April"/>
    <n v="301"/>
    <n v="1440"/>
    <n v="18.98"/>
    <x v="0"/>
    <s v="Very Active"/>
    <s v="7007744171|2016-04-01"/>
    <b v="0"/>
  </r>
  <r>
    <n v="7007744171"/>
    <d v="2016-04-02T00:00:00"/>
    <n v="10976"/>
    <n v="7.3400001525878897"/>
    <n v="7.3400001525878897"/>
    <n v="0"/>
    <n v="0.55000001192092896"/>
    <n v="0.67000001668930098"/>
    <n v="6.1300001144409197"/>
    <n v="0"/>
    <n v="9"/>
    <n v="16"/>
    <n v="271"/>
    <n v="1075"/>
    <n v="2575"/>
    <x v="1"/>
    <s v="April"/>
    <n v="296"/>
    <n v="1371"/>
    <n v="17.920000000000002"/>
    <x v="0"/>
    <s v="Lightly Active"/>
    <s v="7007744171|2016-04-02"/>
    <b v="0"/>
  </r>
  <r>
    <n v="7007744171"/>
    <d v="2016-04-03T00:00:00"/>
    <n v="16806"/>
    <n v="11.2399997711182"/>
    <n v="11.2399997711182"/>
    <n v="0"/>
    <n v="6.4099998474121103"/>
    <n v="1.37000000476837"/>
    <n v="3.4700000286102299"/>
    <n v="0"/>
    <n v="104"/>
    <n v="31"/>
    <n v="230"/>
    <n v="1002"/>
    <n v="3086"/>
    <x v="2"/>
    <s v="April"/>
    <n v="365"/>
    <n v="1367"/>
    <n v="16.7"/>
    <x v="1"/>
    <s v="Very Active"/>
    <s v="7007744171|2016-04-03"/>
    <b v="0"/>
  </r>
  <r>
    <n v="7007744171"/>
    <d v="2016-04-04T00:00:00"/>
    <n v="15266"/>
    <n v="11.3999996185303"/>
    <n v="10.210000038146999"/>
    <n v="5.1898498535156303"/>
    <n v="5.8000001907348597"/>
    <n v="0.75999999046325695"/>
    <n v="4.78999996185303"/>
    <n v="5.0000000745058101E-2"/>
    <n v="70"/>
    <n v="21"/>
    <n v="292"/>
    <n v="1057"/>
    <n v="2886"/>
    <x v="3"/>
    <s v="April"/>
    <n v="383"/>
    <n v="1440"/>
    <n v="17.62"/>
    <x v="1"/>
    <s v="Very Active"/>
    <s v="7007744171|2016-04-04"/>
    <b v="0"/>
  </r>
  <r>
    <n v="7007744171"/>
    <d v="2016-04-05T00:00:00"/>
    <n v="12084"/>
    <n v="9.1400003433227504"/>
    <n v="8.0799999237060494"/>
    <n v="4.8363800048828098"/>
    <n v="4.3899998664856001"/>
    <n v="0.46000000834464999"/>
    <n v="4.28999996185303"/>
    <n v="0"/>
    <n v="50"/>
    <n v="6"/>
    <n v="284"/>
    <n v="1030"/>
    <n v="2676"/>
    <x v="4"/>
    <s v="April"/>
    <n v="340"/>
    <n v="1370"/>
    <n v="17.170000000000002"/>
    <x v="0"/>
    <s v="Very Active"/>
    <s v="7007744171|2016-04-05"/>
    <b v="0"/>
  </r>
  <r>
    <n v="7007744171"/>
    <d v="2016-04-06T00:00:00"/>
    <n v="13513"/>
    <n v="10.25"/>
    <n v="9.0699996948242205"/>
    <n v="4.8357200622558603"/>
    <n v="5.3499999046325701"/>
    <n v="0.33000001311302202"/>
    <n v="4.5599999427795401"/>
    <n v="0"/>
    <n v="64"/>
    <n v="8"/>
    <n v="270"/>
    <n v="1098"/>
    <n v="2811"/>
    <x v="5"/>
    <s v="April"/>
    <n v="342"/>
    <n v="1440"/>
    <n v="18.3"/>
    <x v="1"/>
    <s v="Very Active"/>
    <s v="7007744171|2016-04-06"/>
    <b v="0"/>
  </r>
  <r>
    <n v="7007744171"/>
    <d v="2016-04-07T00:00:00"/>
    <n v="14100"/>
    <n v="10.579999923706101"/>
    <n v="9.4300003051757795"/>
    <n v="4.8759899139404297"/>
    <n v="5.0999999046325701"/>
    <n v="1.1900000572204601"/>
    <n v="4.2800002098083496"/>
    <n v="0"/>
    <n v="61"/>
    <n v="33"/>
    <n v="265"/>
    <n v="1015"/>
    <n v="2840"/>
    <x v="6"/>
    <s v="April"/>
    <n v="359"/>
    <n v="1374"/>
    <n v="16.920000000000002"/>
    <x v="1"/>
    <s v="Very Active"/>
    <s v="7007744171|2016-04-07"/>
    <b v="0"/>
  </r>
  <r>
    <n v="7007744171"/>
    <d v="2016-04-08T00:00:00"/>
    <n v="12627"/>
    <n v="9.6499996185302699"/>
    <n v="8.4499998092651403"/>
    <n v="4.8423199653625497"/>
    <n v="4.6999998092651403"/>
    <n v="0.74000000953674305"/>
    <n v="4.21000003814697"/>
    <n v="0"/>
    <n v="54"/>
    <n v="22"/>
    <n v="301"/>
    <n v="1063"/>
    <n v="2871"/>
    <x v="0"/>
    <s v="April"/>
    <n v="377"/>
    <n v="1440"/>
    <n v="17.72"/>
    <x v="1"/>
    <s v="Very Active"/>
    <s v="7007744171|2016-04-08"/>
    <b v="0"/>
  </r>
  <r>
    <n v="7007744171"/>
    <d v="2016-04-09T00:00:00"/>
    <n v="10345"/>
    <n v="6.9200000762939498"/>
    <n v="6.9200000762939498"/>
    <n v="0"/>
    <n v="7.0000000298023196E-2"/>
    <n v="0.270000010728836"/>
    <n v="6.5799999237060502"/>
    <n v="0"/>
    <n v="2"/>
    <n v="6"/>
    <n v="358"/>
    <n v="1074"/>
    <n v="2613"/>
    <x v="1"/>
    <s v="April"/>
    <n v="366"/>
    <n v="1440"/>
    <n v="17.899999999999999"/>
    <x v="0"/>
    <s v="Lightly Active"/>
    <s v="7007744171|2016-04-09"/>
    <b v="0"/>
  </r>
  <r>
    <n v="7007744171"/>
    <d v="2016-04-10T00:00:00"/>
    <n v="10146"/>
    <n v="6.78999996185303"/>
    <n v="6.78999996185303"/>
    <n v="0"/>
    <n v="7.0000000298023196E-2"/>
    <n v="0.61000001430511497"/>
    <n v="6.1100001335143999"/>
    <n v="0"/>
    <n v="1"/>
    <n v="12"/>
    <n v="397"/>
    <n v="1030"/>
    <n v="2700"/>
    <x v="2"/>
    <s v="April"/>
    <n v="410"/>
    <n v="1440"/>
    <n v="17.170000000000002"/>
    <x v="0"/>
    <s v="Lightly Active"/>
    <s v="7007744171|2016-04-10"/>
    <b v="0"/>
  </r>
  <r>
    <n v="7007744171"/>
    <d v="2016-04-11T00:00:00"/>
    <n v="12168"/>
    <n v="8.1400003433227504"/>
    <n v="8.1400003433227504"/>
    <n v="0"/>
    <n v="1.04999995231628"/>
    <n v="0.79000002145767201"/>
    <n v="6.28999996185303"/>
    <n v="0"/>
    <n v="18"/>
    <n v="27"/>
    <n v="375"/>
    <n v="1020"/>
    <n v="2871"/>
    <x v="3"/>
    <s v="April"/>
    <n v="420"/>
    <n v="1440"/>
    <n v="17"/>
    <x v="0"/>
    <s v="Moderately Active"/>
    <s v="7007744171|2016-04-11"/>
    <b v="0"/>
  </r>
  <r>
    <n v="7007744171"/>
    <d v="2016-04-12T00:00:00"/>
    <n v="7413"/>
    <n v="5.7699999809265101"/>
    <n v="4.96000003814697"/>
    <n v="4.8697829246520996"/>
    <n v="4.5"/>
    <n v="0.34000000357627902"/>
    <n v="0.93999999761581399"/>
    <n v="0"/>
    <n v="53"/>
    <n v="6"/>
    <n v="43"/>
    <n v="405"/>
    <n v="1023"/>
    <x v="4"/>
    <s v="April"/>
    <n v="102"/>
    <n v="507"/>
    <n v="6.75"/>
    <x v="4"/>
    <s v="Very Active"/>
    <s v="7007744171|2016-04-12"/>
    <b v="0"/>
  </r>
  <r>
    <n v="7086361926"/>
    <d v="2016-04-01T00:00:00"/>
    <n v="11463"/>
    <n v="7.6700000762939498"/>
    <n v="7.6700000762939498"/>
    <n v="0"/>
    <n v="2.8299999237060498"/>
    <n v="1.8899999856948899"/>
    <n v="2.9300000667571999"/>
    <n v="0"/>
    <n v="38"/>
    <n v="30"/>
    <n v="154"/>
    <n v="777"/>
    <n v="2496"/>
    <x v="0"/>
    <s v="April"/>
    <n v="222"/>
    <n v="999"/>
    <n v="12.95"/>
    <x v="0"/>
    <s v="Very Active"/>
    <s v="7086361926|2016-04-01"/>
    <b v="0"/>
  </r>
  <r>
    <n v="7086361926"/>
    <d v="2016-04-02T00:00:00"/>
    <n v="87"/>
    <n v="1.9999999552965199E-2"/>
    <n v="1.9999999552965199E-2"/>
    <n v="0"/>
    <n v="0"/>
    <n v="0"/>
    <n v="9.9999997764825804E-3"/>
    <n v="0"/>
    <n v="0"/>
    <n v="0"/>
    <n v="2"/>
    <n v="872"/>
    <n v="1641"/>
    <x v="1"/>
    <s v="April"/>
    <n v="2"/>
    <n v="874"/>
    <n v="14.53"/>
    <x v="2"/>
    <s v="Sedentary"/>
    <s v="7086361926|2016-04-02"/>
    <b v="0"/>
  </r>
  <r>
    <n v="7086361926"/>
    <d v="2016-04-03T00:00:00"/>
    <n v="1949"/>
    <n v="1.3099999427795399"/>
    <n v="1.3099999427795399"/>
    <n v="0"/>
    <n v="0.230000004172325"/>
    <n v="0.34999999403953602"/>
    <n v="0.730000019073486"/>
    <n v="0"/>
    <n v="3"/>
    <n v="6"/>
    <n v="27"/>
    <n v="1404"/>
    <n v="1794"/>
    <x v="2"/>
    <s v="April"/>
    <n v="36"/>
    <n v="1440"/>
    <n v="23.4"/>
    <x v="2"/>
    <s v="Lightly Active"/>
    <s v="7086361926|2016-04-03"/>
    <b v="0"/>
  </r>
  <r>
    <n v="7086361926"/>
    <d v="2016-04-04T00:00:00"/>
    <n v="6101"/>
    <n v="3.8699998855590798"/>
    <n v="3.8699998855590798"/>
    <n v="0"/>
    <n v="0.52999997138977095"/>
    <n v="0.230000004172325"/>
    <n v="3.0999999046325701"/>
    <n v="0"/>
    <n v="31"/>
    <n v="24"/>
    <n v="138"/>
    <n v="1247"/>
    <n v="2421"/>
    <x v="3"/>
    <s v="April"/>
    <n v="193"/>
    <n v="1440"/>
    <n v="20.78"/>
    <x v="4"/>
    <s v="Very Active"/>
    <s v="7086361926|2016-04-04"/>
    <b v="0"/>
  </r>
  <r>
    <n v="7086361926"/>
    <d v="2016-04-05T00:00:00"/>
    <n v="7478"/>
    <n v="4.9899997711181596"/>
    <n v="4.9899997711181596"/>
    <n v="0"/>
    <n v="1.79999995231628"/>
    <n v="0.52999997138977095"/>
    <n v="2.6099998950958301"/>
    <n v="2.9999999329447701E-2"/>
    <n v="25"/>
    <n v="33"/>
    <n v="132"/>
    <n v="1159"/>
    <n v="2439"/>
    <x v="4"/>
    <s v="April"/>
    <n v="190"/>
    <n v="1349"/>
    <n v="19.32"/>
    <x v="4"/>
    <s v="Moderately Active"/>
    <s v="7086361926|2016-04-05"/>
    <b v="0"/>
  </r>
  <r>
    <n v="7086361926"/>
    <d v="2016-04-06T00:00:00"/>
    <n v="7352"/>
    <n v="4.7300000190734899"/>
    <n v="4.7300000190734899"/>
    <n v="0"/>
    <n v="1.4099999666214"/>
    <n v="0.77999997138977095"/>
    <n v="2.5299999713897701"/>
    <n v="0"/>
    <n v="19"/>
    <n v="14"/>
    <n v="124"/>
    <n v="814"/>
    <n v="2233"/>
    <x v="5"/>
    <s v="April"/>
    <n v="157"/>
    <n v="971"/>
    <n v="13.57"/>
    <x v="4"/>
    <s v="Moderately Active"/>
    <s v="7086361926|2016-04-06"/>
    <b v="0"/>
  </r>
  <r>
    <n v="7086361926"/>
    <d v="2016-04-07T00:00:00"/>
    <n v="14604"/>
    <n v="10.819999694824199"/>
    <n v="10.819999694824199"/>
    <n v="0"/>
    <n v="7.2300000190734899"/>
    <n v="1.12000000476837"/>
    <n v="2.4300000667571999"/>
    <n v="2.9999999329447701E-2"/>
    <n v="76"/>
    <n v="30"/>
    <n v="127"/>
    <n v="695"/>
    <n v="2862"/>
    <x v="6"/>
    <s v="April"/>
    <n v="233"/>
    <n v="928"/>
    <n v="11.58"/>
    <x v="1"/>
    <s v="Very Active"/>
    <s v="7086361926|2016-04-07"/>
    <b v="0"/>
  </r>
  <r>
    <n v="7086361926"/>
    <d v="2016-04-08T00:00:00"/>
    <n v="9634"/>
    <n v="6.5199999809265101"/>
    <n v="6.5199999809265101"/>
    <n v="0"/>
    <n v="2.5"/>
    <n v="1.3999999761581401"/>
    <n v="2.5899999141693102"/>
    <n v="0"/>
    <n v="50"/>
    <n v="48"/>
    <n v="140"/>
    <n v="797"/>
    <n v="2752"/>
    <x v="0"/>
    <s v="April"/>
    <n v="238"/>
    <n v="1035"/>
    <n v="13.28"/>
    <x v="3"/>
    <s v="Very Active"/>
    <s v="7086361926|2016-04-08"/>
    <b v="0"/>
  </r>
  <r>
    <n v="7086361926"/>
    <d v="2016-04-09T00:00:00"/>
    <n v="7338"/>
    <n v="4.6700000762939498"/>
    <n v="4.6700000762939498"/>
    <n v="0"/>
    <n v="1.08000004291534"/>
    <n v="0.129999995231628"/>
    <n v="3.46000003814697"/>
    <n v="0"/>
    <n v="27"/>
    <n v="5"/>
    <n v="204"/>
    <n v="717"/>
    <n v="2519"/>
    <x v="1"/>
    <s v="April"/>
    <n v="236"/>
    <n v="953"/>
    <n v="11.95"/>
    <x v="4"/>
    <s v="Moderately Active"/>
    <s v="7086361926|2016-04-09"/>
    <b v="0"/>
  </r>
  <r>
    <n v="7086361926"/>
    <d v="2016-04-10T00:00:00"/>
    <n v="569"/>
    <n v="0.34999999403953602"/>
    <n v="0.34999999403953602"/>
    <n v="0"/>
    <n v="0"/>
    <n v="0"/>
    <n v="0.34000000357627902"/>
    <n v="0"/>
    <n v="0"/>
    <n v="0"/>
    <n v="27"/>
    <n v="1368"/>
    <n v="1799"/>
    <x v="2"/>
    <s v="April"/>
    <n v="27"/>
    <n v="1395"/>
    <n v="22.8"/>
    <x v="2"/>
    <s v="Sedentary"/>
    <s v="7086361926|2016-04-10"/>
    <b v="0"/>
  </r>
  <r>
    <n v="7086361926"/>
    <d v="2016-04-11T00:00:00"/>
    <n v="6242"/>
    <n v="3.9200000762939502"/>
    <n v="3.9200000762939502"/>
    <n v="0"/>
    <n v="0.74000000953674305"/>
    <n v="0.230000004172325"/>
    <n v="2.9300000667571999"/>
    <n v="0"/>
    <n v="46"/>
    <n v="22"/>
    <n v="126"/>
    <n v="741"/>
    <n v="2543"/>
    <x v="3"/>
    <s v="April"/>
    <n v="194"/>
    <n v="935"/>
    <n v="12.35"/>
    <x v="4"/>
    <s v="Very Active"/>
    <s v="7086361926|2016-04-11"/>
    <b v="0"/>
  </r>
  <r>
    <n v="7086361926"/>
    <d v="2016-04-12T00:00:00"/>
    <n v="430"/>
    <n v="0.259999990463257"/>
    <n v="0.259999990463257"/>
    <n v="0"/>
    <n v="0"/>
    <n v="0"/>
    <n v="0.259999990463257"/>
    <n v="0"/>
    <n v="0"/>
    <n v="0"/>
    <n v="14"/>
    <n v="75"/>
    <n v="625"/>
    <x v="4"/>
    <s v="April"/>
    <n v="14"/>
    <n v="89"/>
    <n v="1.25"/>
    <x v="2"/>
    <s v="Sedentary"/>
    <s v="7086361926|2016-04-12"/>
    <b v="1"/>
  </r>
  <r>
    <n v="8053475328"/>
    <d v="2016-04-02T00:00:00"/>
    <n v="20188"/>
    <n v="15.6199998855591"/>
    <n v="15.6199998855591"/>
    <n v="0"/>
    <n v="12.060000419616699"/>
    <n v="0.85000002384185802"/>
    <n v="2.71000003814697"/>
    <n v="0"/>
    <n v="124"/>
    <n v="19"/>
    <n v="172"/>
    <n v="1125"/>
    <n v="3377"/>
    <x v="1"/>
    <s v="April"/>
    <n v="315"/>
    <n v="1440"/>
    <n v="18.75"/>
    <x v="1"/>
    <s v="Very Active"/>
    <s v="8053475328|2016-04-02"/>
    <b v="0"/>
  </r>
  <r>
    <n v="8053475328"/>
    <d v="2016-04-03T00:00:00"/>
    <n v="25701"/>
    <n v="20.139999389648398"/>
    <n v="20.139999389648398"/>
    <n v="0"/>
    <n v="16.819999694824201"/>
    <n v="1.62999999523163"/>
    <n v="1.6900000572204601"/>
    <n v="0"/>
    <n v="165"/>
    <n v="36"/>
    <n v="97"/>
    <n v="1142"/>
    <n v="3697"/>
    <x v="2"/>
    <s v="April"/>
    <n v="298"/>
    <n v="1440"/>
    <n v="19.03"/>
    <x v="1"/>
    <s v="Very Active"/>
    <s v="8053475328|2016-04-03"/>
    <b v="0"/>
  </r>
  <r>
    <n v="8053475328"/>
    <d v="2016-04-04T00:00:00"/>
    <n v="17395"/>
    <n v="13.210000038146999"/>
    <n v="13.210000038146999"/>
    <n v="0"/>
    <n v="9.6700000762939506"/>
    <n v="0.18000000715255701"/>
    <n v="3.3499999046325701"/>
    <n v="0"/>
    <n v="100"/>
    <n v="4"/>
    <n v="213"/>
    <n v="1123"/>
    <n v="3209"/>
    <x v="3"/>
    <s v="April"/>
    <n v="317"/>
    <n v="1440"/>
    <n v="18.72"/>
    <x v="1"/>
    <s v="Very Active"/>
    <s v="8053475328|2016-04-04"/>
    <b v="0"/>
  </r>
  <r>
    <n v="8053475328"/>
    <d v="2016-04-05T00:00:00"/>
    <n v="17167"/>
    <n v="13.4099998474121"/>
    <n v="13.4099998474121"/>
    <n v="0"/>
    <n v="9.9600000381469709"/>
    <n v="0.31000000238418601"/>
    <n v="3.1400001049041699"/>
    <n v="0"/>
    <n v="98"/>
    <n v="8"/>
    <n v="184"/>
    <n v="1150"/>
    <n v="3167"/>
    <x v="4"/>
    <s v="April"/>
    <n v="290"/>
    <n v="1440"/>
    <n v="19.170000000000002"/>
    <x v="1"/>
    <s v="Very Active"/>
    <s v="8053475328|2016-04-05"/>
    <b v="0"/>
  </r>
  <r>
    <n v="8053475328"/>
    <d v="2016-04-06T00:00:00"/>
    <n v="16435"/>
    <n v="12.420000076293899"/>
    <n v="12.420000076293899"/>
    <n v="0"/>
    <n v="8.9600000381469709"/>
    <n v="0.55000001192092896"/>
    <n v="2.9100000858306898"/>
    <n v="0"/>
    <n v="100"/>
    <n v="14"/>
    <n v="191"/>
    <n v="1135"/>
    <n v="3122"/>
    <x v="5"/>
    <s v="April"/>
    <n v="305"/>
    <n v="1440"/>
    <n v="18.920000000000002"/>
    <x v="1"/>
    <s v="Very Active"/>
    <s v="8053475328|2016-04-06"/>
    <b v="0"/>
  </r>
  <r>
    <n v="8053475328"/>
    <d v="2016-04-07T00:00:00"/>
    <n v="17078"/>
    <n v="13.199999809265099"/>
    <n v="13.199999809265099"/>
    <n v="0"/>
    <n v="9.9700002670288104"/>
    <n v="0.239999994635582"/>
    <n v="2.9900000095367401"/>
    <n v="0"/>
    <n v="101"/>
    <n v="6"/>
    <n v="190"/>
    <n v="1143"/>
    <n v="3176"/>
    <x v="6"/>
    <s v="April"/>
    <n v="297"/>
    <n v="1440"/>
    <n v="19.05"/>
    <x v="1"/>
    <s v="Very Active"/>
    <s v="8053475328|2016-04-07"/>
    <b v="0"/>
  </r>
  <r>
    <n v="8053475328"/>
    <d v="2016-04-08T00:00:00"/>
    <n v="11693"/>
    <n v="9.5399999618530291"/>
    <n v="9.5399999618530291"/>
    <n v="0"/>
    <n v="6.7699999809265101"/>
    <n v="0.259999990463257"/>
    <n v="2.5"/>
    <n v="0"/>
    <n v="60"/>
    <n v="6"/>
    <n v="153"/>
    <n v="1221"/>
    <n v="2790"/>
    <x v="0"/>
    <s v="April"/>
    <n v="219"/>
    <n v="1440"/>
    <n v="20.350000000000001"/>
    <x v="0"/>
    <s v="Very Active"/>
    <s v="8053475328|2016-04-08"/>
    <b v="0"/>
  </r>
  <r>
    <n v="8053475328"/>
    <d v="2016-04-09T00:00:00"/>
    <n v="11159"/>
    <n v="9.1400003433227504"/>
    <n v="9.1400003433227504"/>
    <n v="0"/>
    <n v="6.6900000572204599"/>
    <n v="0.25"/>
    <n v="2.1900000572204599"/>
    <n v="0"/>
    <n v="59"/>
    <n v="6"/>
    <n v="120"/>
    <n v="1255"/>
    <n v="2715"/>
    <x v="1"/>
    <s v="April"/>
    <n v="185"/>
    <n v="1440"/>
    <n v="20.92"/>
    <x v="0"/>
    <s v="Very Active"/>
    <s v="8053475328|2016-04-09"/>
    <b v="0"/>
  </r>
  <r>
    <n v="8053475328"/>
    <d v="2016-04-10T00:00:00"/>
    <n v="10118"/>
    <n v="7.7300000190734899"/>
    <n v="7.7300000190734899"/>
    <n v="0"/>
    <n v="3.0499999523162802"/>
    <n v="0.80000001192092896"/>
    <n v="3.8800001144409202"/>
    <n v="0"/>
    <n v="30"/>
    <n v="18"/>
    <n v="207"/>
    <n v="1185"/>
    <n v="2684"/>
    <x v="2"/>
    <s v="April"/>
    <n v="255"/>
    <n v="1440"/>
    <n v="19.75"/>
    <x v="0"/>
    <s v="Very Active"/>
    <s v="8053475328|2016-04-10"/>
    <b v="0"/>
  </r>
  <r>
    <n v="8053475328"/>
    <d v="2016-04-11T00:00:00"/>
    <n v="16064"/>
    <n v="12.7200002670288"/>
    <n v="12.7200002670288"/>
    <n v="0"/>
    <n v="9.9799995422363299"/>
    <n v="0.36000001430511502"/>
    <n v="2.3800001144409202"/>
    <n v="0"/>
    <n v="96"/>
    <n v="8"/>
    <n v="155"/>
    <n v="1181"/>
    <n v="3097"/>
    <x v="3"/>
    <s v="April"/>
    <n v="259"/>
    <n v="1440"/>
    <n v="19.68"/>
    <x v="1"/>
    <s v="Very Active"/>
    <s v="8053475328|2016-04-11"/>
    <b v="0"/>
  </r>
  <r>
    <n v="8053475328"/>
    <d v="2016-04-12T00:00:00"/>
    <n v="290"/>
    <n v="0.20999999344348899"/>
    <n v="0.20999999344348899"/>
    <n v="0"/>
    <n v="0"/>
    <n v="0"/>
    <n v="0.20999999344348899"/>
    <n v="0"/>
    <n v="0"/>
    <n v="0"/>
    <n v="16"/>
    <n v="599"/>
    <n v="791"/>
    <x v="4"/>
    <s v="April"/>
    <n v="16"/>
    <n v="615"/>
    <n v="9.98"/>
    <x v="2"/>
    <s v="Sedentary"/>
    <s v="8053475328|2016-04-12"/>
    <b v="0"/>
  </r>
  <r>
    <n v="8253242879"/>
    <d v="2016-04-01T00:00:00"/>
    <n v="0"/>
    <n v="0"/>
    <n v="0"/>
    <n v="0"/>
    <n v="0"/>
    <n v="0"/>
    <n v="0"/>
    <n v="0"/>
    <n v="0"/>
    <n v="0"/>
    <n v="0"/>
    <n v="1440"/>
    <n v="1429"/>
    <x v="0"/>
    <s v="April"/>
    <n v="0"/>
    <n v="1440"/>
    <n v="24"/>
    <x v="2"/>
    <s v="Sedentary"/>
    <s v="8253242879|2016-04-01"/>
    <b v="0"/>
  </r>
  <r>
    <n v="8253242879"/>
    <d v="2016-04-02T00:00:00"/>
    <n v="0"/>
    <n v="0"/>
    <n v="0"/>
    <n v="0"/>
    <n v="0"/>
    <n v="0"/>
    <n v="0"/>
    <n v="0"/>
    <n v="0"/>
    <n v="0"/>
    <n v="0"/>
    <n v="1440"/>
    <n v="1429"/>
    <x v="1"/>
    <s v="April"/>
    <n v="0"/>
    <n v="1440"/>
    <n v="24"/>
    <x v="2"/>
    <s v="Sedentary"/>
    <s v="8253242879|2016-04-02"/>
    <b v="0"/>
  </r>
  <r>
    <n v="8253242879"/>
    <d v="2016-04-03T00:00:00"/>
    <n v="0"/>
    <n v="0"/>
    <n v="0"/>
    <n v="0"/>
    <n v="0"/>
    <n v="0"/>
    <n v="0"/>
    <n v="0"/>
    <n v="0"/>
    <n v="0"/>
    <n v="0"/>
    <n v="1440"/>
    <n v="1429"/>
    <x v="2"/>
    <s v="April"/>
    <n v="0"/>
    <n v="1440"/>
    <n v="24"/>
    <x v="2"/>
    <s v="Sedentary"/>
    <s v="8253242879|2016-04-03"/>
    <b v="0"/>
  </r>
  <r>
    <n v="8253242879"/>
    <d v="2016-04-04T00:00:00"/>
    <n v="0"/>
    <n v="0"/>
    <n v="0"/>
    <n v="0"/>
    <n v="0"/>
    <n v="0"/>
    <n v="0"/>
    <n v="0"/>
    <n v="0"/>
    <n v="0"/>
    <n v="0"/>
    <n v="1440"/>
    <n v="1429"/>
    <x v="3"/>
    <s v="April"/>
    <n v="0"/>
    <n v="1440"/>
    <n v="24"/>
    <x v="2"/>
    <s v="Sedentary"/>
    <s v="8253242879|2016-04-04"/>
    <b v="0"/>
  </r>
  <r>
    <n v="8253242879"/>
    <d v="2016-04-05T00:00:00"/>
    <n v="0"/>
    <n v="0"/>
    <n v="0"/>
    <n v="0"/>
    <n v="0"/>
    <n v="0"/>
    <n v="0"/>
    <n v="0"/>
    <n v="0"/>
    <n v="0"/>
    <n v="0"/>
    <n v="1440"/>
    <n v="1429"/>
    <x v="4"/>
    <s v="April"/>
    <n v="0"/>
    <n v="1440"/>
    <n v="24"/>
    <x v="2"/>
    <s v="Sedentary"/>
    <s v="8253242879|2016-04-05"/>
    <b v="0"/>
  </r>
  <r>
    <n v="8253242879"/>
    <d v="2016-04-06T00:00:00"/>
    <n v="1931"/>
    <n v="1.2799999713897701"/>
    <n v="1.2799999713897701"/>
    <n v="0"/>
    <n v="0"/>
    <n v="0"/>
    <n v="1.2799999713897701"/>
    <n v="0"/>
    <n v="0"/>
    <n v="0"/>
    <n v="94"/>
    <n v="1346"/>
    <n v="1607"/>
    <x v="5"/>
    <s v="April"/>
    <n v="94"/>
    <n v="1440"/>
    <n v="22.43"/>
    <x v="2"/>
    <s v="Sedentary"/>
    <s v="8253242879|2016-04-06"/>
    <b v="0"/>
  </r>
  <r>
    <n v="8253242879"/>
    <d v="2016-04-07T00:00:00"/>
    <n v="5181"/>
    <n v="3.4200000762939502"/>
    <n v="3.4200000762939502"/>
    <n v="0"/>
    <n v="1"/>
    <n v="0.91000002622604403"/>
    <n v="1.5099999904632599"/>
    <n v="9.9999997764825804E-3"/>
    <n v="15"/>
    <n v="15"/>
    <n v="107"/>
    <n v="1303"/>
    <n v="1776"/>
    <x v="6"/>
    <s v="April"/>
    <n v="137"/>
    <n v="1440"/>
    <n v="21.72"/>
    <x v="4"/>
    <s v="Moderately Active"/>
    <s v="8253242879|2016-04-07"/>
    <b v="0"/>
  </r>
  <r>
    <n v="8253242879"/>
    <d v="2016-04-08T00:00:00"/>
    <n v="12026"/>
    <n v="9.1499996185302699"/>
    <n v="9.1499996185302699"/>
    <n v="0"/>
    <n v="5.6999998092651403"/>
    <n v="0.93000000715255704"/>
    <n v="2.5099999904632599"/>
    <n v="0"/>
    <n v="47"/>
    <n v="13"/>
    <n v="150"/>
    <n v="1230"/>
    <n v="2162"/>
    <x v="0"/>
    <s v="April"/>
    <n v="210"/>
    <n v="1440"/>
    <n v="20.5"/>
    <x v="0"/>
    <s v="Very Active"/>
    <s v="8253242879|2016-04-08"/>
    <b v="0"/>
  </r>
  <r>
    <n v="8253242879"/>
    <d v="2016-04-09T00:00:00"/>
    <n v="5360"/>
    <n v="3.53999996185303"/>
    <n v="3.53999996185303"/>
    <n v="0"/>
    <n v="0.54000002145767201"/>
    <n v="1.54999995231628"/>
    <n v="1.46000003814697"/>
    <n v="0"/>
    <n v="8"/>
    <n v="28"/>
    <n v="148"/>
    <n v="1256"/>
    <n v="1832"/>
    <x v="1"/>
    <s v="April"/>
    <n v="184"/>
    <n v="1440"/>
    <n v="20.93"/>
    <x v="4"/>
    <s v="Lightly Active"/>
    <s v="8253242879|2016-04-09"/>
    <b v="0"/>
  </r>
  <r>
    <n v="8253242879"/>
    <d v="2016-04-10T00:00:00"/>
    <n v="2545"/>
    <n v="1.6799999475479099"/>
    <n v="1.6799999475479099"/>
    <n v="0"/>
    <n v="0"/>
    <n v="0"/>
    <n v="1.66999995708466"/>
    <n v="1.9999999552965199E-2"/>
    <n v="0"/>
    <n v="0"/>
    <n v="126"/>
    <n v="1314"/>
    <n v="1657"/>
    <x v="2"/>
    <s v="April"/>
    <n v="126"/>
    <n v="1440"/>
    <n v="21.9"/>
    <x v="2"/>
    <s v="Sedentary"/>
    <s v="8253242879|2016-04-10"/>
    <b v="0"/>
  </r>
  <r>
    <n v="8253242879"/>
    <d v="2016-04-11T00:00:00"/>
    <n v="1636"/>
    <n v="1.08000004291534"/>
    <n v="1.08000004291534"/>
    <n v="0"/>
    <n v="0"/>
    <n v="0"/>
    <n v="1.08000004291534"/>
    <n v="0"/>
    <n v="0"/>
    <n v="0"/>
    <n v="86"/>
    <n v="1139"/>
    <n v="1377"/>
    <x v="3"/>
    <s v="April"/>
    <n v="86"/>
    <n v="1225"/>
    <n v="18.98"/>
    <x v="2"/>
    <s v="Sedentary"/>
    <s v="8253242879|2016-04-11"/>
    <b v="0"/>
  </r>
  <r>
    <n v="8253242879"/>
    <d v="2016-04-12T00:00:00"/>
    <n v="0"/>
    <n v="0"/>
    <n v="0"/>
    <n v="0"/>
    <n v="0"/>
    <n v="0"/>
    <n v="0"/>
    <n v="0"/>
    <n v="0"/>
    <n v="0"/>
    <n v="0"/>
    <n v="1440"/>
    <n v="0"/>
    <x v="4"/>
    <s v="April"/>
    <n v="0"/>
    <n v="1440"/>
    <n v="24"/>
    <x v="2"/>
    <s v="Sedentary"/>
    <s v="8253242879|2016-04-12"/>
    <b v="0"/>
  </r>
  <r>
    <n v="8378563200"/>
    <d v="2016-04-01T00:00:00"/>
    <n v="14179"/>
    <n v="11.2399997711182"/>
    <n v="11.2399997711182"/>
    <n v="0"/>
    <n v="6.2300000190734899"/>
    <n v="1.0599999427795399"/>
    <n v="3.96000003814697"/>
    <n v="0"/>
    <n v="73"/>
    <n v="21"/>
    <n v="195"/>
    <n v="719"/>
    <n v="3669"/>
    <x v="0"/>
    <s v="April"/>
    <n v="289"/>
    <n v="1008"/>
    <n v="11.98"/>
    <x v="1"/>
    <s v="Very Active"/>
    <s v="8378563200|2016-04-01"/>
    <b v="0"/>
  </r>
  <r>
    <n v="8378563200"/>
    <d v="2016-04-02T00:00:00"/>
    <n v="3358"/>
    <n v="2.6600000858306898"/>
    <n v="2.6600000858306898"/>
    <n v="0"/>
    <n v="0"/>
    <n v="0"/>
    <n v="2.6600000858306898"/>
    <n v="0"/>
    <n v="0"/>
    <n v="0"/>
    <n v="144"/>
    <n v="657"/>
    <n v="2702"/>
    <x v="1"/>
    <s v="April"/>
    <n v="144"/>
    <n v="801"/>
    <n v="10.95"/>
    <x v="2"/>
    <s v="Sedentary"/>
    <s v="8378563200|2016-04-02"/>
    <b v="0"/>
  </r>
  <r>
    <n v="8378563200"/>
    <d v="2016-04-03T00:00:00"/>
    <n v="9152"/>
    <n v="7.2600002288818404"/>
    <n v="7.2600002288818404"/>
    <n v="0"/>
    <n v="1.9900000095367401"/>
    <n v="0.81999999284744296"/>
    <n v="4.4499998092651403"/>
    <n v="0"/>
    <n v="25"/>
    <n v="13"/>
    <n v="243"/>
    <n v="600"/>
    <n v="3304"/>
    <x v="2"/>
    <s v="April"/>
    <n v="281"/>
    <n v="881"/>
    <n v="10"/>
    <x v="3"/>
    <s v="Moderately Active"/>
    <s v="8378563200|2016-04-03"/>
    <b v="0"/>
  </r>
  <r>
    <n v="8378563200"/>
    <d v="2016-04-04T00:00:00"/>
    <n v="13935"/>
    <n v="11.050000190734901"/>
    <n v="11.050000190734901"/>
    <n v="2.0921471118927002"/>
    <n v="4.0900001525878897"/>
    <n v="0.79000002145767201"/>
    <n v="6.1700000762939498"/>
    <n v="0"/>
    <n v="105"/>
    <n v="16"/>
    <n v="220"/>
    <n v="658"/>
    <n v="4234"/>
    <x v="3"/>
    <s v="April"/>
    <n v="341"/>
    <n v="999"/>
    <n v="10.97"/>
    <x v="1"/>
    <s v="Very Active"/>
    <s v="8378563200|2016-04-04"/>
    <b v="0"/>
  </r>
  <r>
    <n v="8378563200"/>
    <d v="2016-04-05T00:00:00"/>
    <n v="12846"/>
    <n v="10.189999580383301"/>
    <n v="10.189999580383301"/>
    <n v="2.2530810832977299"/>
    <n v="5"/>
    <n v="0.75"/>
    <n v="4.4400000572204599"/>
    <n v="0"/>
    <n v="113"/>
    <n v="15"/>
    <n v="189"/>
    <n v="686"/>
    <n v="4128"/>
    <x v="4"/>
    <s v="April"/>
    <n v="317"/>
    <n v="1003"/>
    <n v="11.43"/>
    <x v="1"/>
    <s v="Very Active"/>
    <s v="8378563200|2016-04-05"/>
    <b v="0"/>
  </r>
  <r>
    <n v="8378563200"/>
    <d v="2016-04-06T00:00:00"/>
    <n v="9124"/>
    <n v="7.2399997711181596"/>
    <n v="7.2399997711181596"/>
    <n v="2.0921471118927002"/>
    <n v="0"/>
    <n v="0.25"/>
    <n v="6.9899997711181596"/>
    <n v="0"/>
    <n v="55"/>
    <n v="6"/>
    <n v="230"/>
    <n v="728"/>
    <n v="3798"/>
    <x v="5"/>
    <s v="April"/>
    <n v="291"/>
    <n v="1019"/>
    <n v="12.13"/>
    <x v="3"/>
    <s v="Very Active"/>
    <s v="8378563200|2016-04-06"/>
    <b v="0"/>
  </r>
  <r>
    <n v="8378563200"/>
    <d v="2016-04-07T00:00:00"/>
    <n v="9725"/>
    <n v="7.71000003814697"/>
    <n v="7.71000003814697"/>
    <n v="2.2530810832977299"/>
    <n v="2.4100000858306898"/>
    <n v="0.52999997138977095"/>
    <n v="4.7699999809265101"/>
    <n v="0"/>
    <n v="83"/>
    <n v="11"/>
    <n v="181"/>
    <n v="670"/>
    <n v="3839"/>
    <x v="6"/>
    <s v="April"/>
    <n v="275"/>
    <n v="945"/>
    <n v="11.17"/>
    <x v="3"/>
    <s v="Very Active"/>
    <s v="8378563200|2016-04-07"/>
    <b v="0"/>
  </r>
  <r>
    <n v="8378563200"/>
    <d v="2016-04-08T00:00:00"/>
    <n v="8350"/>
    <n v="6.6199998855590803"/>
    <n v="6.6199998855590803"/>
    <n v="2.0921471118927002"/>
    <n v="1.4900000095367401"/>
    <n v="0.52999997138977095"/>
    <n v="4.6100001335143999"/>
    <n v="0"/>
    <n v="72"/>
    <n v="10"/>
    <n v="167"/>
    <n v="868"/>
    <n v="3713"/>
    <x v="0"/>
    <s v="April"/>
    <n v="249"/>
    <n v="1117"/>
    <n v="14.47"/>
    <x v="3"/>
    <s v="Very Active"/>
    <s v="8378563200|2016-04-08"/>
    <b v="0"/>
  </r>
  <r>
    <n v="8378563200"/>
    <d v="2016-04-09T00:00:00"/>
    <n v="2240"/>
    <n v="1.7799999713897701"/>
    <n v="1.7799999713897701"/>
    <n v="0"/>
    <n v="0"/>
    <n v="0"/>
    <n v="1.7799999713897701"/>
    <n v="0"/>
    <n v="0"/>
    <n v="0"/>
    <n v="110"/>
    <n v="843"/>
    <n v="2606"/>
    <x v="1"/>
    <s v="April"/>
    <n v="110"/>
    <n v="953"/>
    <n v="14.05"/>
    <x v="2"/>
    <s v="Sedentary"/>
    <s v="8378563200|2016-04-09"/>
    <b v="0"/>
  </r>
  <r>
    <n v="8378563200"/>
    <d v="2016-04-10T00:00:00"/>
    <n v="2631"/>
    <n v="2.0899999141693102"/>
    <n v="2.0899999141693102"/>
    <n v="0"/>
    <n v="0"/>
    <n v="0"/>
    <n v="2.0899999141693102"/>
    <n v="0"/>
    <n v="0"/>
    <n v="0"/>
    <n v="117"/>
    <n v="727"/>
    <n v="2624"/>
    <x v="2"/>
    <s v="April"/>
    <n v="117"/>
    <n v="844"/>
    <n v="12.12"/>
    <x v="2"/>
    <s v="Sedentary"/>
    <s v="8378563200|2016-04-10"/>
    <b v="0"/>
  </r>
  <r>
    <n v="8378563200"/>
    <d v="2016-04-11T00:00:00"/>
    <n v="8837"/>
    <n v="7.0100002288818404"/>
    <n v="7.0100002288818404"/>
    <n v="2.0921471118927002"/>
    <n v="1.53999996185303"/>
    <n v="0.87999999523162797"/>
    <n v="4.5900001525878897"/>
    <n v="0"/>
    <n v="74"/>
    <n v="17"/>
    <n v="182"/>
    <n v="811"/>
    <n v="3775"/>
    <x v="3"/>
    <s v="April"/>
    <n v="273"/>
    <n v="1084"/>
    <n v="13.52"/>
    <x v="3"/>
    <s v="Very Active"/>
    <s v="8378563200|2016-04-11"/>
    <b v="0"/>
  </r>
  <r>
    <n v="8378563200"/>
    <d v="2016-04-12T00:00:00"/>
    <n v="3246"/>
    <n v="2.5699999332428001"/>
    <n v="2.5699999332428001"/>
    <n v="2.2530810832977299"/>
    <n v="0.82999998331069902"/>
    <n v="0.70999997854232799"/>
    <n v="1.0299999713897701"/>
    <n v="0"/>
    <n v="65"/>
    <n v="15"/>
    <n v="49"/>
    <n v="243"/>
    <n v="1882"/>
    <x v="4"/>
    <s v="April"/>
    <n v="129"/>
    <n v="372"/>
    <n v="4.05"/>
    <x v="2"/>
    <s v="Very Active"/>
    <s v="8378563200|2016-04-12"/>
    <b v="1"/>
  </r>
  <r>
    <n v="8583815059"/>
    <d v="2016-04-01T00:00:00"/>
    <n v="2174"/>
    <n v="1.70000004768372"/>
    <n v="1.70000004768372"/>
    <n v="0"/>
    <n v="0"/>
    <n v="0"/>
    <n v="1.70000004768372"/>
    <n v="0"/>
    <n v="0"/>
    <n v="0"/>
    <n v="112"/>
    <n v="1328"/>
    <n v="2360"/>
    <x v="0"/>
    <s v="April"/>
    <n v="112"/>
    <n v="1440"/>
    <n v="22.13"/>
    <x v="2"/>
    <s v="Sedentary"/>
    <s v="8583815059|2016-04-01"/>
    <b v="0"/>
  </r>
  <r>
    <n v="8583815059"/>
    <d v="2016-04-02T00:00:00"/>
    <n v="3494"/>
    <n v="2.7300000190734899"/>
    <n v="2.7300000190734899"/>
    <n v="0"/>
    <n v="0"/>
    <n v="0"/>
    <n v="2.6900000572204599"/>
    <n v="0"/>
    <n v="0"/>
    <n v="0"/>
    <n v="166"/>
    <n v="1274"/>
    <n v="2517"/>
    <x v="1"/>
    <s v="April"/>
    <n v="166"/>
    <n v="1440"/>
    <n v="21.23"/>
    <x v="2"/>
    <s v="Sedentary"/>
    <s v="8583815059|2016-04-02"/>
    <b v="0"/>
  </r>
  <r>
    <n v="8583815059"/>
    <d v="2016-04-03T00:00:00"/>
    <n v="2380"/>
    <n v="1.8600000143051101"/>
    <n v="1.8600000143051101"/>
    <n v="0"/>
    <n v="0"/>
    <n v="0"/>
    <n v="1.8600000143051101"/>
    <n v="0"/>
    <n v="0"/>
    <n v="0"/>
    <n v="131"/>
    <n v="1309"/>
    <n v="2400"/>
    <x v="2"/>
    <s v="April"/>
    <n v="131"/>
    <n v="1440"/>
    <n v="21.82"/>
    <x v="2"/>
    <s v="Sedentary"/>
    <s v="8583815059|2016-04-03"/>
    <b v="0"/>
  </r>
  <r>
    <n v="8583815059"/>
    <d v="2016-04-04T00:00:00"/>
    <n v="3159"/>
    <n v="2.46000003814697"/>
    <n v="2.46000003814697"/>
    <n v="0"/>
    <n v="0"/>
    <n v="0"/>
    <n v="2.46000003814697"/>
    <n v="0"/>
    <n v="0"/>
    <n v="0"/>
    <n v="147"/>
    <n v="1293"/>
    <n v="2462"/>
    <x v="3"/>
    <s v="April"/>
    <n v="147"/>
    <n v="1440"/>
    <n v="21.55"/>
    <x v="2"/>
    <s v="Sedentary"/>
    <s v="8583815059|2016-04-04"/>
    <b v="0"/>
  </r>
  <r>
    <n v="8583815059"/>
    <d v="2016-04-05T00:00:00"/>
    <n v="6835"/>
    <n v="5.3299999237060502"/>
    <n v="5.3299999237060502"/>
    <n v="0"/>
    <n v="0.37000000476837203"/>
    <n v="0.730000019073486"/>
    <n v="4.2399997711181596"/>
    <n v="0"/>
    <n v="5"/>
    <n v="15"/>
    <n v="212"/>
    <n v="1208"/>
    <n v="2786"/>
    <x v="4"/>
    <s v="April"/>
    <n v="232"/>
    <n v="1440"/>
    <n v="20.13"/>
    <x v="4"/>
    <s v="Lightly Active"/>
    <s v="8583815059|2016-04-05"/>
    <b v="0"/>
  </r>
  <r>
    <n v="8583815059"/>
    <d v="2016-04-06T00:00:00"/>
    <n v="2098"/>
    <n v="1.6399999856948899"/>
    <n v="1.6399999856948899"/>
    <n v="0"/>
    <n v="0"/>
    <n v="0"/>
    <n v="1.62999999523163"/>
    <n v="0"/>
    <n v="0"/>
    <n v="0"/>
    <n v="112"/>
    <n v="1328"/>
    <n v="2354"/>
    <x v="5"/>
    <s v="April"/>
    <n v="112"/>
    <n v="1440"/>
    <n v="22.13"/>
    <x v="2"/>
    <s v="Sedentary"/>
    <s v="8583815059|2016-04-06"/>
    <b v="0"/>
  </r>
  <r>
    <n v="8583815059"/>
    <d v="2016-04-07T00:00:00"/>
    <n v="2816"/>
    <n v="2.2000000476837198"/>
    <n v="2.2000000476837198"/>
    <n v="0"/>
    <n v="0"/>
    <n v="0"/>
    <n v="2.2000000476837198"/>
    <n v="0"/>
    <n v="0"/>
    <n v="0"/>
    <n v="138"/>
    <n v="1302"/>
    <n v="2437"/>
    <x v="6"/>
    <s v="April"/>
    <n v="138"/>
    <n v="1440"/>
    <n v="21.7"/>
    <x v="2"/>
    <s v="Sedentary"/>
    <s v="8583815059|2016-04-07"/>
    <b v="0"/>
  </r>
  <r>
    <n v="8583815059"/>
    <d v="2016-04-08T00:00:00"/>
    <n v="1408"/>
    <n v="1.1000000238418599"/>
    <n v="1.1000000238418599"/>
    <n v="0"/>
    <n v="0"/>
    <n v="0"/>
    <n v="1.1000000238418599"/>
    <n v="0"/>
    <n v="0"/>
    <n v="0"/>
    <n v="79"/>
    <n v="1052"/>
    <n v="1814"/>
    <x v="0"/>
    <s v="April"/>
    <n v="79"/>
    <n v="1131"/>
    <n v="17.53"/>
    <x v="2"/>
    <s v="Sedentary"/>
    <s v="8583815059|2016-04-08"/>
    <b v="0"/>
  </r>
  <r>
    <n v="8792009665"/>
    <d v="2016-04-01T00:00:00"/>
    <n v="4592"/>
    <n v="2.9400000572204599"/>
    <n v="2.9400000572204599"/>
    <n v="0"/>
    <n v="0.10000000149011599"/>
    <n v="0.140000000596046"/>
    <n v="2.7000000476837198"/>
    <n v="0"/>
    <n v="4"/>
    <n v="8"/>
    <n v="176"/>
    <n v="748"/>
    <n v="2260"/>
    <x v="0"/>
    <s v="April"/>
    <n v="188"/>
    <n v="936"/>
    <n v="12.47"/>
    <x v="2"/>
    <s v="Lightly Active"/>
    <s v="8792009665|2016-04-01"/>
    <b v="0"/>
  </r>
  <r>
    <n v="8792009665"/>
    <d v="2016-04-02T00:00:00"/>
    <n v="8452"/>
    <n v="5.4099998474121103"/>
    <n v="5.4099998474121103"/>
    <n v="0"/>
    <n v="0.259999990463257"/>
    <n v="0.38999998569488498"/>
    <n v="4.7600002288818404"/>
    <n v="0"/>
    <n v="9"/>
    <n v="24"/>
    <n v="328"/>
    <n v="1079"/>
    <n v="3004"/>
    <x v="1"/>
    <s v="April"/>
    <n v="361"/>
    <n v="1440"/>
    <n v="17.98"/>
    <x v="3"/>
    <s v="Lightly Active"/>
    <s v="8792009665|2016-04-02"/>
    <b v="0"/>
  </r>
  <r>
    <n v="8792009665"/>
    <d v="2016-04-03T00:00:00"/>
    <n v="7238"/>
    <n v="4.6300001144409197"/>
    <n v="4.6300001144409197"/>
    <n v="0"/>
    <n v="0.109999999403954"/>
    <n v="0.230000004172325"/>
    <n v="4.28999996185303"/>
    <n v="0"/>
    <n v="2"/>
    <n v="6"/>
    <n v="279"/>
    <n v="636"/>
    <n v="2667"/>
    <x v="2"/>
    <s v="April"/>
    <n v="287"/>
    <n v="923"/>
    <n v="10.6"/>
    <x v="4"/>
    <s v="Lightly Active"/>
    <s v="8792009665|2016-04-03"/>
    <b v="0"/>
  </r>
  <r>
    <n v="8792009665"/>
    <d v="2016-04-04T00:00:00"/>
    <n v="3821"/>
    <n v="2.4500000476837198"/>
    <n v="2.4500000476837198"/>
    <n v="0"/>
    <n v="0"/>
    <n v="0.21999999880790699"/>
    <n v="2.2300000190734899"/>
    <n v="0"/>
    <n v="0"/>
    <n v="9"/>
    <n v="161"/>
    <n v="675"/>
    <n v="2229"/>
    <x v="3"/>
    <s v="April"/>
    <n v="170"/>
    <n v="845"/>
    <n v="11.25"/>
    <x v="2"/>
    <s v="Sedentary"/>
    <s v="8792009665|2016-04-04"/>
    <b v="0"/>
  </r>
  <r>
    <n v="8792009665"/>
    <d v="2016-04-05T00:00:00"/>
    <n v="2332"/>
    <n v="1.4900000095367401"/>
    <n v="1.4900000095367401"/>
    <n v="0"/>
    <n v="9.9999997764825804E-3"/>
    <n v="0.18000000715255701"/>
    <n v="1.29999995231628"/>
    <n v="0"/>
    <n v="1"/>
    <n v="10"/>
    <n v="111"/>
    <n v="904"/>
    <n v="2100"/>
    <x v="4"/>
    <s v="April"/>
    <n v="122"/>
    <n v="1026"/>
    <n v="15.07"/>
    <x v="2"/>
    <s v="Lightly Active"/>
    <s v="8792009665|2016-04-05"/>
    <b v="0"/>
  </r>
  <r>
    <n v="8792009665"/>
    <d v="2016-04-06T00:00:00"/>
    <n v="2121"/>
    <n v="1.3600000143051101"/>
    <n v="1.3600000143051101"/>
    <n v="0"/>
    <n v="0"/>
    <n v="0"/>
    <n v="1.3600000143051101"/>
    <n v="0"/>
    <n v="0"/>
    <n v="0"/>
    <n v="122"/>
    <n v="855"/>
    <n v="2114"/>
    <x v="5"/>
    <s v="April"/>
    <n v="122"/>
    <n v="977"/>
    <n v="14.25"/>
    <x v="2"/>
    <s v="Sedentary"/>
    <s v="8792009665|2016-04-06"/>
    <b v="0"/>
  </r>
  <r>
    <n v="8792009665"/>
    <d v="2016-04-07T00:00:00"/>
    <n v="1291"/>
    <n v="0.82999998331069902"/>
    <n v="0.82999998331069902"/>
    <n v="0"/>
    <n v="0"/>
    <n v="0"/>
    <n v="0.82999998331069902"/>
    <n v="0"/>
    <n v="0"/>
    <n v="0"/>
    <n v="77"/>
    <n v="888"/>
    <n v="1961"/>
    <x v="6"/>
    <s v="April"/>
    <n v="77"/>
    <n v="965"/>
    <n v="14.8"/>
    <x v="2"/>
    <s v="Sedentary"/>
    <s v="8792009665|2016-04-07"/>
    <b v="0"/>
  </r>
  <r>
    <n v="8792009665"/>
    <d v="2016-04-08T00:00:00"/>
    <n v="1467"/>
    <n v="0.93999999761581399"/>
    <n v="0.93999999761581399"/>
    <n v="0"/>
    <n v="0.10000000149011599"/>
    <n v="0.20999999344348899"/>
    <n v="0.62999999523162797"/>
    <n v="0"/>
    <n v="2"/>
    <n v="8"/>
    <n v="71"/>
    <n v="912"/>
    <n v="1953"/>
    <x v="0"/>
    <s v="April"/>
    <n v="81"/>
    <n v="993"/>
    <n v="15.2"/>
    <x v="2"/>
    <s v="Lightly Active"/>
    <s v="8792009665|2016-04-08"/>
    <b v="0"/>
  </r>
  <r>
    <n v="8792009665"/>
    <d v="2016-04-09T00:00:00"/>
    <n v="1022"/>
    <n v="0.64999997615814198"/>
    <n v="0.64999997615814198"/>
    <n v="0"/>
    <n v="0"/>
    <n v="0"/>
    <n v="0.64999997615814198"/>
    <n v="0"/>
    <n v="0"/>
    <n v="0"/>
    <n v="63"/>
    <n v="739"/>
    <n v="1890"/>
    <x v="1"/>
    <s v="April"/>
    <n v="63"/>
    <n v="802"/>
    <n v="12.32"/>
    <x v="2"/>
    <s v="Sedentary"/>
    <s v="8792009665|2016-04-09"/>
    <b v="0"/>
  </r>
  <r>
    <n v="8792009665"/>
    <d v="2016-04-10T00:00:00"/>
    <n v="4605"/>
    <n v="2.9500000476837198"/>
    <n v="2.9500000476837198"/>
    <n v="0"/>
    <n v="0"/>
    <n v="0"/>
    <n v="2.9500000476837198"/>
    <n v="0"/>
    <n v="0"/>
    <n v="0"/>
    <n v="179"/>
    <n v="1261"/>
    <n v="2253"/>
    <x v="2"/>
    <s v="April"/>
    <n v="179"/>
    <n v="1440"/>
    <n v="21.02"/>
    <x v="2"/>
    <s v="Sedentary"/>
    <s v="8792009665|2016-04-10"/>
    <b v="0"/>
  </r>
  <r>
    <n v="8792009665"/>
    <d v="2016-04-11T00:00:00"/>
    <n v="178"/>
    <n v="0.109999999403954"/>
    <n v="0.109999999403954"/>
    <n v="0"/>
    <n v="0"/>
    <n v="0"/>
    <n v="0.109999999403954"/>
    <n v="0"/>
    <n v="0"/>
    <n v="0"/>
    <n v="12"/>
    <n v="1428"/>
    <n v="1725"/>
    <x v="3"/>
    <s v="April"/>
    <n v="12"/>
    <n v="1440"/>
    <n v="23.8"/>
    <x v="2"/>
    <s v="Sedentary"/>
    <s v="8792009665|2016-04-11"/>
    <b v="0"/>
  </r>
  <r>
    <n v="8792009665"/>
    <d v="2016-04-12T00:00:00"/>
    <n v="20"/>
    <n v="9.9999997764825804E-3"/>
    <n v="9.9999997764825804E-3"/>
    <n v="0"/>
    <n v="0"/>
    <n v="0"/>
    <n v="9.9999997764825804E-3"/>
    <n v="0"/>
    <n v="0"/>
    <n v="0"/>
    <n v="6"/>
    <n v="598"/>
    <n v="728"/>
    <x v="4"/>
    <s v="April"/>
    <n v="6"/>
    <n v="604"/>
    <n v="9.9700000000000006"/>
    <x v="2"/>
    <s v="Sedentary"/>
    <s v="8792009665|2016-04-12"/>
    <b v="1"/>
  </r>
  <r>
    <n v="8877689391"/>
    <d v="2016-04-01T00:00:00"/>
    <n v="18700"/>
    <n v="15.819999694824199"/>
    <n v="15.819999694824199"/>
    <n v="0"/>
    <n v="8.6999998092651403"/>
    <n v="0.15999999642372101"/>
    <n v="6.9099998474121103"/>
    <n v="0"/>
    <n v="67"/>
    <n v="3"/>
    <n v="247"/>
    <n v="1123"/>
    <n v="3527"/>
    <x v="0"/>
    <s v="April"/>
    <n v="317"/>
    <n v="1440"/>
    <n v="18.72"/>
    <x v="1"/>
    <s v="Very Active"/>
    <s v="8877689391|2016-04-01"/>
    <b v="0"/>
  </r>
  <r>
    <n v="8877689391"/>
    <d v="2016-04-02T00:00:00"/>
    <n v="27572"/>
    <n v="23.389999389648398"/>
    <n v="23.389999389648398"/>
    <n v="0"/>
    <n v="14.7200002670288"/>
    <n v="1.21000003814697"/>
    <n v="7.3400001525878897"/>
    <n v="9.9999997764825804E-3"/>
    <n v="116"/>
    <n v="24"/>
    <n v="260"/>
    <n v="1040"/>
    <n v="4220"/>
    <x v="1"/>
    <s v="April"/>
    <n v="400"/>
    <n v="1440"/>
    <n v="17.329999999999998"/>
    <x v="1"/>
    <s v="Very Active"/>
    <s v="8877689391|2016-04-02"/>
    <b v="0"/>
  </r>
  <r>
    <n v="8877689391"/>
    <d v="2016-04-03T00:00:00"/>
    <n v="15260"/>
    <n v="8.1899995803833008"/>
    <n v="8.1899995803833008"/>
    <n v="0"/>
    <n v="1.79999995231628"/>
    <n v="0.75"/>
    <n v="5.5700001716613796"/>
    <n v="0"/>
    <n v="106"/>
    <n v="17"/>
    <n v="259"/>
    <n v="1058"/>
    <n v="3864"/>
    <x v="2"/>
    <s v="April"/>
    <n v="382"/>
    <n v="1440"/>
    <n v="17.63"/>
    <x v="1"/>
    <s v="Very Active"/>
    <s v="8877689391|2016-04-03"/>
    <b v="0"/>
  </r>
  <r>
    <n v="8877689391"/>
    <d v="2016-04-04T00:00:00"/>
    <n v="20779"/>
    <n v="18.409999847412099"/>
    <n v="18.409999847412099"/>
    <n v="0"/>
    <n v="11.7299995422363"/>
    <n v="0.64999997615814198"/>
    <n v="6"/>
    <n v="0"/>
    <n v="78"/>
    <n v="16"/>
    <n v="208"/>
    <n v="1138"/>
    <n v="3662"/>
    <x v="3"/>
    <s v="April"/>
    <n v="302"/>
    <n v="1440"/>
    <n v="18.97"/>
    <x v="1"/>
    <s v="Very Active"/>
    <s v="8877689391|2016-04-04"/>
    <b v="0"/>
  </r>
  <r>
    <n v="8877689391"/>
    <d v="2016-04-05T00:00:00"/>
    <n v="10695"/>
    <n v="8.1199998855590803"/>
    <n v="8.1199998855590803"/>
    <n v="0"/>
    <n v="0.769999980926514"/>
    <n v="0.18000000715255701"/>
    <n v="7.0900001525878897"/>
    <n v="9.9999997764825804E-3"/>
    <n v="10"/>
    <n v="3"/>
    <n v="246"/>
    <n v="1181"/>
    <n v="2834"/>
    <x v="4"/>
    <s v="April"/>
    <n v="259"/>
    <n v="1440"/>
    <n v="19.68"/>
    <x v="0"/>
    <s v="Lightly Active"/>
    <s v="8877689391|2016-04-05"/>
    <b v="0"/>
  </r>
  <r>
    <n v="8877689391"/>
    <d v="2016-04-06T00:00:00"/>
    <n v="24136"/>
    <n v="20.909999847412099"/>
    <n v="20.909999847412099"/>
    <n v="0"/>
    <n v="12.2200002670288"/>
    <n v="0.54000002145767201"/>
    <n v="8.0799999237060494"/>
    <n v="0"/>
    <n v="87"/>
    <n v="16"/>
    <n v="318"/>
    <n v="1019"/>
    <n v="4039"/>
    <x v="5"/>
    <s v="April"/>
    <n v="421"/>
    <n v="1440"/>
    <n v="16.98"/>
    <x v="1"/>
    <s v="Very Active"/>
    <s v="8877689391|2016-04-06"/>
    <b v="0"/>
  </r>
  <r>
    <n v="8877689391"/>
    <d v="2016-04-07T00:00:00"/>
    <n v="10910"/>
    <n v="8.4200000762939506"/>
    <n v="8.4200000762939506"/>
    <n v="0"/>
    <n v="2.96000003814697"/>
    <n v="0.38999998569488498"/>
    <n v="5.0300002098083496"/>
    <n v="0"/>
    <n v="32"/>
    <n v="11"/>
    <n v="212"/>
    <n v="1185"/>
    <n v="2947"/>
    <x v="6"/>
    <s v="April"/>
    <n v="255"/>
    <n v="1440"/>
    <n v="19.75"/>
    <x v="0"/>
    <s v="Very Active"/>
    <s v="8877689391|2016-04-07"/>
    <b v="0"/>
  </r>
  <r>
    <n v="8877689391"/>
    <d v="2016-04-08T00:00:00"/>
    <n v="23014"/>
    <n v="20.389999389648398"/>
    <n v="20.389999389648398"/>
    <n v="0"/>
    <n v="11.1000003814697"/>
    <n v="0.62999999523162797"/>
    <n v="8.6199998855590803"/>
    <n v="0"/>
    <n v="70"/>
    <n v="29"/>
    <n v="359"/>
    <n v="982"/>
    <n v="4196"/>
    <x v="0"/>
    <s v="April"/>
    <n v="458"/>
    <n v="1440"/>
    <n v="16.37"/>
    <x v="1"/>
    <s v="Very Active"/>
    <s v="8877689391|2016-04-08"/>
    <b v="0"/>
  </r>
  <r>
    <n v="8877689391"/>
    <d v="2016-04-09T00:00:00"/>
    <n v="16470"/>
    <n v="8.0699996948242205"/>
    <n v="8.0699996948242205"/>
    <n v="0"/>
    <n v="0"/>
    <n v="1.9999999552965199E-2"/>
    <n v="8.0200004577636701"/>
    <n v="0"/>
    <n v="90"/>
    <n v="9"/>
    <n v="289"/>
    <n v="1052"/>
    <n v="3841"/>
    <x v="1"/>
    <s v="April"/>
    <n v="388"/>
    <n v="1440"/>
    <n v="17.53"/>
    <x v="1"/>
    <s v="Very Active"/>
    <s v="8877689391|2016-04-09"/>
    <b v="0"/>
  </r>
  <r>
    <n v="8877689391"/>
    <d v="2016-04-10T00:00:00"/>
    <n v="28497"/>
    <n v="27.530000686645501"/>
    <n v="27.530000686645501"/>
    <n v="0"/>
    <n v="21.920000076293899"/>
    <n v="1.12000000476837"/>
    <n v="4.46000003814697"/>
    <n v="0"/>
    <n v="128"/>
    <n v="46"/>
    <n v="211"/>
    <n v="1055"/>
    <n v="4526"/>
    <x v="2"/>
    <s v="April"/>
    <n v="385"/>
    <n v="1440"/>
    <n v="17.579999999999998"/>
    <x v="1"/>
    <s v="Very Active"/>
    <s v="8877689391|2016-04-10"/>
    <b v="0"/>
  </r>
  <r>
    <n v="8877689391"/>
    <d v="2016-04-11T00:00:00"/>
    <n v="10622"/>
    <n v="8.0600004196166992"/>
    <n v="8.0600004196166992"/>
    <n v="0"/>
    <n v="1.4700000286102299"/>
    <n v="0.15000000596046401"/>
    <n v="6.3699998855590803"/>
    <n v="9.9999997764825804E-3"/>
    <n v="18"/>
    <n v="7"/>
    <n v="225"/>
    <n v="1190"/>
    <n v="2820"/>
    <x v="3"/>
    <s v="April"/>
    <n v="250"/>
    <n v="1440"/>
    <n v="19.829999999999998"/>
    <x v="0"/>
    <s v="Moderately Active"/>
    <s v="8877689391|2016-04-11"/>
    <b v="0"/>
  </r>
  <r>
    <n v="8877689391"/>
    <d v="2016-04-12T00:00:00"/>
    <n v="2350"/>
    <n v="1.7799999713897701"/>
    <n v="1.7799999713897701"/>
    <n v="0"/>
    <n v="0"/>
    <n v="0"/>
    <n v="1.7799999713897701"/>
    <n v="0"/>
    <n v="0"/>
    <n v="0"/>
    <n v="58"/>
    <n v="531"/>
    <n v="938"/>
    <x v="4"/>
    <s v="April"/>
    <n v="58"/>
    <n v="589"/>
    <n v="8.85"/>
    <x v="2"/>
    <s v="Sedentary"/>
    <s v="8877689391|2016-04-12"/>
    <b v="0"/>
  </r>
  <r>
    <n v="1503960366"/>
    <d v="2016-04-13T00:00:00"/>
    <n v="10735"/>
    <n v="6.9699997901916504"/>
    <n v="6.9699997901916504"/>
    <n v="0"/>
    <n v="1.5700000524520901"/>
    <n v="0.68999999761581399"/>
    <n v="4.71000003814697"/>
    <n v="0"/>
    <n v="21"/>
    <n v="19"/>
    <n v="217"/>
    <n v="776"/>
    <n v="1797"/>
    <x v="5"/>
    <s v="April"/>
    <n v="257"/>
    <n v="1033"/>
    <n v="12.93"/>
    <x v="0"/>
    <s v="Moderately Active"/>
    <s v="1503960366|2016-04-13"/>
    <b v="1"/>
  </r>
  <r>
    <n v="1503960366"/>
    <d v="2016-04-14T00:00:00"/>
    <n v="10460"/>
    <n v="6.7399997711181596"/>
    <n v="6.7399997711181596"/>
    <n v="0"/>
    <n v="2.4400000572204599"/>
    <n v="0.40000000596046398"/>
    <n v="3.9100000858306898"/>
    <n v="0"/>
    <n v="30"/>
    <n v="11"/>
    <n v="181"/>
    <n v="1218"/>
    <n v="1776"/>
    <x v="6"/>
    <s v="April"/>
    <n v="222"/>
    <n v="1440"/>
    <n v="20.3"/>
    <x v="0"/>
    <s v="Very Active"/>
    <s v="1503960366|2016-04-14"/>
    <b v="0"/>
  </r>
  <r>
    <n v="1503960366"/>
    <d v="2016-04-15T00:00:00"/>
    <n v="9762"/>
    <n v="6.2800002098083496"/>
    <n v="6.2800002098083496"/>
    <n v="0"/>
    <n v="2.1400001049041699"/>
    <n v="1.2599999904632599"/>
    <n v="2.8299999237060498"/>
    <n v="0"/>
    <n v="29"/>
    <n v="34"/>
    <n v="209"/>
    <n v="726"/>
    <n v="1745"/>
    <x v="0"/>
    <s v="April"/>
    <n v="272"/>
    <n v="998"/>
    <n v="12.1"/>
    <x v="3"/>
    <s v="Moderately Active"/>
    <s v="1503960366|2016-04-15"/>
    <b v="1"/>
  </r>
  <r>
    <n v="1503960366"/>
    <d v="2016-04-16T00:00:00"/>
    <n v="12669"/>
    <n v="8.1599998474121094"/>
    <n v="8.1599998474121094"/>
    <n v="0"/>
    <n v="2.71000003814697"/>
    <n v="0.40999999642372098"/>
    <n v="5.03999996185303"/>
    <n v="0"/>
    <n v="36"/>
    <n v="10"/>
    <n v="221"/>
    <n v="773"/>
    <n v="1863"/>
    <x v="1"/>
    <s v="April"/>
    <n v="267"/>
    <n v="1040"/>
    <n v="12.88"/>
    <x v="1"/>
    <s v="Very Active"/>
    <s v="1503960366|2016-04-16"/>
    <b v="1"/>
  </r>
  <r>
    <n v="1503960366"/>
    <d v="2016-04-17T00:00:00"/>
    <n v="9705"/>
    <n v="6.4800000190734899"/>
    <n v="6.4800000190734899"/>
    <n v="0"/>
    <n v="3.1900000572204599"/>
    <n v="0.77999997138977095"/>
    <n v="2.5099999904632599"/>
    <n v="0"/>
    <n v="38"/>
    <n v="20"/>
    <n v="164"/>
    <n v="539"/>
    <n v="1728"/>
    <x v="2"/>
    <s v="April"/>
    <n v="222"/>
    <n v="761"/>
    <n v="8.98"/>
    <x v="3"/>
    <s v="Very Active"/>
    <s v="1503960366|2016-04-17"/>
    <b v="1"/>
  </r>
  <r>
    <n v="1503960366"/>
    <d v="2016-04-18T00:00:00"/>
    <n v="13019"/>
    <n v="8.5900001525878906"/>
    <n v="8.5900001525878906"/>
    <n v="0"/>
    <n v="3.25"/>
    <n v="0.63999998569488503"/>
    <n v="4.71000003814697"/>
    <n v="0"/>
    <n v="42"/>
    <n v="16"/>
    <n v="233"/>
    <n v="1149"/>
    <n v="1921"/>
    <x v="3"/>
    <s v="April"/>
    <n v="291"/>
    <n v="1440"/>
    <n v="19.149999999999999"/>
    <x v="1"/>
    <s v="Very Active"/>
    <s v="1503960366|2016-04-18"/>
    <b v="0"/>
  </r>
  <r>
    <n v="1503960366"/>
    <d v="2016-04-19T00:00:00"/>
    <n v="15506"/>
    <n v="9.8800001144409197"/>
    <n v="9.8800001144409197"/>
    <n v="0"/>
    <n v="3.5299999713897701"/>
    <n v="1.3200000524520901"/>
    <n v="5.0300002098083496"/>
    <n v="0"/>
    <n v="50"/>
    <n v="31"/>
    <n v="264"/>
    <n v="775"/>
    <n v="2035"/>
    <x v="4"/>
    <s v="April"/>
    <n v="345"/>
    <n v="1120"/>
    <n v="12.92"/>
    <x v="1"/>
    <s v="Very Active"/>
    <s v="1503960366|2016-04-19"/>
    <b v="1"/>
  </r>
  <r>
    <n v="1503960366"/>
    <d v="2016-04-20T00:00:00"/>
    <n v="10544"/>
    <n v="6.6799998283386204"/>
    <n v="6.6799998283386204"/>
    <n v="0"/>
    <n v="1.96000003814697"/>
    <n v="0.479999989271164"/>
    <n v="4.2399997711181596"/>
    <n v="0"/>
    <n v="28"/>
    <n v="12"/>
    <n v="205"/>
    <n v="818"/>
    <n v="1786"/>
    <x v="5"/>
    <s v="April"/>
    <n v="245"/>
    <n v="1063"/>
    <n v="13.63"/>
    <x v="0"/>
    <s v="Moderately Active"/>
    <s v="1503960366|2016-04-20"/>
    <b v="1"/>
  </r>
  <r>
    <n v="1503960366"/>
    <d v="2016-04-21T00:00:00"/>
    <n v="9819"/>
    <n v="6.3400001525878897"/>
    <n v="6.3400001525878897"/>
    <n v="0"/>
    <n v="1.3400000333786"/>
    <n v="0.34999999403953602"/>
    <n v="4.6500000953674299"/>
    <n v="0"/>
    <n v="19"/>
    <n v="8"/>
    <n v="211"/>
    <n v="838"/>
    <n v="1775"/>
    <x v="6"/>
    <s v="April"/>
    <n v="238"/>
    <n v="1076"/>
    <n v="13.97"/>
    <x v="3"/>
    <s v="Moderately Active"/>
    <s v="1503960366|2016-04-21"/>
    <b v="1"/>
  </r>
  <r>
    <n v="1503960366"/>
    <d v="2016-04-22T00:00:00"/>
    <n v="12764"/>
    <n v="8.1300001144409197"/>
    <n v="8.1300001144409197"/>
    <n v="0"/>
    <n v="4.7600002288818404"/>
    <n v="1.12000000476837"/>
    <n v="2.2400000095367401"/>
    <n v="0"/>
    <n v="66"/>
    <n v="27"/>
    <n v="130"/>
    <n v="1217"/>
    <n v="1827"/>
    <x v="0"/>
    <s v="April"/>
    <n v="223"/>
    <n v="1440"/>
    <n v="20.28"/>
    <x v="1"/>
    <s v="Very Active"/>
    <s v="1503960366|2016-04-22"/>
    <b v="0"/>
  </r>
  <r>
    <n v="1503960366"/>
    <d v="2016-04-23T00:00:00"/>
    <n v="14371"/>
    <n v="9.0399999618530291"/>
    <n v="9.0399999618530291"/>
    <n v="0"/>
    <n v="2.8099999427795401"/>
    <n v="0.87000000476837203"/>
    <n v="5.3600001335143999"/>
    <n v="0"/>
    <n v="41"/>
    <n v="21"/>
    <n v="262"/>
    <n v="732"/>
    <n v="1949"/>
    <x v="1"/>
    <s v="April"/>
    <n v="324"/>
    <n v="1056"/>
    <n v="12.2"/>
    <x v="1"/>
    <s v="Very Active"/>
    <s v="1503960366|2016-04-23"/>
    <b v="1"/>
  </r>
  <r>
    <n v="1503960366"/>
    <d v="2016-04-24T00:00:00"/>
    <n v="10039"/>
    <n v="6.4099998474121103"/>
    <n v="6.4099998474121103"/>
    <n v="0"/>
    <n v="2.9200000762939502"/>
    <n v="0.20999999344348899"/>
    <n v="3.2799999713897701"/>
    <n v="0"/>
    <n v="39"/>
    <n v="5"/>
    <n v="238"/>
    <n v="709"/>
    <n v="1788"/>
    <x v="2"/>
    <s v="April"/>
    <n v="282"/>
    <n v="991"/>
    <n v="11.82"/>
    <x v="0"/>
    <s v="Very Active"/>
    <s v="1503960366|2016-04-24"/>
    <b v="1"/>
  </r>
  <r>
    <n v="1503960366"/>
    <d v="2016-04-25T00:00:00"/>
    <n v="15355"/>
    <n v="9.8000001907348597"/>
    <n v="9.8000001907348597"/>
    <n v="0"/>
    <n v="5.28999996185303"/>
    <n v="0.56999999284744296"/>
    <n v="3.9400000572204599"/>
    <n v="0"/>
    <n v="73"/>
    <n v="14"/>
    <n v="216"/>
    <n v="814"/>
    <n v="2013"/>
    <x v="3"/>
    <s v="April"/>
    <n v="303"/>
    <n v="1117"/>
    <n v="13.57"/>
    <x v="1"/>
    <s v="Very Active"/>
    <s v="1503960366|2016-04-25"/>
    <b v="1"/>
  </r>
  <r>
    <n v="1503960366"/>
    <d v="2016-04-26T00:00:00"/>
    <n v="13755"/>
    <n v="8.7899999618530291"/>
    <n v="8.7899999618530291"/>
    <n v="0"/>
    <n v="2.3299999237060498"/>
    <n v="0.92000001668930098"/>
    <n v="5.53999996185303"/>
    <n v="0"/>
    <n v="31"/>
    <n v="23"/>
    <n v="279"/>
    <n v="833"/>
    <n v="1970"/>
    <x v="4"/>
    <s v="April"/>
    <n v="333"/>
    <n v="1166"/>
    <n v="13.88"/>
    <x v="1"/>
    <s v="Very Active"/>
    <s v="1503960366|2016-04-26"/>
    <b v="1"/>
  </r>
  <r>
    <n v="1503960366"/>
    <d v="2016-04-27T00:00:00"/>
    <n v="18134"/>
    <n v="12.210000038146999"/>
    <n v="12.210000038146999"/>
    <n v="0"/>
    <n v="6.4000000953674299"/>
    <n v="0.40999999642372098"/>
    <n v="5.4099998474121103"/>
    <n v="0"/>
    <n v="78"/>
    <n v="11"/>
    <n v="243"/>
    <n v="1108"/>
    <n v="2159"/>
    <x v="5"/>
    <s v="April"/>
    <n v="332"/>
    <n v="1440"/>
    <n v="18.47"/>
    <x v="1"/>
    <s v="Very Active"/>
    <s v="1503960366|2016-04-27"/>
    <b v="0"/>
  </r>
  <r>
    <n v="1503960366"/>
    <d v="2016-04-28T00:00:00"/>
    <n v="13154"/>
    <n v="8.5299997329711896"/>
    <n v="8.5299997329711896"/>
    <n v="0"/>
    <n v="3.53999996185303"/>
    <n v="1.1599999666214"/>
    <n v="3.78999996185303"/>
    <n v="0"/>
    <n v="48"/>
    <n v="28"/>
    <n v="189"/>
    <n v="782"/>
    <n v="1898"/>
    <x v="6"/>
    <s v="April"/>
    <n v="265"/>
    <n v="1047"/>
    <n v="13.03"/>
    <x v="1"/>
    <s v="Very Active"/>
    <s v="1503960366|2016-04-28"/>
    <b v="1"/>
  </r>
  <r>
    <n v="1503960366"/>
    <d v="2016-04-29T00:00:00"/>
    <n v="11181"/>
    <n v="7.1500000953674299"/>
    <n v="7.1500000953674299"/>
    <n v="0"/>
    <n v="1.0599999427795399"/>
    <n v="0.5"/>
    <n v="5.5799999237060502"/>
    <n v="0"/>
    <n v="16"/>
    <n v="12"/>
    <n v="243"/>
    <n v="815"/>
    <n v="1837"/>
    <x v="0"/>
    <s v="April"/>
    <n v="271"/>
    <n v="1086"/>
    <n v="13.58"/>
    <x v="0"/>
    <s v="Moderately Active"/>
    <s v="1503960366|2016-04-29"/>
    <b v="1"/>
  </r>
  <r>
    <n v="1503960366"/>
    <d v="2016-04-30T00:00:00"/>
    <n v="14673"/>
    <n v="9.25"/>
    <n v="9.25"/>
    <n v="0"/>
    <n v="3.5599999427795401"/>
    <n v="1.41999995708466"/>
    <n v="4.2699999809265101"/>
    <n v="0"/>
    <n v="52"/>
    <n v="34"/>
    <n v="217"/>
    <n v="712"/>
    <n v="1947"/>
    <x v="1"/>
    <s v="April"/>
    <n v="303"/>
    <n v="1015"/>
    <n v="11.87"/>
    <x v="1"/>
    <s v="Very Active"/>
    <s v="1503960366|2016-04-30"/>
    <b v="1"/>
  </r>
  <r>
    <n v="1503960366"/>
    <d v="2016-05-01T00:00:00"/>
    <n v="10602"/>
    <n v="6.8099999427795401"/>
    <n v="6.8099999427795401"/>
    <n v="0"/>
    <n v="2.28999996185303"/>
    <n v="1.6000000238418599"/>
    <n v="2.9200000762939502"/>
    <n v="0"/>
    <n v="33"/>
    <n v="35"/>
    <n v="246"/>
    <n v="730"/>
    <n v="1820"/>
    <x v="2"/>
    <s v="May"/>
    <n v="314"/>
    <n v="1044"/>
    <n v="12.17"/>
    <x v="0"/>
    <s v="Very Active"/>
    <s v="1503960366|2016-05-01"/>
    <b v="1"/>
  </r>
  <r>
    <n v="1503960366"/>
    <d v="2016-05-02T00:00:00"/>
    <n v="14727"/>
    <n v="9.7100000381469709"/>
    <n v="9.7100000381469709"/>
    <n v="0"/>
    <n v="3.21000003814697"/>
    <n v="0.56999999284744296"/>
    <n v="5.9200000762939498"/>
    <n v="0"/>
    <n v="41"/>
    <n v="15"/>
    <n v="277"/>
    <n v="798"/>
    <n v="2004"/>
    <x v="3"/>
    <s v="May"/>
    <n v="333"/>
    <n v="1131"/>
    <n v="13.3"/>
    <x v="1"/>
    <s v="Very Active"/>
    <s v="1503960366|2016-05-02"/>
    <b v="1"/>
  </r>
  <r>
    <n v="1503960366"/>
    <d v="2016-05-03T00:00:00"/>
    <n v="15103"/>
    <n v="9.6599998474121094"/>
    <n v="9.6599998474121094"/>
    <n v="0"/>
    <n v="3.7300000190734899"/>
    <n v="1.04999995231628"/>
    <n v="4.8800001144409197"/>
    <n v="0"/>
    <n v="50"/>
    <n v="24"/>
    <n v="254"/>
    <n v="816"/>
    <n v="1990"/>
    <x v="4"/>
    <s v="May"/>
    <n v="328"/>
    <n v="1144"/>
    <n v="13.6"/>
    <x v="1"/>
    <s v="Very Active"/>
    <s v="1503960366|2016-05-03"/>
    <b v="1"/>
  </r>
  <r>
    <n v="1503960366"/>
    <d v="2016-05-04T00:00:00"/>
    <n v="11100"/>
    <n v="7.1500000953674299"/>
    <n v="7.1500000953674299"/>
    <n v="0"/>
    <n v="2.46000003814697"/>
    <n v="0.87000000476837203"/>
    <n v="3.8199999332428001"/>
    <n v="0"/>
    <n v="36"/>
    <n v="22"/>
    <n v="203"/>
    <n v="1179"/>
    <n v="1819"/>
    <x v="5"/>
    <s v="May"/>
    <n v="261"/>
    <n v="1440"/>
    <n v="19.649999999999999"/>
    <x v="0"/>
    <s v="Very Active"/>
    <s v="1503960366|2016-05-04"/>
    <b v="0"/>
  </r>
  <r>
    <n v="1503960366"/>
    <d v="2016-05-05T00:00:00"/>
    <n v="14070"/>
    <n v="8.8999996185302699"/>
    <n v="8.8999996185302699"/>
    <n v="0"/>
    <n v="2.9200000762939502"/>
    <n v="1.08000004291534"/>
    <n v="4.8800001144409197"/>
    <n v="0"/>
    <n v="45"/>
    <n v="24"/>
    <n v="250"/>
    <n v="857"/>
    <n v="1959"/>
    <x v="6"/>
    <s v="May"/>
    <n v="319"/>
    <n v="1176"/>
    <n v="14.28"/>
    <x v="1"/>
    <s v="Very Active"/>
    <s v="1503960366|2016-05-05"/>
    <b v="1"/>
  </r>
  <r>
    <n v="1503960366"/>
    <d v="2016-05-06T00:00:00"/>
    <n v="12159"/>
    <n v="8.0299997329711896"/>
    <n v="8.0299997329711896"/>
    <n v="0"/>
    <n v="1.9700000286102299"/>
    <n v="0.25"/>
    <n v="5.8099999427795401"/>
    <n v="0"/>
    <n v="24"/>
    <n v="6"/>
    <n v="289"/>
    <n v="754"/>
    <n v="1896"/>
    <x v="0"/>
    <s v="May"/>
    <n v="319"/>
    <n v="1073"/>
    <n v="12.57"/>
    <x v="0"/>
    <s v="Moderately Active"/>
    <s v="1503960366|2016-05-06"/>
    <b v="1"/>
  </r>
  <r>
    <n v="1503960366"/>
    <d v="2016-05-07T00:00:00"/>
    <n v="11992"/>
    <n v="7.71000003814697"/>
    <n v="7.71000003814697"/>
    <n v="0"/>
    <n v="2.46000003814697"/>
    <n v="2.1199998855590798"/>
    <n v="3.1300001144409202"/>
    <n v="0"/>
    <n v="37"/>
    <n v="46"/>
    <n v="175"/>
    <n v="833"/>
    <n v="1821"/>
    <x v="1"/>
    <s v="May"/>
    <n v="258"/>
    <n v="1091"/>
    <n v="13.88"/>
    <x v="0"/>
    <s v="Very Active"/>
    <s v="1503960366|2016-05-07"/>
    <b v="1"/>
  </r>
  <r>
    <n v="1503960366"/>
    <d v="2016-05-08T00:00:00"/>
    <n v="10060"/>
    <n v="6.5799999237060502"/>
    <n v="6.5799999237060502"/>
    <n v="0"/>
    <n v="3.5299999713897701"/>
    <n v="0.31999999284744302"/>
    <n v="2.7300000190734899"/>
    <n v="0"/>
    <n v="44"/>
    <n v="8"/>
    <n v="203"/>
    <n v="574"/>
    <n v="1740"/>
    <x v="2"/>
    <s v="May"/>
    <n v="255"/>
    <n v="829"/>
    <n v="9.57"/>
    <x v="0"/>
    <s v="Very Active"/>
    <s v="1503960366|2016-05-08"/>
    <b v="1"/>
  </r>
  <r>
    <n v="1503960366"/>
    <d v="2016-05-09T00:00:00"/>
    <n v="12022"/>
    <n v="7.7199997901916504"/>
    <n v="7.7199997901916504"/>
    <n v="0"/>
    <n v="3.4500000476837198"/>
    <n v="0.52999997138977095"/>
    <n v="3.7400000095367401"/>
    <n v="0"/>
    <n v="46"/>
    <n v="11"/>
    <n v="206"/>
    <n v="835"/>
    <n v="1819"/>
    <x v="3"/>
    <s v="May"/>
    <n v="263"/>
    <n v="1098"/>
    <n v="13.92"/>
    <x v="0"/>
    <s v="Very Active"/>
    <s v="1503960366|2016-05-09"/>
    <b v="1"/>
  </r>
  <r>
    <n v="1503960366"/>
    <d v="2016-05-10T00:00:00"/>
    <n v="12207"/>
    <n v="7.7699999809265101"/>
    <n v="7.7699999809265101"/>
    <n v="0"/>
    <n v="3.3499999046325701"/>
    <n v="1.1599999666214"/>
    <n v="3.2599999904632599"/>
    <n v="0"/>
    <n v="46"/>
    <n v="31"/>
    <n v="214"/>
    <n v="746"/>
    <n v="1859"/>
    <x v="4"/>
    <s v="May"/>
    <n v="291"/>
    <n v="1037"/>
    <n v="12.43"/>
    <x v="0"/>
    <s v="Very Active"/>
    <s v="1503960366|2016-05-10"/>
    <b v="1"/>
  </r>
  <r>
    <n v="1503960366"/>
    <d v="2016-05-11T00:00:00"/>
    <n v="12770"/>
    <n v="8.1300001144409197"/>
    <n v="8.1300001144409197"/>
    <n v="0"/>
    <n v="2.5599999427795401"/>
    <n v="1.0099999904632599"/>
    <n v="4.5500001907348597"/>
    <n v="0"/>
    <n v="36"/>
    <n v="23"/>
    <n v="251"/>
    <n v="669"/>
    <n v="1783"/>
    <x v="5"/>
    <s v="May"/>
    <n v="310"/>
    <n v="979"/>
    <n v="11.15"/>
    <x v="1"/>
    <s v="Very Active"/>
    <s v="1503960366|2016-05-11"/>
    <b v="1"/>
  </r>
  <r>
    <n v="1503960366"/>
    <d v="2016-05-12T00:00:00"/>
    <n v="0"/>
    <n v="0"/>
    <n v="0"/>
    <n v="0"/>
    <n v="0"/>
    <n v="0"/>
    <n v="0"/>
    <n v="0"/>
    <n v="0"/>
    <n v="0"/>
    <n v="0"/>
    <n v="1440"/>
    <n v="0"/>
    <x v="6"/>
    <s v="May"/>
    <n v="0"/>
    <n v="1440"/>
    <n v="24"/>
    <x v="2"/>
    <s v="Sedentary"/>
    <s v="1503960366|2016-05-12"/>
    <b v="0"/>
  </r>
  <r>
    <n v="1624580081"/>
    <d v="2016-04-13T00:00:00"/>
    <n v="7007"/>
    <n v="4.5500001907348597"/>
    <n v="4.5500001907348597"/>
    <n v="0"/>
    <n v="0"/>
    <n v="0"/>
    <n v="4.5500001907348597"/>
    <n v="0"/>
    <n v="0"/>
    <n v="0"/>
    <n v="148"/>
    <n v="1292"/>
    <n v="1411"/>
    <x v="5"/>
    <s v="April"/>
    <n v="148"/>
    <n v="1440"/>
    <n v="21.53"/>
    <x v="4"/>
    <s v="Sedentary"/>
    <s v="1624580081|2016-04-13"/>
    <b v="0"/>
  </r>
  <r>
    <n v="1624580081"/>
    <d v="2016-04-14T00:00:00"/>
    <n v="9107"/>
    <n v="5.9200000762939498"/>
    <n v="5.9200000762939498"/>
    <n v="0"/>
    <n v="0"/>
    <n v="0"/>
    <n v="5.9099998474121103"/>
    <n v="9.9999997764825804E-3"/>
    <n v="0"/>
    <n v="0"/>
    <n v="236"/>
    <n v="1204"/>
    <n v="1572"/>
    <x v="6"/>
    <s v="April"/>
    <n v="236"/>
    <n v="1440"/>
    <n v="20.07"/>
    <x v="3"/>
    <s v="Sedentary"/>
    <s v="1624580081|2016-04-14"/>
    <b v="0"/>
  </r>
  <r>
    <n v="1624580081"/>
    <d v="2016-04-15T00:00:00"/>
    <n v="1510"/>
    <n v="0.980000019073486"/>
    <n v="0.980000019073486"/>
    <n v="0"/>
    <n v="0"/>
    <n v="0"/>
    <n v="0.97000002861022905"/>
    <n v="0"/>
    <n v="0"/>
    <n v="0"/>
    <n v="96"/>
    <n v="1344"/>
    <n v="1344"/>
    <x v="0"/>
    <s v="April"/>
    <n v="96"/>
    <n v="1440"/>
    <n v="22.4"/>
    <x v="2"/>
    <s v="Sedentary"/>
    <s v="1624580081|2016-04-15"/>
    <b v="0"/>
  </r>
  <r>
    <n v="1624580081"/>
    <d v="2016-04-16T00:00:00"/>
    <n v="5370"/>
    <n v="3.4900000095367401"/>
    <n v="3.4900000095367401"/>
    <n v="0"/>
    <n v="0"/>
    <n v="0"/>
    <n v="3.4900000095367401"/>
    <n v="0"/>
    <n v="0"/>
    <n v="0"/>
    <n v="176"/>
    <n v="1264"/>
    <n v="1463"/>
    <x v="1"/>
    <s v="April"/>
    <n v="176"/>
    <n v="1440"/>
    <n v="21.07"/>
    <x v="4"/>
    <s v="Sedentary"/>
    <s v="1624580081|2016-04-16"/>
    <b v="0"/>
  </r>
  <r>
    <n v="1624580081"/>
    <d v="2016-04-17T00:00:00"/>
    <n v="6175"/>
    <n v="4.0599999427795401"/>
    <n v="4.0599999427795401"/>
    <n v="0"/>
    <n v="1.0299999713897701"/>
    <n v="1.5199999809265099"/>
    <n v="1.4900000095367401"/>
    <n v="9.9999997764825804E-3"/>
    <n v="15"/>
    <n v="22"/>
    <n v="127"/>
    <n v="1276"/>
    <n v="1554"/>
    <x v="2"/>
    <s v="April"/>
    <n v="164"/>
    <n v="1440"/>
    <n v="21.27"/>
    <x v="4"/>
    <s v="Moderately Active"/>
    <s v="1624580081|2016-04-17"/>
    <b v="0"/>
  </r>
  <r>
    <n v="1624580081"/>
    <d v="2016-04-18T00:00:00"/>
    <n v="10536"/>
    <n v="7.4099998474121103"/>
    <n v="7.4099998474121103"/>
    <n v="0"/>
    <n v="2.1500000953674299"/>
    <n v="0.62000000476837203"/>
    <n v="4.6199998855590803"/>
    <n v="9.9999997764825804E-3"/>
    <n v="17"/>
    <n v="7"/>
    <n v="202"/>
    <n v="1214"/>
    <n v="1604"/>
    <x v="3"/>
    <s v="April"/>
    <n v="226"/>
    <n v="1440"/>
    <n v="20.23"/>
    <x v="0"/>
    <s v="Moderately Active"/>
    <s v="1624580081|2016-04-18"/>
    <b v="0"/>
  </r>
  <r>
    <n v="1624580081"/>
    <d v="2016-04-19T00:00:00"/>
    <n v="2916"/>
    <n v="1.8999999761581401"/>
    <n v="1.8999999761581401"/>
    <n v="0"/>
    <n v="0"/>
    <n v="0"/>
    <n v="1.8999999761581401"/>
    <n v="0"/>
    <n v="0"/>
    <n v="0"/>
    <n v="141"/>
    <n v="1299"/>
    <n v="1435"/>
    <x v="4"/>
    <s v="April"/>
    <n v="141"/>
    <n v="1440"/>
    <n v="21.65"/>
    <x v="2"/>
    <s v="Sedentary"/>
    <s v="1624580081|2016-04-19"/>
    <b v="0"/>
  </r>
  <r>
    <n v="1624580081"/>
    <d v="2016-04-20T00:00:00"/>
    <n v="4974"/>
    <n v="3.2300000190734899"/>
    <n v="3.2300000190734899"/>
    <n v="0"/>
    <n v="0"/>
    <n v="0"/>
    <n v="3.2300000190734899"/>
    <n v="0"/>
    <n v="0"/>
    <n v="0"/>
    <n v="151"/>
    <n v="1289"/>
    <n v="1446"/>
    <x v="5"/>
    <s v="April"/>
    <n v="151"/>
    <n v="1440"/>
    <n v="21.48"/>
    <x v="2"/>
    <s v="Sedentary"/>
    <s v="1624580081|2016-04-20"/>
    <b v="0"/>
  </r>
  <r>
    <n v="1624580081"/>
    <d v="2016-04-21T00:00:00"/>
    <n v="6349"/>
    <n v="4.1300001144409197"/>
    <n v="4.1300001144409197"/>
    <n v="0"/>
    <n v="0"/>
    <n v="0"/>
    <n v="4.1100001335143999"/>
    <n v="1.9999999552965199E-2"/>
    <n v="0"/>
    <n v="0"/>
    <n v="186"/>
    <n v="1254"/>
    <n v="1467"/>
    <x v="6"/>
    <s v="April"/>
    <n v="186"/>
    <n v="1440"/>
    <n v="20.9"/>
    <x v="4"/>
    <s v="Sedentary"/>
    <s v="1624580081|2016-04-21"/>
    <b v="0"/>
  </r>
  <r>
    <n v="1624580081"/>
    <d v="2016-04-22T00:00:00"/>
    <n v="4026"/>
    <n v="2.6199998855590798"/>
    <n v="2.6199998855590798"/>
    <n v="0"/>
    <n v="0"/>
    <n v="0"/>
    <n v="2.5999999046325701"/>
    <n v="0"/>
    <n v="0"/>
    <n v="0"/>
    <n v="199"/>
    <n v="1241"/>
    <n v="1470"/>
    <x v="0"/>
    <s v="April"/>
    <n v="199"/>
    <n v="1440"/>
    <n v="20.68"/>
    <x v="2"/>
    <s v="Sedentary"/>
    <s v="1624580081|2016-04-22"/>
    <b v="0"/>
  </r>
  <r>
    <n v="1624580081"/>
    <d v="2016-04-23T00:00:00"/>
    <n v="8538"/>
    <n v="5.5500001907348597"/>
    <n v="5.5500001907348597"/>
    <n v="0"/>
    <n v="0"/>
    <n v="0"/>
    <n v="5.53999996185303"/>
    <n v="9.9999997764825804E-3"/>
    <n v="0"/>
    <n v="0"/>
    <n v="227"/>
    <n v="1213"/>
    <n v="1562"/>
    <x v="1"/>
    <s v="April"/>
    <n v="227"/>
    <n v="1440"/>
    <n v="20.22"/>
    <x v="3"/>
    <s v="Sedentary"/>
    <s v="1624580081|2016-04-23"/>
    <b v="0"/>
  </r>
  <r>
    <n v="1624580081"/>
    <d v="2016-04-24T00:00:00"/>
    <n v="6076"/>
    <n v="3.9500000476837198"/>
    <n v="3.9500000476837198"/>
    <n v="0"/>
    <n v="1.1499999761581401"/>
    <n v="0.91000002622604403"/>
    <n v="1.8899999856948899"/>
    <n v="0"/>
    <n v="16"/>
    <n v="18"/>
    <n v="185"/>
    <n v="1221"/>
    <n v="1617"/>
    <x v="2"/>
    <s v="April"/>
    <n v="219"/>
    <n v="1440"/>
    <n v="20.350000000000001"/>
    <x v="4"/>
    <s v="Moderately Active"/>
    <s v="1624580081|2016-04-24"/>
    <b v="0"/>
  </r>
  <r>
    <n v="1624580081"/>
    <d v="2016-04-25T00:00:00"/>
    <n v="6497"/>
    <n v="4.2199997901916504"/>
    <n v="4.2199997901916504"/>
    <n v="0"/>
    <n v="0"/>
    <n v="0"/>
    <n v="4.1999998092651403"/>
    <n v="1.9999999552965199E-2"/>
    <n v="0"/>
    <n v="0"/>
    <n v="202"/>
    <n v="1238"/>
    <n v="1492"/>
    <x v="3"/>
    <s v="April"/>
    <n v="202"/>
    <n v="1440"/>
    <n v="20.63"/>
    <x v="4"/>
    <s v="Sedentary"/>
    <s v="1624580081|2016-04-25"/>
    <b v="0"/>
  </r>
  <r>
    <n v="1624580081"/>
    <d v="2016-04-26T00:00:00"/>
    <n v="2826"/>
    <n v="1.8400000333786"/>
    <n v="1.8400000333786"/>
    <n v="0"/>
    <n v="0"/>
    <n v="0"/>
    <n v="1.83000004291534"/>
    <n v="9.9999997764825804E-3"/>
    <n v="0"/>
    <n v="0"/>
    <n v="140"/>
    <n v="1300"/>
    <n v="1402"/>
    <x v="4"/>
    <s v="April"/>
    <n v="140"/>
    <n v="1440"/>
    <n v="21.67"/>
    <x v="2"/>
    <s v="Sedentary"/>
    <s v="1624580081|2016-04-26"/>
    <b v="0"/>
  </r>
  <r>
    <n v="1624580081"/>
    <d v="2016-04-27T00:00:00"/>
    <n v="8367"/>
    <n v="5.4400000572204599"/>
    <n v="5.4400000572204599"/>
    <n v="0"/>
    <n v="1.1100000143051101"/>
    <n v="1.87000000476837"/>
    <n v="2.46000003814697"/>
    <n v="0"/>
    <n v="17"/>
    <n v="36"/>
    <n v="154"/>
    <n v="1233"/>
    <n v="1670"/>
    <x v="5"/>
    <s v="April"/>
    <n v="207"/>
    <n v="1440"/>
    <n v="20.55"/>
    <x v="3"/>
    <s v="Moderately Active"/>
    <s v="1624580081|2016-04-27"/>
    <b v="0"/>
  </r>
  <r>
    <n v="1624580081"/>
    <d v="2016-04-28T00:00:00"/>
    <n v="2759"/>
    <n v="1.78999996185303"/>
    <n v="1.78999996185303"/>
    <n v="0"/>
    <n v="0"/>
    <n v="0.20000000298023199"/>
    <n v="1.6000000238418599"/>
    <n v="0"/>
    <n v="0"/>
    <n v="5"/>
    <n v="115"/>
    <n v="1320"/>
    <n v="1401"/>
    <x v="6"/>
    <s v="April"/>
    <n v="120"/>
    <n v="1440"/>
    <n v="22"/>
    <x v="2"/>
    <s v="Sedentary"/>
    <s v="1624580081|2016-04-28"/>
    <b v="0"/>
  </r>
  <r>
    <n v="1624580081"/>
    <d v="2016-04-29T00:00:00"/>
    <n v="2390"/>
    <n v="1.54999995231628"/>
    <n v="1.54999995231628"/>
    <n v="0"/>
    <n v="0"/>
    <n v="0"/>
    <n v="1.54999995231628"/>
    <n v="0"/>
    <n v="0"/>
    <n v="0"/>
    <n v="150"/>
    <n v="1290"/>
    <n v="1404"/>
    <x v="0"/>
    <s v="April"/>
    <n v="150"/>
    <n v="1440"/>
    <n v="21.5"/>
    <x v="2"/>
    <s v="Sedentary"/>
    <s v="1624580081|2016-04-29"/>
    <b v="0"/>
  </r>
  <r>
    <n v="1624580081"/>
    <d v="2016-04-30T00:00:00"/>
    <n v="6474"/>
    <n v="4.3000001907348597"/>
    <n v="4.3000001907348597"/>
    <n v="0"/>
    <n v="0.89999997615814198"/>
    <n v="1.2799999713897701"/>
    <n v="2.1199998855590798"/>
    <n v="9.9999997764825804E-3"/>
    <n v="11"/>
    <n v="23"/>
    <n v="224"/>
    <n v="1182"/>
    <n v="1655"/>
    <x v="1"/>
    <s v="April"/>
    <n v="258"/>
    <n v="1440"/>
    <n v="19.7"/>
    <x v="4"/>
    <s v="Lightly Active"/>
    <s v="1624580081|2016-04-30"/>
    <b v="0"/>
  </r>
  <r>
    <n v="1624580081"/>
    <d v="2016-05-01T00:00:00"/>
    <n v="36019"/>
    <n v="28.030000686645501"/>
    <n v="28.030000686645501"/>
    <n v="0"/>
    <n v="21.920000076293899"/>
    <n v="4.1900000572204599"/>
    <n v="1.9099999666214"/>
    <n v="1.9999999552965199E-2"/>
    <n v="186"/>
    <n v="63"/>
    <n v="171"/>
    <n v="1020"/>
    <n v="2690"/>
    <x v="2"/>
    <s v="May"/>
    <n v="420"/>
    <n v="1440"/>
    <n v="17"/>
    <x v="1"/>
    <s v="Very Active"/>
    <s v="1624580081|2016-05-01"/>
    <b v="0"/>
  </r>
  <r>
    <n v="1624580081"/>
    <d v="2016-05-02T00:00:00"/>
    <n v="7155"/>
    <n v="4.9299998283386204"/>
    <n v="4.9299998283386204"/>
    <n v="0"/>
    <n v="0.86000001430511497"/>
    <n v="0.58999997377395597"/>
    <n v="3.4700000286102299"/>
    <n v="0"/>
    <n v="7"/>
    <n v="6"/>
    <n v="166"/>
    <n v="1261"/>
    <n v="1497"/>
    <x v="3"/>
    <s v="May"/>
    <n v="179"/>
    <n v="1440"/>
    <n v="21.02"/>
    <x v="4"/>
    <s v="Lightly Active"/>
    <s v="1624580081|2016-05-02"/>
    <b v="0"/>
  </r>
  <r>
    <n v="1624580081"/>
    <d v="2016-05-03T00:00:00"/>
    <n v="2100"/>
    <n v="1.37000000476837"/>
    <n v="1.37000000476837"/>
    <n v="0"/>
    <n v="0"/>
    <n v="0"/>
    <n v="1.3400000333786"/>
    <n v="1.9999999552965199E-2"/>
    <n v="0"/>
    <n v="0"/>
    <n v="96"/>
    <n v="1344"/>
    <n v="1334"/>
    <x v="4"/>
    <s v="May"/>
    <n v="96"/>
    <n v="1440"/>
    <n v="22.4"/>
    <x v="2"/>
    <s v="Sedentary"/>
    <s v="1624580081|2016-05-03"/>
    <b v="0"/>
  </r>
  <r>
    <n v="1624580081"/>
    <d v="2016-05-04T00:00:00"/>
    <n v="2193"/>
    <n v="1.4299999475479099"/>
    <n v="1.4299999475479099"/>
    <n v="0"/>
    <n v="0"/>
    <n v="0"/>
    <n v="1.41999995708466"/>
    <n v="0"/>
    <n v="0"/>
    <n v="0"/>
    <n v="118"/>
    <n v="1322"/>
    <n v="1368"/>
    <x v="5"/>
    <s v="May"/>
    <n v="118"/>
    <n v="1440"/>
    <n v="22.03"/>
    <x v="2"/>
    <s v="Sedentary"/>
    <s v="1624580081|2016-05-04"/>
    <b v="0"/>
  </r>
  <r>
    <n v="1624580081"/>
    <d v="2016-05-05T00:00:00"/>
    <n v="2470"/>
    <n v="1.6100000143051101"/>
    <n v="1.6100000143051101"/>
    <n v="0"/>
    <n v="0"/>
    <n v="0"/>
    <n v="1.58000004291534"/>
    <n v="1.9999999552965199E-2"/>
    <n v="0"/>
    <n v="0"/>
    <n v="117"/>
    <n v="1323"/>
    <n v="1370"/>
    <x v="6"/>
    <s v="May"/>
    <n v="117"/>
    <n v="1440"/>
    <n v="22.05"/>
    <x v="2"/>
    <s v="Sedentary"/>
    <s v="1624580081|2016-05-05"/>
    <b v="0"/>
  </r>
  <r>
    <n v="1624580081"/>
    <d v="2016-05-06T00:00:00"/>
    <n v="1727"/>
    <n v="1.12000000476837"/>
    <n v="1.12000000476837"/>
    <n v="0"/>
    <n v="0"/>
    <n v="0"/>
    <n v="1.12000000476837"/>
    <n v="9.9999997764825804E-3"/>
    <n v="0"/>
    <n v="0"/>
    <n v="102"/>
    <n v="1338"/>
    <n v="1341"/>
    <x v="0"/>
    <s v="May"/>
    <n v="102"/>
    <n v="1440"/>
    <n v="22.3"/>
    <x v="2"/>
    <s v="Sedentary"/>
    <s v="1624580081|2016-05-06"/>
    <b v="0"/>
  </r>
  <r>
    <n v="1624580081"/>
    <d v="2016-05-07T00:00:00"/>
    <n v="2104"/>
    <n v="1.37000000476837"/>
    <n v="1.37000000476837"/>
    <n v="0"/>
    <n v="0"/>
    <n v="0"/>
    <n v="1.37000000476837"/>
    <n v="0"/>
    <n v="0"/>
    <n v="0"/>
    <n v="182"/>
    <n v="1258"/>
    <n v="1474"/>
    <x v="1"/>
    <s v="May"/>
    <n v="182"/>
    <n v="1440"/>
    <n v="20.97"/>
    <x v="2"/>
    <s v="Sedentary"/>
    <s v="1624580081|2016-05-07"/>
    <b v="0"/>
  </r>
  <r>
    <n v="1624580081"/>
    <d v="2016-05-08T00:00:00"/>
    <n v="3427"/>
    <n v="2.2300000190734899"/>
    <n v="2.2300000190734899"/>
    <n v="0"/>
    <n v="0"/>
    <n v="0"/>
    <n v="2.2200000286102299"/>
    <n v="0"/>
    <n v="0"/>
    <n v="0"/>
    <n v="152"/>
    <n v="1288"/>
    <n v="1427"/>
    <x v="2"/>
    <s v="May"/>
    <n v="152"/>
    <n v="1440"/>
    <n v="21.47"/>
    <x v="2"/>
    <s v="Sedentary"/>
    <s v="1624580081|2016-05-08"/>
    <b v="0"/>
  </r>
  <r>
    <n v="1624580081"/>
    <d v="2016-05-09T00:00:00"/>
    <n v="1732"/>
    <n v="1.12999999523163"/>
    <n v="1.12999999523163"/>
    <n v="0"/>
    <n v="0"/>
    <n v="0"/>
    <n v="1.12999999523163"/>
    <n v="0"/>
    <n v="0"/>
    <n v="0"/>
    <n v="91"/>
    <n v="1349"/>
    <n v="1328"/>
    <x v="3"/>
    <s v="May"/>
    <n v="91"/>
    <n v="1440"/>
    <n v="22.48"/>
    <x v="2"/>
    <s v="Sedentary"/>
    <s v="1624580081|2016-05-09"/>
    <b v="0"/>
  </r>
  <r>
    <n v="1624580081"/>
    <d v="2016-05-10T00:00:00"/>
    <n v="2969"/>
    <n v="1.9299999475479099"/>
    <n v="1.9299999475479099"/>
    <n v="0"/>
    <n v="0"/>
    <n v="0"/>
    <n v="1.91999995708466"/>
    <n v="9.9999997764825804E-3"/>
    <n v="0"/>
    <n v="0"/>
    <n v="139"/>
    <n v="1301"/>
    <n v="1393"/>
    <x v="4"/>
    <s v="May"/>
    <n v="139"/>
    <n v="1440"/>
    <n v="21.68"/>
    <x v="2"/>
    <s v="Sedentary"/>
    <s v="1624580081|2016-05-10"/>
    <b v="0"/>
  </r>
  <r>
    <n v="1624580081"/>
    <d v="2016-05-11T00:00:00"/>
    <n v="3134"/>
    <n v="2.03999996185303"/>
    <n v="2.03999996185303"/>
    <n v="0"/>
    <n v="0"/>
    <n v="0"/>
    <n v="2.03999996185303"/>
    <n v="0"/>
    <n v="0"/>
    <n v="0"/>
    <n v="112"/>
    <n v="1328"/>
    <n v="1359"/>
    <x v="5"/>
    <s v="May"/>
    <n v="112"/>
    <n v="1440"/>
    <n v="22.13"/>
    <x v="2"/>
    <s v="Sedentary"/>
    <s v="1624580081|2016-05-11"/>
    <b v="0"/>
  </r>
  <r>
    <n v="1624580081"/>
    <d v="2016-05-12T00:00:00"/>
    <n v="2971"/>
    <n v="1.9299999475479099"/>
    <n v="1.9299999475479099"/>
    <n v="0"/>
    <n v="0"/>
    <n v="0"/>
    <n v="1.91999995708466"/>
    <n v="9.9999997764825804E-3"/>
    <n v="0"/>
    <n v="0"/>
    <n v="107"/>
    <n v="890"/>
    <n v="1002"/>
    <x v="6"/>
    <s v="May"/>
    <n v="107"/>
    <n v="997"/>
    <n v="14.83"/>
    <x v="2"/>
    <s v="Sedentary"/>
    <s v="1624580081|2016-05-12"/>
    <b v="0"/>
  </r>
  <r>
    <n v="1644430081"/>
    <d v="2016-04-12T00:00:00"/>
    <n v="10694"/>
    <n v="7.7699999809265101"/>
    <n v="7.7699999809265101"/>
    <n v="0"/>
    <n v="0.140000000596046"/>
    <n v="2.2999999523162802"/>
    <n v="5.3299999237060502"/>
    <n v="0"/>
    <n v="2"/>
    <n v="51"/>
    <n v="256"/>
    <n v="1131"/>
    <n v="3199"/>
    <x v="4"/>
    <s v="April"/>
    <n v="309"/>
    <n v="1440"/>
    <n v="18.850000000000001"/>
    <x v="0"/>
    <s v="Lightly Active"/>
    <s v="1644430081|2016-04-12"/>
    <b v="0"/>
  </r>
  <r>
    <n v="1644430081"/>
    <d v="2016-04-13T00:00:00"/>
    <n v="8001"/>
    <n v="5.8200001716613796"/>
    <n v="5.8200001716613796"/>
    <n v="0"/>
    <n v="2.2799999713897701"/>
    <n v="0.89999997615814198"/>
    <n v="2.6400001049041699"/>
    <n v="0"/>
    <n v="30"/>
    <n v="16"/>
    <n v="135"/>
    <n v="1259"/>
    <n v="2902"/>
    <x v="5"/>
    <s v="April"/>
    <n v="181"/>
    <n v="1440"/>
    <n v="20.98"/>
    <x v="3"/>
    <s v="Very Active"/>
    <s v="1644430081|2016-04-13"/>
    <b v="0"/>
  </r>
  <r>
    <n v="1644430081"/>
    <d v="2016-04-14T00:00:00"/>
    <n v="11037"/>
    <n v="8.0200004577636701"/>
    <n v="8.0200004577636701"/>
    <n v="0"/>
    <n v="0.36000001430511502"/>
    <n v="2.5599999427795401"/>
    <n v="5.0999999046325701"/>
    <n v="0"/>
    <n v="5"/>
    <n v="58"/>
    <n v="252"/>
    <n v="1125"/>
    <n v="3226"/>
    <x v="6"/>
    <s v="April"/>
    <n v="315"/>
    <n v="1440"/>
    <n v="18.75"/>
    <x v="0"/>
    <s v="Lightly Active"/>
    <s v="1644430081|2016-04-14"/>
    <b v="0"/>
  </r>
  <r>
    <n v="1644430081"/>
    <d v="2016-04-15T00:00:00"/>
    <n v="5263"/>
    <n v="3.8299999237060498"/>
    <n v="3.8299999237060498"/>
    <n v="0"/>
    <n v="0.21999999880790699"/>
    <n v="0.15000000596046401"/>
    <n v="3.4500000476837198"/>
    <n v="0"/>
    <n v="3"/>
    <n v="4"/>
    <n v="170"/>
    <n v="1263"/>
    <n v="2750"/>
    <x v="0"/>
    <s v="April"/>
    <n v="177"/>
    <n v="1440"/>
    <n v="21.05"/>
    <x v="4"/>
    <s v="Lightly Active"/>
    <s v="1644430081|2016-04-15"/>
    <b v="0"/>
  </r>
  <r>
    <n v="1644430081"/>
    <d v="2016-04-16T00:00:00"/>
    <n v="15300"/>
    <n v="11.1199998855591"/>
    <n v="11.1199998855591"/>
    <n v="0"/>
    <n v="4.0999999046325701"/>
    <n v="1.87999999523163"/>
    <n v="5.0900001525878897"/>
    <n v="0"/>
    <n v="51"/>
    <n v="42"/>
    <n v="212"/>
    <n v="1135"/>
    <n v="3493"/>
    <x v="1"/>
    <s v="April"/>
    <n v="305"/>
    <n v="1440"/>
    <n v="18.920000000000002"/>
    <x v="1"/>
    <s v="Very Active"/>
    <s v="1644430081|2016-04-16"/>
    <b v="0"/>
  </r>
  <r>
    <n v="1644430081"/>
    <d v="2016-04-17T00:00:00"/>
    <n v="8757"/>
    <n v="6.3699998855590803"/>
    <n v="6.3699998855590803"/>
    <n v="0"/>
    <n v="2.25"/>
    <n v="0.56999999284744296"/>
    <n v="3.5499999523162802"/>
    <n v="0"/>
    <n v="29"/>
    <n v="13"/>
    <n v="186"/>
    <n v="1212"/>
    <n v="3011"/>
    <x v="2"/>
    <s v="April"/>
    <n v="228"/>
    <n v="1440"/>
    <n v="20.2"/>
    <x v="3"/>
    <s v="Moderately Active"/>
    <s v="1644430081|2016-04-17"/>
    <b v="0"/>
  </r>
  <r>
    <n v="1644430081"/>
    <d v="2016-04-18T00:00:00"/>
    <n v="7132"/>
    <n v="5.1900000572204599"/>
    <n v="5.1900000572204599"/>
    <n v="0"/>
    <n v="1.0700000524520901"/>
    <n v="1.66999995708466"/>
    <n v="2.4500000476837198"/>
    <n v="0"/>
    <n v="15"/>
    <n v="33"/>
    <n v="121"/>
    <n v="1271"/>
    <n v="2806"/>
    <x v="3"/>
    <s v="April"/>
    <n v="169"/>
    <n v="1440"/>
    <n v="21.18"/>
    <x v="4"/>
    <s v="Moderately Active"/>
    <s v="1644430081|2016-04-18"/>
    <b v="0"/>
  </r>
  <r>
    <n v="1644430081"/>
    <d v="2016-04-19T00:00:00"/>
    <n v="11256"/>
    <n v="8.1800003051757795"/>
    <n v="8.1800003051757795"/>
    <n v="0"/>
    <n v="0.36000001430511502"/>
    <n v="2.5299999713897701"/>
    <n v="5.3000001907348597"/>
    <n v="0"/>
    <n v="5"/>
    <n v="58"/>
    <n v="278"/>
    <n v="1099"/>
    <n v="3300"/>
    <x v="4"/>
    <s v="April"/>
    <n v="341"/>
    <n v="1440"/>
    <n v="18.32"/>
    <x v="0"/>
    <s v="Lightly Active"/>
    <s v="1644430081|2016-04-19"/>
    <b v="0"/>
  </r>
  <r>
    <n v="1644430081"/>
    <d v="2016-04-20T00:00:00"/>
    <n v="2436"/>
    <n v="1.7699999809265099"/>
    <n v="1.7699999809265099"/>
    <n v="0"/>
    <n v="0"/>
    <n v="0"/>
    <n v="1.7599999904632599"/>
    <n v="9.9999997764825804E-3"/>
    <n v="0"/>
    <n v="0"/>
    <n v="125"/>
    <n v="1315"/>
    <n v="2430"/>
    <x v="5"/>
    <s v="April"/>
    <n v="125"/>
    <n v="1440"/>
    <n v="21.92"/>
    <x v="2"/>
    <s v="Sedentary"/>
    <s v="1644430081|2016-04-20"/>
    <b v="0"/>
  </r>
  <r>
    <n v="1644430081"/>
    <d v="2016-04-21T00:00:00"/>
    <n v="1223"/>
    <n v="0.88999998569488503"/>
    <n v="0.88999998569488503"/>
    <n v="0"/>
    <n v="0"/>
    <n v="0"/>
    <n v="0.87999999523162797"/>
    <n v="9.9999997764825804E-3"/>
    <n v="0"/>
    <n v="0"/>
    <n v="38"/>
    <n v="1402"/>
    <n v="2140"/>
    <x v="6"/>
    <s v="April"/>
    <n v="38"/>
    <n v="1440"/>
    <n v="23.37"/>
    <x v="2"/>
    <s v="Sedentary"/>
    <s v="1644430081|2016-04-21"/>
    <b v="0"/>
  </r>
  <r>
    <n v="1644430081"/>
    <d v="2016-04-22T00:00:00"/>
    <n v="3673"/>
    <n v="2.6700000762939502"/>
    <n v="2.6700000762939502"/>
    <n v="0"/>
    <n v="0"/>
    <n v="0"/>
    <n v="2.6600000858306898"/>
    <n v="9.9999997764825804E-3"/>
    <n v="0"/>
    <n v="0"/>
    <n v="86"/>
    <n v="1354"/>
    <n v="2344"/>
    <x v="0"/>
    <s v="April"/>
    <n v="86"/>
    <n v="1440"/>
    <n v="22.57"/>
    <x v="2"/>
    <s v="Sedentary"/>
    <s v="1644430081|2016-04-22"/>
    <b v="0"/>
  </r>
  <r>
    <n v="1644430081"/>
    <d v="2016-04-23T00:00:00"/>
    <n v="6637"/>
    <n v="4.8299999237060502"/>
    <n v="4.8299999237060502"/>
    <n v="0"/>
    <n v="0"/>
    <n v="0.57999998331069902"/>
    <n v="4.25"/>
    <n v="0"/>
    <n v="0"/>
    <n v="15"/>
    <n v="160"/>
    <n v="1265"/>
    <n v="2677"/>
    <x v="1"/>
    <s v="April"/>
    <n v="175"/>
    <n v="1440"/>
    <n v="21.08"/>
    <x v="4"/>
    <s v="Sedentary"/>
    <s v="1644430081|2016-04-23"/>
    <b v="0"/>
  </r>
  <r>
    <n v="1644430081"/>
    <d v="2016-04-24T00:00:00"/>
    <n v="3321"/>
    <n v="2.4100000858306898"/>
    <n v="2.4100000858306898"/>
    <n v="0"/>
    <n v="0"/>
    <n v="0"/>
    <n v="2.4100000858306898"/>
    <n v="0"/>
    <n v="0"/>
    <n v="0"/>
    <n v="89"/>
    <n v="1351"/>
    <n v="2413"/>
    <x v="2"/>
    <s v="April"/>
    <n v="89"/>
    <n v="1440"/>
    <n v="22.52"/>
    <x v="2"/>
    <s v="Sedentary"/>
    <s v="1644430081|2016-04-24"/>
    <b v="0"/>
  </r>
  <r>
    <n v="1644430081"/>
    <d v="2016-04-25T00:00:00"/>
    <n v="3580"/>
    <n v="2.5999999046325701"/>
    <n v="2.5999999046325701"/>
    <n v="0"/>
    <n v="0.58999997377395597"/>
    <n v="5.9999998658895499E-2"/>
    <n v="1.95000004768372"/>
    <n v="0"/>
    <n v="8"/>
    <n v="1"/>
    <n v="94"/>
    <n v="1337"/>
    <n v="2497"/>
    <x v="3"/>
    <s v="April"/>
    <n v="103"/>
    <n v="1440"/>
    <n v="22.28"/>
    <x v="2"/>
    <s v="Lightly Active"/>
    <s v="1644430081|2016-04-25"/>
    <b v="0"/>
  </r>
  <r>
    <n v="1644430081"/>
    <d v="2016-04-26T00:00:00"/>
    <n v="9919"/>
    <n v="7.21000003814697"/>
    <n v="7.21000003814697"/>
    <n v="0"/>
    <n v="0.80000001192092896"/>
    <n v="1.7200000286102299"/>
    <n v="4.6900000572204599"/>
    <n v="0"/>
    <n v="11"/>
    <n v="41"/>
    <n v="223"/>
    <n v="1165"/>
    <n v="3123"/>
    <x v="4"/>
    <s v="April"/>
    <n v="275"/>
    <n v="1440"/>
    <n v="19.420000000000002"/>
    <x v="3"/>
    <s v="Lightly Active"/>
    <s v="1644430081|2016-04-26"/>
    <b v="0"/>
  </r>
  <r>
    <n v="1644430081"/>
    <d v="2016-04-27T00:00:00"/>
    <n v="3032"/>
    <n v="2.2000000476837198"/>
    <n v="2.2000000476837198"/>
    <n v="0"/>
    <n v="0"/>
    <n v="0"/>
    <n v="2.2000000476837198"/>
    <n v="0"/>
    <n v="0"/>
    <n v="0"/>
    <n v="118"/>
    <n v="1322"/>
    <n v="2489"/>
    <x v="5"/>
    <s v="April"/>
    <n v="118"/>
    <n v="1440"/>
    <n v="22.03"/>
    <x v="2"/>
    <s v="Sedentary"/>
    <s v="1644430081|2016-04-27"/>
    <b v="0"/>
  </r>
  <r>
    <n v="1644430081"/>
    <d v="2016-04-28T00:00:00"/>
    <n v="9405"/>
    <n v="6.8400001525878897"/>
    <n v="6.8400001525878897"/>
    <n v="0"/>
    <n v="0.20000000298023199"/>
    <n v="2.3199999332428001"/>
    <n v="4.3099999427795401"/>
    <n v="0"/>
    <n v="3"/>
    <n v="53"/>
    <n v="227"/>
    <n v="1157"/>
    <n v="3108"/>
    <x v="6"/>
    <s v="April"/>
    <n v="283"/>
    <n v="1440"/>
    <n v="19.28"/>
    <x v="3"/>
    <s v="Lightly Active"/>
    <s v="1644430081|2016-04-28"/>
    <b v="0"/>
  </r>
  <r>
    <n v="1644430081"/>
    <d v="2016-04-29T00:00:00"/>
    <n v="3176"/>
    <n v="2.3099999427795401"/>
    <n v="2.3099999427795401"/>
    <n v="0"/>
    <n v="0"/>
    <n v="0"/>
    <n v="2.3099999427795401"/>
    <n v="0"/>
    <n v="0"/>
    <n v="0"/>
    <n v="120"/>
    <n v="1193"/>
    <n v="2498"/>
    <x v="0"/>
    <s v="April"/>
    <n v="120"/>
    <n v="1313"/>
    <n v="19.88"/>
    <x v="2"/>
    <s v="Sedentary"/>
    <s v="1644430081|2016-04-29"/>
    <b v="1"/>
  </r>
  <r>
    <n v="1644430081"/>
    <d v="2016-04-30T00:00:00"/>
    <n v="18213"/>
    <n v="13.2399997711182"/>
    <n v="13.2399997711182"/>
    <n v="0"/>
    <n v="0.62999999523162797"/>
    <n v="3.1400001049041699"/>
    <n v="9.4600000381469709"/>
    <n v="0"/>
    <n v="9"/>
    <n v="71"/>
    <n v="402"/>
    <n v="816"/>
    <n v="3846"/>
    <x v="1"/>
    <s v="April"/>
    <n v="482"/>
    <n v="1298"/>
    <n v="13.6"/>
    <x v="1"/>
    <s v="Lightly Active"/>
    <s v="1644430081|2016-04-30"/>
    <b v="1"/>
  </r>
  <r>
    <n v="1644430081"/>
    <d v="2016-05-01T00:00:00"/>
    <n v="6132"/>
    <n v="4.46000003814697"/>
    <n v="4.46000003814697"/>
    <n v="0"/>
    <n v="0.239999994635582"/>
    <n v="0.99000000953674305"/>
    <n v="3.2300000190734899"/>
    <n v="0"/>
    <n v="3"/>
    <n v="24"/>
    <n v="146"/>
    <n v="908"/>
    <n v="2696"/>
    <x v="2"/>
    <s v="May"/>
    <n v="173"/>
    <n v="1081"/>
    <n v="15.13"/>
    <x v="4"/>
    <s v="Lightly Active"/>
    <s v="1644430081|2016-05-01"/>
    <b v="0"/>
  </r>
  <r>
    <n v="1644430081"/>
    <d v="2016-05-02T00:00:00"/>
    <n v="3758"/>
    <n v="2.7300000190734899"/>
    <n v="2.7300000190734899"/>
    <n v="0"/>
    <n v="7.0000000298023196E-2"/>
    <n v="0.31000000238418601"/>
    <n v="2.3499999046325701"/>
    <n v="0"/>
    <n v="1"/>
    <n v="7"/>
    <n v="148"/>
    <n v="682"/>
    <n v="2580"/>
    <x v="3"/>
    <s v="May"/>
    <n v="156"/>
    <n v="838"/>
    <n v="11.37"/>
    <x v="2"/>
    <s v="Lightly Active"/>
    <s v="1644430081|2016-05-02"/>
    <b v="1"/>
  </r>
  <r>
    <n v="1644430081"/>
    <d v="2016-05-03T00:00:00"/>
    <n v="12850"/>
    <n v="9.3400001525878906"/>
    <n v="9.3400001525878906"/>
    <n v="0"/>
    <n v="0.72000002861022905"/>
    <n v="4.0900001525878897"/>
    <n v="4.53999996185303"/>
    <n v="0"/>
    <n v="10"/>
    <n v="94"/>
    <n v="221"/>
    <n v="1115"/>
    <n v="3324"/>
    <x v="4"/>
    <s v="May"/>
    <n v="325"/>
    <n v="1440"/>
    <n v="18.579999999999998"/>
    <x v="1"/>
    <s v="Lightly Active"/>
    <s v="1644430081|2016-05-03"/>
    <b v="0"/>
  </r>
  <r>
    <n v="1644430081"/>
    <d v="2016-05-04T00:00:00"/>
    <n v="2309"/>
    <n v="1.6799999475479099"/>
    <n v="1.6799999475479099"/>
    <n v="0"/>
    <n v="0"/>
    <n v="0"/>
    <n v="1.6599999666214"/>
    <n v="1.9999999552965199E-2"/>
    <n v="0"/>
    <n v="0"/>
    <n v="52"/>
    <n v="1388"/>
    <n v="2222"/>
    <x v="5"/>
    <s v="May"/>
    <n v="52"/>
    <n v="1440"/>
    <n v="23.13"/>
    <x v="2"/>
    <s v="Sedentary"/>
    <s v="1644430081|2016-05-04"/>
    <b v="0"/>
  </r>
  <r>
    <n v="1644430081"/>
    <d v="2016-05-05T00:00:00"/>
    <n v="4363"/>
    <n v="3.1900000572204599"/>
    <n v="3.1900000572204599"/>
    <n v="0"/>
    <n v="0.519999980926514"/>
    <n v="0.54000002145767201"/>
    <n v="2.1300001144409202"/>
    <n v="9.9999997764825804E-3"/>
    <n v="6"/>
    <n v="12"/>
    <n v="81"/>
    <n v="1341"/>
    <n v="2463"/>
    <x v="6"/>
    <s v="May"/>
    <n v="99"/>
    <n v="1440"/>
    <n v="22.35"/>
    <x v="2"/>
    <s v="Lightly Active"/>
    <s v="1644430081|2016-05-05"/>
    <b v="0"/>
  </r>
  <r>
    <n v="1644430081"/>
    <d v="2016-05-06T00:00:00"/>
    <n v="9787"/>
    <n v="7.1199998855590803"/>
    <n v="7.1199998855590803"/>
    <n v="0"/>
    <n v="0.81999999284744296"/>
    <n v="0.270000010728836"/>
    <n v="6.0100002288818404"/>
    <n v="1.9999999552965199E-2"/>
    <n v="11"/>
    <n v="6"/>
    <n v="369"/>
    <n v="1054"/>
    <n v="3328"/>
    <x v="0"/>
    <s v="May"/>
    <n v="386"/>
    <n v="1440"/>
    <n v="17.57"/>
    <x v="3"/>
    <s v="Lightly Active"/>
    <s v="1644430081|2016-05-06"/>
    <b v="0"/>
  </r>
  <r>
    <n v="1644430081"/>
    <d v="2016-05-07T00:00:00"/>
    <n v="13372"/>
    <n v="9.7200002670288104"/>
    <n v="9.7200002670288104"/>
    <n v="0"/>
    <n v="3.2599999904632599"/>
    <n v="0.79000002145767201"/>
    <n v="5.6700000762939498"/>
    <n v="9.9999997764825804E-3"/>
    <n v="41"/>
    <n v="17"/>
    <n v="243"/>
    <n v="1139"/>
    <n v="3404"/>
    <x v="1"/>
    <s v="May"/>
    <n v="301"/>
    <n v="1440"/>
    <n v="18.98"/>
    <x v="1"/>
    <s v="Very Active"/>
    <s v="1644430081|2016-05-07"/>
    <b v="0"/>
  </r>
  <r>
    <n v="1644430081"/>
    <d v="2016-05-08T00:00:00"/>
    <n v="6724"/>
    <n v="4.8899998664856001"/>
    <n v="4.8899998664856001"/>
    <n v="0"/>
    <n v="0"/>
    <n v="0"/>
    <n v="4.8800001144409197"/>
    <n v="0"/>
    <n v="0"/>
    <n v="0"/>
    <n v="295"/>
    <n v="991"/>
    <n v="2987"/>
    <x v="2"/>
    <s v="May"/>
    <n v="295"/>
    <n v="1286"/>
    <n v="16.52"/>
    <x v="4"/>
    <s v="Sedentary"/>
    <s v="1644430081|2016-05-08"/>
    <b v="1"/>
  </r>
  <r>
    <n v="1644430081"/>
    <d v="2016-05-09T00:00:00"/>
    <n v="6643"/>
    <n v="4.8299999237060502"/>
    <n v="4.8299999237060502"/>
    <n v="0"/>
    <n v="2.3900001049041699"/>
    <n v="0.34999999403953602"/>
    <n v="2.0899999141693102"/>
    <n v="9.9999997764825804E-3"/>
    <n v="32"/>
    <n v="6"/>
    <n v="303"/>
    <n v="1099"/>
    <n v="3008"/>
    <x v="3"/>
    <s v="May"/>
    <n v="341"/>
    <n v="1440"/>
    <n v="18.32"/>
    <x v="4"/>
    <s v="Very Active"/>
    <s v="1644430081|2016-05-09"/>
    <b v="0"/>
  </r>
  <r>
    <n v="1644430081"/>
    <d v="2016-05-10T00:00:00"/>
    <n v="9167"/>
    <n v="6.6599998474121103"/>
    <n v="6.6599998474121103"/>
    <n v="0"/>
    <n v="0.87999999523162797"/>
    <n v="0.81000000238418601"/>
    <n v="4.9699997901916504"/>
    <n v="9.9999997764825804E-3"/>
    <n v="12"/>
    <n v="19"/>
    <n v="155"/>
    <n v="1254"/>
    <n v="2799"/>
    <x v="4"/>
    <s v="May"/>
    <n v="186"/>
    <n v="1440"/>
    <n v="20.9"/>
    <x v="3"/>
    <s v="Lightly Active"/>
    <s v="1644430081|2016-05-10"/>
    <b v="0"/>
  </r>
  <r>
    <n v="1644430081"/>
    <d v="2016-05-11T00:00:00"/>
    <n v="1329"/>
    <n v="0.97000002861022905"/>
    <n v="0.97000002861022905"/>
    <n v="0"/>
    <n v="0"/>
    <n v="0"/>
    <n v="0.94999998807907104"/>
    <n v="9.9999997764825804E-3"/>
    <n v="0"/>
    <n v="0"/>
    <n v="49"/>
    <n v="713"/>
    <n v="1276"/>
    <x v="5"/>
    <s v="May"/>
    <n v="49"/>
    <n v="762"/>
    <n v="11.88"/>
    <x v="2"/>
    <s v="Sedentary"/>
    <s v="1644430081|2016-05-11"/>
    <b v="0"/>
  </r>
  <r>
    <n v="1844505072"/>
    <d v="2016-04-13T00:00:00"/>
    <n v="4929"/>
    <n v="3.2599999904632599"/>
    <n v="3.2599999904632599"/>
    <n v="0"/>
    <n v="0"/>
    <n v="0"/>
    <n v="3.2599999904632599"/>
    <n v="0"/>
    <n v="0"/>
    <n v="0"/>
    <n v="248"/>
    <n v="1192"/>
    <n v="1860"/>
    <x v="5"/>
    <s v="April"/>
    <n v="248"/>
    <n v="1440"/>
    <n v="19.87"/>
    <x v="2"/>
    <s v="Sedentary"/>
    <s v="1844505072|2016-04-13"/>
    <b v="0"/>
  </r>
  <r>
    <n v="1844505072"/>
    <d v="2016-04-14T00:00:00"/>
    <n v="7937"/>
    <n v="5.25"/>
    <n v="5.25"/>
    <n v="0"/>
    <n v="0"/>
    <n v="0"/>
    <n v="5.2300000190734899"/>
    <n v="0"/>
    <n v="0"/>
    <n v="0"/>
    <n v="373"/>
    <n v="843"/>
    <n v="2130"/>
    <x v="6"/>
    <s v="April"/>
    <n v="373"/>
    <n v="1216"/>
    <n v="14.05"/>
    <x v="3"/>
    <s v="Sedentary"/>
    <s v="1844505072|2016-04-14"/>
    <b v="0"/>
  </r>
  <r>
    <n v="1844505072"/>
    <d v="2016-04-15T00:00:00"/>
    <n v="3844"/>
    <n v="2.53999996185303"/>
    <n v="2.53999996185303"/>
    <n v="0"/>
    <n v="0"/>
    <n v="0"/>
    <n v="2.53999996185303"/>
    <n v="0"/>
    <n v="0"/>
    <n v="0"/>
    <n v="176"/>
    <n v="527"/>
    <n v="1725"/>
    <x v="0"/>
    <s v="April"/>
    <n v="176"/>
    <n v="703"/>
    <n v="8.7799999999999994"/>
    <x v="2"/>
    <s v="Sedentary"/>
    <s v="1844505072|2016-04-15"/>
    <b v="1"/>
  </r>
  <r>
    <n v="1844505072"/>
    <d v="2016-04-16T00:00:00"/>
    <n v="3414"/>
    <n v="2.2599999904632599"/>
    <n v="2.2599999904632599"/>
    <n v="0"/>
    <n v="0"/>
    <n v="0"/>
    <n v="2.2599999904632599"/>
    <n v="0"/>
    <n v="0"/>
    <n v="0"/>
    <n v="147"/>
    <n v="1293"/>
    <n v="1657"/>
    <x v="1"/>
    <s v="April"/>
    <n v="147"/>
    <n v="1440"/>
    <n v="21.55"/>
    <x v="2"/>
    <s v="Sedentary"/>
    <s v="1844505072|2016-04-16"/>
    <b v="0"/>
  </r>
  <r>
    <n v="1844505072"/>
    <d v="2016-04-17T00:00:00"/>
    <n v="4525"/>
    <n v="2.9900000095367401"/>
    <n v="2.9900000095367401"/>
    <n v="0"/>
    <n v="0.140000000596046"/>
    <n v="0.259999990463257"/>
    <n v="2.5899999141693102"/>
    <n v="0"/>
    <n v="2"/>
    <n v="8"/>
    <n v="199"/>
    <n v="1231"/>
    <n v="1793"/>
    <x v="2"/>
    <s v="April"/>
    <n v="209"/>
    <n v="1440"/>
    <n v="20.52"/>
    <x v="2"/>
    <s v="Lightly Active"/>
    <s v="1844505072|2016-04-17"/>
    <b v="0"/>
  </r>
  <r>
    <n v="1844505072"/>
    <d v="2016-04-18T00:00:00"/>
    <n v="4597"/>
    <n v="3.03999996185303"/>
    <n v="3.03999996185303"/>
    <n v="0"/>
    <n v="0"/>
    <n v="0.479999989271164"/>
    <n v="2.5599999427795401"/>
    <n v="0"/>
    <n v="0"/>
    <n v="12"/>
    <n v="217"/>
    <n v="1211"/>
    <n v="1814"/>
    <x v="3"/>
    <s v="April"/>
    <n v="229"/>
    <n v="1440"/>
    <n v="20.18"/>
    <x v="2"/>
    <s v="Sedentary"/>
    <s v="1844505072|2016-04-18"/>
    <b v="0"/>
  </r>
  <r>
    <n v="1844505072"/>
    <d v="2016-04-19T00:00:00"/>
    <n v="197"/>
    <n v="0.129999995231628"/>
    <n v="0.129999995231628"/>
    <n v="0"/>
    <n v="0"/>
    <n v="0"/>
    <n v="0.129999995231628"/>
    <n v="0"/>
    <n v="0"/>
    <n v="0"/>
    <n v="10"/>
    <n v="1430"/>
    <n v="1366"/>
    <x v="4"/>
    <s v="April"/>
    <n v="10"/>
    <n v="1440"/>
    <n v="23.83"/>
    <x v="2"/>
    <s v="Sedentary"/>
    <s v="1844505072|2016-04-19"/>
    <b v="0"/>
  </r>
  <r>
    <n v="1844505072"/>
    <d v="2016-04-20T00:00:00"/>
    <n v="8"/>
    <n v="9.9999997764825804E-3"/>
    <n v="9.9999997764825804E-3"/>
    <n v="0"/>
    <n v="0"/>
    <n v="0"/>
    <n v="9.9999997764825804E-3"/>
    <n v="0"/>
    <n v="0"/>
    <n v="0"/>
    <n v="1"/>
    <n v="1439"/>
    <n v="1349"/>
    <x v="5"/>
    <s v="April"/>
    <n v="1"/>
    <n v="1440"/>
    <n v="23.98"/>
    <x v="2"/>
    <s v="Sedentary"/>
    <s v="1844505072|2016-04-20"/>
    <b v="0"/>
  </r>
  <r>
    <n v="1844505072"/>
    <d v="2016-04-21T00:00:00"/>
    <n v="8054"/>
    <n v="5.3200001716613796"/>
    <n v="5.3200001716613796"/>
    <n v="0"/>
    <n v="0.119999997317791"/>
    <n v="0.519999980926514"/>
    <n v="4.6799998283386204"/>
    <n v="0"/>
    <n v="2"/>
    <n v="13"/>
    <n v="308"/>
    <n v="1117"/>
    <n v="2062"/>
    <x v="6"/>
    <s v="April"/>
    <n v="323"/>
    <n v="1440"/>
    <n v="18.62"/>
    <x v="3"/>
    <s v="Lightly Active"/>
    <s v="1844505072|2016-04-21"/>
    <b v="0"/>
  </r>
  <r>
    <n v="1844505072"/>
    <d v="2016-04-22T00:00:00"/>
    <n v="5372"/>
    <n v="3.5499999523162802"/>
    <n v="3.5499999523162802"/>
    <n v="0"/>
    <n v="0"/>
    <n v="0"/>
    <n v="3.5499999523162802"/>
    <n v="0"/>
    <n v="0"/>
    <n v="0"/>
    <n v="220"/>
    <n v="1220"/>
    <n v="1827"/>
    <x v="0"/>
    <s v="April"/>
    <n v="220"/>
    <n v="1440"/>
    <n v="20.329999999999998"/>
    <x v="4"/>
    <s v="Sedentary"/>
    <s v="1844505072|2016-04-22"/>
    <b v="0"/>
  </r>
  <r>
    <n v="1844505072"/>
    <d v="2016-04-23T00:00:00"/>
    <n v="3570"/>
    <n v="2.3599998950958301"/>
    <n v="2.3599998950958301"/>
    <n v="0"/>
    <n v="0"/>
    <n v="0"/>
    <n v="2.3599998950958301"/>
    <n v="0"/>
    <n v="0"/>
    <n v="0"/>
    <n v="139"/>
    <n v="1301"/>
    <n v="1645"/>
    <x v="1"/>
    <s v="April"/>
    <n v="139"/>
    <n v="1440"/>
    <n v="21.68"/>
    <x v="2"/>
    <s v="Sedentary"/>
    <s v="1844505072|2016-04-23"/>
    <b v="0"/>
  </r>
  <r>
    <n v="1844505072"/>
    <d v="2016-04-24T00:00:00"/>
    <n v="0"/>
    <n v="0"/>
    <n v="0"/>
    <n v="0"/>
    <n v="0"/>
    <n v="0"/>
    <n v="0"/>
    <n v="0"/>
    <n v="0"/>
    <n v="0"/>
    <n v="0"/>
    <n v="1440"/>
    <n v="1347"/>
    <x v="2"/>
    <s v="April"/>
    <n v="0"/>
    <n v="1440"/>
    <n v="24"/>
    <x v="2"/>
    <s v="Sedentary"/>
    <s v="1844505072|2016-04-24"/>
    <b v="0"/>
  </r>
  <r>
    <n v="1844505072"/>
    <d v="2016-04-25T00:00:00"/>
    <n v="0"/>
    <n v="0"/>
    <n v="0"/>
    <n v="0"/>
    <n v="0"/>
    <n v="0"/>
    <n v="0"/>
    <n v="0"/>
    <n v="0"/>
    <n v="0"/>
    <n v="0"/>
    <n v="1440"/>
    <n v="1347"/>
    <x v="3"/>
    <s v="April"/>
    <n v="0"/>
    <n v="1440"/>
    <n v="24"/>
    <x v="2"/>
    <s v="Sedentary"/>
    <s v="1844505072|2016-04-25"/>
    <b v="0"/>
  </r>
  <r>
    <n v="1844505072"/>
    <d v="2016-04-26T00:00:00"/>
    <n v="0"/>
    <n v="0"/>
    <n v="0"/>
    <n v="0"/>
    <n v="0"/>
    <n v="0"/>
    <n v="0"/>
    <n v="0"/>
    <n v="0"/>
    <n v="0"/>
    <n v="0"/>
    <n v="1440"/>
    <n v="1347"/>
    <x v="4"/>
    <s v="April"/>
    <n v="0"/>
    <n v="1440"/>
    <n v="24"/>
    <x v="2"/>
    <s v="Sedentary"/>
    <s v="1844505072|2016-04-26"/>
    <b v="0"/>
  </r>
  <r>
    <n v="1844505072"/>
    <d v="2016-04-27T00:00:00"/>
    <n v="4"/>
    <n v="0"/>
    <n v="0"/>
    <n v="0"/>
    <n v="0"/>
    <n v="0"/>
    <n v="0"/>
    <n v="0"/>
    <n v="0"/>
    <n v="0"/>
    <n v="1"/>
    <n v="1439"/>
    <n v="1348"/>
    <x v="5"/>
    <s v="April"/>
    <n v="1"/>
    <n v="1440"/>
    <n v="23.98"/>
    <x v="2"/>
    <s v="Sedentary"/>
    <s v="1844505072|2016-04-27"/>
    <b v="0"/>
  </r>
  <r>
    <n v="1844505072"/>
    <d v="2016-04-28T00:00:00"/>
    <n v="6907"/>
    <n v="4.5700001716613796"/>
    <n v="4.5700001716613796"/>
    <n v="0"/>
    <n v="0"/>
    <n v="0"/>
    <n v="4.5599999427795401"/>
    <n v="0"/>
    <n v="0"/>
    <n v="0"/>
    <n v="302"/>
    <n v="1138"/>
    <n v="1992"/>
    <x v="6"/>
    <s v="April"/>
    <n v="302"/>
    <n v="1440"/>
    <n v="18.97"/>
    <x v="4"/>
    <s v="Sedentary"/>
    <s v="1844505072|2016-04-28"/>
    <b v="0"/>
  </r>
  <r>
    <n v="1844505072"/>
    <d v="2016-04-29T00:00:00"/>
    <n v="4920"/>
    <n v="3.25"/>
    <n v="3.25"/>
    <n v="0"/>
    <n v="0"/>
    <n v="0"/>
    <n v="3.25"/>
    <n v="0"/>
    <n v="0"/>
    <n v="0"/>
    <n v="247"/>
    <n v="1082"/>
    <n v="1856"/>
    <x v="0"/>
    <s v="April"/>
    <n v="247"/>
    <n v="1329"/>
    <n v="18.03"/>
    <x v="2"/>
    <s v="Sedentary"/>
    <s v="1844505072|2016-04-29"/>
    <b v="0"/>
  </r>
  <r>
    <n v="1844505072"/>
    <d v="2016-04-30T00:00:00"/>
    <n v="4014"/>
    <n v="2.6700000762939502"/>
    <n v="2.6700000762939502"/>
    <n v="0"/>
    <n v="0"/>
    <n v="0"/>
    <n v="2.6500000953674299"/>
    <n v="0"/>
    <n v="0"/>
    <n v="0"/>
    <n v="184"/>
    <n v="218"/>
    <n v="1763"/>
    <x v="1"/>
    <s v="April"/>
    <n v="184"/>
    <n v="402"/>
    <n v="3.63"/>
    <x v="2"/>
    <s v="Sedentary"/>
    <s v="1844505072|2016-04-30"/>
    <b v="1"/>
  </r>
  <r>
    <n v="1844505072"/>
    <d v="2016-05-01T00:00:00"/>
    <n v="2573"/>
    <n v="1.70000004768372"/>
    <n v="1.70000004768372"/>
    <n v="0"/>
    <n v="0"/>
    <n v="0.259999990463257"/>
    <n v="1.45000004768372"/>
    <n v="0"/>
    <n v="0"/>
    <n v="7"/>
    <n v="75"/>
    <n v="585"/>
    <n v="1541"/>
    <x v="2"/>
    <s v="May"/>
    <n v="82"/>
    <n v="667"/>
    <n v="9.75"/>
    <x v="2"/>
    <s v="Sedentary"/>
    <s v="1844505072|2016-05-01"/>
    <b v="1"/>
  </r>
  <r>
    <n v="1844505072"/>
    <d v="2016-05-02T00:00:00"/>
    <n v="0"/>
    <n v="0"/>
    <n v="0"/>
    <n v="0"/>
    <n v="0"/>
    <n v="0"/>
    <n v="0"/>
    <n v="0"/>
    <n v="0"/>
    <n v="0"/>
    <n v="0"/>
    <n v="1440"/>
    <n v="1348"/>
    <x v="3"/>
    <s v="May"/>
    <n v="0"/>
    <n v="1440"/>
    <n v="24"/>
    <x v="2"/>
    <s v="Sedentary"/>
    <s v="1844505072|2016-05-02"/>
    <b v="0"/>
  </r>
  <r>
    <n v="1844505072"/>
    <d v="2016-05-03T00:00:00"/>
    <n v="4059"/>
    <n v="2.6800000667571999"/>
    <n v="2.6800000667571999"/>
    <n v="0"/>
    <n v="0"/>
    <n v="0"/>
    <n v="2.6800000667571999"/>
    <n v="0"/>
    <n v="0"/>
    <n v="0"/>
    <n v="184"/>
    <n v="1256"/>
    <n v="1742"/>
    <x v="4"/>
    <s v="May"/>
    <n v="184"/>
    <n v="1440"/>
    <n v="20.93"/>
    <x v="2"/>
    <s v="Sedentary"/>
    <s v="1844505072|2016-05-03"/>
    <b v="0"/>
  </r>
  <r>
    <n v="1844505072"/>
    <d v="2016-05-04T00:00:00"/>
    <n v="2080"/>
    <n v="1.37000000476837"/>
    <n v="1.37000000476837"/>
    <n v="0"/>
    <n v="0"/>
    <n v="0"/>
    <n v="1.37000000476837"/>
    <n v="0"/>
    <n v="0"/>
    <n v="0"/>
    <n v="87"/>
    <n v="1353"/>
    <n v="1549"/>
    <x v="5"/>
    <s v="May"/>
    <n v="87"/>
    <n v="1440"/>
    <n v="22.55"/>
    <x v="2"/>
    <s v="Sedentary"/>
    <s v="1844505072|2016-05-04"/>
    <b v="0"/>
  </r>
  <r>
    <n v="1844505072"/>
    <d v="2016-05-05T00:00:00"/>
    <n v="2237"/>
    <n v="1.4800000190734901"/>
    <n v="1.4800000190734901"/>
    <n v="0"/>
    <n v="0"/>
    <n v="0"/>
    <n v="1.4800000190734901"/>
    <n v="0"/>
    <n v="0"/>
    <n v="0"/>
    <n v="120"/>
    <n v="1320"/>
    <n v="1589"/>
    <x v="6"/>
    <s v="May"/>
    <n v="120"/>
    <n v="1440"/>
    <n v="22"/>
    <x v="2"/>
    <s v="Sedentary"/>
    <s v="1844505072|2016-05-05"/>
    <b v="0"/>
  </r>
  <r>
    <n v="1844505072"/>
    <d v="2016-05-06T00:00:00"/>
    <n v="44"/>
    <n v="2.9999999329447701E-2"/>
    <n v="2.9999999329447701E-2"/>
    <n v="0"/>
    <n v="0"/>
    <n v="0"/>
    <n v="2.9999999329447701E-2"/>
    <n v="0"/>
    <n v="0"/>
    <n v="0"/>
    <n v="2"/>
    <n v="1438"/>
    <n v="1351"/>
    <x v="0"/>
    <s v="May"/>
    <n v="2"/>
    <n v="1440"/>
    <n v="23.97"/>
    <x v="2"/>
    <s v="Sedentary"/>
    <s v="1844505072|2016-05-06"/>
    <b v="0"/>
  </r>
  <r>
    <n v="1844505072"/>
    <d v="2016-05-07T00:00:00"/>
    <n v="0"/>
    <n v="0"/>
    <n v="0"/>
    <n v="0"/>
    <n v="0"/>
    <n v="0"/>
    <n v="0"/>
    <n v="0"/>
    <n v="0"/>
    <n v="0"/>
    <n v="0"/>
    <n v="1440"/>
    <n v="1347"/>
    <x v="1"/>
    <s v="May"/>
    <n v="0"/>
    <n v="1440"/>
    <n v="24"/>
    <x v="2"/>
    <s v="Sedentary"/>
    <s v="1844505072|2016-05-07"/>
    <b v="0"/>
  </r>
  <r>
    <n v="1844505072"/>
    <d v="2016-05-08T00:00:00"/>
    <n v="0"/>
    <n v="0"/>
    <n v="0"/>
    <n v="0"/>
    <n v="0"/>
    <n v="0"/>
    <n v="0"/>
    <n v="0"/>
    <n v="0"/>
    <n v="0"/>
    <n v="0"/>
    <n v="1440"/>
    <n v="1347"/>
    <x v="2"/>
    <s v="May"/>
    <n v="0"/>
    <n v="1440"/>
    <n v="24"/>
    <x v="2"/>
    <s v="Sedentary"/>
    <s v="1844505072|2016-05-08"/>
    <b v="0"/>
  </r>
  <r>
    <n v="1844505072"/>
    <d v="2016-05-09T00:00:00"/>
    <n v="0"/>
    <n v="0"/>
    <n v="0"/>
    <n v="0"/>
    <n v="0"/>
    <n v="0"/>
    <n v="0"/>
    <n v="0"/>
    <n v="0"/>
    <n v="0"/>
    <n v="0"/>
    <n v="1440"/>
    <n v="1347"/>
    <x v="3"/>
    <s v="May"/>
    <n v="0"/>
    <n v="1440"/>
    <n v="24"/>
    <x v="2"/>
    <s v="Sedentary"/>
    <s v="1844505072|2016-05-09"/>
    <b v="0"/>
  </r>
  <r>
    <n v="1844505072"/>
    <d v="2016-05-10T00:00:00"/>
    <n v="0"/>
    <n v="0"/>
    <n v="0"/>
    <n v="0"/>
    <n v="0"/>
    <n v="0"/>
    <n v="0"/>
    <n v="0"/>
    <n v="0"/>
    <n v="0"/>
    <n v="0"/>
    <n v="1440"/>
    <n v="1347"/>
    <x v="4"/>
    <s v="May"/>
    <n v="0"/>
    <n v="1440"/>
    <n v="24"/>
    <x v="2"/>
    <s v="Sedentary"/>
    <s v="1844505072|2016-05-10"/>
    <b v="0"/>
  </r>
  <r>
    <n v="1844505072"/>
    <d v="2016-05-11T00:00:00"/>
    <n v="0"/>
    <n v="0"/>
    <n v="0"/>
    <n v="0"/>
    <n v="0"/>
    <n v="0"/>
    <n v="0"/>
    <n v="0"/>
    <n v="0"/>
    <n v="0"/>
    <n v="0"/>
    <n v="1440"/>
    <n v="1347"/>
    <x v="5"/>
    <s v="May"/>
    <n v="0"/>
    <n v="1440"/>
    <n v="24"/>
    <x v="2"/>
    <s v="Sedentary"/>
    <s v="1844505072|2016-05-11"/>
    <b v="0"/>
  </r>
  <r>
    <n v="1844505072"/>
    <d v="2016-05-12T00:00:00"/>
    <n v="0"/>
    <n v="0"/>
    <n v="0"/>
    <n v="0"/>
    <n v="0"/>
    <n v="0"/>
    <n v="0"/>
    <n v="0"/>
    <n v="0"/>
    <n v="0"/>
    <n v="0"/>
    <n v="711"/>
    <n v="665"/>
    <x v="6"/>
    <s v="May"/>
    <n v="0"/>
    <n v="711"/>
    <n v="11.85"/>
    <x v="2"/>
    <s v="Sedentary"/>
    <s v="1844505072|2016-05-12"/>
    <b v="0"/>
  </r>
  <r>
    <n v="1927972279"/>
    <d v="2016-04-13T00:00:00"/>
    <n v="356"/>
    <n v="0.25"/>
    <n v="0.25"/>
    <n v="0"/>
    <n v="0"/>
    <n v="0"/>
    <n v="0.25"/>
    <n v="0"/>
    <n v="0"/>
    <n v="0"/>
    <n v="32"/>
    <n v="986"/>
    <n v="2151"/>
    <x v="5"/>
    <s v="April"/>
    <n v="32"/>
    <n v="1018"/>
    <n v="16.43"/>
    <x v="2"/>
    <s v="Sedentary"/>
    <s v="1927972279|2016-04-13"/>
    <b v="1"/>
  </r>
  <r>
    <n v="1927972279"/>
    <d v="2016-04-14T00:00:00"/>
    <n v="2163"/>
    <n v="1.5"/>
    <n v="1.5"/>
    <n v="0"/>
    <n v="0"/>
    <n v="0.40000000596046398"/>
    <n v="1.1000000238418599"/>
    <n v="0"/>
    <n v="0"/>
    <n v="9"/>
    <n v="88"/>
    <n v="1292"/>
    <n v="2383"/>
    <x v="6"/>
    <s v="April"/>
    <n v="97"/>
    <n v="1389"/>
    <n v="21.53"/>
    <x v="2"/>
    <s v="Sedentary"/>
    <s v="1927972279|2016-04-14"/>
    <b v="0"/>
  </r>
  <r>
    <n v="1927972279"/>
    <d v="2016-04-15T00:00:00"/>
    <n v="980"/>
    <n v="0.68000000715255704"/>
    <n v="0.68000000715255704"/>
    <n v="0"/>
    <n v="0"/>
    <n v="0"/>
    <n v="0.68000000715255704"/>
    <n v="0"/>
    <n v="0"/>
    <n v="0"/>
    <n v="51"/>
    <n v="941"/>
    <n v="2221"/>
    <x v="0"/>
    <s v="April"/>
    <n v="51"/>
    <n v="992"/>
    <n v="15.68"/>
    <x v="2"/>
    <s v="Sedentary"/>
    <s v="1927972279|2016-04-15"/>
    <b v="1"/>
  </r>
  <r>
    <n v="1927972279"/>
    <d v="2016-04-16T00:00:00"/>
    <n v="0"/>
    <n v="0"/>
    <n v="0"/>
    <n v="0"/>
    <n v="0"/>
    <n v="0"/>
    <n v="0"/>
    <n v="0"/>
    <n v="0"/>
    <n v="0"/>
    <n v="0"/>
    <n v="1440"/>
    <n v="2064"/>
    <x v="1"/>
    <s v="April"/>
    <n v="0"/>
    <n v="1440"/>
    <n v="24"/>
    <x v="2"/>
    <s v="Sedentary"/>
    <s v="1927972279|2016-04-16"/>
    <b v="0"/>
  </r>
  <r>
    <n v="1927972279"/>
    <d v="2016-04-17T00:00:00"/>
    <n v="0"/>
    <n v="0"/>
    <n v="0"/>
    <n v="0"/>
    <n v="0"/>
    <n v="0"/>
    <n v="0"/>
    <n v="0"/>
    <n v="0"/>
    <n v="0"/>
    <n v="0"/>
    <n v="1440"/>
    <n v="2063"/>
    <x v="2"/>
    <s v="April"/>
    <n v="0"/>
    <n v="1440"/>
    <n v="24"/>
    <x v="2"/>
    <s v="Sedentary"/>
    <s v="1927972279|2016-04-17"/>
    <b v="0"/>
  </r>
  <r>
    <n v="1927972279"/>
    <d v="2016-04-18T00:00:00"/>
    <n v="244"/>
    <n v="0.17000000178813901"/>
    <n v="0.17000000178813901"/>
    <n v="0"/>
    <n v="0"/>
    <n v="0"/>
    <n v="0.17000000178813901"/>
    <n v="0"/>
    <n v="0"/>
    <n v="0"/>
    <n v="17"/>
    <n v="1423"/>
    <n v="2111"/>
    <x v="3"/>
    <s v="April"/>
    <n v="17"/>
    <n v="1440"/>
    <n v="23.72"/>
    <x v="2"/>
    <s v="Sedentary"/>
    <s v="1927972279|2016-04-18"/>
    <b v="0"/>
  </r>
  <r>
    <n v="1927972279"/>
    <d v="2016-04-19T00:00:00"/>
    <n v="0"/>
    <n v="0"/>
    <n v="0"/>
    <n v="0"/>
    <n v="0"/>
    <n v="0"/>
    <n v="0"/>
    <n v="0"/>
    <n v="0"/>
    <n v="0"/>
    <n v="0"/>
    <n v="1440"/>
    <n v="2063"/>
    <x v="4"/>
    <s v="April"/>
    <n v="0"/>
    <n v="1440"/>
    <n v="24"/>
    <x v="2"/>
    <s v="Sedentary"/>
    <s v="1927972279|2016-04-19"/>
    <b v="0"/>
  </r>
  <r>
    <n v="1927972279"/>
    <d v="2016-04-20T00:00:00"/>
    <n v="0"/>
    <n v="0"/>
    <n v="0"/>
    <n v="0"/>
    <n v="0"/>
    <n v="0"/>
    <n v="0"/>
    <n v="0"/>
    <n v="0"/>
    <n v="0"/>
    <n v="0"/>
    <n v="1440"/>
    <n v="2063"/>
    <x v="5"/>
    <s v="April"/>
    <n v="0"/>
    <n v="1440"/>
    <n v="24"/>
    <x v="2"/>
    <s v="Sedentary"/>
    <s v="1927972279|2016-04-20"/>
    <b v="0"/>
  </r>
  <r>
    <n v="1927972279"/>
    <d v="2016-04-21T00:00:00"/>
    <n v="0"/>
    <n v="0"/>
    <n v="0"/>
    <n v="0"/>
    <n v="0"/>
    <n v="0"/>
    <n v="0"/>
    <n v="0"/>
    <n v="0"/>
    <n v="0"/>
    <n v="0"/>
    <n v="1440"/>
    <n v="2064"/>
    <x v="6"/>
    <s v="April"/>
    <n v="0"/>
    <n v="1440"/>
    <n v="24"/>
    <x v="2"/>
    <s v="Sedentary"/>
    <s v="1927972279|2016-04-21"/>
    <b v="0"/>
  </r>
  <r>
    <n v="1927972279"/>
    <d v="2016-04-22T00:00:00"/>
    <n v="149"/>
    <n v="0.10000000149011599"/>
    <n v="0.10000000149011599"/>
    <n v="0"/>
    <n v="0"/>
    <n v="0"/>
    <n v="0.10000000149011599"/>
    <n v="0"/>
    <n v="0"/>
    <n v="0"/>
    <n v="10"/>
    <n v="1430"/>
    <n v="2093"/>
    <x v="0"/>
    <s v="April"/>
    <n v="10"/>
    <n v="1440"/>
    <n v="23.83"/>
    <x v="2"/>
    <s v="Sedentary"/>
    <s v="1927972279|2016-04-22"/>
    <b v="0"/>
  </r>
  <r>
    <n v="1927972279"/>
    <d v="2016-04-23T00:00:00"/>
    <n v="2945"/>
    <n v="2.03999996185303"/>
    <n v="2.03999996185303"/>
    <n v="0"/>
    <n v="0"/>
    <n v="0"/>
    <n v="2.03999996185303"/>
    <n v="0"/>
    <n v="0"/>
    <n v="0"/>
    <n v="145"/>
    <n v="1295"/>
    <n v="2499"/>
    <x v="1"/>
    <s v="April"/>
    <n v="145"/>
    <n v="1440"/>
    <n v="21.58"/>
    <x v="2"/>
    <s v="Sedentary"/>
    <s v="1927972279|2016-04-23"/>
    <b v="0"/>
  </r>
  <r>
    <n v="1927972279"/>
    <d v="2016-04-24T00:00:00"/>
    <n v="2090"/>
    <n v="1.45000004768372"/>
    <n v="1.45000004768372"/>
    <n v="0"/>
    <n v="7.0000000298023196E-2"/>
    <n v="0.239999994635582"/>
    <n v="1.1399999856948899"/>
    <n v="0"/>
    <n v="1"/>
    <n v="6"/>
    <n v="75"/>
    <n v="1358"/>
    <n v="2324"/>
    <x v="2"/>
    <s v="April"/>
    <n v="82"/>
    <n v="1440"/>
    <n v="22.63"/>
    <x v="2"/>
    <s v="Lightly Active"/>
    <s v="1927972279|2016-04-24"/>
    <b v="0"/>
  </r>
  <r>
    <n v="1927972279"/>
    <d v="2016-04-25T00:00:00"/>
    <n v="152"/>
    <n v="0.109999999403954"/>
    <n v="0.109999999403954"/>
    <n v="0"/>
    <n v="0"/>
    <n v="0"/>
    <n v="0.109999999403954"/>
    <n v="0"/>
    <n v="0"/>
    <n v="0"/>
    <n v="12"/>
    <n v="1303"/>
    <n v="2100"/>
    <x v="3"/>
    <s v="April"/>
    <n v="12"/>
    <n v="1315"/>
    <n v="21.72"/>
    <x v="2"/>
    <s v="Sedentary"/>
    <s v="1927972279|2016-04-25"/>
    <b v="0"/>
  </r>
  <r>
    <n v="1927972279"/>
    <d v="2016-04-26T00:00:00"/>
    <n v="3761"/>
    <n v="2.5999999046325701"/>
    <n v="2.5999999046325701"/>
    <n v="0"/>
    <n v="0"/>
    <n v="0"/>
    <n v="2.5999999046325701"/>
    <n v="0"/>
    <n v="0"/>
    <n v="0"/>
    <n v="192"/>
    <n v="1058"/>
    <n v="2638"/>
    <x v="4"/>
    <s v="April"/>
    <n v="192"/>
    <n v="1250"/>
    <n v="17.63"/>
    <x v="2"/>
    <s v="Sedentary"/>
    <s v="1927972279|2016-04-26"/>
    <b v="1"/>
  </r>
  <r>
    <n v="1927972279"/>
    <d v="2016-04-27T00:00:00"/>
    <n v="0"/>
    <n v="0"/>
    <n v="0"/>
    <n v="0"/>
    <n v="0"/>
    <n v="0"/>
    <n v="0"/>
    <n v="0"/>
    <n v="0"/>
    <n v="0"/>
    <n v="0"/>
    <n v="1440"/>
    <n v="2063"/>
    <x v="5"/>
    <s v="April"/>
    <n v="0"/>
    <n v="1440"/>
    <n v="24"/>
    <x v="2"/>
    <s v="Sedentary"/>
    <s v="1927972279|2016-04-27"/>
    <b v="0"/>
  </r>
  <r>
    <n v="1927972279"/>
    <d v="2016-04-28T00:00:00"/>
    <n v="1675"/>
    <n v="1.1599999666214"/>
    <n v="1.1599999666214"/>
    <n v="0"/>
    <n v="0"/>
    <n v="0"/>
    <n v="1.1599999666214"/>
    <n v="0"/>
    <n v="0"/>
    <n v="0"/>
    <n v="95"/>
    <n v="1167"/>
    <n v="2351"/>
    <x v="6"/>
    <s v="April"/>
    <n v="95"/>
    <n v="1262"/>
    <n v="19.45"/>
    <x v="2"/>
    <s v="Sedentary"/>
    <s v="1927972279|2016-04-28"/>
    <b v="1"/>
  </r>
  <r>
    <n v="1927972279"/>
    <d v="2016-04-29T00:00:00"/>
    <n v="0"/>
    <n v="0"/>
    <n v="0"/>
    <n v="0"/>
    <n v="0"/>
    <n v="0"/>
    <n v="0"/>
    <n v="0"/>
    <n v="0"/>
    <n v="0"/>
    <n v="0"/>
    <n v="1440"/>
    <n v="2063"/>
    <x v="0"/>
    <s v="April"/>
    <n v="0"/>
    <n v="1440"/>
    <n v="24"/>
    <x v="2"/>
    <s v="Sedentary"/>
    <s v="1927972279|2016-04-29"/>
    <b v="0"/>
  </r>
  <r>
    <n v="1927972279"/>
    <d v="2016-04-30T00:00:00"/>
    <n v="0"/>
    <n v="0"/>
    <n v="0"/>
    <n v="0"/>
    <n v="0"/>
    <n v="0"/>
    <n v="0"/>
    <n v="0"/>
    <n v="0"/>
    <n v="0"/>
    <n v="0"/>
    <n v="1440"/>
    <n v="2064"/>
    <x v="1"/>
    <s v="April"/>
    <n v="0"/>
    <n v="1440"/>
    <n v="24"/>
    <x v="2"/>
    <s v="Sedentary"/>
    <s v="1927972279|2016-04-30"/>
    <b v="0"/>
  </r>
  <r>
    <n v="1927972279"/>
    <d v="2016-05-01T00:00:00"/>
    <n v="2704"/>
    <n v="1.87000000476837"/>
    <n v="1.87000000476837"/>
    <n v="0"/>
    <n v="1.0099999904632599"/>
    <n v="2.9999999329447701E-2"/>
    <n v="0.82999998331069902"/>
    <n v="0"/>
    <n v="14"/>
    <n v="1"/>
    <n v="70"/>
    <n v="1355"/>
    <n v="2411"/>
    <x v="2"/>
    <s v="May"/>
    <n v="85"/>
    <n v="1440"/>
    <n v="22.58"/>
    <x v="2"/>
    <s v="Lightly Active"/>
    <s v="1927972279|2016-05-01"/>
    <b v="0"/>
  </r>
  <r>
    <n v="1927972279"/>
    <d v="2016-05-02T00:00:00"/>
    <n v="3790"/>
    <n v="2.6199998855590798"/>
    <n v="2.6199998855590798"/>
    <n v="0"/>
    <n v="1.1599999666214"/>
    <n v="0.30000001192092901"/>
    <n v="1.1599999666214"/>
    <n v="0"/>
    <n v="16"/>
    <n v="8"/>
    <n v="94"/>
    <n v="1322"/>
    <n v="2505"/>
    <x v="3"/>
    <s v="May"/>
    <n v="118"/>
    <n v="1440"/>
    <n v="22.03"/>
    <x v="2"/>
    <s v="Moderately Active"/>
    <s v="1927972279|2016-05-02"/>
    <b v="0"/>
  </r>
  <r>
    <n v="1927972279"/>
    <d v="2016-05-03T00:00:00"/>
    <n v="1326"/>
    <n v="0.92000001668930098"/>
    <n v="0.92000001668930098"/>
    <n v="0"/>
    <n v="0.730000019073486"/>
    <n v="0"/>
    <n v="0.18000000715255701"/>
    <n v="0"/>
    <n v="10"/>
    <n v="0"/>
    <n v="17"/>
    <n v="1413"/>
    <n v="2195"/>
    <x v="4"/>
    <s v="May"/>
    <n v="27"/>
    <n v="1440"/>
    <n v="23.55"/>
    <x v="2"/>
    <s v="Lightly Active"/>
    <s v="1927972279|2016-05-03"/>
    <b v="0"/>
  </r>
  <r>
    <n v="1927972279"/>
    <d v="2016-05-04T00:00:00"/>
    <n v="1786"/>
    <n v="1.2400000095367401"/>
    <n v="1.2400000095367401"/>
    <n v="0"/>
    <n v="0"/>
    <n v="0"/>
    <n v="1.2400000095367401"/>
    <n v="0"/>
    <n v="0"/>
    <n v="0"/>
    <n v="87"/>
    <n v="1353"/>
    <n v="2338"/>
    <x v="5"/>
    <s v="May"/>
    <n v="87"/>
    <n v="1440"/>
    <n v="22.55"/>
    <x v="2"/>
    <s v="Sedentary"/>
    <s v="1927972279|2016-05-04"/>
    <b v="0"/>
  </r>
  <r>
    <n v="1927972279"/>
    <d v="2016-05-05T00:00:00"/>
    <n v="0"/>
    <n v="0"/>
    <n v="0"/>
    <n v="0"/>
    <n v="0"/>
    <n v="0"/>
    <n v="0"/>
    <n v="0"/>
    <n v="0"/>
    <n v="0"/>
    <n v="0"/>
    <n v="1440"/>
    <n v="2063"/>
    <x v="6"/>
    <s v="May"/>
    <n v="0"/>
    <n v="1440"/>
    <n v="24"/>
    <x v="2"/>
    <s v="Sedentary"/>
    <s v="1927972279|2016-05-05"/>
    <b v="0"/>
  </r>
  <r>
    <n v="1927972279"/>
    <d v="2016-05-06T00:00:00"/>
    <n v="2091"/>
    <n v="1.45000004768372"/>
    <n v="1.45000004768372"/>
    <n v="0"/>
    <n v="0"/>
    <n v="0"/>
    <n v="1.45000004768372"/>
    <n v="0"/>
    <n v="0"/>
    <n v="0"/>
    <n v="108"/>
    <n v="1332"/>
    <n v="2383"/>
    <x v="0"/>
    <s v="May"/>
    <n v="108"/>
    <n v="1440"/>
    <n v="22.2"/>
    <x v="2"/>
    <s v="Sedentary"/>
    <s v="1927972279|2016-05-06"/>
    <b v="0"/>
  </r>
  <r>
    <n v="1927972279"/>
    <d v="2016-05-07T00:00:00"/>
    <n v="1510"/>
    <n v="1.03999996185303"/>
    <n v="1.03999996185303"/>
    <n v="0"/>
    <n v="0"/>
    <n v="0"/>
    <n v="1.03999996185303"/>
    <n v="0"/>
    <n v="0"/>
    <n v="0"/>
    <n v="48"/>
    <n v="1392"/>
    <n v="2229"/>
    <x v="1"/>
    <s v="May"/>
    <n v="48"/>
    <n v="1440"/>
    <n v="23.2"/>
    <x v="2"/>
    <s v="Sedentary"/>
    <s v="1927972279|2016-05-07"/>
    <b v="0"/>
  </r>
  <r>
    <n v="1927972279"/>
    <d v="2016-05-08T00:00:00"/>
    <n v="0"/>
    <n v="0"/>
    <n v="0"/>
    <n v="0"/>
    <n v="0"/>
    <n v="0"/>
    <n v="0"/>
    <n v="0"/>
    <n v="0"/>
    <n v="0"/>
    <n v="0"/>
    <n v="1440"/>
    <n v="2063"/>
    <x v="2"/>
    <s v="May"/>
    <n v="0"/>
    <n v="1440"/>
    <n v="24"/>
    <x v="2"/>
    <s v="Sedentary"/>
    <s v="1927972279|2016-05-08"/>
    <b v="0"/>
  </r>
  <r>
    <n v="1927972279"/>
    <d v="2016-05-09T00:00:00"/>
    <n v="0"/>
    <n v="0"/>
    <n v="0"/>
    <n v="0"/>
    <n v="0"/>
    <n v="0"/>
    <n v="0"/>
    <n v="0"/>
    <n v="0"/>
    <n v="0"/>
    <n v="0"/>
    <n v="1440"/>
    <n v="2063"/>
    <x v="3"/>
    <s v="May"/>
    <n v="0"/>
    <n v="1440"/>
    <n v="24"/>
    <x v="2"/>
    <s v="Sedentary"/>
    <s v="1927972279|2016-05-09"/>
    <b v="0"/>
  </r>
  <r>
    <n v="1927972279"/>
    <d v="2016-05-10T00:00:00"/>
    <n v="0"/>
    <n v="0"/>
    <n v="0"/>
    <n v="0"/>
    <n v="0"/>
    <n v="0"/>
    <n v="0"/>
    <n v="0"/>
    <n v="0"/>
    <n v="0"/>
    <n v="0"/>
    <n v="1440"/>
    <n v="2063"/>
    <x v="4"/>
    <s v="May"/>
    <n v="0"/>
    <n v="1440"/>
    <n v="24"/>
    <x v="2"/>
    <s v="Sedentary"/>
    <s v="1927972279|2016-05-10"/>
    <b v="0"/>
  </r>
  <r>
    <n v="1927972279"/>
    <d v="2016-05-11T00:00:00"/>
    <n v="0"/>
    <n v="0"/>
    <n v="0"/>
    <n v="0"/>
    <n v="0"/>
    <n v="0"/>
    <n v="0"/>
    <n v="0"/>
    <n v="0"/>
    <n v="0"/>
    <n v="0"/>
    <n v="1440"/>
    <n v="2063"/>
    <x v="5"/>
    <s v="May"/>
    <n v="0"/>
    <n v="1440"/>
    <n v="24"/>
    <x v="2"/>
    <s v="Sedentary"/>
    <s v="1927972279|2016-05-11"/>
    <b v="0"/>
  </r>
  <r>
    <n v="1927972279"/>
    <d v="2016-05-12T00:00:00"/>
    <n v="0"/>
    <n v="0"/>
    <n v="0"/>
    <n v="0"/>
    <n v="0"/>
    <n v="0"/>
    <n v="0"/>
    <n v="0"/>
    <n v="0"/>
    <n v="0"/>
    <n v="0"/>
    <n v="966"/>
    <n v="1383"/>
    <x v="6"/>
    <s v="May"/>
    <n v="0"/>
    <n v="966"/>
    <n v="16.100000000000001"/>
    <x v="2"/>
    <s v="Sedentary"/>
    <s v="1927972279|2016-05-12"/>
    <b v="0"/>
  </r>
  <r>
    <n v="2022484408"/>
    <d v="2016-04-13T00:00:00"/>
    <n v="12024"/>
    <n v="8.5"/>
    <n v="8.5"/>
    <n v="0"/>
    <n v="2.9900000095367401"/>
    <n v="0.10000000149011599"/>
    <n v="5.4099998474121103"/>
    <n v="0"/>
    <n v="43"/>
    <n v="5"/>
    <n v="292"/>
    <n v="1100"/>
    <n v="2601"/>
    <x v="5"/>
    <s v="April"/>
    <n v="340"/>
    <n v="1440"/>
    <n v="18.329999999999998"/>
    <x v="0"/>
    <s v="Very Active"/>
    <s v="2022484408|2016-04-13"/>
    <b v="0"/>
  </r>
  <r>
    <n v="2022484408"/>
    <d v="2016-04-14T00:00:00"/>
    <n v="10690"/>
    <n v="7.5"/>
    <n v="7.5"/>
    <n v="0"/>
    <n v="2.4800000190734899"/>
    <n v="0.20999999344348899"/>
    <n v="4.8200001716613796"/>
    <n v="0"/>
    <n v="32"/>
    <n v="3"/>
    <n v="257"/>
    <n v="1148"/>
    <n v="2312"/>
    <x v="6"/>
    <s v="April"/>
    <n v="292"/>
    <n v="1440"/>
    <n v="19.13"/>
    <x v="0"/>
    <s v="Very Active"/>
    <s v="2022484408|2016-04-14"/>
    <b v="0"/>
  </r>
  <r>
    <n v="2022484408"/>
    <d v="2016-04-15T00:00:00"/>
    <n v="11034"/>
    <n v="8.0299997329711896"/>
    <n v="8.0299997329711896"/>
    <n v="0"/>
    <n v="1.9400000572204601"/>
    <n v="0.31000000238418601"/>
    <n v="5.7800002098083496"/>
    <n v="0"/>
    <n v="27"/>
    <n v="9"/>
    <n v="282"/>
    <n v="1122"/>
    <n v="2525"/>
    <x v="0"/>
    <s v="April"/>
    <n v="318"/>
    <n v="1440"/>
    <n v="18.7"/>
    <x v="0"/>
    <s v="Moderately Active"/>
    <s v="2022484408|2016-04-15"/>
    <b v="0"/>
  </r>
  <r>
    <n v="2022484408"/>
    <d v="2016-04-16T00:00:00"/>
    <n v="10100"/>
    <n v="7.0900001525878897"/>
    <n v="7.0900001525878897"/>
    <n v="0"/>
    <n v="3.1500000953674299"/>
    <n v="0.55000001192092896"/>
    <n v="3.3900001049041699"/>
    <n v="0"/>
    <n v="41"/>
    <n v="11"/>
    <n v="151"/>
    <n v="1237"/>
    <n v="2177"/>
    <x v="1"/>
    <s v="April"/>
    <n v="203"/>
    <n v="1440"/>
    <n v="20.62"/>
    <x v="0"/>
    <s v="Very Active"/>
    <s v="2022484408|2016-04-16"/>
    <b v="0"/>
  </r>
  <r>
    <n v="2022484408"/>
    <d v="2016-04-17T00:00:00"/>
    <n v="15112"/>
    <n v="11.3999996185303"/>
    <n v="11.3999996185303"/>
    <n v="0"/>
    <n v="3.8699998855590798"/>
    <n v="0.66000002622604403"/>
    <n v="6.8800001144409197"/>
    <n v="0"/>
    <n v="28"/>
    <n v="29"/>
    <n v="331"/>
    <n v="1052"/>
    <n v="2782"/>
    <x v="2"/>
    <s v="April"/>
    <n v="388"/>
    <n v="1440"/>
    <n v="17.53"/>
    <x v="1"/>
    <s v="Moderately Active"/>
    <s v="2022484408|2016-04-17"/>
    <b v="0"/>
  </r>
  <r>
    <n v="2022484408"/>
    <d v="2016-04-18T00:00:00"/>
    <n v="14131"/>
    <n v="10.069999694824199"/>
    <n v="10.069999694824199"/>
    <n v="0"/>
    <n v="3.6400001049041699"/>
    <n v="0.119999997317791"/>
    <n v="6.3000001907348597"/>
    <n v="0"/>
    <n v="48"/>
    <n v="3"/>
    <n v="311"/>
    <n v="1078"/>
    <n v="2770"/>
    <x v="3"/>
    <s v="April"/>
    <n v="362"/>
    <n v="1440"/>
    <n v="17.97"/>
    <x v="1"/>
    <s v="Very Active"/>
    <s v="2022484408|2016-04-18"/>
    <b v="0"/>
  </r>
  <r>
    <n v="2022484408"/>
    <d v="2016-04-19T00:00:00"/>
    <n v="11548"/>
    <n v="8.5299997329711896"/>
    <n v="8.5299997329711896"/>
    <n v="0"/>
    <n v="3.28999996185303"/>
    <n v="0.239999994635582"/>
    <n v="5"/>
    <n v="0"/>
    <n v="31"/>
    <n v="7"/>
    <n v="250"/>
    <n v="1152"/>
    <n v="2489"/>
    <x v="4"/>
    <s v="April"/>
    <n v="288"/>
    <n v="1440"/>
    <n v="19.2"/>
    <x v="0"/>
    <s v="Very Active"/>
    <s v="2022484408|2016-04-19"/>
    <b v="0"/>
  </r>
  <r>
    <n v="2022484408"/>
    <d v="2016-04-20T00:00:00"/>
    <n v="15112"/>
    <n v="10.670000076293899"/>
    <n v="10.670000076293899"/>
    <n v="0"/>
    <n v="3.3399999141693102"/>
    <n v="1.9299999475479099"/>
    <n v="5.4000000953674299"/>
    <n v="0"/>
    <n v="48"/>
    <n v="63"/>
    <n v="276"/>
    <n v="1053"/>
    <n v="2897"/>
    <x v="5"/>
    <s v="April"/>
    <n v="387"/>
    <n v="1440"/>
    <n v="17.55"/>
    <x v="1"/>
    <s v="Very Active"/>
    <s v="2022484408|2016-04-20"/>
    <b v="0"/>
  </r>
  <r>
    <n v="2022484408"/>
    <d v="2016-04-21T00:00:00"/>
    <n v="12453"/>
    <n v="8.7399997711181605"/>
    <n v="8.7399997711181605"/>
    <n v="0"/>
    <n v="3.3299999237060498"/>
    <n v="1.1100000143051101"/>
    <n v="4.3099999427795401"/>
    <n v="0"/>
    <n v="104"/>
    <n v="53"/>
    <n v="255"/>
    <n v="1028"/>
    <n v="3158"/>
    <x v="6"/>
    <s v="April"/>
    <n v="412"/>
    <n v="1440"/>
    <n v="17.13"/>
    <x v="0"/>
    <s v="Very Active"/>
    <s v="2022484408|2016-04-21"/>
    <b v="0"/>
  </r>
  <r>
    <n v="2022484408"/>
    <d v="2016-04-22T00:00:00"/>
    <n v="12954"/>
    <n v="9.3299999237060494"/>
    <n v="9.3299999237060494"/>
    <n v="0"/>
    <n v="4.4299998283386204"/>
    <n v="0.41999998688697798"/>
    <n v="4.4699997901916504"/>
    <n v="0"/>
    <n v="52"/>
    <n v="10"/>
    <n v="273"/>
    <n v="1105"/>
    <n v="2638"/>
    <x v="0"/>
    <s v="April"/>
    <n v="335"/>
    <n v="1440"/>
    <n v="18.420000000000002"/>
    <x v="1"/>
    <s v="Very Active"/>
    <s v="2022484408|2016-04-22"/>
    <b v="0"/>
  </r>
  <r>
    <n v="2022484408"/>
    <d v="2016-04-23T00:00:00"/>
    <n v="6001"/>
    <n v="4.21000003814697"/>
    <n v="4.21000003814697"/>
    <n v="0"/>
    <n v="0"/>
    <n v="0"/>
    <n v="4.21000003814697"/>
    <n v="0"/>
    <n v="0"/>
    <n v="0"/>
    <n v="249"/>
    <n v="1191"/>
    <n v="2069"/>
    <x v="1"/>
    <s v="April"/>
    <n v="249"/>
    <n v="1440"/>
    <n v="19.850000000000001"/>
    <x v="4"/>
    <s v="Sedentary"/>
    <s v="2022484408|2016-04-23"/>
    <b v="0"/>
  </r>
  <r>
    <n v="2022484408"/>
    <d v="2016-04-24T00:00:00"/>
    <n v="13481"/>
    <n v="10.2799997329712"/>
    <n v="10.2799997329712"/>
    <n v="0"/>
    <n v="4.5500001907348597"/>
    <n v="1.1499999761581401"/>
    <n v="4.5799999237060502"/>
    <n v="0"/>
    <n v="37"/>
    <n v="26"/>
    <n v="216"/>
    <n v="1161"/>
    <n v="2529"/>
    <x v="2"/>
    <s v="April"/>
    <n v="279"/>
    <n v="1440"/>
    <n v="19.350000000000001"/>
    <x v="1"/>
    <s v="Very Active"/>
    <s v="2022484408|2016-04-24"/>
    <b v="0"/>
  </r>
  <r>
    <n v="2022484408"/>
    <d v="2016-04-25T00:00:00"/>
    <n v="11369"/>
    <n v="8.0100002288818395"/>
    <n v="8.0100002288818395"/>
    <n v="0"/>
    <n v="3.3299999237060498"/>
    <n v="0.21999999880790699"/>
    <n v="4.46000003814697"/>
    <n v="0"/>
    <n v="44"/>
    <n v="8"/>
    <n v="217"/>
    <n v="1171"/>
    <n v="2470"/>
    <x v="3"/>
    <s v="April"/>
    <n v="269"/>
    <n v="1440"/>
    <n v="19.52"/>
    <x v="0"/>
    <s v="Very Active"/>
    <s v="2022484408|2016-04-25"/>
    <b v="0"/>
  </r>
  <r>
    <n v="2022484408"/>
    <d v="2016-04-26T00:00:00"/>
    <n v="10119"/>
    <n v="7.1900000572204599"/>
    <n v="7.1900000572204599"/>
    <n v="0"/>
    <n v="1.4299999475479099"/>
    <n v="0.66000002622604403"/>
    <n v="5.1100001335143999"/>
    <n v="0"/>
    <n v="55"/>
    <n v="24"/>
    <n v="275"/>
    <n v="1086"/>
    <n v="2793"/>
    <x v="4"/>
    <s v="April"/>
    <n v="354"/>
    <n v="1440"/>
    <n v="18.100000000000001"/>
    <x v="0"/>
    <s v="Very Active"/>
    <s v="2022484408|2016-04-26"/>
    <b v="0"/>
  </r>
  <r>
    <n v="2022484408"/>
    <d v="2016-04-27T00:00:00"/>
    <n v="10159"/>
    <n v="7.1300001144409197"/>
    <n v="7.1300001144409197"/>
    <n v="0"/>
    <n v="1.03999996185303"/>
    <n v="0.97000002861022905"/>
    <n v="5.1199998855590803"/>
    <n v="0"/>
    <n v="19"/>
    <n v="20"/>
    <n v="282"/>
    <n v="1119"/>
    <n v="2463"/>
    <x v="5"/>
    <s v="April"/>
    <n v="321"/>
    <n v="1440"/>
    <n v="18.649999999999999"/>
    <x v="0"/>
    <s v="Moderately Active"/>
    <s v="2022484408|2016-04-27"/>
    <b v="0"/>
  </r>
  <r>
    <n v="2022484408"/>
    <d v="2016-04-28T00:00:00"/>
    <n v="10140"/>
    <n v="7.1199998855590803"/>
    <n v="7.1199998855590803"/>
    <n v="0"/>
    <n v="0.40999999642372098"/>
    <n v="1.33000004291534"/>
    <n v="5.3899998664856001"/>
    <n v="0"/>
    <n v="6"/>
    <n v="20"/>
    <n v="291"/>
    <n v="1123"/>
    <n v="2296"/>
    <x v="6"/>
    <s v="April"/>
    <n v="317"/>
    <n v="1440"/>
    <n v="18.72"/>
    <x v="0"/>
    <s v="Lightly Active"/>
    <s v="2022484408|2016-04-28"/>
    <b v="0"/>
  </r>
  <r>
    <n v="2022484408"/>
    <d v="2016-04-29T00:00:00"/>
    <n v="10245"/>
    <n v="7.1900000572204599"/>
    <n v="7.1900000572204599"/>
    <n v="0"/>
    <n v="0.479999989271164"/>
    <n v="1.21000003814697"/>
    <n v="5.5"/>
    <n v="0"/>
    <n v="21"/>
    <n v="40"/>
    <n v="281"/>
    <n v="1098"/>
    <n v="2611"/>
    <x v="0"/>
    <s v="April"/>
    <n v="342"/>
    <n v="1440"/>
    <n v="18.3"/>
    <x v="0"/>
    <s v="Moderately Active"/>
    <s v="2022484408|2016-04-29"/>
    <b v="0"/>
  </r>
  <r>
    <n v="2022484408"/>
    <d v="2016-04-30T00:00:00"/>
    <n v="18387"/>
    <n v="12.9099998474121"/>
    <n v="12.9099998474121"/>
    <n v="0"/>
    <n v="0.93999999761581399"/>
    <n v="1.3999999761581401"/>
    <n v="10.569999694824199"/>
    <n v="0"/>
    <n v="13"/>
    <n v="23"/>
    <n v="361"/>
    <n v="1043"/>
    <n v="2732"/>
    <x v="1"/>
    <s v="April"/>
    <n v="397"/>
    <n v="1440"/>
    <n v="17.38"/>
    <x v="1"/>
    <s v="Lightly Active"/>
    <s v="2022484408|2016-04-30"/>
    <b v="0"/>
  </r>
  <r>
    <n v="2022484408"/>
    <d v="2016-05-01T00:00:00"/>
    <n v="10538"/>
    <n v="7.4000000953674299"/>
    <n v="7.4000000953674299"/>
    <n v="0"/>
    <n v="1.9400000572204601"/>
    <n v="0.95999997854232799"/>
    <n v="4.5"/>
    <n v="0"/>
    <n v="25"/>
    <n v="28"/>
    <n v="245"/>
    <n v="1142"/>
    <n v="2380"/>
    <x v="2"/>
    <s v="May"/>
    <n v="298"/>
    <n v="1440"/>
    <n v="19.03"/>
    <x v="0"/>
    <s v="Moderately Active"/>
    <s v="2022484408|2016-05-01"/>
    <b v="0"/>
  </r>
  <r>
    <n v="2022484408"/>
    <d v="2016-05-02T00:00:00"/>
    <n v="10379"/>
    <n v="7.28999996185303"/>
    <n v="7.28999996185303"/>
    <n v="0"/>
    <n v="2.6099998950958301"/>
    <n v="0.34000000357627902"/>
    <n v="4.3299999237060502"/>
    <n v="0"/>
    <n v="36"/>
    <n v="8"/>
    <n v="277"/>
    <n v="1119"/>
    <n v="2473"/>
    <x v="3"/>
    <s v="May"/>
    <n v="321"/>
    <n v="1440"/>
    <n v="18.649999999999999"/>
    <x v="0"/>
    <s v="Very Active"/>
    <s v="2022484408|2016-05-02"/>
    <b v="0"/>
  </r>
  <r>
    <n v="2022484408"/>
    <d v="2016-05-03T00:00:00"/>
    <n v="12183"/>
    <n v="8.7399997711181605"/>
    <n v="8.7399997711181605"/>
    <n v="0"/>
    <n v="3.9900000095367401"/>
    <n v="0.46000000834464999"/>
    <n v="4.2800002098083496"/>
    <n v="0"/>
    <n v="72"/>
    <n v="14"/>
    <n v="250"/>
    <n v="1104"/>
    <n v="2752"/>
    <x v="4"/>
    <s v="May"/>
    <n v="336"/>
    <n v="1440"/>
    <n v="18.399999999999999"/>
    <x v="0"/>
    <s v="Very Active"/>
    <s v="2022484408|2016-05-03"/>
    <b v="0"/>
  </r>
  <r>
    <n v="2022484408"/>
    <d v="2016-05-04T00:00:00"/>
    <n v="11768"/>
    <n v="8.2899999618530291"/>
    <n v="8.2899999618530291"/>
    <n v="0"/>
    <n v="2.5099999904632599"/>
    <n v="0.93000000715255704"/>
    <n v="4.8499999046325701"/>
    <n v="0"/>
    <n v="36"/>
    <n v="27"/>
    <n v="272"/>
    <n v="1105"/>
    <n v="2649"/>
    <x v="5"/>
    <s v="May"/>
    <n v="335"/>
    <n v="1440"/>
    <n v="18.420000000000002"/>
    <x v="0"/>
    <s v="Very Active"/>
    <s v="2022484408|2016-05-04"/>
    <b v="0"/>
  </r>
  <r>
    <n v="2022484408"/>
    <d v="2016-05-05T00:00:00"/>
    <n v="11895"/>
    <n v="8.3500003814697301"/>
    <n v="8.3500003814697301"/>
    <n v="0"/>
    <n v="2.78999996185303"/>
    <n v="0.86000001430511497"/>
    <n v="4.6999998092651403"/>
    <n v="0"/>
    <n v="55"/>
    <n v="20"/>
    <n v="253"/>
    <n v="1112"/>
    <n v="2609"/>
    <x v="6"/>
    <s v="May"/>
    <n v="328"/>
    <n v="1440"/>
    <n v="18.53"/>
    <x v="0"/>
    <s v="Very Active"/>
    <s v="2022484408|2016-05-05"/>
    <b v="0"/>
  </r>
  <r>
    <n v="2022484408"/>
    <d v="2016-05-06T00:00:00"/>
    <n v="10227"/>
    <n v="7.1799998283386204"/>
    <n v="7.1799998283386204"/>
    <n v="0"/>
    <n v="1.87000000476837"/>
    <n v="0.67000001668930098"/>
    <n v="4.6399998664856001"/>
    <n v="0"/>
    <n v="24"/>
    <n v="17"/>
    <n v="295"/>
    <n v="1104"/>
    <n v="2498"/>
    <x v="0"/>
    <s v="May"/>
    <n v="336"/>
    <n v="1440"/>
    <n v="18.399999999999999"/>
    <x v="0"/>
    <s v="Moderately Active"/>
    <s v="2022484408|2016-05-06"/>
    <b v="0"/>
  </r>
  <r>
    <n v="2022484408"/>
    <d v="2016-05-07T00:00:00"/>
    <n v="6708"/>
    <n v="4.71000003814697"/>
    <n v="4.71000003814697"/>
    <n v="0"/>
    <n v="1.6100000143051101"/>
    <n v="7.9999998211860698E-2"/>
    <n v="3.0199999809265101"/>
    <n v="0"/>
    <n v="20"/>
    <n v="2"/>
    <n v="149"/>
    <n v="1269"/>
    <n v="1995"/>
    <x v="1"/>
    <s v="May"/>
    <n v="171"/>
    <n v="1440"/>
    <n v="21.15"/>
    <x v="4"/>
    <s v="Moderately Active"/>
    <s v="2022484408|2016-05-07"/>
    <b v="0"/>
  </r>
  <r>
    <n v="2022484408"/>
    <d v="2016-05-08T00:00:00"/>
    <n v="3292"/>
    <n v="2.3099999427795401"/>
    <n v="2.3099999427795401"/>
    <n v="0"/>
    <n v="0"/>
    <n v="0"/>
    <n v="2.3099999427795401"/>
    <n v="0"/>
    <n v="0"/>
    <n v="0"/>
    <n v="135"/>
    <n v="1305"/>
    <n v="1848"/>
    <x v="2"/>
    <s v="May"/>
    <n v="135"/>
    <n v="1440"/>
    <n v="21.75"/>
    <x v="2"/>
    <s v="Sedentary"/>
    <s v="2022484408|2016-05-08"/>
    <b v="0"/>
  </r>
  <r>
    <n v="2022484408"/>
    <d v="2016-05-09T00:00:00"/>
    <n v="13379"/>
    <n v="9.3900003433227504"/>
    <n v="9.3900003433227504"/>
    <n v="0"/>
    <n v="2.1199998855590798"/>
    <n v="1.62999999523163"/>
    <n v="5.6399998664856001"/>
    <n v="0"/>
    <n v="35"/>
    <n v="47"/>
    <n v="297"/>
    <n v="1061"/>
    <n v="2709"/>
    <x v="3"/>
    <s v="May"/>
    <n v="379"/>
    <n v="1440"/>
    <n v="17.68"/>
    <x v="1"/>
    <s v="Very Active"/>
    <s v="2022484408|2016-05-09"/>
    <b v="0"/>
  </r>
  <r>
    <n v="2022484408"/>
    <d v="2016-05-10T00:00:00"/>
    <n v="12798"/>
    <n v="8.9799995422363299"/>
    <n v="8.9799995422363299"/>
    <n v="0"/>
    <n v="2.2200000286102299"/>
    <n v="1.21000003814697"/>
    <n v="5.5599999427795401"/>
    <n v="0"/>
    <n v="57"/>
    <n v="28"/>
    <n v="271"/>
    <n v="1084"/>
    <n v="2797"/>
    <x v="4"/>
    <s v="May"/>
    <n v="356"/>
    <n v="1440"/>
    <n v="18.07"/>
    <x v="1"/>
    <s v="Very Active"/>
    <s v="2022484408|2016-05-10"/>
    <b v="0"/>
  </r>
  <r>
    <n v="2022484408"/>
    <d v="2016-05-11T00:00:00"/>
    <n v="13272"/>
    <n v="9.3199996948242205"/>
    <n v="9.3199996948242205"/>
    <n v="0"/>
    <n v="4.1799998283386204"/>
    <n v="1.1499999761581401"/>
    <n v="3.9900000095367401"/>
    <n v="0"/>
    <n v="58"/>
    <n v="25"/>
    <n v="224"/>
    <n v="1133"/>
    <n v="2544"/>
    <x v="5"/>
    <s v="May"/>
    <n v="307"/>
    <n v="1440"/>
    <n v="18.88"/>
    <x v="1"/>
    <s v="Very Active"/>
    <s v="2022484408|2016-05-11"/>
    <b v="0"/>
  </r>
  <r>
    <n v="2022484408"/>
    <d v="2016-05-12T00:00:00"/>
    <n v="9117"/>
    <n v="6.4099998474121103"/>
    <n v="6.4099998474121103"/>
    <n v="0"/>
    <n v="1.2799999713897701"/>
    <n v="0.67000001668930098"/>
    <n v="4.4400000572204599"/>
    <n v="0"/>
    <n v="16"/>
    <n v="16"/>
    <n v="236"/>
    <n v="728"/>
    <n v="1853"/>
    <x v="6"/>
    <s v="May"/>
    <n v="268"/>
    <n v="996"/>
    <n v="12.13"/>
    <x v="3"/>
    <s v="Moderately Active"/>
    <s v="2022484408|2016-05-12"/>
    <b v="0"/>
  </r>
  <r>
    <n v="2026352035"/>
    <d v="2016-04-13T00:00:00"/>
    <n v="4993"/>
    <n v="3.0999999046325701"/>
    <n v="3.0999999046325701"/>
    <n v="0"/>
    <n v="0"/>
    <n v="0"/>
    <n v="3.0999999046325701"/>
    <n v="0"/>
    <n v="0"/>
    <n v="0"/>
    <n v="238"/>
    <n v="663"/>
    <n v="1521"/>
    <x v="5"/>
    <s v="April"/>
    <n v="238"/>
    <n v="901"/>
    <n v="11.05"/>
    <x v="2"/>
    <s v="Sedentary"/>
    <s v="2026352035|2016-04-13"/>
    <b v="1"/>
  </r>
  <r>
    <n v="2026352035"/>
    <d v="2016-04-14T00:00:00"/>
    <n v="3335"/>
    <n v="2.0699999332428001"/>
    <n v="2.0699999332428001"/>
    <n v="0"/>
    <n v="0"/>
    <n v="0"/>
    <n v="2.0499999523162802"/>
    <n v="0"/>
    <n v="0"/>
    <n v="0"/>
    <n v="197"/>
    <n v="653"/>
    <n v="1431"/>
    <x v="6"/>
    <s v="April"/>
    <n v="197"/>
    <n v="850"/>
    <n v="10.88"/>
    <x v="2"/>
    <s v="Sedentary"/>
    <s v="2026352035|2016-04-14"/>
    <b v="1"/>
  </r>
  <r>
    <n v="2026352035"/>
    <d v="2016-04-15T00:00:00"/>
    <n v="3821"/>
    <n v="2.3699998855590798"/>
    <n v="2.3699998855590798"/>
    <n v="0"/>
    <n v="0"/>
    <n v="0"/>
    <n v="2.3699998855590798"/>
    <n v="0"/>
    <n v="0"/>
    <n v="0"/>
    <n v="188"/>
    <n v="687"/>
    <n v="1444"/>
    <x v="0"/>
    <s v="April"/>
    <n v="188"/>
    <n v="875"/>
    <n v="11.45"/>
    <x v="2"/>
    <s v="Sedentary"/>
    <s v="2026352035|2016-04-15"/>
    <b v="1"/>
  </r>
  <r>
    <n v="2026352035"/>
    <d v="2016-04-16T00:00:00"/>
    <n v="2547"/>
    <n v="1.58000004291534"/>
    <n v="1.58000004291534"/>
    <n v="0"/>
    <n v="0"/>
    <n v="0"/>
    <n v="1.58000004291534"/>
    <n v="0"/>
    <n v="0"/>
    <n v="0"/>
    <n v="150"/>
    <n v="728"/>
    <n v="1373"/>
    <x v="1"/>
    <s v="April"/>
    <n v="150"/>
    <n v="878"/>
    <n v="12.13"/>
    <x v="2"/>
    <s v="Sedentary"/>
    <s v="2026352035|2016-04-16"/>
    <b v="1"/>
  </r>
  <r>
    <n v="2026352035"/>
    <d v="2016-04-17T00:00:00"/>
    <n v="838"/>
    <n v="0.519999980926514"/>
    <n v="0.519999980926514"/>
    <n v="0"/>
    <n v="0"/>
    <n v="0"/>
    <n v="0.519999980926514"/>
    <n v="0"/>
    <n v="0"/>
    <n v="0"/>
    <n v="60"/>
    <n v="1053"/>
    <n v="1214"/>
    <x v="2"/>
    <s v="April"/>
    <n v="60"/>
    <n v="1113"/>
    <n v="17.55"/>
    <x v="2"/>
    <s v="Sedentary"/>
    <s v="2026352035|2016-04-17"/>
    <b v="1"/>
  </r>
  <r>
    <n v="2026352035"/>
    <d v="2016-04-18T00:00:00"/>
    <n v="3325"/>
    <n v="2.0599999427795401"/>
    <n v="2.0599999427795401"/>
    <n v="0"/>
    <n v="0"/>
    <n v="0"/>
    <n v="2.0599999427795401"/>
    <n v="0"/>
    <n v="0"/>
    <n v="0"/>
    <n v="182"/>
    <n v="1062"/>
    <n v="1419"/>
    <x v="3"/>
    <s v="April"/>
    <n v="182"/>
    <n v="1244"/>
    <n v="17.7"/>
    <x v="2"/>
    <s v="Sedentary"/>
    <s v="2026352035|2016-04-18"/>
    <b v="0"/>
  </r>
  <r>
    <n v="2026352035"/>
    <d v="2016-04-19T00:00:00"/>
    <n v="2424"/>
    <n v="1.5"/>
    <n v="1.5"/>
    <n v="0"/>
    <n v="0"/>
    <n v="0"/>
    <n v="1.5"/>
    <n v="0"/>
    <n v="0"/>
    <n v="0"/>
    <n v="141"/>
    <n v="785"/>
    <n v="1356"/>
    <x v="4"/>
    <s v="April"/>
    <n v="141"/>
    <n v="926"/>
    <n v="13.08"/>
    <x v="2"/>
    <s v="Sedentary"/>
    <s v="2026352035|2016-04-19"/>
    <b v="1"/>
  </r>
  <r>
    <n v="2026352035"/>
    <d v="2016-04-20T00:00:00"/>
    <n v="7222"/>
    <n v="4.4800000190734899"/>
    <n v="4.4800000190734899"/>
    <n v="0"/>
    <n v="0"/>
    <n v="0"/>
    <n v="4.4800000190734899"/>
    <n v="0"/>
    <n v="0"/>
    <n v="0"/>
    <n v="327"/>
    <n v="623"/>
    <n v="1667"/>
    <x v="5"/>
    <s v="April"/>
    <n v="327"/>
    <n v="950"/>
    <n v="10.38"/>
    <x v="4"/>
    <s v="Sedentary"/>
    <s v="2026352035|2016-04-20"/>
    <b v="1"/>
  </r>
  <r>
    <n v="2026352035"/>
    <d v="2016-04-21T00:00:00"/>
    <n v="2467"/>
    <n v="1.5299999713897701"/>
    <n v="1.5299999713897701"/>
    <n v="0"/>
    <n v="0"/>
    <n v="0"/>
    <n v="1.5299999713897701"/>
    <n v="0"/>
    <n v="0"/>
    <n v="0"/>
    <n v="153"/>
    <n v="749"/>
    <n v="1370"/>
    <x v="6"/>
    <s v="April"/>
    <n v="153"/>
    <n v="902"/>
    <n v="12.48"/>
    <x v="2"/>
    <s v="Sedentary"/>
    <s v="2026352035|2016-04-21"/>
    <b v="1"/>
  </r>
  <r>
    <n v="2026352035"/>
    <d v="2016-04-22T00:00:00"/>
    <n v="2915"/>
    <n v="1.8099999427795399"/>
    <n v="1.8099999427795399"/>
    <n v="0"/>
    <n v="0"/>
    <n v="0"/>
    <n v="1.8099999427795399"/>
    <n v="0"/>
    <n v="0"/>
    <n v="0"/>
    <n v="162"/>
    <n v="712"/>
    <n v="1399"/>
    <x v="0"/>
    <s v="April"/>
    <n v="162"/>
    <n v="874"/>
    <n v="11.87"/>
    <x v="2"/>
    <s v="Sedentary"/>
    <s v="2026352035|2016-04-22"/>
    <b v="1"/>
  </r>
  <r>
    <n v="2026352035"/>
    <d v="2016-04-23T00:00:00"/>
    <n v="12357"/>
    <n v="7.71000003814697"/>
    <n v="7.71000003814697"/>
    <n v="0"/>
    <n v="0"/>
    <n v="0"/>
    <n v="7.71000003814697"/>
    <n v="0"/>
    <n v="0"/>
    <n v="0"/>
    <n v="432"/>
    <n v="458"/>
    <n v="1916"/>
    <x v="1"/>
    <s v="April"/>
    <n v="432"/>
    <n v="890"/>
    <n v="7.63"/>
    <x v="0"/>
    <s v="Sedentary"/>
    <s v="2026352035|2016-04-23"/>
    <b v="1"/>
  </r>
  <r>
    <n v="2026352035"/>
    <d v="2016-04-24T00:00:00"/>
    <n v="3490"/>
    <n v="2.1600000858306898"/>
    <n v="2.1600000858306898"/>
    <n v="0"/>
    <n v="0"/>
    <n v="0"/>
    <n v="2.1600000858306898"/>
    <n v="0"/>
    <n v="0"/>
    <n v="0"/>
    <n v="164"/>
    <n v="704"/>
    <n v="1401"/>
    <x v="2"/>
    <s v="April"/>
    <n v="164"/>
    <n v="868"/>
    <n v="11.73"/>
    <x v="2"/>
    <s v="Sedentary"/>
    <s v="2026352035|2016-04-24"/>
    <b v="1"/>
  </r>
  <r>
    <n v="2026352035"/>
    <d v="2016-04-25T00:00:00"/>
    <n v="6017"/>
    <n v="3.7300000190734899"/>
    <n v="3.7300000190734899"/>
    <n v="0"/>
    <n v="0"/>
    <n v="0"/>
    <n v="3.7300000190734899"/>
    <n v="0"/>
    <n v="0"/>
    <n v="0"/>
    <n v="260"/>
    <n v="821"/>
    <n v="1576"/>
    <x v="3"/>
    <s v="April"/>
    <n v="260"/>
    <n v="1081"/>
    <n v="13.68"/>
    <x v="4"/>
    <s v="Sedentary"/>
    <s v="2026352035|2016-04-25"/>
    <b v="1"/>
  </r>
  <r>
    <n v="2026352035"/>
    <d v="2016-04-26T00:00:00"/>
    <n v="5933"/>
    <n v="3.6800000667571999"/>
    <n v="3.6800000667571999"/>
    <n v="0"/>
    <n v="0"/>
    <n v="0"/>
    <n v="3.6800000667571999"/>
    <n v="0"/>
    <n v="0"/>
    <n v="0"/>
    <n v="288"/>
    <n v="1018"/>
    <n v="1595"/>
    <x v="4"/>
    <s v="April"/>
    <n v="288"/>
    <n v="1306"/>
    <n v="16.97"/>
    <x v="4"/>
    <s v="Sedentary"/>
    <s v="2026352035|2016-04-26"/>
    <b v="0"/>
  </r>
  <r>
    <n v="2026352035"/>
    <d v="2016-04-27T00:00:00"/>
    <n v="6088"/>
    <n v="3.7699999809265101"/>
    <n v="3.7699999809265101"/>
    <n v="0"/>
    <n v="0"/>
    <n v="0"/>
    <n v="3.7699999809265101"/>
    <n v="0"/>
    <n v="0"/>
    <n v="0"/>
    <n v="286"/>
    <n v="586"/>
    <n v="1593"/>
    <x v="5"/>
    <s v="April"/>
    <n v="286"/>
    <n v="872"/>
    <n v="9.77"/>
    <x v="4"/>
    <s v="Sedentary"/>
    <s v="2026352035|2016-04-27"/>
    <b v="1"/>
  </r>
  <r>
    <n v="2026352035"/>
    <d v="2016-04-28T00:00:00"/>
    <n v="6375"/>
    <n v="3.9500000476837198"/>
    <n v="3.9500000476837198"/>
    <n v="0"/>
    <n v="0"/>
    <n v="0"/>
    <n v="3.9500000476837198"/>
    <n v="0"/>
    <n v="0"/>
    <n v="0"/>
    <n v="331"/>
    <n v="626"/>
    <n v="1649"/>
    <x v="6"/>
    <s v="April"/>
    <n v="331"/>
    <n v="957"/>
    <n v="10.43"/>
    <x v="4"/>
    <s v="Sedentary"/>
    <s v="2026352035|2016-04-28"/>
    <b v="1"/>
  </r>
  <r>
    <n v="2026352035"/>
    <d v="2016-04-29T00:00:00"/>
    <n v="7604"/>
    <n v="4.71000003814697"/>
    <n v="4.71000003814697"/>
    <n v="0"/>
    <n v="0"/>
    <n v="0"/>
    <n v="4.71000003814697"/>
    <n v="0"/>
    <n v="0"/>
    <n v="0"/>
    <n v="352"/>
    <n v="492"/>
    <n v="1692"/>
    <x v="0"/>
    <s v="April"/>
    <n v="352"/>
    <n v="844"/>
    <n v="8.1999999999999993"/>
    <x v="3"/>
    <s v="Sedentary"/>
    <s v="2026352035|2016-04-29"/>
    <b v="1"/>
  </r>
  <r>
    <n v="2026352035"/>
    <d v="2016-04-30T00:00:00"/>
    <n v="4729"/>
    <n v="2.9300000667571999"/>
    <n v="2.9300000667571999"/>
    <n v="0"/>
    <n v="0"/>
    <n v="0"/>
    <n v="2.9300000667571999"/>
    <n v="0"/>
    <n v="0"/>
    <n v="0"/>
    <n v="233"/>
    <n v="594"/>
    <n v="1506"/>
    <x v="1"/>
    <s v="April"/>
    <n v="233"/>
    <n v="827"/>
    <n v="9.9"/>
    <x v="2"/>
    <s v="Sedentary"/>
    <s v="2026352035|2016-04-30"/>
    <b v="1"/>
  </r>
  <r>
    <n v="2026352035"/>
    <d v="2016-05-01T00:00:00"/>
    <n v="3609"/>
    <n v="2.2799999713897701"/>
    <n v="2.2799999713897701"/>
    <n v="0"/>
    <n v="0"/>
    <n v="0"/>
    <n v="2.2799999713897701"/>
    <n v="0"/>
    <n v="0"/>
    <n v="0"/>
    <n v="191"/>
    <n v="716"/>
    <n v="1447"/>
    <x v="2"/>
    <s v="May"/>
    <n v="191"/>
    <n v="907"/>
    <n v="11.93"/>
    <x v="2"/>
    <s v="Sedentary"/>
    <s v="2026352035|2016-05-01"/>
    <b v="1"/>
  </r>
  <r>
    <n v="2026352035"/>
    <d v="2016-05-02T00:00:00"/>
    <n v="7018"/>
    <n v="4.3499999046325701"/>
    <n v="4.3499999046325701"/>
    <n v="0"/>
    <n v="0"/>
    <n v="0"/>
    <n v="4.3499999046325701"/>
    <n v="0"/>
    <n v="0"/>
    <n v="0"/>
    <n v="355"/>
    <n v="716"/>
    <n v="1690"/>
    <x v="3"/>
    <s v="May"/>
    <n v="355"/>
    <n v="1071"/>
    <n v="11.93"/>
    <x v="4"/>
    <s v="Sedentary"/>
    <s v="2026352035|2016-05-02"/>
    <b v="1"/>
  </r>
  <r>
    <n v="2026352035"/>
    <d v="2016-05-03T00:00:00"/>
    <n v="5992"/>
    <n v="3.7200000286102299"/>
    <n v="3.7200000286102299"/>
    <n v="0"/>
    <n v="0"/>
    <n v="0"/>
    <n v="3.7200000286102299"/>
    <n v="0"/>
    <n v="0"/>
    <n v="0"/>
    <n v="304"/>
    <n v="981"/>
    <n v="1604"/>
    <x v="4"/>
    <s v="May"/>
    <n v="304"/>
    <n v="1285"/>
    <n v="16.350000000000001"/>
    <x v="4"/>
    <s v="Sedentary"/>
    <s v="2026352035|2016-05-03"/>
    <b v="0"/>
  </r>
  <r>
    <n v="2026352035"/>
    <d v="2016-05-04T00:00:00"/>
    <n v="6564"/>
    <n v="4.0700001716613796"/>
    <n v="4.0700001716613796"/>
    <n v="0"/>
    <n v="0"/>
    <n v="0"/>
    <n v="4.0700001716613796"/>
    <n v="0"/>
    <n v="0"/>
    <n v="0"/>
    <n v="345"/>
    <n v="530"/>
    <n v="1658"/>
    <x v="5"/>
    <s v="May"/>
    <n v="345"/>
    <n v="875"/>
    <n v="8.83"/>
    <x v="4"/>
    <s v="Sedentary"/>
    <s v="2026352035|2016-05-04"/>
    <b v="1"/>
  </r>
  <r>
    <n v="2026352035"/>
    <d v="2016-05-05T00:00:00"/>
    <n v="12167"/>
    <n v="7.53999996185303"/>
    <n v="7.53999996185303"/>
    <n v="0"/>
    <n v="0"/>
    <n v="0"/>
    <n v="7.53999996185303"/>
    <n v="0"/>
    <n v="0"/>
    <n v="0"/>
    <n v="475"/>
    <n v="479"/>
    <n v="1926"/>
    <x v="6"/>
    <s v="May"/>
    <n v="475"/>
    <n v="954"/>
    <n v="7.98"/>
    <x v="0"/>
    <s v="Sedentary"/>
    <s v="2026352035|2016-05-05"/>
    <b v="1"/>
  </r>
  <r>
    <n v="2026352035"/>
    <d v="2016-05-06T00:00:00"/>
    <n v="8198"/>
    <n v="5.0799999237060502"/>
    <n v="5.0799999237060502"/>
    <n v="0"/>
    <n v="0"/>
    <n v="0"/>
    <n v="5.0799999237060502"/>
    <n v="0"/>
    <n v="0"/>
    <n v="0"/>
    <n v="383"/>
    <n v="511"/>
    <n v="1736"/>
    <x v="0"/>
    <s v="May"/>
    <n v="383"/>
    <n v="894"/>
    <n v="8.52"/>
    <x v="3"/>
    <s v="Sedentary"/>
    <s v="2026352035|2016-05-06"/>
    <b v="1"/>
  </r>
  <r>
    <n v="2026352035"/>
    <d v="2016-05-07T00:00:00"/>
    <n v="4193"/>
    <n v="2.5999999046325701"/>
    <n v="2.5999999046325701"/>
    <n v="0"/>
    <n v="0"/>
    <n v="0"/>
    <n v="2.5999999046325701"/>
    <n v="0"/>
    <n v="0"/>
    <n v="0"/>
    <n v="229"/>
    <n v="665"/>
    <n v="1491"/>
    <x v="1"/>
    <s v="May"/>
    <n v="229"/>
    <n v="894"/>
    <n v="11.08"/>
    <x v="2"/>
    <s v="Sedentary"/>
    <s v="2026352035|2016-05-07"/>
    <b v="1"/>
  </r>
  <r>
    <n v="2026352035"/>
    <d v="2016-05-08T00:00:00"/>
    <n v="5528"/>
    <n v="3.4500000476837198"/>
    <n v="3.4500000476837198"/>
    <n v="0"/>
    <n v="0"/>
    <n v="0"/>
    <n v="3.4500000476837198"/>
    <n v="0"/>
    <n v="0"/>
    <n v="0"/>
    <n v="258"/>
    <n v="610"/>
    <n v="1555"/>
    <x v="2"/>
    <s v="May"/>
    <n v="258"/>
    <n v="868"/>
    <n v="10.17"/>
    <x v="4"/>
    <s v="Sedentary"/>
    <s v="2026352035|2016-05-08"/>
    <b v="1"/>
  </r>
  <r>
    <n v="2026352035"/>
    <d v="2016-05-09T00:00:00"/>
    <n v="10685"/>
    <n v="6.6199998855590803"/>
    <n v="6.6199998855590803"/>
    <n v="0"/>
    <n v="0"/>
    <n v="0"/>
    <n v="6.5999999046325701"/>
    <n v="0"/>
    <n v="0"/>
    <n v="0"/>
    <n v="401"/>
    <n v="543"/>
    <n v="1869"/>
    <x v="3"/>
    <s v="May"/>
    <n v="401"/>
    <n v="944"/>
    <n v="9.0500000000000007"/>
    <x v="0"/>
    <s v="Sedentary"/>
    <s v="2026352035|2016-05-09"/>
    <b v="1"/>
  </r>
  <r>
    <n v="2026352035"/>
    <d v="2016-05-10T00:00:00"/>
    <n v="254"/>
    <n v="0.15999999642372101"/>
    <n v="0.15999999642372101"/>
    <n v="0"/>
    <n v="0"/>
    <n v="0"/>
    <n v="0.15999999642372101"/>
    <n v="0"/>
    <n v="0"/>
    <n v="0"/>
    <n v="17"/>
    <n v="1002"/>
    <n v="1141"/>
    <x v="4"/>
    <s v="May"/>
    <n v="17"/>
    <n v="1019"/>
    <n v="16.7"/>
    <x v="2"/>
    <s v="Sedentary"/>
    <s v="2026352035|2016-05-10"/>
    <b v="1"/>
  </r>
  <r>
    <n v="2026352035"/>
    <d v="2016-05-11T00:00:00"/>
    <n v="8580"/>
    <n v="5.3200001716613796"/>
    <n v="5.3200001716613796"/>
    <n v="0"/>
    <n v="0"/>
    <n v="0"/>
    <n v="5.3200001716613796"/>
    <n v="0"/>
    <n v="0"/>
    <n v="0"/>
    <n v="330"/>
    <n v="569"/>
    <n v="1698"/>
    <x v="5"/>
    <s v="May"/>
    <n v="330"/>
    <n v="899"/>
    <n v="9.48"/>
    <x v="3"/>
    <s v="Sedentary"/>
    <s v="2026352035|2016-05-11"/>
    <b v="1"/>
  </r>
  <r>
    <n v="2026352035"/>
    <d v="2016-05-12T00:00:00"/>
    <n v="8891"/>
    <n v="5.5100002288818404"/>
    <n v="5.5100002288818404"/>
    <n v="0"/>
    <n v="0"/>
    <n v="0"/>
    <n v="5.5100002288818404"/>
    <n v="0"/>
    <n v="0"/>
    <n v="0"/>
    <n v="343"/>
    <n v="330"/>
    <n v="1364"/>
    <x v="6"/>
    <s v="May"/>
    <n v="343"/>
    <n v="673"/>
    <n v="5.5"/>
    <x v="3"/>
    <s v="Sedentary"/>
    <s v="2026352035|2016-05-12"/>
    <b v="1"/>
  </r>
  <r>
    <n v="2320127002"/>
    <d v="2016-04-13T00:00:00"/>
    <n v="7275"/>
    <n v="4.9000000953674299"/>
    <n v="4.9000000953674299"/>
    <n v="0"/>
    <n v="0"/>
    <n v="0"/>
    <n v="4.9000000953674299"/>
    <n v="0"/>
    <n v="0"/>
    <n v="0"/>
    <n v="335"/>
    <n v="1105"/>
    <n v="2003"/>
    <x v="5"/>
    <s v="April"/>
    <n v="335"/>
    <n v="1440"/>
    <n v="18.420000000000002"/>
    <x v="4"/>
    <s v="Sedentary"/>
    <s v="2320127002|2016-04-13"/>
    <b v="0"/>
  </r>
  <r>
    <n v="2320127002"/>
    <d v="2016-04-14T00:00:00"/>
    <n v="3973"/>
    <n v="2.6800000667571999"/>
    <n v="2.6800000667571999"/>
    <n v="0"/>
    <n v="0"/>
    <n v="0"/>
    <n v="2.6800000667571999"/>
    <n v="0"/>
    <n v="0"/>
    <n v="0"/>
    <n v="191"/>
    <n v="1249"/>
    <n v="1696"/>
    <x v="6"/>
    <s v="April"/>
    <n v="191"/>
    <n v="1440"/>
    <n v="20.82"/>
    <x v="2"/>
    <s v="Sedentary"/>
    <s v="2320127002|2016-04-14"/>
    <b v="0"/>
  </r>
  <r>
    <n v="2320127002"/>
    <d v="2016-04-15T00:00:00"/>
    <n v="5205"/>
    <n v="3.5099999904632599"/>
    <n v="3.5099999904632599"/>
    <n v="0"/>
    <n v="0"/>
    <n v="0"/>
    <n v="3.5099999904632599"/>
    <n v="0"/>
    <n v="0"/>
    <n v="0"/>
    <n v="245"/>
    <n v="1195"/>
    <n v="1801"/>
    <x v="0"/>
    <s v="April"/>
    <n v="245"/>
    <n v="1440"/>
    <n v="19.920000000000002"/>
    <x v="4"/>
    <s v="Sedentary"/>
    <s v="2320127002|2016-04-15"/>
    <b v="0"/>
  </r>
  <r>
    <n v="2320127002"/>
    <d v="2016-04-16T00:00:00"/>
    <n v="5057"/>
    <n v="3.4100000858306898"/>
    <n v="3.4100000858306898"/>
    <n v="0"/>
    <n v="0"/>
    <n v="0"/>
    <n v="3.4000000953674299"/>
    <n v="0"/>
    <n v="0"/>
    <n v="0"/>
    <n v="195"/>
    <n v="1245"/>
    <n v="1724"/>
    <x v="1"/>
    <s v="April"/>
    <n v="195"/>
    <n v="1440"/>
    <n v="20.75"/>
    <x v="4"/>
    <s v="Sedentary"/>
    <s v="2320127002|2016-04-16"/>
    <b v="0"/>
  </r>
  <r>
    <n v="2320127002"/>
    <d v="2016-04-17T00:00:00"/>
    <n v="6198"/>
    <n v="4.1799998283386204"/>
    <n v="4.1799998283386204"/>
    <n v="0"/>
    <n v="0"/>
    <n v="0"/>
    <n v="4.1799998283386204"/>
    <n v="0"/>
    <n v="0"/>
    <n v="0"/>
    <n v="249"/>
    <n v="1191"/>
    <n v="1852"/>
    <x v="2"/>
    <s v="April"/>
    <n v="249"/>
    <n v="1440"/>
    <n v="19.850000000000001"/>
    <x v="4"/>
    <s v="Sedentary"/>
    <s v="2320127002|2016-04-17"/>
    <b v="0"/>
  </r>
  <r>
    <n v="2320127002"/>
    <d v="2016-04-18T00:00:00"/>
    <n v="6559"/>
    <n v="4.4200000762939498"/>
    <n v="4.4200000762939498"/>
    <n v="0"/>
    <n v="0"/>
    <n v="0.259999990463257"/>
    <n v="4.1399998664856001"/>
    <n v="0"/>
    <n v="0"/>
    <n v="7"/>
    <n v="260"/>
    <n v="1173"/>
    <n v="1905"/>
    <x v="3"/>
    <s v="April"/>
    <n v="267"/>
    <n v="1440"/>
    <n v="19.55"/>
    <x v="4"/>
    <s v="Sedentary"/>
    <s v="2320127002|2016-04-18"/>
    <b v="0"/>
  </r>
  <r>
    <n v="2320127002"/>
    <d v="2016-04-19T00:00:00"/>
    <n v="5997"/>
    <n v="4.03999996185303"/>
    <n v="4.03999996185303"/>
    <n v="0"/>
    <n v="0"/>
    <n v="0.37999999523162797"/>
    <n v="3.6600000858306898"/>
    <n v="0"/>
    <n v="0"/>
    <n v="11"/>
    <n v="228"/>
    <n v="1201"/>
    <n v="1811"/>
    <x v="4"/>
    <s v="April"/>
    <n v="239"/>
    <n v="1440"/>
    <n v="20.02"/>
    <x v="4"/>
    <s v="Sedentary"/>
    <s v="2320127002|2016-04-19"/>
    <b v="0"/>
  </r>
  <r>
    <n v="2320127002"/>
    <d v="2016-04-20T00:00:00"/>
    <n v="7192"/>
    <n v="4.8499999046325701"/>
    <n v="4.8499999046325701"/>
    <n v="0"/>
    <n v="0"/>
    <n v="0.490000009536743"/>
    <n v="4.3400001525878897"/>
    <n v="0"/>
    <n v="0"/>
    <n v="11"/>
    <n v="283"/>
    <n v="1146"/>
    <n v="1922"/>
    <x v="5"/>
    <s v="April"/>
    <n v="294"/>
    <n v="1440"/>
    <n v="19.100000000000001"/>
    <x v="4"/>
    <s v="Sedentary"/>
    <s v="2320127002|2016-04-20"/>
    <b v="0"/>
  </r>
  <r>
    <n v="2320127002"/>
    <d v="2016-04-21T00:00:00"/>
    <n v="3404"/>
    <n v="2.28999996185303"/>
    <n v="2.28999996185303"/>
    <n v="0"/>
    <n v="5.9999998658895499E-2"/>
    <n v="0.41999998688697798"/>
    <n v="1.8099999427795399"/>
    <n v="0"/>
    <n v="1"/>
    <n v="10"/>
    <n v="127"/>
    <n v="1302"/>
    <n v="1610"/>
    <x v="6"/>
    <s v="April"/>
    <n v="138"/>
    <n v="1440"/>
    <n v="21.7"/>
    <x v="2"/>
    <s v="Lightly Active"/>
    <s v="2320127002|2016-04-21"/>
    <b v="0"/>
  </r>
  <r>
    <n v="2320127002"/>
    <d v="2016-04-22T00:00:00"/>
    <n v="5583"/>
    <n v="3.7599999904632599"/>
    <n v="3.7599999904632599"/>
    <n v="0"/>
    <n v="0"/>
    <n v="0"/>
    <n v="3.7599999904632599"/>
    <n v="0"/>
    <n v="0"/>
    <n v="0"/>
    <n v="266"/>
    <n v="1174"/>
    <n v="1851"/>
    <x v="0"/>
    <s v="April"/>
    <n v="266"/>
    <n v="1440"/>
    <n v="19.57"/>
    <x v="4"/>
    <s v="Sedentary"/>
    <s v="2320127002|2016-04-22"/>
    <b v="0"/>
  </r>
  <r>
    <n v="2320127002"/>
    <d v="2016-04-23T00:00:00"/>
    <n v="5079"/>
    <n v="3.4200000762939502"/>
    <n v="3.4200000762939502"/>
    <n v="0"/>
    <n v="0"/>
    <n v="0"/>
    <n v="3.4200000762939502"/>
    <n v="0"/>
    <n v="0"/>
    <n v="0"/>
    <n v="242"/>
    <n v="1129"/>
    <n v="1804"/>
    <x v="1"/>
    <s v="April"/>
    <n v="242"/>
    <n v="1371"/>
    <n v="18.82"/>
    <x v="4"/>
    <s v="Sedentary"/>
    <s v="2320127002|2016-04-23"/>
    <b v="1"/>
  </r>
  <r>
    <n v="2320127002"/>
    <d v="2016-04-24T00:00:00"/>
    <n v="4165"/>
    <n v="2.8099999427795401"/>
    <n v="2.8099999427795401"/>
    <n v="0"/>
    <n v="0"/>
    <n v="0"/>
    <n v="2.7999999523162802"/>
    <n v="0"/>
    <n v="0"/>
    <n v="0"/>
    <n v="204"/>
    <n v="1236"/>
    <n v="1725"/>
    <x v="2"/>
    <s v="April"/>
    <n v="204"/>
    <n v="1440"/>
    <n v="20.6"/>
    <x v="2"/>
    <s v="Sedentary"/>
    <s v="2320127002|2016-04-24"/>
    <b v="0"/>
  </r>
  <r>
    <n v="2320127002"/>
    <d v="2016-04-25T00:00:00"/>
    <n v="3588"/>
    <n v="2.4200000762939502"/>
    <n v="2.4200000762939502"/>
    <n v="0"/>
    <n v="0.230000004172325"/>
    <n v="0.20000000298023199"/>
    <n v="1.9900000095367401"/>
    <n v="0"/>
    <n v="3"/>
    <n v="5"/>
    <n v="152"/>
    <n v="1280"/>
    <n v="1654"/>
    <x v="3"/>
    <s v="April"/>
    <n v="160"/>
    <n v="1440"/>
    <n v="21.33"/>
    <x v="2"/>
    <s v="Lightly Active"/>
    <s v="2320127002|2016-04-25"/>
    <b v="0"/>
  </r>
  <r>
    <n v="2320127002"/>
    <d v="2016-04-26T00:00:00"/>
    <n v="3409"/>
    <n v="2.2999999523162802"/>
    <n v="2.2999999523162802"/>
    <n v="0"/>
    <n v="0"/>
    <n v="0"/>
    <n v="2.2999999523162802"/>
    <n v="0"/>
    <n v="0"/>
    <n v="0"/>
    <n v="147"/>
    <n v="1293"/>
    <n v="1632"/>
    <x v="4"/>
    <s v="April"/>
    <n v="147"/>
    <n v="1440"/>
    <n v="21.55"/>
    <x v="2"/>
    <s v="Sedentary"/>
    <s v="2320127002|2016-04-26"/>
    <b v="0"/>
  </r>
  <r>
    <n v="2320127002"/>
    <d v="2016-04-27T00:00:00"/>
    <n v="1715"/>
    <n v="1.1599999666214"/>
    <n v="1.1599999666214"/>
    <n v="0"/>
    <n v="0"/>
    <n v="0"/>
    <n v="1.1599999666214"/>
    <n v="0"/>
    <n v="0"/>
    <n v="0"/>
    <n v="82"/>
    <n v="1358"/>
    <n v="1481"/>
    <x v="5"/>
    <s v="April"/>
    <n v="82"/>
    <n v="1440"/>
    <n v="22.63"/>
    <x v="2"/>
    <s v="Sedentary"/>
    <s v="2320127002|2016-04-27"/>
    <b v="0"/>
  </r>
  <r>
    <n v="2320127002"/>
    <d v="2016-04-28T00:00:00"/>
    <n v="1532"/>
    <n v="1.0299999713897701"/>
    <n v="1.0299999713897701"/>
    <n v="0"/>
    <n v="0"/>
    <n v="0"/>
    <n v="1.0299999713897701"/>
    <n v="0"/>
    <n v="0"/>
    <n v="0"/>
    <n v="76"/>
    <n v="1364"/>
    <n v="1473"/>
    <x v="6"/>
    <s v="April"/>
    <n v="76"/>
    <n v="1440"/>
    <n v="22.73"/>
    <x v="2"/>
    <s v="Sedentary"/>
    <s v="2320127002|2016-04-28"/>
    <b v="0"/>
  </r>
  <r>
    <n v="2320127002"/>
    <d v="2016-04-29T00:00:00"/>
    <n v="924"/>
    <n v="0.62000000476837203"/>
    <n v="0.62000000476837203"/>
    <n v="0"/>
    <n v="0"/>
    <n v="0"/>
    <n v="0.62000000476837203"/>
    <n v="0"/>
    <n v="0"/>
    <n v="0"/>
    <n v="45"/>
    <n v="1395"/>
    <n v="1410"/>
    <x v="0"/>
    <s v="April"/>
    <n v="45"/>
    <n v="1440"/>
    <n v="23.25"/>
    <x v="2"/>
    <s v="Sedentary"/>
    <s v="2320127002|2016-04-29"/>
    <b v="0"/>
  </r>
  <r>
    <n v="2320127002"/>
    <d v="2016-04-30T00:00:00"/>
    <n v="4571"/>
    <n v="3.0799999237060498"/>
    <n v="3.0799999237060498"/>
    <n v="0"/>
    <n v="0"/>
    <n v="0"/>
    <n v="3.0699999332428001"/>
    <n v="0"/>
    <n v="0"/>
    <n v="0"/>
    <n v="234"/>
    <n v="1206"/>
    <n v="1779"/>
    <x v="1"/>
    <s v="April"/>
    <n v="234"/>
    <n v="1440"/>
    <n v="20.100000000000001"/>
    <x v="2"/>
    <s v="Sedentary"/>
    <s v="2320127002|2016-04-30"/>
    <b v="0"/>
  </r>
  <r>
    <n v="2320127002"/>
    <d v="2016-05-01T00:00:00"/>
    <n v="772"/>
    <n v="0.519999980926514"/>
    <n v="0.519999980926514"/>
    <n v="0"/>
    <n v="0"/>
    <n v="0"/>
    <n v="0.519999980926514"/>
    <n v="0"/>
    <n v="0"/>
    <n v="0"/>
    <n v="40"/>
    <n v="1400"/>
    <n v="1403"/>
    <x v="2"/>
    <s v="May"/>
    <n v="40"/>
    <n v="1440"/>
    <n v="23.33"/>
    <x v="2"/>
    <s v="Sedentary"/>
    <s v="2320127002|2016-05-01"/>
    <b v="0"/>
  </r>
  <r>
    <n v="2320127002"/>
    <d v="2016-05-02T00:00:00"/>
    <n v="3634"/>
    <n v="2.4500000476837198"/>
    <n v="2.4500000476837198"/>
    <n v="0"/>
    <n v="0.36000001430511502"/>
    <n v="0.20999999344348899"/>
    <n v="1.87999999523163"/>
    <n v="0"/>
    <n v="5"/>
    <n v="6"/>
    <n v="123"/>
    <n v="1306"/>
    <n v="1613"/>
    <x v="3"/>
    <s v="May"/>
    <n v="134"/>
    <n v="1440"/>
    <n v="21.77"/>
    <x v="2"/>
    <s v="Lightly Active"/>
    <s v="2320127002|2016-05-02"/>
    <b v="0"/>
  </r>
  <r>
    <n v="2320127002"/>
    <d v="2016-05-03T00:00:00"/>
    <n v="7443"/>
    <n v="5.0199999809265101"/>
    <n v="5.0199999809265101"/>
    <n v="0"/>
    <n v="1.4900000095367401"/>
    <n v="0.37000000476837203"/>
    <n v="3.1600000858306898"/>
    <n v="0"/>
    <n v="20"/>
    <n v="10"/>
    <n v="206"/>
    <n v="1204"/>
    <n v="1878"/>
    <x v="4"/>
    <s v="May"/>
    <n v="236"/>
    <n v="1440"/>
    <n v="20.07"/>
    <x v="4"/>
    <s v="Moderately Active"/>
    <s v="2320127002|2016-05-03"/>
    <b v="0"/>
  </r>
  <r>
    <n v="2320127002"/>
    <d v="2016-05-04T00:00:00"/>
    <n v="1201"/>
    <n v="0.81000000238418601"/>
    <n v="0.81000000238418601"/>
    <n v="0"/>
    <n v="0"/>
    <n v="0"/>
    <n v="0.81000000238418601"/>
    <n v="0"/>
    <n v="0"/>
    <n v="0"/>
    <n v="52"/>
    <n v="1388"/>
    <n v="1426"/>
    <x v="5"/>
    <s v="May"/>
    <n v="52"/>
    <n v="1440"/>
    <n v="23.13"/>
    <x v="2"/>
    <s v="Sedentary"/>
    <s v="2320127002|2016-05-04"/>
    <b v="0"/>
  </r>
  <r>
    <n v="2320127002"/>
    <d v="2016-05-05T00:00:00"/>
    <n v="5202"/>
    <n v="3.5099999904632599"/>
    <n v="3.5099999904632599"/>
    <n v="0"/>
    <n v="0"/>
    <n v="0.38999998569488498"/>
    <n v="3.1099998950958301"/>
    <n v="0"/>
    <n v="0"/>
    <n v="11"/>
    <n v="223"/>
    <n v="1206"/>
    <n v="1780"/>
    <x v="6"/>
    <s v="May"/>
    <n v="234"/>
    <n v="1440"/>
    <n v="20.100000000000001"/>
    <x v="4"/>
    <s v="Sedentary"/>
    <s v="2320127002|2016-05-05"/>
    <b v="0"/>
  </r>
  <r>
    <n v="2320127002"/>
    <d v="2016-05-06T00:00:00"/>
    <n v="4878"/>
    <n v="3.28999996185303"/>
    <n v="3.28999996185303"/>
    <n v="0"/>
    <n v="0"/>
    <n v="0"/>
    <n v="3.28999996185303"/>
    <n v="0"/>
    <n v="0"/>
    <n v="0"/>
    <n v="204"/>
    <n v="1236"/>
    <n v="1742"/>
    <x v="0"/>
    <s v="May"/>
    <n v="204"/>
    <n v="1440"/>
    <n v="20.6"/>
    <x v="2"/>
    <s v="Sedentary"/>
    <s v="2320127002|2016-05-06"/>
    <b v="0"/>
  </r>
  <r>
    <n v="2320127002"/>
    <d v="2016-05-07T00:00:00"/>
    <n v="7379"/>
    <n v="4.9699997901916504"/>
    <n v="4.9699997901916504"/>
    <n v="0"/>
    <n v="0"/>
    <n v="0"/>
    <n v="4.9699997901916504"/>
    <n v="0"/>
    <n v="0"/>
    <n v="0"/>
    <n v="319"/>
    <n v="1121"/>
    <n v="1972"/>
    <x v="1"/>
    <s v="May"/>
    <n v="319"/>
    <n v="1440"/>
    <n v="18.68"/>
    <x v="4"/>
    <s v="Sedentary"/>
    <s v="2320127002|2016-05-07"/>
    <b v="0"/>
  </r>
  <r>
    <n v="2320127002"/>
    <d v="2016-05-08T00:00:00"/>
    <n v="5161"/>
    <n v="3.4800000190734899"/>
    <n v="3.4800000190734899"/>
    <n v="0"/>
    <n v="0"/>
    <n v="0"/>
    <n v="3.4700000286102299"/>
    <n v="0"/>
    <n v="0"/>
    <n v="0"/>
    <n v="247"/>
    <n v="1193"/>
    <n v="1821"/>
    <x v="2"/>
    <s v="May"/>
    <n v="247"/>
    <n v="1440"/>
    <n v="19.88"/>
    <x v="4"/>
    <s v="Sedentary"/>
    <s v="2320127002|2016-05-08"/>
    <b v="0"/>
  </r>
  <r>
    <n v="2320127002"/>
    <d v="2016-05-09T00:00:00"/>
    <n v="3090"/>
    <n v="2.0799999237060498"/>
    <n v="2.0799999237060498"/>
    <n v="0"/>
    <n v="0"/>
    <n v="0"/>
    <n v="2.0799999237060498"/>
    <n v="0"/>
    <n v="0"/>
    <n v="0"/>
    <n v="145"/>
    <n v="1295"/>
    <n v="1630"/>
    <x v="3"/>
    <s v="May"/>
    <n v="145"/>
    <n v="1440"/>
    <n v="21.58"/>
    <x v="2"/>
    <s v="Sedentary"/>
    <s v="2320127002|2016-05-09"/>
    <b v="0"/>
  </r>
  <r>
    <n v="2320127002"/>
    <d v="2016-05-10T00:00:00"/>
    <n v="6227"/>
    <n v="4.1999998092651403"/>
    <n v="4.1999998092651403"/>
    <n v="0"/>
    <n v="0"/>
    <n v="0"/>
    <n v="4.1999998092651403"/>
    <n v="0"/>
    <n v="0"/>
    <n v="0"/>
    <n v="290"/>
    <n v="1150"/>
    <n v="1899"/>
    <x v="4"/>
    <s v="May"/>
    <n v="290"/>
    <n v="1440"/>
    <n v="19.170000000000002"/>
    <x v="4"/>
    <s v="Sedentary"/>
    <s v="2320127002|2016-05-10"/>
    <b v="0"/>
  </r>
  <r>
    <n v="2320127002"/>
    <d v="2016-05-11T00:00:00"/>
    <n v="6424"/>
    <n v="4.3299999237060502"/>
    <n v="4.3299999237060502"/>
    <n v="0"/>
    <n v="0"/>
    <n v="0"/>
    <n v="4.3299999237060502"/>
    <n v="0"/>
    <n v="0"/>
    <n v="0"/>
    <n v="300"/>
    <n v="1140"/>
    <n v="1903"/>
    <x v="5"/>
    <s v="May"/>
    <n v="300"/>
    <n v="1440"/>
    <n v="19"/>
    <x v="4"/>
    <s v="Sedentary"/>
    <s v="2320127002|2016-05-11"/>
    <b v="0"/>
  </r>
  <r>
    <n v="2320127002"/>
    <d v="2016-05-12T00:00:00"/>
    <n v="2661"/>
    <n v="1.78999996185303"/>
    <n v="1.78999996185303"/>
    <n v="0"/>
    <n v="0"/>
    <n v="0"/>
    <n v="1.78999996185303"/>
    <n v="0"/>
    <n v="0"/>
    <n v="0"/>
    <n v="128"/>
    <n v="830"/>
    <n v="1125"/>
    <x v="6"/>
    <s v="May"/>
    <n v="128"/>
    <n v="958"/>
    <n v="13.83"/>
    <x v="2"/>
    <s v="Sedentary"/>
    <s v="2320127002|2016-05-12"/>
    <b v="0"/>
  </r>
  <r>
    <n v="2347167796"/>
    <d v="2016-04-13T00:00:00"/>
    <n v="10352"/>
    <n v="7.0100002288818404"/>
    <n v="7.0100002288818404"/>
    <n v="0"/>
    <n v="1.6599999666214"/>
    <n v="1.9400000572204601"/>
    <n v="3.4100000858306898"/>
    <n v="0"/>
    <n v="19"/>
    <n v="32"/>
    <n v="195"/>
    <n v="676"/>
    <n v="2038"/>
    <x v="5"/>
    <s v="April"/>
    <n v="246"/>
    <n v="922"/>
    <n v="11.27"/>
    <x v="0"/>
    <s v="Moderately Active"/>
    <s v="2347167796|2016-04-13"/>
    <b v="1"/>
  </r>
  <r>
    <n v="2347167796"/>
    <d v="2016-04-14T00:00:00"/>
    <n v="10129"/>
    <n v="6.6999998092651403"/>
    <n v="6.6999998092651403"/>
    <n v="0"/>
    <n v="1.9999999552965199E-2"/>
    <n v="2.7400000095367401"/>
    <n v="3.9400000572204599"/>
    <n v="0"/>
    <n v="1"/>
    <n v="48"/>
    <n v="206"/>
    <n v="705"/>
    <n v="2010"/>
    <x v="6"/>
    <s v="April"/>
    <n v="255"/>
    <n v="960"/>
    <n v="11.75"/>
    <x v="0"/>
    <s v="Lightly Active"/>
    <s v="2347167796|2016-04-14"/>
    <b v="1"/>
  </r>
  <r>
    <n v="2347167796"/>
    <d v="2016-04-15T00:00:00"/>
    <n v="10465"/>
    <n v="6.9200000762939498"/>
    <n v="6.9200000762939498"/>
    <n v="0"/>
    <n v="7.0000000298023196E-2"/>
    <n v="1.41999995708466"/>
    <n v="5.4299998283386204"/>
    <n v="0"/>
    <n v="1"/>
    <n v="24"/>
    <n v="284"/>
    <n v="720"/>
    <n v="2133"/>
    <x v="0"/>
    <s v="April"/>
    <n v="309"/>
    <n v="1029"/>
    <n v="12"/>
    <x v="0"/>
    <s v="Lightly Active"/>
    <s v="2347167796|2016-04-15"/>
    <b v="1"/>
  </r>
  <r>
    <n v="2347167796"/>
    <d v="2016-04-16T00:00:00"/>
    <n v="22244"/>
    <n v="15.079999923706101"/>
    <n v="15.079999923706101"/>
    <n v="0"/>
    <n v="5.4499998092651403"/>
    <n v="4.0999999046325701"/>
    <n v="5.5300002098083496"/>
    <n v="0"/>
    <n v="66"/>
    <n v="72"/>
    <n v="268"/>
    <n v="968"/>
    <n v="2670"/>
    <x v="1"/>
    <s v="April"/>
    <n v="406"/>
    <n v="1374"/>
    <n v="16.13"/>
    <x v="1"/>
    <s v="Very Active"/>
    <s v="2347167796|2016-04-16"/>
    <b v="0"/>
  </r>
  <r>
    <n v="2347167796"/>
    <d v="2016-04-17T00:00:00"/>
    <n v="5472"/>
    <n v="3.6199998855590798"/>
    <n v="3.6199998855590798"/>
    <n v="0"/>
    <n v="7.9999998211860698E-2"/>
    <n v="0.28000000119209301"/>
    <n v="3.2599999904632599"/>
    <n v="0"/>
    <n v="1"/>
    <n v="7"/>
    <n v="249"/>
    <n v="508"/>
    <n v="1882"/>
    <x v="2"/>
    <s v="April"/>
    <n v="257"/>
    <n v="765"/>
    <n v="8.4700000000000006"/>
    <x v="4"/>
    <s v="Lightly Active"/>
    <s v="2347167796|2016-04-17"/>
    <b v="1"/>
  </r>
  <r>
    <n v="2347167796"/>
    <d v="2016-04-18T00:00:00"/>
    <n v="8247"/>
    <n v="5.4499998092651403"/>
    <n v="5.4499998092651403"/>
    <n v="0"/>
    <n v="0.79000002145767201"/>
    <n v="0.86000001430511497"/>
    <n v="3.78999996185303"/>
    <n v="0"/>
    <n v="11"/>
    <n v="16"/>
    <n v="206"/>
    <n v="678"/>
    <n v="1944"/>
    <x v="3"/>
    <s v="April"/>
    <n v="233"/>
    <n v="911"/>
    <n v="11.3"/>
    <x v="3"/>
    <s v="Lightly Active"/>
    <s v="2347167796|2016-04-18"/>
    <b v="1"/>
  </r>
  <r>
    <n v="2347167796"/>
    <d v="2016-04-19T00:00:00"/>
    <n v="6711"/>
    <n v="4.4400000572204599"/>
    <n v="4.4400000572204599"/>
    <n v="0"/>
    <n v="0"/>
    <n v="0"/>
    <n v="4.4400000572204599"/>
    <n v="0"/>
    <n v="0"/>
    <n v="7"/>
    <n v="382"/>
    <n v="648"/>
    <n v="2346"/>
    <x v="4"/>
    <s v="April"/>
    <n v="389"/>
    <n v="1037"/>
    <n v="10.8"/>
    <x v="4"/>
    <s v="Sedentary"/>
    <s v="2347167796|2016-04-19"/>
    <b v="1"/>
  </r>
  <r>
    <n v="2347167796"/>
    <d v="2016-04-20T00:00:00"/>
    <n v="10999"/>
    <n v="7.2699999809265101"/>
    <n v="7.2699999809265101"/>
    <n v="0"/>
    <n v="0.68000000715255704"/>
    <n v="1.8099999427795399"/>
    <n v="4.7800002098083496"/>
    <n v="0"/>
    <n v="11"/>
    <n v="43"/>
    <n v="269"/>
    <n v="1011"/>
    <n v="2198"/>
    <x v="5"/>
    <s v="April"/>
    <n v="323"/>
    <n v="1334"/>
    <n v="16.850000000000001"/>
    <x v="0"/>
    <s v="Lightly Active"/>
    <s v="2347167796|2016-04-20"/>
    <b v="0"/>
  </r>
  <r>
    <n v="2347167796"/>
    <d v="2016-04-21T00:00:00"/>
    <n v="10080"/>
    <n v="6.75"/>
    <n v="6.75"/>
    <n v="0"/>
    <n v="1.8500000238418599"/>
    <n v="1.5299999713897701"/>
    <n v="3.3800001144409202"/>
    <n v="0"/>
    <n v="23"/>
    <n v="26"/>
    <n v="208"/>
    <n v="761"/>
    <n v="2048"/>
    <x v="6"/>
    <s v="April"/>
    <n v="257"/>
    <n v="1018"/>
    <n v="12.68"/>
    <x v="0"/>
    <s v="Moderately Active"/>
    <s v="2347167796|2016-04-21"/>
    <b v="1"/>
  </r>
  <r>
    <n v="2347167796"/>
    <d v="2016-04-22T00:00:00"/>
    <n v="7804"/>
    <n v="5.1599998474121103"/>
    <n v="5.1599998474121103"/>
    <n v="0"/>
    <n v="0.56000000238418601"/>
    <n v="1.6799999475479099"/>
    <n v="2.9200000762939502"/>
    <n v="0"/>
    <n v="9"/>
    <n v="27"/>
    <n v="206"/>
    <n v="781"/>
    <n v="1946"/>
    <x v="0"/>
    <s v="April"/>
    <n v="242"/>
    <n v="1023"/>
    <n v="13.02"/>
    <x v="3"/>
    <s v="Lightly Active"/>
    <s v="2347167796|2016-04-22"/>
    <b v="1"/>
  </r>
  <r>
    <n v="2347167796"/>
    <d v="2016-04-23T00:00:00"/>
    <n v="16901"/>
    <n v="11.3699998855591"/>
    <n v="11.3699998855591"/>
    <n v="0"/>
    <n v="2.7799999713897701"/>
    <n v="1.45000004768372"/>
    <n v="7.1500000953674299"/>
    <n v="0"/>
    <n v="32"/>
    <n v="35"/>
    <n v="360"/>
    <n v="591"/>
    <n v="2629"/>
    <x v="1"/>
    <s v="April"/>
    <n v="427"/>
    <n v="1018"/>
    <n v="9.85"/>
    <x v="1"/>
    <s v="Very Active"/>
    <s v="2347167796|2016-04-23"/>
    <b v="1"/>
  </r>
  <r>
    <n v="2347167796"/>
    <d v="2016-04-24T00:00:00"/>
    <n v="9471"/>
    <n v="6.2600002288818404"/>
    <n v="6.2600002288818404"/>
    <n v="0"/>
    <n v="0"/>
    <n v="0"/>
    <n v="6.2600002288818404"/>
    <n v="0"/>
    <n v="0"/>
    <n v="0"/>
    <n v="360"/>
    <n v="584"/>
    <n v="2187"/>
    <x v="2"/>
    <s v="April"/>
    <n v="360"/>
    <n v="944"/>
    <n v="9.73"/>
    <x v="3"/>
    <s v="Sedentary"/>
    <s v="2347167796|2016-04-24"/>
    <b v="1"/>
  </r>
  <r>
    <n v="2347167796"/>
    <d v="2016-04-25T00:00:00"/>
    <n v="9482"/>
    <n v="6.3800001144409197"/>
    <n v="6.3800001144409197"/>
    <n v="0"/>
    <n v="1.2699999809265099"/>
    <n v="0.519999980926514"/>
    <n v="4.5999999046325701"/>
    <n v="0"/>
    <n v="15"/>
    <n v="11"/>
    <n v="277"/>
    <n v="653"/>
    <n v="2095"/>
    <x v="3"/>
    <s v="April"/>
    <n v="303"/>
    <n v="956"/>
    <n v="10.88"/>
    <x v="3"/>
    <s v="Moderately Active"/>
    <s v="2347167796|2016-04-25"/>
    <b v="1"/>
  </r>
  <r>
    <n v="2347167796"/>
    <d v="2016-04-26T00:00:00"/>
    <n v="5980"/>
    <n v="3.9500000476837198"/>
    <n v="3.9500000476837198"/>
    <n v="0"/>
    <n v="0"/>
    <n v="0"/>
    <n v="3.9500000476837198"/>
    <n v="0"/>
    <n v="0"/>
    <n v="0"/>
    <n v="227"/>
    <n v="732"/>
    <n v="1861"/>
    <x v="4"/>
    <s v="April"/>
    <n v="227"/>
    <n v="959"/>
    <n v="12.2"/>
    <x v="4"/>
    <s v="Sedentary"/>
    <s v="2347167796|2016-04-26"/>
    <b v="1"/>
  </r>
  <r>
    <n v="2347167796"/>
    <d v="2016-04-27T00:00:00"/>
    <n v="11423"/>
    <n v="7.5799999237060502"/>
    <n v="7.5799999237060502"/>
    <n v="0"/>
    <n v="1.8600000143051101"/>
    <n v="0.40000000596046398"/>
    <n v="5.3200001716613796"/>
    <n v="0"/>
    <n v="26"/>
    <n v="9"/>
    <n v="295"/>
    <n v="623"/>
    <n v="2194"/>
    <x v="5"/>
    <s v="April"/>
    <n v="330"/>
    <n v="953"/>
    <n v="10.38"/>
    <x v="0"/>
    <s v="Moderately Active"/>
    <s v="2347167796|2016-04-27"/>
    <b v="1"/>
  </r>
  <r>
    <n v="2347167796"/>
    <d v="2016-04-28T00:00:00"/>
    <n v="5439"/>
    <n v="3.5999999046325701"/>
    <n v="3.5999999046325701"/>
    <n v="0"/>
    <n v="0"/>
    <n v="0"/>
    <n v="3.5999999046325701"/>
    <n v="0"/>
    <n v="0"/>
    <n v="0"/>
    <n v="229"/>
    <n v="764"/>
    <n v="1854"/>
    <x v="6"/>
    <s v="April"/>
    <n v="229"/>
    <n v="993"/>
    <n v="12.73"/>
    <x v="4"/>
    <s v="Sedentary"/>
    <s v="2347167796|2016-04-28"/>
    <b v="1"/>
  </r>
  <r>
    <n v="2347167796"/>
    <d v="2016-04-29T00:00:00"/>
    <n v="42"/>
    <n v="2.9999999329447701E-2"/>
    <n v="2.9999999329447701E-2"/>
    <n v="0"/>
    <n v="0"/>
    <n v="0"/>
    <n v="2.9999999329447701E-2"/>
    <n v="0"/>
    <n v="0"/>
    <n v="0"/>
    <n v="4"/>
    <n v="2"/>
    <n v="403"/>
    <x v="0"/>
    <s v="April"/>
    <n v="4"/>
    <n v="6"/>
    <n v="0.03"/>
    <x v="2"/>
    <s v="Sedentary"/>
    <s v="2347167796|2016-04-29"/>
    <b v="1"/>
  </r>
  <r>
    <n v="2873212765"/>
    <d v="2016-04-13T00:00:00"/>
    <n v="7618"/>
    <n v="5.1199998855590803"/>
    <n v="5.1199998855590803"/>
    <n v="0"/>
    <n v="0"/>
    <n v="0.21999999880790699"/>
    <n v="4.8800001144409197"/>
    <n v="1.9999999552965199E-2"/>
    <n v="0"/>
    <n v="8"/>
    <n v="404"/>
    <n v="1028"/>
    <n v="2004"/>
    <x v="5"/>
    <s v="April"/>
    <n v="412"/>
    <n v="1440"/>
    <n v="17.13"/>
    <x v="3"/>
    <s v="Sedentary"/>
    <s v="2873212765|2016-04-13"/>
    <b v="0"/>
  </r>
  <r>
    <n v="2873212765"/>
    <d v="2016-04-14T00:00:00"/>
    <n v="7910"/>
    <n v="5.3200001716613796"/>
    <n v="5.3200001716613796"/>
    <n v="0"/>
    <n v="0"/>
    <n v="0"/>
    <n v="5.3200001716613796"/>
    <n v="0"/>
    <n v="0"/>
    <n v="0"/>
    <n v="331"/>
    <n v="1109"/>
    <n v="1893"/>
    <x v="6"/>
    <s v="April"/>
    <n v="331"/>
    <n v="1440"/>
    <n v="18.48"/>
    <x v="3"/>
    <s v="Sedentary"/>
    <s v="2873212765|2016-04-14"/>
    <b v="0"/>
  </r>
  <r>
    <n v="2873212765"/>
    <d v="2016-04-15T00:00:00"/>
    <n v="8482"/>
    <n v="5.6999998092651403"/>
    <n v="5.6999998092651403"/>
    <n v="0"/>
    <n v="0"/>
    <n v="0"/>
    <n v="5.6900000572204599"/>
    <n v="9.9999997764825804E-3"/>
    <n v="0"/>
    <n v="0"/>
    <n v="448"/>
    <n v="992"/>
    <n v="2063"/>
    <x v="0"/>
    <s v="April"/>
    <n v="448"/>
    <n v="1440"/>
    <n v="16.53"/>
    <x v="3"/>
    <s v="Sedentary"/>
    <s v="2873212765|2016-04-15"/>
    <b v="0"/>
  </r>
  <r>
    <n v="2873212765"/>
    <d v="2016-04-16T00:00:00"/>
    <n v="9685"/>
    <n v="6.6500000953674299"/>
    <n v="6.6500000953674299"/>
    <n v="0"/>
    <n v="3.1099998950958301"/>
    <n v="1.9999999552965199E-2"/>
    <n v="3.5099999904632599"/>
    <n v="9.9999997764825804E-3"/>
    <n v="47"/>
    <n v="1"/>
    <n v="305"/>
    <n v="1087"/>
    <n v="2148"/>
    <x v="1"/>
    <s v="April"/>
    <n v="353"/>
    <n v="1440"/>
    <n v="18.12"/>
    <x v="3"/>
    <s v="Very Active"/>
    <s v="2873212765|2016-04-16"/>
    <b v="0"/>
  </r>
  <r>
    <n v="2873212765"/>
    <d v="2016-04-17T00:00:00"/>
    <n v="2524"/>
    <n v="1.70000004768372"/>
    <n v="1.70000004768372"/>
    <n v="0"/>
    <n v="0"/>
    <n v="0.34999999403953602"/>
    <n v="1.3400000333786"/>
    <n v="0"/>
    <n v="0"/>
    <n v="8"/>
    <n v="160"/>
    <n v="1272"/>
    <n v="1529"/>
    <x v="2"/>
    <s v="April"/>
    <n v="168"/>
    <n v="1440"/>
    <n v="21.2"/>
    <x v="2"/>
    <s v="Sedentary"/>
    <s v="2873212765|2016-04-17"/>
    <b v="0"/>
  </r>
  <r>
    <n v="2873212765"/>
    <d v="2016-04-18T00:00:00"/>
    <n v="7762"/>
    <n v="5.2399997711181596"/>
    <n v="5.2399997711181596"/>
    <n v="0"/>
    <n v="7.0000000298023196E-2"/>
    <n v="0.28000000119209301"/>
    <n v="4.8899998664856001"/>
    <n v="0"/>
    <n v="1"/>
    <n v="6"/>
    <n v="311"/>
    <n v="1122"/>
    <n v="1890"/>
    <x v="3"/>
    <s v="April"/>
    <n v="318"/>
    <n v="1440"/>
    <n v="18.7"/>
    <x v="3"/>
    <s v="Lightly Active"/>
    <s v="2873212765|2016-04-18"/>
    <b v="0"/>
  </r>
  <r>
    <n v="2873212765"/>
    <d v="2016-04-19T00:00:00"/>
    <n v="7948"/>
    <n v="5.3699998855590803"/>
    <n v="5.3699998855590803"/>
    <n v="0"/>
    <n v="0"/>
    <n v="0"/>
    <n v="5.3600001335143999"/>
    <n v="0"/>
    <n v="0"/>
    <n v="0"/>
    <n v="389"/>
    <n v="1051"/>
    <n v="1956"/>
    <x v="4"/>
    <s v="April"/>
    <n v="389"/>
    <n v="1440"/>
    <n v="17.52"/>
    <x v="3"/>
    <s v="Sedentary"/>
    <s v="2873212765|2016-04-19"/>
    <b v="0"/>
  </r>
  <r>
    <n v="2873212765"/>
    <d v="2016-04-20T00:00:00"/>
    <n v="9202"/>
    <n v="6.3000001907348597"/>
    <n v="6.3000001907348597"/>
    <n v="0"/>
    <n v="1.5099999904632599"/>
    <n v="0.119999997317791"/>
    <n v="4.6599998474121103"/>
    <n v="9.9999997764825804E-3"/>
    <n v="22"/>
    <n v="5"/>
    <n v="378"/>
    <n v="1035"/>
    <n v="2094"/>
    <x v="5"/>
    <s v="April"/>
    <n v="405"/>
    <n v="1440"/>
    <n v="17.25"/>
    <x v="3"/>
    <s v="Moderately Active"/>
    <s v="2873212765|2016-04-20"/>
    <b v="0"/>
  </r>
  <r>
    <n v="2873212765"/>
    <d v="2016-04-21T00:00:00"/>
    <n v="8859"/>
    <n v="5.9800000190734899"/>
    <n v="5.9800000190734899"/>
    <n v="0"/>
    <n v="0.129999995231628"/>
    <n v="0.37000000476837203"/>
    <n v="5.4699997901916504"/>
    <n v="9.9999997764825804E-3"/>
    <n v="2"/>
    <n v="10"/>
    <n v="371"/>
    <n v="1057"/>
    <n v="1970"/>
    <x v="6"/>
    <s v="April"/>
    <n v="383"/>
    <n v="1440"/>
    <n v="17.62"/>
    <x v="3"/>
    <s v="Lightly Active"/>
    <s v="2873212765|2016-04-21"/>
    <b v="0"/>
  </r>
  <r>
    <n v="2873212765"/>
    <d v="2016-04-22T00:00:00"/>
    <n v="7286"/>
    <n v="4.9000000953674299"/>
    <n v="4.9000000953674299"/>
    <n v="0"/>
    <n v="0.46000000834464999"/>
    <n v="0"/>
    <n v="4.4200000762939498"/>
    <n v="1.9999999552965199E-2"/>
    <n v="46"/>
    <n v="0"/>
    <n v="366"/>
    <n v="1028"/>
    <n v="2241"/>
    <x v="0"/>
    <s v="April"/>
    <n v="412"/>
    <n v="1440"/>
    <n v="17.13"/>
    <x v="4"/>
    <s v="Very Active"/>
    <s v="2873212765|2016-04-22"/>
    <b v="0"/>
  </r>
  <r>
    <n v="2873212765"/>
    <d v="2016-04-23T00:00:00"/>
    <n v="9317"/>
    <n v="6.3499999046325701"/>
    <n v="6.3499999046325701"/>
    <n v="0"/>
    <n v="2.0899999141693102"/>
    <n v="0.230000004172325"/>
    <n v="4.0199999809265101"/>
    <n v="9.9999997764825804E-3"/>
    <n v="28"/>
    <n v="5"/>
    <n v="330"/>
    <n v="1077"/>
    <n v="2021"/>
    <x v="1"/>
    <s v="April"/>
    <n v="363"/>
    <n v="1440"/>
    <n v="17.95"/>
    <x v="3"/>
    <s v="Moderately Active"/>
    <s v="2873212765|2016-04-23"/>
    <b v="0"/>
  </r>
  <r>
    <n v="2873212765"/>
    <d v="2016-04-24T00:00:00"/>
    <n v="6873"/>
    <n v="4.6799998283386204"/>
    <n v="4.6799998283386204"/>
    <n v="0"/>
    <n v="3"/>
    <n v="5.9999998658895499E-2"/>
    <n v="1.62000000476837"/>
    <n v="0"/>
    <n v="46"/>
    <n v="1"/>
    <n v="190"/>
    <n v="1203"/>
    <n v="1898"/>
    <x v="2"/>
    <s v="April"/>
    <n v="237"/>
    <n v="1440"/>
    <n v="20.05"/>
    <x v="4"/>
    <s v="Very Active"/>
    <s v="2873212765|2016-04-24"/>
    <b v="0"/>
  </r>
  <r>
    <n v="2873212765"/>
    <d v="2016-04-25T00:00:00"/>
    <n v="7373"/>
    <n v="4.9499998092651403"/>
    <n v="4.9499998092651403"/>
    <n v="0"/>
    <n v="0"/>
    <n v="0"/>
    <n v="4.9499998092651403"/>
    <n v="0"/>
    <n v="0"/>
    <n v="0"/>
    <n v="359"/>
    <n v="1081"/>
    <n v="1907"/>
    <x v="3"/>
    <s v="April"/>
    <n v="359"/>
    <n v="1440"/>
    <n v="18.02"/>
    <x v="4"/>
    <s v="Sedentary"/>
    <s v="2873212765|2016-04-25"/>
    <b v="0"/>
  </r>
  <r>
    <n v="2873212765"/>
    <d v="2016-04-26T00:00:00"/>
    <n v="8242"/>
    <n v="5.53999996185303"/>
    <n v="5.53999996185303"/>
    <n v="0"/>
    <n v="0.119999997317791"/>
    <n v="0.18000000715255701"/>
    <n v="5.2399997711181596"/>
    <n v="0"/>
    <n v="2"/>
    <n v="5"/>
    <n v="309"/>
    <n v="1124"/>
    <n v="1882"/>
    <x v="4"/>
    <s v="April"/>
    <n v="316"/>
    <n v="1440"/>
    <n v="18.73"/>
    <x v="3"/>
    <s v="Lightly Active"/>
    <s v="2873212765|2016-04-26"/>
    <b v="0"/>
  </r>
  <r>
    <n v="2873212765"/>
    <d v="2016-04-27T00:00:00"/>
    <n v="3516"/>
    <n v="2.3599998950958301"/>
    <n v="2.3599998950958301"/>
    <n v="0"/>
    <n v="0"/>
    <n v="0"/>
    <n v="2.3599998950958301"/>
    <n v="0"/>
    <n v="46"/>
    <n v="0"/>
    <n v="197"/>
    <n v="1197"/>
    <n v="1966"/>
    <x v="5"/>
    <s v="April"/>
    <n v="243"/>
    <n v="1440"/>
    <n v="19.95"/>
    <x v="2"/>
    <s v="Very Active"/>
    <s v="2873212765|2016-04-27"/>
    <b v="0"/>
  </r>
  <r>
    <n v="2873212765"/>
    <d v="2016-04-28T00:00:00"/>
    <n v="7913"/>
    <n v="5.4099998474121103"/>
    <n v="5.4099998474121103"/>
    <n v="0"/>
    <n v="2.1600000858306898"/>
    <n v="0.34000000357627902"/>
    <n v="2.9100000858306898"/>
    <n v="0"/>
    <n v="28"/>
    <n v="7"/>
    <n v="213"/>
    <n v="1192"/>
    <n v="1835"/>
    <x v="6"/>
    <s v="April"/>
    <n v="248"/>
    <n v="1440"/>
    <n v="19.87"/>
    <x v="3"/>
    <s v="Moderately Active"/>
    <s v="2873212765|2016-04-28"/>
    <b v="0"/>
  </r>
  <r>
    <n v="2873212765"/>
    <d v="2016-04-29T00:00:00"/>
    <n v="7365"/>
    <n v="4.9499998092651403"/>
    <n v="4.9499998092651403"/>
    <n v="0"/>
    <n v="1.3600000143051101"/>
    <n v="1.4099999666214"/>
    <n v="2.1800000667571999"/>
    <n v="0"/>
    <n v="20"/>
    <n v="23"/>
    <n v="206"/>
    <n v="1191"/>
    <n v="1780"/>
    <x v="0"/>
    <s v="April"/>
    <n v="249"/>
    <n v="1440"/>
    <n v="19.850000000000001"/>
    <x v="4"/>
    <s v="Moderately Active"/>
    <s v="2873212765|2016-04-29"/>
    <b v="0"/>
  </r>
  <r>
    <n v="2873212765"/>
    <d v="2016-04-30T00:00:00"/>
    <n v="8452"/>
    <n v="5.6799998283386204"/>
    <n v="5.6799998283386204"/>
    <n v="0"/>
    <n v="0.33000001311302202"/>
    <n v="1.08000004291534"/>
    <n v="4.2600002288818404"/>
    <n v="9.9999997764825804E-3"/>
    <n v="5"/>
    <n v="20"/>
    <n v="248"/>
    <n v="1167"/>
    <n v="1830"/>
    <x v="1"/>
    <s v="April"/>
    <n v="273"/>
    <n v="1440"/>
    <n v="19.45"/>
    <x v="3"/>
    <s v="Lightly Active"/>
    <s v="2873212765|2016-04-30"/>
    <b v="0"/>
  </r>
  <r>
    <n v="2873212765"/>
    <d v="2016-05-01T00:00:00"/>
    <n v="7399"/>
    <n v="4.9699997901916504"/>
    <n v="4.9699997901916504"/>
    <n v="0"/>
    <n v="0.490000009536743"/>
    <n v="1.03999996185303"/>
    <n v="3.4400000572204599"/>
    <n v="0"/>
    <n v="7"/>
    <n v="18"/>
    <n v="196"/>
    <n v="1219"/>
    <n v="1739"/>
    <x v="2"/>
    <s v="May"/>
    <n v="221"/>
    <n v="1440"/>
    <n v="20.32"/>
    <x v="4"/>
    <s v="Lightly Active"/>
    <s v="2873212765|2016-05-01"/>
    <b v="0"/>
  </r>
  <r>
    <n v="2873212765"/>
    <d v="2016-05-02T00:00:00"/>
    <n v="7525"/>
    <n v="5.0599999427795401"/>
    <n v="5.0599999427795401"/>
    <n v="0"/>
    <n v="0"/>
    <n v="0.20999999344348899"/>
    <n v="4.8299999237060502"/>
    <n v="1.9999999552965199E-2"/>
    <n v="0"/>
    <n v="7"/>
    <n v="334"/>
    <n v="1099"/>
    <n v="1878"/>
    <x v="3"/>
    <s v="May"/>
    <n v="341"/>
    <n v="1440"/>
    <n v="18.32"/>
    <x v="3"/>
    <s v="Sedentary"/>
    <s v="2873212765|2016-05-02"/>
    <b v="0"/>
  </r>
  <r>
    <n v="2873212765"/>
    <d v="2016-05-03T00:00:00"/>
    <n v="7412"/>
    <n v="4.9800000190734899"/>
    <n v="4.9800000190734899"/>
    <n v="0"/>
    <n v="5.9999998658895499E-2"/>
    <n v="0.25"/>
    <n v="4.6599998474121103"/>
    <n v="9.9999997764825804E-3"/>
    <n v="1"/>
    <n v="6"/>
    <n v="363"/>
    <n v="1070"/>
    <n v="1906"/>
    <x v="4"/>
    <s v="May"/>
    <n v="370"/>
    <n v="1440"/>
    <n v="17.829999999999998"/>
    <x v="4"/>
    <s v="Lightly Active"/>
    <s v="2873212765|2016-05-03"/>
    <b v="0"/>
  </r>
  <r>
    <n v="2873212765"/>
    <d v="2016-05-04T00:00:00"/>
    <n v="8278"/>
    <n v="5.5599999427795401"/>
    <n v="5.5599999427795401"/>
    <n v="0"/>
    <n v="0"/>
    <n v="0"/>
    <n v="5.5599999427795401"/>
    <n v="0"/>
    <n v="0"/>
    <n v="0"/>
    <n v="420"/>
    <n v="1020"/>
    <n v="2015"/>
    <x v="5"/>
    <s v="May"/>
    <n v="420"/>
    <n v="1440"/>
    <n v="17"/>
    <x v="3"/>
    <s v="Sedentary"/>
    <s v="2873212765|2016-05-04"/>
    <b v="0"/>
  </r>
  <r>
    <n v="2873212765"/>
    <d v="2016-05-05T00:00:00"/>
    <n v="8314"/>
    <n v="5.6100001335143999"/>
    <n v="5.6100001335143999"/>
    <n v="0"/>
    <n v="0.77999997138977095"/>
    <n v="0.80000001192092896"/>
    <n v="4.0300002098083496"/>
    <n v="0"/>
    <n v="13"/>
    <n v="23"/>
    <n v="311"/>
    <n v="1093"/>
    <n v="1971"/>
    <x v="6"/>
    <s v="May"/>
    <n v="347"/>
    <n v="1440"/>
    <n v="18.22"/>
    <x v="3"/>
    <s v="Lightly Active"/>
    <s v="2873212765|2016-05-05"/>
    <b v="0"/>
  </r>
  <r>
    <n v="2873212765"/>
    <d v="2016-05-06T00:00:00"/>
    <n v="7063"/>
    <n v="4.75"/>
    <n v="4.75"/>
    <n v="0"/>
    <n v="0"/>
    <n v="0.119999997317791"/>
    <n v="4.6100001335143999"/>
    <n v="9.9999997764825804E-3"/>
    <n v="0"/>
    <n v="5"/>
    <n v="370"/>
    <n v="1065"/>
    <n v="1910"/>
    <x v="0"/>
    <s v="May"/>
    <n v="375"/>
    <n v="1440"/>
    <n v="17.75"/>
    <x v="4"/>
    <s v="Sedentary"/>
    <s v="2873212765|2016-05-06"/>
    <b v="0"/>
  </r>
  <r>
    <n v="2873212765"/>
    <d v="2016-05-07T00:00:00"/>
    <n v="4940"/>
    <n v="3.3800001144409202"/>
    <n v="3.3800001144409202"/>
    <n v="0"/>
    <n v="2.2799999713897701"/>
    <n v="0.55000001192092896"/>
    <n v="0.55000001192092896"/>
    <n v="0"/>
    <n v="75"/>
    <n v="11"/>
    <n v="52"/>
    <n v="1302"/>
    <n v="1897"/>
    <x v="1"/>
    <s v="May"/>
    <n v="138"/>
    <n v="1440"/>
    <n v="21.7"/>
    <x v="2"/>
    <s v="Very Active"/>
    <s v="2873212765|2016-05-07"/>
    <b v="0"/>
  </r>
  <r>
    <n v="2873212765"/>
    <d v="2016-05-08T00:00:00"/>
    <n v="8168"/>
    <n v="5.53999996185303"/>
    <n v="5.53999996185303"/>
    <n v="0"/>
    <n v="2.9000000953674299"/>
    <n v="0"/>
    <n v="2.6400001049041699"/>
    <n v="0"/>
    <n v="46"/>
    <n v="0"/>
    <n v="326"/>
    <n v="1068"/>
    <n v="2096"/>
    <x v="2"/>
    <s v="May"/>
    <n v="372"/>
    <n v="1440"/>
    <n v="17.8"/>
    <x v="3"/>
    <s v="Very Active"/>
    <s v="2873212765|2016-05-08"/>
    <b v="0"/>
  </r>
  <r>
    <n v="2873212765"/>
    <d v="2016-05-09T00:00:00"/>
    <n v="7726"/>
    <n v="5.1900000572204599"/>
    <n v="5.1900000572204599"/>
    <n v="0"/>
    <n v="0"/>
    <n v="0"/>
    <n v="5.1900000572204599"/>
    <n v="0"/>
    <n v="0"/>
    <n v="0"/>
    <n v="345"/>
    <n v="1095"/>
    <n v="1906"/>
    <x v="3"/>
    <s v="May"/>
    <n v="345"/>
    <n v="1440"/>
    <n v="18.25"/>
    <x v="3"/>
    <s v="Sedentary"/>
    <s v="2873212765|2016-05-09"/>
    <b v="0"/>
  </r>
  <r>
    <n v="2873212765"/>
    <d v="2016-05-10T00:00:00"/>
    <n v="8275"/>
    <n v="5.5599999427795401"/>
    <n v="5.5599999427795401"/>
    <n v="0"/>
    <n v="0"/>
    <n v="0"/>
    <n v="5.5500001907348597"/>
    <n v="9.9999997764825804E-3"/>
    <n v="0"/>
    <n v="0"/>
    <n v="373"/>
    <n v="1067"/>
    <n v="1962"/>
    <x v="4"/>
    <s v="May"/>
    <n v="373"/>
    <n v="1440"/>
    <n v="17.78"/>
    <x v="3"/>
    <s v="Sedentary"/>
    <s v="2873212765|2016-05-10"/>
    <b v="0"/>
  </r>
  <r>
    <n v="2873212765"/>
    <d v="2016-05-11T00:00:00"/>
    <n v="6440"/>
    <n v="4.3299999237060502"/>
    <n v="4.3299999237060502"/>
    <n v="0"/>
    <n v="0"/>
    <n v="0"/>
    <n v="4.3200001716613796"/>
    <n v="9.9999997764825804E-3"/>
    <n v="0"/>
    <n v="0"/>
    <n v="319"/>
    <n v="1121"/>
    <n v="1826"/>
    <x v="5"/>
    <s v="May"/>
    <n v="319"/>
    <n v="1440"/>
    <n v="18.68"/>
    <x v="4"/>
    <s v="Sedentary"/>
    <s v="2873212765|2016-05-11"/>
    <b v="0"/>
  </r>
  <r>
    <n v="2873212765"/>
    <d v="2016-05-12T00:00:00"/>
    <n v="7566"/>
    <n v="5.1100001335143999"/>
    <n v="5.1100001335143999"/>
    <n v="0"/>
    <n v="0"/>
    <n v="0"/>
    <n v="5.1100001335143999"/>
    <n v="0"/>
    <n v="0"/>
    <n v="0"/>
    <n v="268"/>
    <n v="720"/>
    <n v="1431"/>
    <x v="6"/>
    <s v="May"/>
    <n v="268"/>
    <n v="988"/>
    <n v="12"/>
    <x v="3"/>
    <s v="Sedentary"/>
    <s v="2873212765|2016-05-12"/>
    <b v="0"/>
  </r>
  <r>
    <n v="3372868164"/>
    <d v="2016-04-12T00:00:00"/>
    <n v="4747"/>
    <n v="3.2400000095367401"/>
    <n v="3.2400000095367401"/>
    <n v="0"/>
    <n v="0"/>
    <n v="0"/>
    <n v="3.2300000190734899"/>
    <n v="9.9999997764825804E-3"/>
    <n v="0"/>
    <n v="0"/>
    <n v="280"/>
    <n v="1160"/>
    <n v="1788"/>
    <x v="4"/>
    <s v="April"/>
    <n v="280"/>
    <n v="1440"/>
    <n v="19.329999999999998"/>
    <x v="2"/>
    <s v="Sedentary"/>
    <s v="3372868164|2016-04-12"/>
    <b v="0"/>
  </r>
  <r>
    <n v="3372868164"/>
    <d v="2016-04-13T00:00:00"/>
    <n v="9715"/>
    <n v="6.6300001144409197"/>
    <n v="6.6300001144409197"/>
    <n v="0"/>
    <n v="0.99000000953674305"/>
    <n v="0.34000000357627902"/>
    <n v="5.2699999809265101"/>
    <n v="1.9999999552965199E-2"/>
    <n v="16"/>
    <n v="8"/>
    <n v="371"/>
    <n v="1045"/>
    <n v="2093"/>
    <x v="5"/>
    <s v="April"/>
    <n v="395"/>
    <n v="1440"/>
    <n v="17.420000000000002"/>
    <x v="3"/>
    <s v="Moderately Active"/>
    <s v="3372868164|2016-04-13"/>
    <b v="0"/>
  </r>
  <r>
    <n v="3372868164"/>
    <d v="2016-04-14T00:00:00"/>
    <n v="8844"/>
    <n v="6.0300002098083496"/>
    <n v="6.0300002098083496"/>
    <n v="0"/>
    <n v="0.34000000357627902"/>
    <n v="1.0299999713897701"/>
    <n v="4.6500000953674299"/>
    <n v="9.9999997764825804E-3"/>
    <n v="6"/>
    <n v="25"/>
    <n v="370"/>
    <n v="1039"/>
    <n v="2065"/>
    <x v="6"/>
    <s v="April"/>
    <n v="401"/>
    <n v="1440"/>
    <n v="17.32"/>
    <x v="3"/>
    <s v="Lightly Active"/>
    <s v="3372868164|2016-04-14"/>
    <b v="0"/>
  </r>
  <r>
    <n v="3372868164"/>
    <d v="2016-04-15T00:00:00"/>
    <n v="7451"/>
    <n v="5.0799999237060502"/>
    <n v="5.0799999237060502"/>
    <n v="0"/>
    <n v="0"/>
    <n v="0"/>
    <n v="5.0599999427795401"/>
    <n v="1.9999999552965199E-2"/>
    <n v="0"/>
    <n v="0"/>
    <n v="335"/>
    <n v="1105"/>
    <n v="1908"/>
    <x v="0"/>
    <s v="April"/>
    <n v="335"/>
    <n v="1440"/>
    <n v="18.420000000000002"/>
    <x v="4"/>
    <s v="Sedentary"/>
    <s v="3372868164|2016-04-15"/>
    <b v="0"/>
  </r>
  <r>
    <n v="3372868164"/>
    <d v="2016-04-16T00:00:00"/>
    <n v="6905"/>
    <n v="4.7300000190734899"/>
    <n v="4.7300000190734899"/>
    <n v="0"/>
    <n v="0"/>
    <n v="0"/>
    <n v="4.6999998092651403"/>
    <n v="2.9999999329447701E-2"/>
    <n v="0"/>
    <n v="0"/>
    <n v="356"/>
    <n v="1084"/>
    <n v="1908"/>
    <x v="1"/>
    <s v="April"/>
    <n v="356"/>
    <n v="1440"/>
    <n v="18.07"/>
    <x v="4"/>
    <s v="Sedentary"/>
    <s v="3372868164|2016-04-16"/>
    <b v="0"/>
  </r>
  <r>
    <n v="3372868164"/>
    <d v="2016-04-17T00:00:00"/>
    <n v="8199"/>
    <n v="5.8800001144409197"/>
    <n v="5.8800001144409197"/>
    <n v="0"/>
    <n v="1.4099999666214"/>
    <n v="0.10000000149011599"/>
    <n v="4.3600001335143999"/>
    <n v="9.9999997764825804E-3"/>
    <n v="11"/>
    <n v="2"/>
    <n v="322"/>
    <n v="1105"/>
    <n v="1964"/>
    <x v="2"/>
    <s v="April"/>
    <n v="335"/>
    <n v="1440"/>
    <n v="18.420000000000002"/>
    <x v="3"/>
    <s v="Lightly Active"/>
    <s v="3372868164|2016-04-17"/>
    <b v="0"/>
  </r>
  <r>
    <n v="3372868164"/>
    <d v="2016-04-18T00:00:00"/>
    <n v="6798"/>
    <n v="4.6399998664856001"/>
    <n v="4.6399998664856001"/>
    <n v="0"/>
    <n v="1.08000004291534"/>
    <n v="0.20000000298023199"/>
    <n v="3.3499999046325701"/>
    <n v="0"/>
    <n v="20"/>
    <n v="7"/>
    <n v="343"/>
    <n v="1070"/>
    <n v="2014"/>
    <x v="3"/>
    <s v="April"/>
    <n v="370"/>
    <n v="1440"/>
    <n v="17.829999999999998"/>
    <x v="4"/>
    <s v="Moderately Active"/>
    <s v="3372868164|2016-04-18"/>
    <b v="0"/>
  </r>
  <r>
    <n v="3372868164"/>
    <d v="2016-04-19T00:00:00"/>
    <n v="7711"/>
    <n v="5.2600002288818404"/>
    <n v="5.2600002288818404"/>
    <n v="0"/>
    <n v="0"/>
    <n v="0"/>
    <n v="5.2399997711181596"/>
    <n v="1.9999999552965199E-2"/>
    <n v="0"/>
    <n v="0"/>
    <n v="376"/>
    <n v="1064"/>
    <n v="1985"/>
    <x v="4"/>
    <s v="April"/>
    <n v="376"/>
    <n v="1440"/>
    <n v="17.73"/>
    <x v="3"/>
    <s v="Sedentary"/>
    <s v="3372868164|2016-04-19"/>
    <b v="0"/>
  </r>
  <r>
    <n v="3372868164"/>
    <d v="2016-04-20T00:00:00"/>
    <n v="4880"/>
    <n v="3.3299999237060498"/>
    <n v="3.3299999237060498"/>
    <n v="0"/>
    <n v="0.83999997377395597"/>
    <n v="9.00000035762787E-2"/>
    <n v="2.3800001144409202"/>
    <n v="1.9999999552965199E-2"/>
    <n v="15"/>
    <n v="3"/>
    <n v="274"/>
    <n v="1148"/>
    <n v="1867"/>
    <x v="5"/>
    <s v="April"/>
    <n v="292"/>
    <n v="1440"/>
    <n v="19.13"/>
    <x v="2"/>
    <s v="Moderately Active"/>
    <s v="3372868164|2016-04-20"/>
    <b v="0"/>
  </r>
  <r>
    <n v="3372868164"/>
    <d v="2016-04-21T00:00:00"/>
    <n v="8857"/>
    <n v="6.0700001716613796"/>
    <n v="6.0700001716613796"/>
    <n v="0"/>
    <n v="1.1499999761581401"/>
    <n v="0.259999990463257"/>
    <n v="4.6399998664856001"/>
    <n v="9.9999997764825804E-3"/>
    <n v="18"/>
    <n v="9"/>
    <n v="376"/>
    <n v="1037"/>
    <n v="2124"/>
    <x v="6"/>
    <s v="April"/>
    <n v="403"/>
    <n v="1440"/>
    <n v="17.28"/>
    <x v="3"/>
    <s v="Moderately Active"/>
    <s v="3372868164|2016-04-21"/>
    <b v="0"/>
  </r>
  <r>
    <n v="3372868164"/>
    <d v="2016-04-22T00:00:00"/>
    <n v="3843"/>
    <n v="2.6199998855590798"/>
    <n v="2.6199998855590798"/>
    <n v="0"/>
    <n v="0"/>
    <n v="0"/>
    <n v="2.6099998950958301"/>
    <n v="9.9999997764825804E-3"/>
    <n v="0"/>
    <n v="0"/>
    <n v="206"/>
    <n v="1234"/>
    <n v="1669"/>
    <x v="0"/>
    <s v="April"/>
    <n v="206"/>
    <n v="1440"/>
    <n v="20.57"/>
    <x v="2"/>
    <s v="Sedentary"/>
    <s v="3372868164|2016-04-22"/>
    <b v="0"/>
  </r>
  <r>
    <n v="3372868164"/>
    <d v="2016-04-23T00:00:00"/>
    <n v="7396"/>
    <n v="5.0700001716613796"/>
    <n v="5.0700001716613796"/>
    <n v="0"/>
    <n v="1.3999999761581401"/>
    <n v="7.9999998211860698E-2"/>
    <n v="3.5799999237060498"/>
    <n v="0"/>
    <n v="20"/>
    <n v="2"/>
    <n v="303"/>
    <n v="1115"/>
    <n v="1995"/>
    <x v="1"/>
    <s v="April"/>
    <n v="325"/>
    <n v="1440"/>
    <n v="18.579999999999998"/>
    <x v="4"/>
    <s v="Moderately Active"/>
    <s v="3372868164|2016-04-23"/>
    <b v="0"/>
  </r>
  <r>
    <n v="3372868164"/>
    <d v="2016-04-24T00:00:00"/>
    <n v="6731"/>
    <n v="4.5900001525878897"/>
    <n v="4.5900001525878897"/>
    <n v="0"/>
    <n v="0.88999998569488503"/>
    <n v="0.18999999761581399"/>
    <n v="3.4900000095367401"/>
    <n v="1.9999999552965199E-2"/>
    <n v="14"/>
    <n v="7"/>
    <n v="292"/>
    <n v="1127"/>
    <n v="1921"/>
    <x v="2"/>
    <s v="April"/>
    <n v="313"/>
    <n v="1440"/>
    <n v="18.78"/>
    <x v="4"/>
    <s v="Lightly Active"/>
    <s v="3372868164|2016-04-24"/>
    <b v="0"/>
  </r>
  <r>
    <n v="3372868164"/>
    <d v="2016-04-25T00:00:00"/>
    <n v="5995"/>
    <n v="4.0900001525878897"/>
    <n v="4.0900001525878897"/>
    <n v="0"/>
    <n v="0"/>
    <n v="0"/>
    <n v="4.0900001525878897"/>
    <n v="0"/>
    <n v="0"/>
    <n v="0"/>
    <n v="416"/>
    <n v="1024"/>
    <n v="2010"/>
    <x v="3"/>
    <s v="April"/>
    <n v="416"/>
    <n v="1440"/>
    <n v="17.07"/>
    <x v="4"/>
    <s v="Sedentary"/>
    <s v="3372868164|2016-04-25"/>
    <b v="0"/>
  </r>
  <r>
    <n v="3372868164"/>
    <d v="2016-04-26T00:00:00"/>
    <n v="8283"/>
    <n v="5.78999996185303"/>
    <n v="5.78999996185303"/>
    <n v="0"/>
    <n v="1.8500000238418599"/>
    <n v="5.0000000745058101E-2"/>
    <n v="3.8699998855590798"/>
    <n v="9.9999997764825804E-3"/>
    <n v="22"/>
    <n v="2"/>
    <n v="333"/>
    <n v="1083"/>
    <n v="2057"/>
    <x v="4"/>
    <s v="April"/>
    <n v="357"/>
    <n v="1440"/>
    <n v="18.05"/>
    <x v="3"/>
    <s v="Moderately Active"/>
    <s v="3372868164|2016-04-26"/>
    <b v="0"/>
  </r>
  <r>
    <n v="3372868164"/>
    <d v="2016-04-27T00:00:00"/>
    <n v="7904"/>
    <n v="5.4200000762939498"/>
    <n v="5.4200000762939498"/>
    <n v="0"/>
    <n v="1.58000004291534"/>
    <n v="0.62999999523162797"/>
    <n v="3.1900000572204599"/>
    <n v="9.9999997764825804E-3"/>
    <n v="24"/>
    <n v="13"/>
    <n v="346"/>
    <n v="1057"/>
    <n v="2095"/>
    <x v="5"/>
    <s v="April"/>
    <n v="383"/>
    <n v="1440"/>
    <n v="17.62"/>
    <x v="3"/>
    <s v="Moderately Active"/>
    <s v="3372868164|2016-04-27"/>
    <b v="0"/>
  </r>
  <r>
    <n v="3372868164"/>
    <d v="2016-04-28T00:00:00"/>
    <n v="5512"/>
    <n v="3.7599999904632599"/>
    <n v="3.7599999904632599"/>
    <n v="0"/>
    <n v="0"/>
    <n v="0"/>
    <n v="3.7599999904632599"/>
    <n v="0"/>
    <n v="0"/>
    <n v="0"/>
    <n v="385"/>
    <n v="1055"/>
    <n v="1972"/>
    <x v="6"/>
    <s v="April"/>
    <n v="385"/>
    <n v="1440"/>
    <n v="17.579999999999998"/>
    <x v="4"/>
    <s v="Sedentary"/>
    <s v="3372868164|2016-04-28"/>
    <b v="0"/>
  </r>
  <r>
    <n v="3372868164"/>
    <d v="2016-04-29T00:00:00"/>
    <n v="9135"/>
    <n v="6.2300000190734899"/>
    <n v="6.2300000190734899"/>
    <n v="0"/>
    <n v="0"/>
    <n v="0"/>
    <n v="6.2199997901916504"/>
    <n v="9.9999997764825804E-3"/>
    <n v="0"/>
    <n v="0"/>
    <n v="402"/>
    <n v="1038"/>
    <n v="2044"/>
    <x v="0"/>
    <s v="April"/>
    <n v="402"/>
    <n v="1440"/>
    <n v="17.3"/>
    <x v="3"/>
    <s v="Sedentary"/>
    <s v="3372868164|2016-04-29"/>
    <b v="0"/>
  </r>
  <r>
    <n v="3372868164"/>
    <d v="2016-04-30T00:00:00"/>
    <n v="5250"/>
    <n v="3.5799999237060498"/>
    <n v="3.5799999237060498"/>
    <n v="0"/>
    <n v="1.0599999427795399"/>
    <n v="9.00000035762787E-2"/>
    <n v="2.4200000762939502"/>
    <n v="9.9999997764825804E-3"/>
    <n v="17"/>
    <n v="4"/>
    <n v="300"/>
    <n v="1119"/>
    <n v="1946"/>
    <x v="1"/>
    <s v="April"/>
    <n v="321"/>
    <n v="1440"/>
    <n v="18.649999999999999"/>
    <x v="4"/>
    <s v="Moderately Active"/>
    <s v="3372868164|2016-04-30"/>
    <b v="0"/>
  </r>
  <r>
    <n v="3372868164"/>
    <d v="2016-05-01T00:00:00"/>
    <n v="3077"/>
    <n v="2.0999999046325701"/>
    <n v="2.0999999046325701"/>
    <n v="0"/>
    <n v="0"/>
    <n v="0"/>
    <n v="2.0899999141693102"/>
    <n v="0"/>
    <n v="0"/>
    <n v="0"/>
    <n v="172"/>
    <n v="842"/>
    <n v="1237"/>
    <x v="2"/>
    <s v="May"/>
    <n v="172"/>
    <n v="1014"/>
    <n v="14.03"/>
    <x v="2"/>
    <s v="Sedentary"/>
    <s v="3372868164|2016-05-01"/>
    <b v="0"/>
  </r>
  <r>
    <n v="3977333714"/>
    <d v="2016-04-13T00:00:00"/>
    <n v="10035"/>
    <n v="6.71000003814697"/>
    <n v="6.71000003814697"/>
    <n v="0"/>
    <n v="2.0299999713897701"/>
    <n v="2.1300001144409202"/>
    <n v="2.5499999523162802"/>
    <n v="0"/>
    <n v="31"/>
    <n v="46"/>
    <n v="153"/>
    <n v="754"/>
    <n v="1495"/>
    <x v="5"/>
    <s v="April"/>
    <n v="230"/>
    <n v="984"/>
    <n v="12.57"/>
    <x v="0"/>
    <s v="Very Active"/>
    <s v="3977333714|2016-04-13"/>
    <b v="1"/>
  </r>
  <r>
    <n v="3977333714"/>
    <d v="2016-04-14T00:00:00"/>
    <n v="7641"/>
    <n v="5.1100001335143999"/>
    <n v="5.1100001335143999"/>
    <n v="0"/>
    <n v="0.31999999284744302"/>
    <n v="0.97000002861022905"/>
    <n v="3.8199999332428001"/>
    <n v="0"/>
    <n v="5"/>
    <n v="23"/>
    <n v="214"/>
    <n v="801"/>
    <n v="1433"/>
    <x v="6"/>
    <s v="April"/>
    <n v="242"/>
    <n v="1043"/>
    <n v="13.35"/>
    <x v="3"/>
    <s v="Lightly Active"/>
    <s v="3977333714|2016-04-14"/>
    <b v="1"/>
  </r>
  <r>
    <n v="3977333714"/>
    <d v="2016-04-15T00:00:00"/>
    <n v="9010"/>
    <n v="6.0599999427795401"/>
    <n v="6.0599999427795401"/>
    <n v="0"/>
    <n v="1.04999995231628"/>
    <n v="1.75"/>
    <n v="3.2599999904632599"/>
    <n v="0"/>
    <n v="15"/>
    <n v="42"/>
    <n v="183"/>
    <n v="644"/>
    <n v="1468"/>
    <x v="0"/>
    <s v="April"/>
    <n v="240"/>
    <n v="884"/>
    <n v="10.73"/>
    <x v="3"/>
    <s v="Moderately Active"/>
    <s v="3977333714|2016-04-15"/>
    <b v="1"/>
  </r>
  <r>
    <n v="3977333714"/>
    <d v="2016-04-16T00:00:00"/>
    <n v="13459"/>
    <n v="9"/>
    <n v="9"/>
    <n v="0"/>
    <n v="2.0299999713897701"/>
    <n v="4"/>
    <n v="2.9700000286102299"/>
    <n v="0"/>
    <n v="31"/>
    <n v="83"/>
    <n v="153"/>
    <n v="663"/>
    <n v="1625"/>
    <x v="1"/>
    <s v="April"/>
    <n v="267"/>
    <n v="930"/>
    <n v="11.05"/>
    <x v="1"/>
    <s v="Very Active"/>
    <s v="3977333714|2016-04-16"/>
    <b v="1"/>
  </r>
  <r>
    <n v="3977333714"/>
    <d v="2016-04-17T00:00:00"/>
    <n v="10415"/>
    <n v="6.9699997901916504"/>
    <n v="6.9699997901916504"/>
    <n v="0"/>
    <n v="0.69999998807907104"/>
    <n v="2.3499999046325701"/>
    <n v="3.9200000762939502"/>
    <n v="0"/>
    <n v="11"/>
    <n v="58"/>
    <n v="205"/>
    <n v="600"/>
    <n v="1529"/>
    <x v="2"/>
    <s v="April"/>
    <n v="274"/>
    <n v="874"/>
    <n v="10"/>
    <x v="0"/>
    <s v="Lightly Active"/>
    <s v="3977333714|2016-04-17"/>
    <b v="1"/>
  </r>
  <r>
    <n v="3977333714"/>
    <d v="2016-04-18T00:00:00"/>
    <n v="11663"/>
    <n v="7.8000001907348597"/>
    <n v="7.8000001907348597"/>
    <n v="0"/>
    <n v="0.25"/>
    <n v="3.7300000190734899"/>
    <n v="3.8199999332428001"/>
    <n v="0"/>
    <n v="4"/>
    <n v="95"/>
    <n v="214"/>
    <n v="605"/>
    <n v="1584"/>
    <x v="3"/>
    <s v="April"/>
    <n v="313"/>
    <n v="918"/>
    <n v="10.08"/>
    <x v="0"/>
    <s v="Lightly Active"/>
    <s v="3977333714|2016-04-18"/>
    <b v="1"/>
  </r>
  <r>
    <n v="3977333714"/>
    <d v="2016-04-19T00:00:00"/>
    <n v="12414"/>
    <n v="8.7799997329711896"/>
    <n v="8.7799997329711896"/>
    <n v="0"/>
    <n v="2.2400000095367401"/>
    <n v="2.4500000476837198"/>
    <n v="3.96000003814697"/>
    <n v="0"/>
    <n v="19"/>
    <n v="67"/>
    <n v="221"/>
    <n v="738"/>
    <n v="1638"/>
    <x v="4"/>
    <s v="April"/>
    <n v="307"/>
    <n v="1045"/>
    <n v="12.3"/>
    <x v="0"/>
    <s v="Moderately Active"/>
    <s v="3977333714|2016-04-19"/>
    <b v="1"/>
  </r>
  <r>
    <n v="3977333714"/>
    <d v="2016-04-20T00:00:00"/>
    <n v="11658"/>
    <n v="7.8299999237060502"/>
    <n v="7.8299999237060502"/>
    <n v="0"/>
    <n v="0.20000000298023199"/>
    <n v="4.3499999046325701"/>
    <n v="3.2799999713897701"/>
    <n v="0"/>
    <n v="2"/>
    <n v="98"/>
    <n v="164"/>
    <n v="845"/>
    <n v="1554"/>
    <x v="5"/>
    <s v="April"/>
    <n v="264"/>
    <n v="1109"/>
    <n v="14.08"/>
    <x v="0"/>
    <s v="Lightly Active"/>
    <s v="3977333714|2016-04-20"/>
    <b v="1"/>
  </r>
  <r>
    <n v="3977333714"/>
    <d v="2016-04-21T00:00:00"/>
    <n v="6093"/>
    <n v="4.0799999237060502"/>
    <n v="4.0799999237060502"/>
    <n v="0"/>
    <n v="0"/>
    <n v="0"/>
    <n v="4.0599999427795401"/>
    <n v="0"/>
    <n v="0"/>
    <n v="0"/>
    <n v="242"/>
    <n v="712"/>
    <n v="1397"/>
    <x v="6"/>
    <s v="April"/>
    <n v="242"/>
    <n v="954"/>
    <n v="11.87"/>
    <x v="4"/>
    <s v="Sedentary"/>
    <s v="3977333714|2016-04-21"/>
    <b v="1"/>
  </r>
  <r>
    <n v="3977333714"/>
    <d v="2016-04-22T00:00:00"/>
    <n v="8911"/>
    <n v="5.96000003814697"/>
    <n v="5.96000003814697"/>
    <n v="0"/>
    <n v="2.3299999237060498"/>
    <n v="0.57999998331069902"/>
    <n v="3.0599999427795401"/>
    <n v="0"/>
    <n v="33"/>
    <n v="12"/>
    <n v="188"/>
    <n v="731"/>
    <n v="1481"/>
    <x v="0"/>
    <s v="April"/>
    <n v="233"/>
    <n v="964"/>
    <n v="12.18"/>
    <x v="3"/>
    <s v="Very Active"/>
    <s v="3977333714|2016-04-22"/>
    <b v="1"/>
  </r>
  <r>
    <n v="3977333714"/>
    <d v="2016-04-23T00:00:00"/>
    <n v="12058"/>
    <n v="8.0699996948242205"/>
    <n v="8.0699996948242205"/>
    <n v="0"/>
    <n v="0"/>
    <n v="4.2199997901916504"/>
    <n v="3.8499999046325701"/>
    <n v="0"/>
    <n v="0"/>
    <n v="92"/>
    <n v="252"/>
    <n v="724"/>
    <n v="1638"/>
    <x v="1"/>
    <s v="April"/>
    <n v="344"/>
    <n v="1068"/>
    <n v="12.07"/>
    <x v="0"/>
    <s v="Sedentary"/>
    <s v="3977333714|2016-04-23"/>
    <b v="1"/>
  </r>
  <r>
    <n v="3977333714"/>
    <d v="2016-04-24T00:00:00"/>
    <n v="14112"/>
    <n v="10"/>
    <n v="10"/>
    <n v="0"/>
    <n v="3.2699999809265101"/>
    <n v="4.5599999427795401"/>
    <n v="2.1700000762939502"/>
    <n v="0"/>
    <n v="30"/>
    <n v="95"/>
    <n v="129"/>
    <n v="660"/>
    <n v="1655"/>
    <x v="2"/>
    <s v="April"/>
    <n v="254"/>
    <n v="914"/>
    <n v="11"/>
    <x v="1"/>
    <s v="Very Active"/>
    <s v="3977333714|2016-04-24"/>
    <b v="1"/>
  </r>
  <r>
    <n v="3977333714"/>
    <d v="2016-04-25T00:00:00"/>
    <n v="11177"/>
    <n v="8.4799995422363299"/>
    <n v="8.4799995422363299"/>
    <n v="0"/>
    <n v="5.6199998855590803"/>
    <n v="0.43000000715255698"/>
    <n v="2.4100000858306898"/>
    <n v="0"/>
    <n v="50"/>
    <n v="9"/>
    <n v="133"/>
    <n v="781"/>
    <n v="1570"/>
    <x v="3"/>
    <s v="April"/>
    <n v="192"/>
    <n v="973"/>
    <n v="13.02"/>
    <x v="0"/>
    <s v="Very Active"/>
    <s v="3977333714|2016-04-25"/>
    <b v="1"/>
  </r>
  <r>
    <n v="3977333714"/>
    <d v="2016-04-26T00:00:00"/>
    <n v="11388"/>
    <n v="7.6199998855590803"/>
    <n v="7.6199998855590803"/>
    <n v="0"/>
    <n v="0.44999998807907099"/>
    <n v="4.2199997901916504"/>
    <n v="2.9500000476837198"/>
    <n v="0"/>
    <n v="7"/>
    <n v="95"/>
    <n v="170"/>
    <n v="797"/>
    <n v="1551"/>
    <x v="4"/>
    <s v="April"/>
    <n v="272"/>
    <n v="1069"/>
    <n v="13.28"/>
    <x v="0"/>
    <s v="Lightly Active"/>
    <s v="3977333714|2016-04-26"/>
    <b v="1"/>
  </r>
  <r>
    <n v="3977333714"/>
    <d v="2016-04-27T00:00:00"/>
    <n v="7193"/>
    <n v="5.03999996185303"/>
    <n v="5.03999996185303"/>
    <n v="0"/>
    <n v="0"/>
    <n v="0.41999998688697798"/>
    <n v="4.6199998855590803"/>
    <n v="0"/>
    <n v="0"/>
    <n v="10"/>
    <n v="176"/>
    <n v="714"/>
    <n v="1377"/>
    <x v="5"/>
    <s v="April"/>
    <n v="186"/>
    <n v="900"/>
    <n v="11.9"/>
    <x v="4"/>
    <s v="Sedentary"/>
    <s v="3977333714|2016-04-27"/>
    <b v="1"/>
  </r>
  <r>
    <n v="3977333714"/>
    <d v="2016-04-28T00:00:00"/>
    <n v="7114"/>
    <n v="4.8800001144409197"/>
    <n v="4.8800001144409197"/>
    <n v="0"/>
    <n v="1.37000000476837"/>
    <n v="0.28999999165535001"/>
    <n v="3.2200000286102299"/>
    <n v="0"/>
    <n v="15"/>
    <n v="8"/>
    <n v="190"/>
    <n v="804"/>
    <n v="1407"/>
    <x v="6"/>
    <s v="April"/>
    <n v="213"/>
    <n v="1017"/>
    <n v="13.4"/>
    <x v="4"/>
    <s v="Moderately Active"/>
    <s v="3977333714|2016-04-28"/>
    <b v="1"/>
  </r>
  <r>
    <n v="3977333714"/>
    <d v="2016-04-29T00:00:00"/>
    <n v="10645"/>
    <n v="7.75"/>
    <n v="7.75"/>
    <n v="0"/>
    <n v="3.7400000095367401"/>
    <n v="1.29999995231628"/>
    <n v="2.71000003814697"/>
    <n v="0"/>
    <n v="36"/>
    <n v="32"/>
    <n v="150"/>
    <n v="744"/>
    <n v="1545"/>
    <x v="0"/>
    <s v="April"/>
    <n v="218"/>
    <n v="962"/>
    <n v="12.4"/>
    <x v="0"/>
    <s v="Very Active"/>
    <s v="3977333714|2016-04-29"/>
    <b v="1"/>
  </r>
  <r>
    <n v="3977333714"/>
    <d v="2016-04-30T00:00:00"/>
    <n v="13238"/>
    <n v="9.1999998092651403"/>
    <n v="9.1999998092651403"/>
    <n v="0"/>
    <n v="3.6900000572204599"/>
    <n v="2.0999999046325701"/>
    <n v="3.4100000858306898"/>
    <n v="0"/>
    <n v="43"/>
    <n v="52"/>
    <n v="194"/>
    <n v="687"/>
    <n v="1650"/>
    <x v="1"/>
    <s v="April"/>
    <n v="289"/>
    <n v="976"/>
    <n v="11.45"/>
    <x v="1"/>
    <s v="Very Active"/>
    <s v="3977333714|2016-04-30"/>
    <b v="1"/>
  </r>
  <r>
    <n v="3977333714"/>
    <d v="2016-05-01T00:00:00"/>
    <n v="10414"/>
    <n v="7.0700001716613796"/>
    <n v="7.0700001716613796"/>
    <n v="0"/>
    <n v="2.6700000762939502"/>
    <n v="1.9800000190734901"/>
    <n v="2.4100000858306898"/>
    <n v="0"/>
    <n v="41"/>
    <n v="40"/>
    <n v="124"/>
    <n v="691"/>
    <n v="1501"/>
    <x v="2"/>
    <s v="May"/>
    <n v="205"/>
    <n v="896"/>
    <n v="11.52"/>
    <x v="0"/>
    <s v="Very Active"/>
    <s v="3977333714|2016-05-01"/>
    <b v="1"/>
  </r>
  <r>
    <n v="3977333714"/>
    <d v="2016-05-02T00:00:00"/>
    <n v="16520"/>
    <n v="11.050000190734901"/>
    <n v="11.050000190734901"/>
    <n v="0"/>
    <n v="1.53999996185303"/>
    <n v="6.4800000190734899"/>
    <n v="3.0199999809265101"/>
    <n v="0"/>
    <n v="24"/>
    <n v="143"/>
    <n v="176"/>
    <n v="713"/>
    <n v="1760"/>
    <x v="3"/>
    <s v="May"/>
    <n v="343"/>
    <n v="1056"/>
    <n v="11.88"/>
    <x v="1"/>
    <s v="Moderately Active"/>
    <s v="3977333714|2016-05-02"/>
    <b v="1"/>
  </r>
  <r>
    <n v="3977333714"/>
    <d v="2016-05-03T00:00:00"/>
    <n v="14335"/>
    <n v="9.5900001525878906"/>
    <n v="9.5900001525878906"/>
    <n v="0"/>
    <n v="3.3199999332428001"/>
    <n v="1.7400000095367401"/>
    <n v="4.5300002098083496"/>
    <n v="0"/>
    <n v="47"/>
    <n v="41"/>
    <n v="258"/>
    <n v="594"/>
    <n v="1710"/>
    <x v="4"/>
    <s v="May"/>
    <n v="346"/>
    <n v="940"/>
    <n v="9.9"/>
    <x v="1"/>
    <s v="Very Active"/>
    <s v="3977333714|2016-05-03"/>
    <b v="1"/>
  </r>
  <r>
    <n v="3977333714"/>
    <d v="2016-05-04T00:00:00"/>
    <n v="13559"/>
    <n v="9.4399995803833008"/>
    <n v="9.4399995803833008"/>
    <n v="0"/>
    <n v="1.8099999427795399"/>
    <n v="4.5799999237060502"/>
    <n v="2.8900001049041699"/>
    <n v="0"/>
    <n v="14"/>
    <n v="96"/>
    <n v="142"/>
    <n v="852"/>
    <n v="1628"/>
    <x v="5"/>
    <s v="May"/>
    <n v="252"/>
    <n v="1104"/>
    <n v="14.2"/>
    <x v="1"/>
    <s v="Lightly Active"/>
    <s v="3977333714|2016-05-04"/>
    <b v="1"/>
  </r>
  <r>
    <n v="3977333714"/>
    <d v="2016-05-05T00:00:00"/>
    <n v="12312"/>
    <n v="8.5799999237060494"/>
    <n v="8.5799999237060494"/>
    <n v="0"/>
    <n v="1.7599999904632599"/>
    <n v="4.1100001335143999"/>
    <n v="2.71000003814697"/>
    <n v="0"/>
    <n v="14"/>
    <n v="88"/>
    <n v="178"/>
    <n v="680"/>
    <n v="1618"/>
    <x v="6"/>
    <s v="May"/>
    <n v="280"/>
    <n v="960"/>
    <n v="11.33"/>
    <x v="0"/>
    <s v="Lightly Active"/>
    <s v="3977333714|2016-05-05"/>
    <b v="1"/>
  </r>
  <r>
    <n v="3977333714"/>
    <d v="2016-05-06T00:00:00"/>
    <n v="11677"/>
    <n v="8.2799997329711896"/>
    <n v="8.2799997329711896"/>
    <n v="0"/>
    <n v="3.1099998950958301"/>
    <n v="2.5099999904632599"/>
    <n v="2.6700000762939502"/>
    <n v="0"/>
    <n v="29"/>
    <n v="55"/>
    <n v="168"/>
    <n v="676"/>
    <n v="1590"/>
    <x v="0"/>
    <s v="May"/>
    <n v="252"/>
    <n v="928"/>
    <n v="11.27"/>
    <x v="0"/>
    <s v="Moderately Active"/>
    <s v="3977333714|2016-05-06"/>
    <b v="1"/>
  </r>
  <r>
    <n v="3977333714"/>
    <d v="2016-05-07T00:00:00"/>
    <n v="11550"/>
    <n v="7.7300000190734899"/>
    <n v="7.7300000190734899"/>
    <n v="0"/>
    <n v="0"/>
    <n v="4.1300001144409197"/>
    <n v="3.5899999141693102"/>
    <n v="0"/>
    <n v="0"/>
    <n v="86"/>
    <n v="208"/>
    <n v="703"/>
    <n v="1574"/>
    <x v="1"/>
    <s v="May"/>
    <n v="294"/>
    <n v="997"/>
    <n v="11.72"/>
    <x v="0"/>
    <s v="Sedentary"/>
    <s v="3977333714|2016-05-07"/>
    <b v="1"/>
  </r>
  <r>
    <n v="3977333714"/>
    <d v="2016-05-08T00:00:00"/>
    <n v="13585"/>
    <n v="9.0900001525878906"/>
    <n v="9.0900001525878906"/>
    <n v="0"/>
    <n v="0.68000000715255704"/>
    <n v="5.2399997711181596"/>
    <n v="3.1700000762939502"/>
    <n v="0"/>
    <n v="9"/>
    <n v="116"/>
    <n v="171"/>
    <n v="688"/>
    <n v="1633"/>
    <x v="2"/>
    <s v="May"/>
    <n v="296"/>
    <n v="984"/>
    <n v="11.47"/>
    <x v="1"/>
    <s v="Lightly Active"/>
    <s v="3977333714|2016-05-08"/>
    <b v="1"/>
  </r>
  <r>
    <n v="3977333714"/>
    <d v="2016-05-09T00:00:00"/>
    <n v="14687"/>
    <n v="10.079999923706101"/>
    <n v="10.079999923706101"/>
    <n v="0"/>
    <n v="0.769999980926514"/>
    <n v="5.5999999046325701"/>
    <n v="3.5499999523162802"/>
    <n v="0"/>
    <n v="8"/>
    <n v="122"/>
    <n v="151"/>
    <n v="1159"/>
    <n v="1667"/>
    <x v="3"/>
    <s v="May"/>
    <n v="281"/>
    <n v="1440"/>
    <n v="19.32"/>
    <x v="1"/>
    <s v="Lightly Active"/>
    <s v="3977333714|2016-05-09"/>
    <b v="0"/>
  </r>
  <r>
    <n v="3977333714"/>
    <d v="2016-05-10T00:00:00"/>
    <n v="13072"/>
    <n v="8.7799997329711896"/>
    <n v="8.7799997329711896"/>
    <n v="0"/>
    <n v="7.0000000298023196E-2"/>
    <n v="5.4000000953674299"/>
    <n v="3.3099999427795401"/>
    <n v="0"/>
    <n v="1"/>
    <n v="115"/>
    <n v="196"/>
    <n v="676"/>
    <n v="1630"/>
    <x v="4"/>
    <s v="May"/>
    <n v="312"/>
    <n v="988"/>
    <n v="11.27"/>
    <x v="1"/>
    <s v="Lightly Active"/>
    <s v="3977333714|2016-05-10"/>
    <b v="1"/>
  </r>
  <r>
    <n v="3977333714"/>
    <d v="2016-05-11T00:00:00"/>
    <n v="746"/>
    <n v="0.5"/>
    <n v="0.5"/>
    <n v="0"/>
    <n v="0.37000000476837203"/>
    <n v="0"/>
    <n v="0.129999995231628"/>
    <n v="0"/>
    <n v="4"/>
    <n v="0"/>
    <n v="9"/>
    <n v="13"/>
    <n v="52"/>
    <x v="5"/>
    <s v="May"/>
    <n v="13"/>
    <n v="26"/>
    <n v="0.22"/>
    <x v="2"/>
    <s v="Lightly Active"/>
    <s v="3977333714|2016-05-11"/>
    <b v="0"/>
  </r>
  <r>
    <n v="4020332650"/>
    <d v="2016-04-13T00:00:00"/>
    <n v="0"/>
    <n v="0"/>
    <n v="0"/>
    <n v="0"/>
    <n v="0"/>
    <n v="0"/>
    <n v="0"/>
    <n v="0"/>
    <n v="0"/>
    <n v="0"/>
    <n v="0"/>
    <n v="1440"/>
    <n v="1981"/>
    <x v="5"/>
    <s v="April"/>
    <n v="0"/>
    <n v="1440"/>
    <n v="24"/>
    <x v="2"/>
    <s v="Sedentary"/>
    <s v="4020332650|2016-04-13"/>
    <b v="0"/>
  </r>
  <r>
    <n v="4020332650"/>
    <d v="2016-04-14T00:00:00"/>
    <n v="108"/>
    <n v="7.9999998211860698E-2"/>
    <n v="7.9999998211860698E-2"/>
    <n v="0"/>
    <n v="0"/>
    <n v="0"/>
    <n v="2.9999999329447701E-2"/>
    <n v="0"/>
    <n v="0"/>
    <n v="0"/>
    <n v="3"/>
    <n v="1437"/>
    <n v="2011"/>
    <x v="6"/>
    <s v="April"/>
    <n v="3"/>
    <n v="1440"/>
    <n v="23.95"/>
    <x v="2"/>
    <s v="Sedentary"/>
    <s v="4020332650|2016-04-14"/>
    <b v="0"/>
  </r>
  <r>
    <n v="4020332650"/>
    <d v="2016-04-15T00:00:00"/>
    <n v="1882"/>
    <n v="1.3500000238418599"/>
    <n v="1.3500000238418599"/>
    <n v="0"/>
    <n v="0.20999999344348899"/>
    <n v="0.36000001430511502"/>
    <n v="0.769999980926514"/>
    <n v="0"/>
    <n v="36"/>
    <n v="18"/>
    <n v="87"/>
    <n v="1299"/>
    <n v="2951"/>
    <x v="0"/>
    <s v="April"/>
    <n v="141"/>
    <n v="1440"/>
    <n v="21.65"/>
    <x v="2"/>
    <s v="Very Active"/>
    <s v="4020332650|2016-04-15"/>
    <b v="0"/>
  </r>
  <r>
    <n v="4020332650"/>
    <d v="2016-04-16T00:00:00"/>
    <n v="1982"/>
    <n v="1.41999995708466"/>
    <n v="1.41999995708466"/>
    <n v="0"/>
    <n v="0.44999998807907099"/>
    <n v="0.37000000476837203"/>
    <n v="0.58999997377395597"/>
    <n v="0"/>
    <n v="65"/>
    <n v="21"/>
    <n v="55"/>
    <n v="1222"/>
    <n v="3051"/>
    <x v="1"/>
    <s v="April"/>
    <n v="141"/>
    <n v="1363"/>
    <n v="20.37"/>
    <x v="2"/>
    <s v="Very Active"/>
    <s v="4020332650|2016-04-16"/>
    <b v="1"/>
  </r>
  <r>
    <n v="4020332650"/>
    <d v="2016-04-17T00:00:00"/>
    <n v="16"/>
    <n v="9.9999997764825804E-3"/>
    <n v="9.9999997764825804E-3"/>
    <n v="0"/>
    <n v="0"/>
    <n v="0"/>
    <n v="9.9999997764825804E-3"/>
    <n v="0"/>
    <n v="0"/>
    <n v="0"/>
    <n v="2"/>
    <n v="1438"/>
    <n v="1990"/>
    <x v="2"/>
    <s v="April"/>
    <n v="2"/>
    <n v="1440"/>
    <n v="23.97"/>
    <x v="2"/>
    <s v="Sedentary"/>
    <s v="4020332650|2016-04-17"/>
    <b v="0"/>
  </r>
  <r>
    <n v="4020332650"/>
    <d v="2016-04-18T00:00:00"/>
    <n v="62"/>
    <n v="3.9999999105930301E-2"/>
    <n v="3.9999999105930301E-2"/>
    <n v="0"/>
    <n v="0"/>
    <n v="0"/>
    <n v="3.9999999105930301E-2"/>
    <n v="0"/>
    <n v="0"/>
    <n v="0"/>
    <n v="2"/>
    <n v="1438"/>
    <n v="1995"/>
    <x v="3"/>
    <s v="April"/>
    <n v="2"/>
    <n v="1440"/>
    <n v="23.97"/>
    <x v="2"/>
    <s v="Sedentary"/>
    <s v="4020332650|2016-04-18"/>
    <b v="0"/>
  </r>
  <r>
    <n v="4020332650"/>
    <d v="2016-04-19T00:00:00"/>
    <n v="0"/>
    <n v="0"/>
    <n v="0"/>
    <n v="0"/>
    <n v="0"/>
    <n v="0"/>
    <n v="0"/>
    <n v="0"/>
    <n v="0"/>
    <n v="0"/>
    <n v="0"/>
    <n v="1440"/>
    <n v="1980"/>
    <x v="4"/>
    <s v="April"/>
    <n v="0"/>
    <n v="1440"/>
    <n v="24"/>
    <x v="2"/>
    <s v="Sedentary"/>
    <s v="4020332650|2016-04-19"/>
    <b v="0"/>
  </r>
  <r>
    <n v="4020332650"/>
    <d v="2016-04-20T00:00:00"/>
    <n v="0"/>
    <n v="0"/>
    <n v="0"/>
    <n v="0"/>
    <n v="0"/>
    <n v="0"/>
    <n v="0"/>
    <n v="0"/>
    <n v="0"/>
    <n v="0"/>
    <n v="0"/>
    <n v="1440"/>
    <n v="1980"/>
    <x v="5"/>
    <s v="April"/>
    <n v="0"/>
    <n v="1440"/>
    <n v="24"/>
    <x v="2"/>
    <s v="Sedentary"/>
    <s v="4020332650|2016-04-20"/>
    <b v="0"/>
  </r>
  <r>
    <n v="4020332650"/>
    <d v="2016-04-21T00:00:00"/>
    <n v="0"/>
    <n v="0"/>
    <n v="0"/>
    <n v="0"/>
    <n v="0"/>
    <n v="0"/>
    <n v="0"/>
    <n v="0"/>
    <n v="0"/>
    <n v="0"/>
    <n v="0"/>
    <n v="1440"/>
    <n v="1980"/>
    <x v="6"/>
    <s v="April"/>
    <n v="0"/>
    <n v="1440"/>
    <n v="24"/>
    <x v="2"/>
    <s v="Sedentary"/>
    <s v="4020332650|2016-04-21"/>
    <b v="0"/>
  </r>
  <r>
    <n v="4020332650"/>
    <d v="2016-04-22T00:00:00"/>
    <n v="0"/>
    <n v="0"/>
    <n v="0"/>
    <n v="0"/>
    <n v="0"/>
    <n v="0"/>
    <n v="0"/>
    <n v="0"/>
    <n v="0"/>
    <n v="0"/>
    <n v="0"/>
    <n v="1440"/>
    <n v="1980"/>
    <x v="0"/>
    <s v="April"/>
    <n v="0"/>
    <n v="1440"/>
    <n v="24"/>
    <x v="2"/>
    <s v="Sedentary"/>
    <s v="4020332650|2016-04-22"/>
    <b v="0"/>
  </r>
  <r>
    <n v="4020332650"/>
    <d v="2016-04-23T00:00:00"/>
    <n v="0"/>
    <n v="0"/>
    <n v="0"/>
    <n v="0"/>
    <n v="0"/>
    <n v="0"/>
    <n v="0"/>
    <n v="0"/>
    <n v="0"/>
    <n v="0"/>
    <n v="0"/>
    <n v="1440"/>
    <n v="1980"/>
    <x v="1"/>
    <s v="April"/>
    <n v="0"/>
    <n v="1440"/>
    <n v="24"/>
    <x v="2"/>
    <s v="Sedentary"/>
    <s v="4020332650|2016-04-23"/>
    <b v="0"/>
  </r>
  <r>
    <n v="4020332650"/>
    <d v="2016-04-24T00:00:00"/>
    <n v="0"/>
    <n v="0"/>
    <n v="0"/>
    <n v="0"/>
    <n v="0"/>
    <n v="0"/>
    <n v="0"/>
    <n v="0"/>
    <n v="0"/>
    <n v="0"/>
    <n v="0"/>
    <n v="1440"/>
    <n v="1980"/>
    <x v="2"/>
    <s v="April"/>
    <n v="0"/>
    <n v="1440"/>
    <n v="24"/>
    <x v="2"/>
    <s v="Sedentary"/>
    <s v="4020332650|2016-04-24"/>
    <b v="0"/>
  </r>
  <r>
    <n v="4020332650"/>
    <d v="2016-04-25T00:00:00"/>
    <n v="0"/>
    <n v="0"/>
    <n v="0"/>
    <n v="0"/>
    <n v="0"/>
    <n v="0"/>
    <n v="0"/>
    <n v="0"/>
    <n v="0"/>
    <n v="0"/>
    <n v="0"/>
    <n v="1440"/>
    <n v="1980"/>
    <x v="3"/>
    <s v="April"/>
    <n v="0"/>
    <n v="1440"/>
    <n v="24"/>
    <x v="2"/>
    <s v="Sedentary"/>
    <s v="4020332650|2016-04-25"/>
    <b v="0"/>
  </r>
  <r>
    <n v="4020332650"/>
    <d v="2016-04-26T00:00:00"/>
    <n v="0"/>
    <n v="0"/>
    <n v="0"/>
    <n v="0"/>
    <n v="0"/>
    <n v="0"/>
    <n v="0"/>
    <n v="0"/>
    <n v="0"/>
    <n v="0"/>
    <n v="0"/>
    <n v="1440"/>
    <n v="1980"/>
    <x v="4"/>
    <s v="April"/>
    <n v="0"/>
    <n v="1440"/>
    <n v="24"/>
    <x v="2"/>
    <s v="Sedentary"/>
    <s v="4020332650|2016-04-26"/>
    <b v="0"/>
  </r>
  <r>
    <n v="4020332650"/>
    <d v="2016-04-27T00:00:00"/>
    <n v="0"/>
    <n v="0"/>
    <n v="0"/>
    <n v="0"/>
    <n v="0"/>
    <n v="0"/>
    <n v="0"/>
    <n v="0"/>
    <n v="0"/>
    <n v="0"/>
    <n v="0"/>
    <n v="1440"/>
    <n v="1980"/>
    <x v="5"/>
    <s v="April"/>
    <n v="0"/>
    <n v="1440"/>
    <n v="24"/>
    <x v="2"/>
    <s v="Sedentary"/>
    <s v="4020332650|2016-04-27"/>
    <b v="0"/>
  </r>
  <r>
    <n v="4020332650"/>
    <d v="2016-04-28T00:00:00"/>
    <n v="0"/>
    <n v="0"/>
    <n v="0"/>
    <n v="0"/>
    <n v="0"/>
    <n v="0"/>
    <n v="0"/>
    <n v="0"/>
    <n v="0"/>
    <n v="0"/>
    <n v="0"/>
    <n v="1440"/>
    <n v="1980"/>
    <x v="6"/>
    <s v="April"/>
    <n v="0"/>
    <n v="1440"/>
    <n v="24"/>
    <x v="2"/>
    <s v="Sedentary"/>
    <s v="4020332650|2016-04-28"/>
    <b v="0"/>
  </r>
  <r>
    <n v="4020332650"/>
    <d v="2016-04-29T00:00:00"/>
    <n v="0"/>
    <n v="0"/>
    <n v="0"/>
    <n v="0"/>
    <n v="0"/>
    <n v="0"/>
    <n v="0"/>
    <n v="0"/>
    <n v="0"/>
    <n v="0"/>
    <n v="0"/>
    <n v="1440"/>
    <n v="1980"/>
    <x v="0"/>
    <s v="April"/>
    <n v="0"/>
    <n v="1440"/>
    <n v="24"/>
    <x v="2"/>
    <s v="Sedentary"/>
    <s v="4020332650|2016-04-29"/>
    <b v="0"/>
  </r>
  <r>
    <n v="4020332650"/>
    <d v="2016-04-30T00:00:00"/>
    <n v="0"/>
    <n v="0"/>
    <n v="0"/>
    <n v="0"/>
    <n v="0"/>
    <n v="0"/>
    <n v="0"/>
    <n v="0"/>
    <n v="0"/>
    <n v="0"/>
    <n v="0"/>
    <n v="1440"/>
    <n v="1980"/>
    <x v="1"/>
    <s v="April"/>
    <n v="0"/>
    <n v="1440"/>
    <n v="24"/>
    <x v="2"/>
    <s v="Sedentary"/>
    <s v="4020332650|2016-04-30"/>
    <b v="0"/>
  </r>
  <r>
    <n v="4020332650"/>
    <d v="2016-05-01T00:00:00"/>
    <n v="0"/>
    <n v="0"/>
    <n v="0"/>
    <n v="0"/>
    <n v="0"/>
    <n v="0"/>
    <n v="0"/>
    <n v="0"/>
    <n v="0"/>
    <n v="0"/>
    <n v="0"/>
    <n v="1440"/>
    <n v="1980"/>
    <x v="2"/>
    <s v="May"/>
    <n v="0"/>
    <n v="1440"/>
    <n v="24"/>
    <x v="2"/>
    <s v="Sedentary"/>
    <s v="4020332650|2016-05-01"/>
    <b v="0"/>
  </r>
  <r>
    <n v="4020332650"/>
    <d v="2016-05-02T00:00:00"/>
    <n v="475"/>
    <n v="0.34000000357627902"/>
    <n v="0.34000000357627902"/>
    <n v="0"/>
    <n v="0"/>
    <n v="3.9999999105930301E-2"/>
    <n v="0.28999999165535001"/>
    <n v="0"/>
    <n v="0"/>
    <n v="11"/>
    <n v="31"/>
    <n v="1350"/>
    <n v="2207"/>
    <x v="3"/>
    <s v="May"/>
    <n v="42"/>
    <n v="1392"/>
    <n v="22.5"/>
    <x v="2"/>
    <s v="Sedentary"/>
    <s v="4020332650|2016-05-02"/>
    <b v="0"/>
  </r>
  <r>
    <n v="4020332650"/>
    <d v="2016-05-03T00:00:00"/>
    <n v="4496"/>
    <n v="3.2200000286102299"/>
    <n v="3.2200000286102299"/>
    <n v="0"/>
    <n v="0"/>
    <n v="0"/>
    <n v="3.1500000953674299"/>
    <n v="5.0000000745058101E-2"/>
    <n v="0"/>
    <n v="0"/>
    <n v="174"/>
    <n v="950"/>
    <n v="2828"/>
    <x v="4"/>
    <s v="May"/>
    <n v="174"/>
    <n v="1124"/>
    <n v="15.83"/>
    <x v="2"/>
    <s v="Sedentary"/>
    <s v="4020332650|2016-05-03"/>
    <b v="1"/>
  </r>
  <r>
    <n v="4020332650"/>
    <d v="2016-05-04T00:00:00"/>
    <n v="10252"/>
    <n v="7.3499999046325701"/>
    <n v="7.3499999046325701"/>
    <n v="0"/>
    <n v="0.67000001668930098"/>
    <n v="1.03999996185303"/>
    <n v="5.5799999237060502"/>
    <n v="0"/>
    <n v="13"/>
    <n v="46"/>
    <n v="346"/>
    <n v="531"/>
    <n v="3879"/>
    <x v="5"/>
    <s v="May"/>
    <n v="405"/>
    <n v="936"/>
    <n v="8.85"/>
    <x v="0"/>
    <s v="Lightly Active"/>
    <s v="4020332650|2016-05-04"/>
    <b v="1"/>
  </r>
  <r>
    <n v="4020332650"/>
    <d v="2016-05-05T00:00:00"/>
    <n v="11728"/>
    <n v="8.4300003051757795"/>
    <n v="8.4300003051757795"/>
    <n v="0"/>
    <n v="2.6199998855590798"/>
    <n v="1.6799999475479099"/>
    <n v="4.03999996185303"/>
    <n v="7.0000000298023196E-2"/>
    <n v="38"/>
    <n v="42"/>
    <n v="196"/>
    <n v="916"/>
    <n v="3429"/>
    <x v="6"/>
    <s v="May"/>
    <n v="276"/>
    <n v="1192"/>
    <n v="15.27"/>
    <x v="0"/>
    <s v="Very Active"/>
    <s v="4020332650|2016-05-05"/>
    <b v="1"/>
  </r>
  <r>
    <n v="4020332650"/>
    <d v="2016-05-06T00:00:00"/>
    <n v="4369"/>
    <n v="3.1300001144409202"/>
    <n v="3.1300001144409202"/>
    <n v="0"/>
    <n v="0"/>
    <n v="0"/>
    <n v="3.0999999046325701"/>
    <n v="9.9999997764825804E-3"/>
    <n v="0"/>
    <n v="0"/>
    <n v="177"/>
    <n v="855"/>
    <n v="2704"/>
    <x v="0"/>
    <s v="May"/>
    <n v="177"/>
    <n v="1032"/>
    <n v="14.25"/>
    <x v="2"/>
    <s v="Sedentary"/>
    <s v="4020332650|2016-05-06"/>
    <b v="1"/>
  </r>
  <r>
    <n v="4020332650"/>
    <d v="2016-05-07T00:00:00"/>
    <n v="6132"/>
    <n v="4.4000000953674299"/>
    <n v="4.4000000953674299"/>
    <n v="0"/>
    <n v="0"/>
    <n v="0"/>
    <n v="3.5799999237060498"/>
    <n v="0"/>
    <n v="0"/>
    <n v="0"/>
    <n v="184"/>
    <n v="1256"/>
    <n v="2975"/>
    <x v="1"/>
    <s v="May"/>
    <n v="184"/>
    <n v="1440"/>
    <n v="20.93"/>
    <x v="4"/>
    <s v="Sedentary"/>
    <s v="4020332650|2016-05-07"/>
    <b v="0"/>
  </r>
  <r>
    <n v="4020332650"/>
    <d v="2016-05-08T00:00:00"/>
    <n v="5862"/>
    <n v="4.1999998092651403"/>
    <n v="4.1999998092651403"/>
    <n v="0"/>
    <n v="0"/>
    <n v="0"/>
    <n v="4.1500000953674299"/>
    <n v="0"/>
    <n v="0"/>
    <n v="0"/>
    <n v="263"/>
    <n v="775"/>
    <n v="3089"/>
    <x v="2"/>
    <s v="May"/>
    <n v="263"/>
    <n v="1038"/>
    <n v="12.92"/>
    <x v="4"/>
    <s v="Sedentary"/>
    <s v="4020332650|2016-05-08"/>
    <b v="1"/>
  </r>
  <r>
    <n v="4020332650"/>
    <d v="2016-05-09T00:00:00"/>
    <n v="4556"/>
    <n v="3.2699999809265101"/>
    <n v="3.2699999809265101"/>
    <n v="0"/>
    <n v="0.20000000298023199"/>
    <n v="0.119999997317791"/>
    <n v="2.9400000572204599"/>
    <n v="0"/>
    <n v="3"/>
    <n v="5"/>
    <n v="173"/>
    <n v="1225"/>
    <n v="2785"/>
    <x v="3"/>
    <s v="May"/>
    <n v="181"/>
    <n v="1406"/>
    <n v="20.420000000000002"/>
    <x v="2"/>
    <s v="Lightly Active"/>
    <s v="4020332650|2016-05-09"/>
    <b v="0"/>
  </r>
  <r>
    <n v="4020332650"/>
    <d v="2016-05-10T00:00:00"/>
    <n v="5546"/>
    <n v="3.9800000190734899"/>
    <n v="3.9800000190734899"/>
    <n v="0"/>
    <n v="0"/>
    <n v="0"/>
    <n v="3.8699998855590798"/>
    <n v="3.9999999105930301E-2"/>
    <n v="0"/>
    <n v="0"/>
    <n v="206"/>
    <n v="774"/>
    <n v="2926"/>
    <x v="4"/>
    <s v="May"/>
    <n v="206"/>
    <n v="980"/>
    <n v="12.9"/>
    <x v="4"/>
    <s v="Sedentary"/>
    <s v="4020332650|2016-05-10"/>
    <b v="1"/>
  </r>
  <r>
    <n v="4020332650"/>
    <d v="2016-05-11T00:00:00"/>
    <n v="3689"/>
    <n v="2.6500000953674299"/>
    <n v="2.6500000953674299"/>
    <n v="0"/>
    <n v="0.109999999403954"/>
    <n v="0.17000000178813901"/>
    <n v="2.3299999237060498"/>
    <n v="0"/>
    <n v="2"/>
    <n v="8"/>
    <n v="134"/>
    <n v="1296"/>
    <n v="2645"/>
    <x v="5"/>
    <s v="May"/>
    <n v="144"/>
    <n v="1440"/>
    <n v="21.6"/>
    <x v="2"/>
    <s v="Lightly Active"/>
    <s v="4020332650|2016-05-11"/>
    <b v="0"/>
  </r>
  <r>
    <n v="4020332650"/>
    <d v="2016-05-12T00:00:00"/>
    <n v="590"/>
    <n v="0.41999998688697798"/>
    <n v="0.41999998688697798"/>
    <n v="0"/>
    <n v="0"/>
    <n v="0"/>
    <n v="0.40999999642372098"/>
    <n v="0"/>
    <n v="0"/>
    <n v="0"/>
    <n v="21"/>
    <n v="721"/>
    <n v="1120"/>
    <x v="6"/>
    <s v="May"/>
    <n v="21"/>
    <n v="742"/>
    <n v="12.02"/>
    <x v="2"/>
    <s v="Sedentary"/>
    <s v="4020332650|2016-05-12"/>
    <b v="0"/>
  </r>
  <r>
    <n v="4057192912"/>
    <d v="2016-04-13T00:00:00"/>
    <n v="5974"/>
    <n v="4.4699997901916504"/>
    <n v="4.4699997901916504"/>
    <n v="0"/>
    <n v="0"/>
    <n v="0"/>
    <n v="4.3699998855590803"/>
    <n v="0"/>
    <n v="0"/>
    <n v="0"/>
    <n v="160"/>
    <n v="1280"/>
    <n v="2306"/>
    <x v="5"/>
    <s v="April"/>
    <n v="160"/>
    <n v="1440"/>
    <n v="21.33"/>
    <x v="4"/>
    <s v="Sedentary"/>
    <s v="4057192912|2016-04-13"/>
    <b v="0"/>
  </r>
  <r>
    <n v="4057192912"/>
    <d v="2016-04-14T00:00:00"/>
    <n v="0"/>
    <n v="0"/>
    <n v="0"/>
    <n v="0"/>
    <n v="0"/>
    <n v="0"/>
    <n v="0"/>
    <n v="0"/>
    <n v="0"/>
    <n v="0"/>
    <n v="0"/>
    <n v="1440"/>
    <n v="1776"/>
    <x v="6"/>
    <s v="April"/>
    <n v="0"/>
    <n v="1440"/>
    <n v="24"/>
    <x v="2"/>
    <s v="Sedentary"/>
    <s v="4057192912|2016-04-14"/>
    <b v="0"/>
  </r>
  <r>
    <n v="4057192912"/>
    <d v="2016-04-15T00:00:00"/>
    <n v="3984"/>
    <n v="2.9500000476837198"/>
    <n v="2.9500000476837198"/>
    <n v="0"/>
    <n v="0.20999999344348899"/>
    <n v="0.259999990463257"/>
    <n v="2.4400000572204599"/>
    <n v="0"/>
    <n v="3"/>
    <n v="6"/>
    <n v="88"/>
    <n v="873"/>
    <n v="1527"/>
    <x v="0"/>
    <s v="April"/>
    <n v="97"/>
    <n v="970"/>
    <n v="14.55"/>
    <x v="2"/>
    <s v="Lightly Active"/>
    <s v="4057192912|2016-04-15"/>
    <b v="0"/>
  </r>
  <r>
    <n v="4319703577"/>
    <d v="2016-04-12T00:00:00"/>
    <n v="7753"/>
    <n v="5.1999998092651403"/>
    <n v="5.1999998092651403"/>
    <n v="0"/>
    <n v="0"/>
    <n v="0"/>
    <n v="0"/>
    <n v="0"/>
    <n v="0"/>
    <n v="0"/>
    <n v="0"/>
    <n v="1440"/>
    <n v="2115"/>
    <x v="4"/>
    <s v="April"/>
    <n v="0"/>
    <n v="1440"/>
    <n v="24"/>
    <x v="3"/>
    <s v="Sedentary"/>
    <s v="4319703577|2016-04-12"/>
    <b v="0"/>
  </r>
  <r>
    <n v="4319703577"/>
    <d v="2016-04-13T00:00:00"/>
    <n v="8204"/>
    <n v="5.5"/>
    <n v="5.5"/>
    <n v="0"/>
    <n v="0.52999997138977095"/>
    <n v="0.58999997377395597"/>
    <n v="1.3099999427795399"/>
    <n v="0"/>
    <n v="8"/>
    <n v="15"/>
    <n v="96"/>
    <n v="1234"/>
    <n v="2135"/>
    <x v="5"/>
    <s v="April"/>
    <n v="119"/>
    <n v="1353"/>
    <n v="20.57"/>
    <x v="3"/>
    <s v="Lightly Active"/>
    <s v="4319703577|2016-04-13"/>
    <b v="0"/>
  </r>
  <r>
    <n v="4319703577"/>
    <d v="2016-04-14T00:00:00"/>
    <n v="10210"/>
    <n v="6.8800001144409197"/>
    <n v="6.8800001144409197"/>
    <n v="0"/>
    <n v="0.109999999403954"/>
    <n v="0.33000001311302202"/>
    <n v="6.4400000572204599"/>
    <n v="0"/>
    <n v="1"/>
    <n v="9"/>
    <n v="339"/>
    <n v="589"/>
    <n v="2302"/>
    <x v="6"/>
    <s v="April"/>
    <n v="349"/>
    <n v="938"/>
    <n v="9.82"/>
    <x v="0"/>
    <s v="Lightly Active"/>
    <s v="4319703577|2016-04-14"/>
    <b v="1"/>
  </r>
  <r>
    <n v="4319703577"/>
    <d v="2016-04-15T00:00:00"/>
    <n v="5664"/>
    <n v="3.7999999523162802"/>
    <n v="3.7999999523162802"/>
    <n v="0"/>
    <n v="0"/>
    <n v="0"/>
    <n v="3.7999999523162802"/>
    <n v="0"/>
    <n v="0"/>
    <n v="0"/>
    <n v="228"/>
    <n v="752"/>
    <n v="1985"/>
    <x v="0"/>
    <s v="April"/>
    <n v="228"/>
    <n v="980"/>
    <n v="12.53"/>
    <x v="4"/>
    <s v="Sedentary"/>
    <s v="4319703577|2016-04-15"/>
    <b v="1"/>
  </r>
  <r>
    <n v="4319703577"/>
    <d v="2016-04-16T00:00:00"/>
    <n v="4744"/>
    <n v="3.1800000667571999"/>
    <n v="3.1800000667571999"/>
    <n v="0"/>
    <n v="0"/>
    <n v="0"/>
    <n v="3.1800000667571999"/>
    <n v="0"/>
    <n v="0"/>
    <n v="0"/>
    <n v="194"/>
    <n v="724"/>
    <n v="1884"/>
    <x v="1"/>
    <s v="April"/>
    <n v="194"/>
    <n v="918"/>
    <n v="12.07"/>
    <x v="2"/>
    <s v="Sedentary"/>
    <s v="4319703577|2016-04-16"/>
    <b v="1"/>
  </r>
  <r>
    <n v="4319703577"/>
    <d v="2016-04-17T00:00:00"/>
    <n v="29"/>
    <n v="1.9999999552965199E-2"/>
    <n v="1.9999999552965199E-2"/>
    <n v="0"/>
    <n v="0"/>
    <n v="0"/>
    <n v="1.9999999552965199E-2"/>
    <n v="0"/>
    <n v="0"/>
    <n v="0"/>
    <n v="3"/>
    <n v="1363"/>
    <n v="1464"/>
    <x v="2"/>
    <s v="April"/>
    <n v="3"/>
    <n v="1366"/>
    <n v="22.72"/>
    <x v="2"/>
    <s v="Sedentary"/>
    <s v="4319703577|2016-04-17"/>
    <b v="0"/>
  </r>
  <r>
    <n v="4319703577"/>
    <d v="2016-04-18T00:00:00"/>
    <n v="2276"/>
    <n v="1.54999995231628"/>
    <n v="1.54999995231628"/>
    <n v="0"/>
    <n v="7.0000000298023196E-2"/>
    <n v="0.33000001311302202"/>
    <n v="1.12000000476837"/>
    <n v="0"/>
    <n v="1"/>
    <n v="9"/>
    <n v="58"/>
    <n v="824"/>
    <n v="1632"/>
    <x v="3"/>
    <s v="April"/>
    <n v="68"/>
    <n v="892"/>
    <n v="13.73"/>
    <x v="2"/>
    <s v="Lightly Active"/>
    <s v="4319703577|2016-04-18"/>
    <b v="1"/>
  </r>
  <r>
    <n v="4319703577"/>
    <d v="2016-04-19T00:00:00"/>
    <n v="8925"/>
    <n v="5.9899997711181596"/>
    <n v="5.9899997711181596"/>
    <n v="0"/>
    <n v="0"/>
    <n v="0"/>
    <n v="5.9899997711181596"/>
    <n v="0"/>
    <n v="0"/>
    <n v="0"/>
    <n v="311"/>
    <n v="604"/>
    <n v="2200"/>
    <x v="4"/>
    <s v="April"/>
    <n v="311"/>
    <n v="915"/>
    <n v="10.07"/>
    <x v="3"/>
    <s v="Sedentary"/>
    <s v="4319703577|2016-04-19"/>
    <b v="1"/>
  </r>
  <r>
    <n v="4319703577"/>
    <d v="2016-04-20T00:00:00"/>
    <n v="8954"/>
    <n v="6.0100002288818404"/>
    <n v="6.0100002288818404"/>
    <n v="0"/>
    <n v="0"/>
    <n v="0.68000000715255704"/>
    <n v="5.3099999427795401"/>
    <n v="0"/>
    <n v="0"/>
    <n v="18"/>
    <n v="306"/>
    <n v="671"/>
    <n v="2220"/>
    <x v="5"/>
    <s v="April"/>
    <n v="324"/>
    <n v="995"/>
    <n v="11.18"/>
    <x v="3"/>
    <s v="Sedentary"/>
    <s v="4319703577|2016-04-20"/>
    <b v="1"/>
  </r>
  <r>
    <n v="4319703577"/>
    <d v="2016-04-21T00:00:00"/>
    <n v="3702"/>
    <n v="2.4800000190734899"/>
    <n v="2.4800000190734899"/>
    <n v="0"/>
    <n v="0"/>
    <n v="0"/>
    <n v="0.34999999403953602"/>
    <n v="0"/>
    <n v="0"/>
    <n v="0"/>
    <n v="34"/>
    <n v="1265"/>
    <n v="1792"/>
    <x v="6"/>
    <s v="April"/>
    <n v="34"/>
    <n v="1299"/>
    <n v="21.08"/>
    <x v="2"/>
    <s v="Sedentary"/>
    <s v="4319703577|2016-04-21"/>
    <b v="1"/>
  </r>
  <r>
    <n v="4319703577"/>
    <d v="2016-04-22T00:00:00"/>
    <n v="4500"/>
    <n v="3.0199999809265101"/>
    <n v="3.0199999809265101"/>
    <n v="0"/>
    <n v="5.9999998658895499E-2"/>
    <n v="0.81000000238418601"/>
    <n v="2.1500000953674299"/>
    <n v="0"/>
    <n v="1"/>
    <n v="19"/>
    <n v="176"/>
    <n v="709"/>
    <n v="1886"/>
    <x v="0"/>
    <s v="April"/>
    <n v="196"/>
    <n v="905"/>
    <n v="11.82"/>
    <x v="2"/>
    <s v="Lightly Active"/>
    <s v="4319703577|2016-04-22"/>
    <b v="1"/>
  </r>
  <r>
    <n v="4319703577"/>
    <d v="2016-04-23T00:00:00"/>
    <n v="4935"/>
    <n v="3.3099999427795401"/>
    <n v="3.3099999427795401"/>
    <n v="0"/>
    <n v="0"/>
    <n v="0"/>
    <n v="3.3099999427795401"/>
    <n v="0"/>
    <n v="0"/>
    <n v="0"/>
    <n v="233"/>
    <n v="546"/>
    <n v="1945"/>
    <x v="1"/>
    <s v="April"/>
    <n v="233"/>
    <n v="779"/>
    <n v="9.1"/>
    <x v="2"/>
    <s v="Sedentary"/>
    <s v="4319703577|2016-04-23"/>
    <b v="1"/>
  </r>
  <r>
    <n v="4319703577"/>
    <d v="2016-04-24T00:00:00"/>
    <n v="4081"/>
    <n v="2.7400000095367401"/>
    <n v="2.7400000095367401"/>
    <n v="0"/>
    <n v="5.9999998658895499E-2"/>
    <n v="0.20000000298023199"/>
    <n v="2.4700000286102299"/>
    <n v="0"/>
    <n v="1"/>
    <n v="5"/>
    <n v="191"/>
    <n v="692"/>
    <n v="1880"/>
    <x v="2"/>
    <s v="April"/>
    <n v="197"/>
    <n v="889"/>
    <n v="11.53"/>
    <x v="2"/>
    <s v="Lightly Active"/>
    <s v="4319703577|2016-04-24"/>
    <b v="1"/>
  </r>
  <r>
    <n v="4319703577"/>
    <d v="2016-04-25T00:00:00"/>
    <n v="9259"/>
    <n v="6.21000003814697"/>
    <n v="6.21000003814697"/>
    <n v="0"/>
    <n v="0"/>
    <n v="0.28000000119209301"/>
    <n v="5.9299998283386204"/>
    <n v="0"/>
    <n v="0"/>
    <n v="8"/>
    <n v="390"/>
    <n v="544"/>
    <n v="2314"/>
    <x v="3"/>
    <s v="April"/>
    <n v="398"/>
    <n v="942"/>
    <n v="9.07"/>
    <x v="3"/>
    <s v="Sedentary"/>
    <s v="4319703577|2016-04-25"/>
    <b v="1"/>
  </r>
  <r>
    <n v="4319703577"/>
    <d v="2016-04-26T00:00:00"/>
    <n v="9899"/>
    <n v="6.6399998664856001"/>
    <n v="6.6399998664856001"/>
    <n v="0"/>
    <n v="0.56999999284744296"/>
    <n v="0.92000001668930098"/>
    <n v="5.1500000953674299"/>
    <n v="0"/>
    <n v="8"/>
    <n v="21"/>
    <n v="288"/>
    <n v="649"/>
    <n v="2236"/>
    <x v="4"/>
    <s v="April"/>
    <n v="317"/>
    <n v="966"/>
    <n v="10.82"/>
    <x v="3"/>
    <s v="Lightly Active"/>
    <s v="4319703577|2016-04-26"/>
    <b v="1"/>
  </r>
  <r>
    <n v="4319703577"/>
    <d v="2016-04-27T00:00:00"/>
    <n v="10780"/>
    <n v="7.2300000190734899"/>
    <n v="7.2300000190734899"/>
    <n v="0"/>
    <n v="0.40999999642372098"/>
    <n v="1.91999995708466"/>
    <n v="4.9099998474121103"/>
    <n v="0"/>
    <n v="6"/>
    <n v="47"/>
    <n v="300"/>
    <n v="680"/>
    <n v="2324"/>
    <x v="5"/>
    <s v="April"/>
    <n v="353"/>
    <n v="1033"/>
    <n v="11.33"/>
    <x v="0"/>
    <s v="Lightly Active"/>
    <s v="4319703577|2016-04-27"/>
    <b v="1"/>
  </r>
  <r>
    <n v="4319703577"/>
    <d v="2016-04-28T00:00:00"/>
    <n v="10817"/>
    <n v="7.2800002098083496"/>
    <n v="7.2800002098083496"/>
    <n v="0"/>
    <n v="1.0099999904632599"/>
    <n v="0.33000001311302202"/>
    <n v="5.9400000572204599"/>
    <n v="0"/>
    <n v="13"/>
    <n v="8"/>
    <n v="359"/>
    <n v="552"/>
    <n v="2367"/>
    <x v="6"/>
    <s v="April"/>
    <n v="380"/>
    <n v="932"/>
    <n v="9.1999999999999993"/>
    <x v="0"/>
    <s v="Lightly Active"/>
    <s v="4319703577|2016-04-28"/>
    <b v="1"/>
  </r>
  <r>
    <n v="4319703577"/>
    <d v="2016-04-29T00:00:00"/>
    <n v="7990"/>
    <n v="5.3600001335143999"/>
    <n v="5.3600001335143999"/>
    <n v="0"/>
    <n v="0.44999998807907099"/>
    <n v="0.79000002145767201"/>
    <n v="4.1199998855590803"/>
    <n v="0"/>
    <n v="6"/>
    <n v="18"/>
    <n v="289"/>
    <n v="624"/>
    <n v="2175"/>
    <x v="0"/>
    <s v="April"/>
    <n v="313"/>
    <n v="937"/>
    <n v="10.4"/>
    <x v="3"/>
    <s v="Lightly Active"/>
    <s v="4319703577|2016-04-29"/>
    <b v="1"/>
  </r>
  <r>
    <n v="4319703577"/>
    <d v="2016-04-30T00:00:00"/>
    <n v="8221"/>
    <n v="5.5199999809265101"/>
    <n v="5.5199999809265101"/>
    <n v="0"/>
    <n v="0.40000000596046398"/>
    <n v="1.6100000143051101"/>
    <n v="3.5099999904632599"/>
    <n v="0"/>
    <n v="6"/>
    <n v="38"/>
    <n v="196"/>
    <n v="695"/>
    <n v="2092"/>
    <x v="1"/>
    <s v="April"/>
    <n v="240"/>
    <n v="935"/>
    <n v="11.58"/>
    <x v="3"/>
    <s v="Lightly Active"/>
    <s v="4319703577|2016-04-30"/>
    <b v="1"/>
  </r>
  <r>
    <n v="4319703577"/>
    <d v="2016-05-01T00:00:00"/>
    <n v="1251"/>
    <n v="0.83999997377395597"/>
    <n v="0.83999997377395597"/>
    <n v="0"/>
    <n v="0"/>
    <n v="0"/>
    <n v="0.83999997377395597"/>
    <n v="0"/>
    <n v="0"/>
    <n v="0"/>
    <n v="67"/>
    <n v="836"/>
    <n v="1593"/>
    <x v="2"/>
    <s v="May"/>
    <n v="67"/>
    <n v="903"/>
    <n v="13.93"/>
    <x v="2"/>
    <s v="Sedentary"/>
    <s v="4319703577|2016-05-01"/>
    <b v="1"/>
  </r>
  <r>
    <n v="4319703577"/>
    <d v="2016-05-02T00:00:00"/>
    <n v="9261"/>
    <n v="6.2399997711181596"/>
    <n v="6.2399997711181596"/>
    <n v="0"/>
    <n v="0"/>
    <n v="0.43999999761581399"/>
    <n v="5.71000003814697"/>
    <n v="0"/>
    <n v="0"/>
    <n v="11"/>
    <n v="344"/>
    <n v="585"/>
    <n v="2270"/>
    <x v="3"/>
    <s v="May"/>
    <n v="355"/>
    <n v="940"/>
    <n v="9.75"/>
    <x v="3"/>
    <s v="Sedentary"/>
    <s v="4319703577|2016-05-02"/>
    <b v="1"/>
  </r>
  <r>
    <n v="4319703577"/>
    <d v="2016-05-03T00:00:00"/>
    <n v="9648"/>
    <n v="6.4699997901916504"/>
    <n v="6.4699997901916504"/>
    <n v="0"/>
    <n v="0.57999998331069902"/>
    <n v="1.0700000524520901"/>
    <n v="4.8299999237060502"/>
    <n v="0"/>
    <n v="8"/>
    <n v="26"/>
    <n v="287"/>
    <n v="669"/>
    <n v="2235"/>
    <x v="4"/>
    <s v="May"/>
    <n v="321"/>
    <n v="990"/>
    <n v="11.15"/>
    <x v="3"/>
    <s v="Lightly Active"/>
    <s v="4319703577|2016-05-03"/>
    <b v="1"/>
  </r>
  <r>
    <n v="4319703577"/>
    <d v="2016-05-04T00:00:00"/>
    <n v="10429"/>
    <n v="7.0199999809265101"/>
    <n v="7.0199999809265101"/>
    <n v="0"/>
    <n v="0.58999997377395597"/>
    <n v="0.57999998331069902"/>
    <n v="5.8499999046325701"/>
    <n v="0"/>
    <n v="8"/>
    <n v="13"/>
    <n v="313"/>
    <n v="1106"/>
    <n v="2282"/>
    <x v="5"/>
    <s v="May"/>
    <n v="334"/>
    <n v="1440"/>
    <n v="18.43"/>
    <x v="0"/>
    <s v="Lightly Active"/>
    <s v="4319703577|2016-05-04"/>
    <b v="0"/>
  </r>
  <r>
    <n v="4319703577"/>
    <d v="2016-05-05T00:00:00"/>
    <n v="13658"/>
    <n v="9.4899997711181605"/>
    <n v="9.4899997711181605"/>
    <n v="0"/>
    <n v="2.6300001144409202"/>
    <n v="1.4099999666214"/>
    <n v="5.4499998092651403"/>
    <n v="0"/>
    <n v="27"/>
    <n v="34"/>
    <n v="328"/>
    <n v="957"/>
    <n v="2530"/>
    <x v="6"/>
    <s v="May"/>
    <n v="389"/>
    <n v="1346"/>
    <n v="15.95"/>
    <x v="1"/>
    <s v="Moderately Active"/>
    <s v="4319703577|2016-05-05"/>
    <b v="0"/>
  </r>
  <r>
    <n v="4319703577"/>
    <d v="2016-05-06T00:00:00"/>
    <n v="9524"/>
    <n v="6.4200000762939498"/>
    <n v="6.4200000762939498"/>
    <n v="0"/>
    <n v="0.40999999642372098"/>
    <n v="0.46999999880790699"/>
    <n v="5.46000003814697"/>
    <n v="0"/>
    <n v="6"/>
    <n v="11"/>
    <n v="314"/>
    <n v="692"/>
    <n v="2266"/>
    <x v="0"/>
    <s v="May"/>
    <n v="331"/>
    <n v="1023"/>
    <n v="11.53"/>
    <x v="3"/>
    <s v="Lightly Active"/>
    <s v="4319703577|2016-05-06"/>
    <b v="1"/>
  </r>
  <r>
    <n v="4319703577"/>
    <d v="2016-05-07T00:00:00"/>
    <n v="7937"/>
    <n v="5.3299999237060502"/>
    <n v="5.3299999237060502"/>
    <n v="0"/>
    <n v="0.18999999761581399"/>
    <n v="1.04999995231628"/>
    <n v="4.0799999237060502"/>
    <n v="0"/>
    <n v="3"/>
    <n v="28"/>
    <n v="279"/>
    <n v="586"/>
    <n v="2158"/>
    <x v="1"/>
    <s v="May"/>
    <n v="310"/>
    <n v="896"/>
    <n v="9.77"/>
    <x v="3"/>
    <s v="Lightly Active"/>
    <s v="4319703577|2016-05-07"/>
    <b v="1"/>
  </r>
  <r>
    <n v="4319703577"/>
    <d v="2016-05-08T00:00:00"/>
    <n v="3672"/>
    <n v="2.46000003814697"/>
    <n v="2.46000003814697"/>
    <n v="0"/>
    <n v="0"/>
    <n v="0"/>
    <n v="2.46000003814697"/>
    <n v="0"/>
    <n v="0"/>
    <n v="0"/>
    <n v="153"/>
    <n v="603"/>
    <n v="1792"/>
    <x v="2"/>
    <s v="May"/>
    <n v="153"/>
    <n v="756"/>
    <n v="10.050000000000001"/>
    <x v="2"/>
    <s v="Sedentary"/>
    <s v="4319703577|2016-05-08"/>
    <b v="1"/>
  </r>
  <r>
    <n v="4319703577"/>
    <d v="2016-05-09T00:00:00"/>
    <n v="10378"/>
    <n v="6.96000003814697"/>
    <n v="6.96000003814697"/>
    <n v="0"/>
    <n v="0.140000000596046"/>
    <n v="0.56000000238418601"/>
    <n v="6.25"/>
    <n v="0"/>
    <n v="2"/>
    <n v="14"/>
    <n v="374"/>
    <n v="490"/>
    <n v="2345"/>
    <x v="3"/>
    <s v="May"/>
    <n v="390"/>
    <n v="880"/>
    <n v="8.17"/>
    <x v="0"/>
    <s v="Lightly Active"/>
    <s v="4319703577|2016-05-09"/>
    <b v="1"/>
  </r>
  <r>
    <n v="4319703577"/>
    <d v="2016-05-10T00:00:00"/>
    <n v="9487"/>
    <n v="6.3699998855590803"/>
    <n v="6.3699998855590803"/>
    <n v="0"/>
    <n v="0.20999999344348899"/>
    <n v="0.46000000834464999"/>
    <n v="5.6999998092651403"/>
    <n v="0"/>
    <n v="3"/>
    <n v="12"/>
    <n v="329"/>
    <n v="555"/>
    <n v="2260"/>
    <x v="4"/>
    <s v="May"/>
    <n v="344"/>
    <n v="899"/>
    <n v="9.25"/>
    <x v="3"/>
    <s v="Lightly Active"/>
    <s v="4319703577|2016-05-10"/>
    <b v="1"/>
  </r>
  <r>
    <n v="4319703577"/>
    <d v="2016-05-11T00:00:00"/>
    <n v="9129"/>
    <n v="6.1300001144409197"/>
    <n v="6.1300001144409197"/>
    <n v="0"/>
    <n v="0.20000000298023199"/>
    <n v="0.74000000953674305"/>
    <n v="5.1799998283386204"/>
    <n v="0"/>
    <n v="3"/>
    <n v="18"/>
    <n v="311"/>
    <n v="574"/>
    <n v="2232"/>
    <x v="5"/>
    <s v="May"/>
    <n v="332"/>
    <n v="906"/>
    <n v="9.57"/>
    <x v="3"/>
    <s v="Lightly Active"/>
    <s v="4319703577|2016-05-11"/>
    <b v="1"/>
  </r>
  <r>
    <n v="4319703577"/>
    <d v="2016-05-12T00:00:00"/>
    <n v="17"/>
    <n v="9.9999997764825804E-3"/>
    <n v="9.9999997764825804E-3"/>
    <n v="0"/>
    <n v="0"/>
    <n v="0"/>
    <n v="9.9999997764825804E-3"/>
    <n v="0"/>
    <n v="0"/>
    <n v="0"/>
    <n v="2"/>
    <n v="0"/>
    <n v="257"/>
    <x v="6"/>
    <s v="May"/>
    <n v="2"/>
    <n v="2"/>
    <n v="0"/>
    <x v="2"/>
    <s v="Sedentary"/>
    <s v="4319703577|2016-05-12"/>
    <b v="1"/>
  </r>
  <r>
    <n v="4388161847"/>
    <d v="2016-04-12T00:00:00"/>
    <n v="10122"/>
    <n v="7.7800002098083496"/>
    <n v="7.7800002098083496"/>
    <n v="0"/>
    <n v="0"/>
    <n v="0"/>
    <n v="0"/>
    <n v="0"/>
    <n v="0"/>
    <n v="0"/>
    <n v="0"/>
    <n v="1440"/>
    <n v="2955"/>
    <x v="4"/>
    <s v="April"/>
    <n v="0"/>
    <n v="1440"/>
    <n v="24"/>
    <x v="0"/>
    <s v="Sedentary"/>
    <s v="4388161847|2016-04-12"/>
    <b v="0"/>
  </r>
  <r>
    <n v="4388161847"/>
    <d v="2016-04-13T00:00:00"/>
    <n v="10993"/>
    <n v="8.4499998092651403"/>
    <n v="8.4499998092651403"/>
    <n v="0"/>
    <n v="5.9999998658895499E-2"/>
    <n v="0.62999999523162797"/>
    <n v="3.8800001144409202"/>
    <n v="0"/>
    <n v="1"/>
    <n v="14"/>
    <n v="150"/>
    <n v="1275"/>
    <n v="3092"/>
    <x v="5"/>
    <s v="April"/>
    <n v="165"/>
    <n v="1440"/>
    <n v="21.25"/>
    <x v="0"/>
    <s v="Lightly Active"/>
    <s v="4388161847|2016-04-13"/>
    <b v="0"/>
  </r>
  <r>
    <n v="4388161847"/>
    <d v="2016-04-14T00:00:00"/>
    <n v="8863"/>
    <n v="6.8200001716613796"/>
    <n v="6.8200001716613796"/>
    <n v="0"/>
    <n v="0.129999995231628"/>
    <n v="1.0700000524520901"/>
    <n v="5.6199998855590803"/>
    <n v="0"/>
    <n v="10"/>
    <n v="35"/>
    <n v="219"/>
    <n v="945"/>
    <n v="2998"/>
    <x v="6"/>
    <s v="April"/>
    <n v="264"/>
    <n v="1209"/>
    <n v="15.75"/>
    <x v="3"/>
    <s v="Lightly Active"/>
    <s v="4388161847|2016-04-14"/>
    <b v="0"/>
  </r>
  <r>
    <n v="4388161847"/>
    <d v="2016-04-15T00:00:00"/>
    <n v="8758"/>
    <n v="6.7300000190734899"/>
    <n v="6.7300000190734899"/>
    <n v="0"/>
    <n v="0"/>
    <n v="0"/>
    <n v="6.7300000190734899"/>
    <n v="0"/>
    <n v="0"/>
    <n v="0"/>
    <n v="299"/>
    <n v="837"/>
    <n v="3066"/>
    <x v="0"/>
    <s v="April"/>
    <n v="299"/>
    <n v="1136"/>
    <n v="13.95"/>
    <x v="3"/>
    <s v="Sedentary"/>
    <s v="4388161847|2016-04-15"/>
    <b v="1"/>
  </r>
  <r>
    <n v="4388161847"/>
    <d v="2016-04-16T00:00:00"/>
    <n v="6580"/>
    <n v="5.0599999427795401"/>
    <n v="5.0599999427795401"/>
    <n v="0"/>
    <n v="0.20999999344348899"/>
    <n v="0.40000000596046398"/>
    <n v="4.4499998092651403"/>
    <n v="0"/>
    <n v="6"/>
    <n v="9"/>
    <n v="253"/>
    <n v="609"/>
    <n v="3073"/>
    <x v="1"/>
    <s v="April"/>
    <n v="268"/>
    <n v="877"/>
    <n v="10.15"/>
    <x v="4"/>
    <s v="Lightly Active"/>
    <s v="4388161847|2016-04-16"/>
    <b v="1"/>
  </r>
  <r>
    <n v="4388161847"/>
    <d v="2016-04-17T00:00:00"/>
    <n v="4660"/>
    <n v="3.5799999237060498"/>
    <n v="3.5799999237060498"/>
    <n v="0"/>
    <n v="0"/>
    <n v="0"/>
    <n v="3.5799999237060498"/>
    <n v="0"/>
    <n v="0"/>
    <n v="0"/>
    <n v="201"/>
    <n v="721"/>
    <n v="2572"/>
    <x v="2"/>
    <s v="April"/>
    <n v="201"/>
    <n v="922"/>
    <n v="12.02"/>
    <x v="2"/>
    <s v="Sedentary"/>
    <s v="4388161847|2016-04-17"/>
    <b v="1"/>
  </r>
  <r>
    <n v="4388161847"/>
    <d v="2016-04-18T00:00:00"/>
    <n v="11009"/>
    <n v="9.1000003814697301"/>
    <n v="9.1000003814697301"/>
    <n v="0"/>
    <n v="3.5599999427795401"/>
    <n v="0.40000000596046398"/>
    <n v="5.1399998664856001"/>
    <n v="0"/>
    <n v="27"/>
    <n v="8"/>
    <n v="239"/>
    <n v="1017"/>
    <n v="3274"/>
    <x v="3"/>
    <s v="April"/>
    <n v="274"/>
    <n v="1291"/>
    <n v="16.95"/>
    <x v="0"/>
    <s v="Moderately Active"/>
    <s v="4388161847|2016-04-18"/>
    <b v="1"/>
  </r>
  <r>
    <n v="4388161847"/>
    <d v="2016-04-19T00:00:00"/>
    <n v="10181"/>
    <n v="7.8299999237060502"/>
    <n v="7.8299999237060502"/>
    <n v="0"/>
    <n v="1.37000000476837"/>
    <n v="0.68999999761581399"/>
    <n v="5.7699999809265101"/>
    <n v="0"/>
    <n v="20"/>
    <n v="16"/>
    <n v="249"/>
    <n v="704"/>
    <n v="3015"/>
    <x v="4"/>
    <s v="April"/>
    <n v="285"/>
    <n v="989"/>
    <n v="11.73"/>
    <x v="0"/>
    <s v="Moderately Active"/>
    <s v="4388161847|2016-04-19"/>
    <b v="1"/>
  </r>
  <r>
    <n v="4388161847"/>
    <d v="2016-04-20T00:00:00"/>
    <n v="10553"/>
    <n v="8.1199998855590803"/>
    <n v="8.1199998855590803"/>
    <n v="0"/>
    <n v="1.1000000238418599"/>
    <n v="1.7200000286102299"/>
    <n v="5.28999996185303"/>
    <n v="0"/>
    <n v="19"/>
    <n v="42"/>
    <n v="228"/>
    <n v="696"/>
    <n v="3083"/>
    <x v="5"/>
    <s v="April"/>
    <n v="289"/>
    <n v="985"/>
    <n v="11.6"/>
    <x v="0"/>
    <s v="Moderately Active"/>
    <s v="4388161847|2016-04-20"/>
    <b v="1"/>
  </r>
  <r>
    <n v="4388161847"/>
    <d v="2016-04-21T00:00:00"/>
    <n v="10055"/>
    <n v="7.7300000190734899"/>
    <n v="7.7300000190734899"/>
    <n v="0"/>
    <n v="0.37000000476837203"/>
    <n v="0.38999998569488498"/>
    <n v="6.9800000190734899"/>
    <n v="0"/>
    <n v="7"/>
    <n v="12"/>
    <n v="272"/>
    <n v="853"/>
    <n v="3069"/>
    <x v="6"/>
    <s v="April"/>
    <n v="291"/>
    <n v="1144"/>
    <n v="14.22"/>
    <x v="0"/>
    <s v="Lightly Active"/>
    <s v="4388161847|2016-04-21"/>
    <b v="1"/>
  </r>
  <r>
    <n v="4388161847"/>
    <d v="2016-04-22T00:00:00"/>
    <n v="12139"/>
    <n v="9.3400001525878906"/>
    <n v="9.3400001525878906"/>
    <n v="0"/>
    <n v="3.2999999523162802"/>
    <n v="1.1100000143051101"/>
    <n v="4.9200000762939498"/>
    <n v="0"/>
    <n v="77"/>
    <n v="25"/>
    <n v="220"/>
    <n v="945"/>
    <n v="3544"/>
    <x v="0"/>
    <s v="April"/>
    <n v="322"/>
    <n v="1267"/>
    <n v="15.75"/>
    <x v="0"/>
    <s v="Very Active"/>
    <s v="4388161847|2016-04-22"/>
    <b v="1"/>
  </r>
  <r>
    <n v="4388161847"/>
    <d v="2016-04-23T00:00:00"/>
    <n v="13236"/>
    <n v="10.180000305175801"/>
    <n v="10.180000305175801"/>
    <n v="0"/>
    <n v="4.5"/>
    <n v="0.31999999284744302"/>
    <n v="5.3499999046325701"/>
    <n v="0"/>
    <n v="58"/>
    <n v="5"/>
    <n v="215"/>
    <n v="749"/>
    <n v="3306"/>
    <x v="1"/>
    <s v="April"/>
    <n v="278"/>
    <n v="1027"/>
    <n v="12.48"/>
    <x v="1"/>
    <s v="Very Active"/>
    <s v="4388161847|2016-04-23"/>
    <b v="1"/>
  </r>
  <r>
    <n v="4388161847"/>
    <d v="2016-04-24T00:00:00"/>
    <n v="10243"/>
    <n v="7.8800001144409197"/>
    <n v="7.8800001144409197"/>
    <n v="0"/>
    <n v="1.08000004291534"/>
    <n v="0.50999999046325695"/>
    <n v="6.3000001907348597"/>
    <n v="0"/>
    <n v="14"/>
    <n v="8"/>
    <n v="239"/>
    <n v="584"/>
    <n v="2885"/>
    <x v="2"/>
    <s v="April"/>
    <n v="261"/>
    <n v="845"/>
    <n v="9.73"/>
    <x v="0"/>
    <s v="Lightly Active"/>
    <s v="4388161847|2016-04-24"/>
    <b v="1"/>
  </r>
  <r>
    <n v="4388161847"/>
    <d v="2016-04-25T00:00:00"/>
    <n v="12961"/>
    <n v="9.9700002670288104"/>
    <n v="9.9700002670288104"/>
    <n v="0"/>
    <n v="0.730000019073486"/>
    <n v="1.3999999761581401"/>
    <n v="7.8400001525878897"/>
    <n v="0"/>
    <n v="11"/>
    <n v="31"/>
    <n v="301"/>
    <n v="1054"/>
    <n v="3288"/>
    <x v="3"/>
    <s v="April"/>
    <n v="343"/>
    <n v="1397"/>
    <n v="17.57"/>
    <x v="1"/>
    <s v="Lightly Active"/>
    <s v="4388161847|2016-04-25"/>
    <b v="0"/>
  </r>
  <r>
    <n v="4388161847"/>
    <d v="2016-04-26T00:00:00"/>
    <n v="9461"/>
    <n v="7.2800002098083496"/>
    <n v="7.2800002098083496"/>
    <n v="0"/>
    <n v="0.93999999761581399"/>
    <n v="1.0599999427795399"/>
    <n v="5.2699999809265101"/>
    <n v="0"/>
    <n v="14"/>
    <n v="23"/>
    <n v="224"/>
    <n v="673"/>
    <n v="2929"/>
    <x v="4"/>
    <s v="April"/>
    <n v="261"/>
    <n v="934"/>
    <n v="11.22"/>
    <x v="3"/>
    <s v="Lightly Active"/>
    <s v="4388161847|2016-04-26"/>
    <b v="1"/>
  </r>
  <r>
    <n v="4388161847"/>
    <d v="2016-04-27T00:00:00"/>
    <n v="11193"/>
    <n v="8.6099996566772496"/>
    <n v="8.6099996566772496"/>
    <n v="0"/>
    <n v="0.69999998807907104"/>
    <n v="2.5099999904632599"/>
    <n v="5.3899998664856001"/>
    <n v="0"/>
    <n v="11"/>
    <n v="48"/>
    <n v="241"/>
    <n v="684"/>
    <n v="3074"/>
    <x v="5"/>
    <s v="April"/>
    <n v="300"/>
    <n v="984"/>
    <n v="11.4"/>
    <x v="0"/>
    <s v="Lightly Active"/>
    <s v="4388161847|2016-04-27"/>
    <b v="1"/>
  </r>
  <r>
    <n v="4388161847"/>
    <d v="2016-04-28T00:00:00"/>
    <n v="10074"/>
    <n v="7.75"/>
    <n v="7.75"/>
    <n v="0"/>
    <n v="1.28999996185303"/>
    <n v="0.43000000715255698"/>
    <n v="6.0300002098083496"/>
    <n v="0"/>
    <n v="19"/>
    <n v="9"/>
    <n v="234"/>
    <n v="878"/>
    <n v="2969"/>
    <x v="6"/>
    <s v="April"/>
    <n v="262"/>
    <n v="1140"/>
    <n v="14.63"/>
    <x v="0"/>
    <s v="Moderately Active"/>
    <s v="4388161847|2016-04-28"/>
    <b v="1"/>
  </r>
  <r>
    <n v="4388161847"/>
    <d v="2016-04-29T00:00:00"/>
    <n v="9232"/>
    <n v="7.0999999046325701"/>
    <n v="7.0999999046325701"/>
    <n v="0"/>
    <n v="0.80000001192092896"/>
    <n v="0.88999998569488503"/>
    <n v="5.4200000762939498"/>
    <n v="0"/>
    <n v="13"/>
    <n v="16"/>
    <n v="236"/>
    <n v="1175"/>
    <n v="2979"/>
    <x v="0"/>
    <s v="April"/>
    <n v="265"/>
    <n v="1440"/>
    <n v="19.579999999999998"/>
    <x v="3"/>
    <s v="Lightly Active"/>
    <s v="4388161847|2016-04-29"/>
    <b v="0"/>
  </r>
  <r>
    <n v="4388161847"/>
    <d v="2016-04-30T00:00:00"/>
    <n v="12533"/>
    <n v="9.6400003433227504"/>
    <n v="9.6400003433227504"/>
    <n v="0"/>
    <n v="0.69999998807907104"/>
    <n v="2"/>
    <n v="6.9400000572204599"/>
    <n v="0"/>
    <n v="14"/>
    <n v="43"/>
    <n v="300"/>
    <n v="537"/>
    <n v="3283"/>
    <x v="1"/>
    <s v="April"/>
    <n v="357"/>
    <n v="894"/>
    <n v="8.9499999999999993"/>
    <x v="1"/>
    <s v="Lightly Active"/>
    <s v="4388161847|2016-04-30"/>
    <b v="1"/>
  </r>
  <r>
    <n v="4388161847"/>
    <d v="2016-05-01T00:00:00"/>
    <n v="10255"/>
    <n v="7.8899998664856001"/>
    <n v="7.8899998664856001"/>
    <n v="0"/>
    <n v="1.0099999904632599"/>
    <n v="0.68000000715255704"/>
    <n v="6.1999998092651403"/>
    <n v="0"/>
    <n v="12"/>
    <n v="15"/>
    <n v="241"/>
    <n v="579"/>
    <n v="2926"/>
    <x v="2"/>
    <s v="May"/>
    <n v="268"/>
    <n v="847"/>
    <n v="9.65"/>
    <x v="0"/>
    <s v="Lightly Active"/>
    <s v="4388161847|2016-05-01"/>
    <b v="1"/>
  </r>
  <r>
    <n v="4388161847"/>
    <d v="2016-05-02T00:00:00"/>
    <n v="10096"/>
    <n v="8.3999996185302699"/>
    <n v="8.3999996185302699"/>
    <n v="0"/>
    <n v="3.7699999809265101"/>
    <n v="7.9999998211860698E-2"/>
    <n v="4.5500001907348597"/>
    <n v="0"/>
    <n v="33"/>
    <n v="4"/>
    <n v="204"/>
    <n v="935"/>
    <n v="3147"/>
    <x v="3"/>
    <s v="May"/>
    <n v="241"/>
    <n v="1176"/>
    <n v="15.58"/>
    <x v="0"/>
    <s v="Very Active"/>
    <s v="4388161847|2016-05-02"/>
    <b v="1"/>
  </r>
  <r>
    <n v="4388161847"/>
    <d v="2016-05-03T00:00:00"/>
    <n v="12727"/>
    <n v="9.7899999618530291"/>
    <n v="9.7899999618530291"/>
    <n v="0"/>
    <n v="1.12999999523163"/>
    <n v="0.77999997138977095"/>
    <n v="7.8800001144409197"/>
    <n v="0"/>
    <n v="18"/>
    <n v="18"/>
    <n v="306"/>
    <n v="984"/>
    <n v="3290"/>
    <x v="4"/>
    <s v="May"/>
    <n v="342"/>
    <n v="1326"/>
    <n v="16.399999999999999"/>
    <x v="1"/>
    <s v="Moderately Active"/>
    <s v="4388161847|2016-05-03"/>
    <b v="0"/>
  </r>
  <r>
    <n v="4388161847"/>
    <d v="2016-05-04T00:00:00"/>
    <n v="12375"/>
    <n v="9.5200004577636701"/>
    <n v="9.5200004577636701"/>
    <n v="0"/>
    <n v="2.78999996185303"/>
    <n v="0.93000000715255704"/>
    <n v="5.8000001907348597"/>
    <n v="0"/>
    <n v="35"/>
    <n v="21"/>
    <n v="251"/>
    <n v="632"/>
    <n v="3162"/>
    <x v="5"/>
    <s v="May"/>
    <n v="307"/>
    <n v="939"/>
    <n v="10.53"/>
    <x v="0"/>
    <s v="Very Active"/>
    <s v="4388161847|2016-05-04"/>
    <b v="1"/>
  </r>
  <r>
    <n v="4388161847"/>
    <d v="2016-05-05T00:00:00"/>
    <n v="9603"/>
    <n v="7.3800001144409197"/>
    <n v="7.3800001144409197"/>
    <n v="0"/>
    <n v="0.62999999523162797"/>
    <n v="1.66999995708466"/>
    <n v="5.0900001525878897"/>
    <n v="0"/>
    <n v="12"/>
    <n v="39"/>
    <n v="199"/>
    <n v="896"/>
    <n v="2899"/>
    <x v="6"/>
    <s v="May"/>
    <n v="250"/>
    <n v="1146"/>
    <n v="14.93"/>
    <x v="3"/>
    <s v="Lightly Active"/>
    <s v="4388161847|2016-05-05"/>
    <b v="1"/>
  </r>
  <r>
    <n v="4388161847"/>
    <d v="2016-05-06T00:00:00"/>
    <n v="13175"/>
    <n v="10.1300001144409"/>
    <n v="10.1300001144409"/>
    <n v="0"/>
    <n v="2.1099998950958301"/>
    <n v="2.0899999141693102"/>
    <n v="5.9299998283386204"/>
    <n v="0"/>
    <n v="33"/>
    <n v="45"/>
    <n v="262"/>
    <n v="1100"/>
    <n v="3425"/>
    <x v="0"/>
    <s v="May"/>
    <n v="340"/>
    <n v="1440"/>
    <n v="18.329999999999998"/>
    <x v="1"/>
    <s v="Very Active"/>
    <s v="4388161847|2016-05-06"/>
    <b v="0"/>
  </r>
  <r>
    <n v="4388161847"/>
    <d v="2016-05-07T00:00:00"/>
    <n v="22770"/>
    <n v="17.540000915527301"/>
    <n v="17.540000915527301"/>
    <n v="0"/>
    <n v="9.4499998092651403"/>
    <n v="2.7699999809265101"/>
    <n v="5.3299999237060502"/>
    <n v="0"/>
    <n v="120"/>
    <n v="56"/>
    <n v="260"/>
    <n v="508"/>
    <n v="4022"/>
    <x v="1"/>
    <s v="May"/>
    <n v="436"/>
    <n v="944"/>
    <n v="8.4700000000000006"/>
    <x v="1"/>
    <s v="Very Active"/>
    <s v="4388161847|2016-05-07"/>
    <b v="1"/>
  </r>
  <r>
    <n v="4388161847"/>
    <d v="2016-05-08T00:00:00"/>
    <n v="17298"/>
    <n v="14.3800001144409"/>
    <n v="14.3800001144409"/>
    <n v="0"/>
    <n v="9.8900003433227504"/>
    <n v="1.2599999904632599"/>
    <n v="3.2300000190734899"/>
    <n v="0"/>
    <n v="107"/>
    <n v="38"/>
    <n v="178"/>
    <n v="576"/>
    <n v="3934"/>
    <x v="2"/>
    <s v="May"/>
    <n v="323"/>
    <n v="899"/>
    <n v="9.6"/>
    <x v="1"/>
    <s v="Very Active"/>
    <s v="4388161847|2016-05-08"/>
    <b v="1"/>
  </r>
  <r>
    <n v="4388161847"/>
    <d v="2016-05-09T00:00:00"/>
    <n v="10218"/>
    <n v="7.8600001335143999"/>
    <n v="7.8600001335143999"/>
    <n v="0"/>
    <n v="0.34000000357627902"/>
    <n v="0.730000019073486"/>
    <n v="6.78999996185303"/>
    <n v="0"/>
    <n v="6"/>
    <n v="19"/>
    <n v="258"/>
    <n v="1020"/>
    <n v="3013"/>
    <x v="3"/>
    <s v="May"/>
    <n v="283"/>
    <n v="1303"/>
    <n v="17"/>
    <x v="0"/>
    <s v="Lightly Active"/>
    <s v="4388161847|2016-05-09"/>
    <b v="1"/>
  </r>
  <r>
    <n v="4388161847"/>
    <d v="2016-05-10T00:00:00"/>
    <n v="10299"/>
    <n v="7.9200000762939498"/>
    <n v="7.9200000762939498"/>
    <n v="0"/>
    <n v="0.81000000238418601"/>
    <n v="0.64999997615814198"/>
    <n v="6.46000003814697"/>
    <n v="0"/>
    <n v="13"/>
    <n v="14"/>
    <n v="267"/>
    <n v="648"/>
    <n v="3061"/>
    <x v="4"/>
    <s v="May"/>
    <n v="294"/>
    <n v="942"/>
    <n v="10.8"/>
    <x v="0"/>
    <s v="Lightly Active"/>
    <s v="4388161847|2016-05-10"/>
    <b v="1"/>
  </r>
  <r>
    <n v="4388161847"/>
    <d v="2016-05-11T00:00:00"/>
    <n v="10201"/>
    <n v="7.8400001525878897"/>
    <n v="7.8400001525878897"/>
    <n v="0"/>
    <n v="0.52999997138977095"/>
    <n v="0.79000002145767201"/>
    <n v="6.5300002098083496"/>
    <n v="0"/>
    <n v="8"/>
    <n v="18"/>
    <n v="256"/>
    <n v="858"/>
    <n v="2954"/>
    <x v="5"/>
    <s v="May"/>
    <n v="282"/>
    <n v="1140"/>
    <n v="14.3"/>
    <x v="0"/>
    <s v="Lightly Active"/>
    <s v="4388161847|2016-05-11"/>
    <b v="1"/>
  </r>
  <r>
    <n v="4388161847"/>
    <d v="2016-05-12T00:00:00"/>
    <n v="3369"/>
    <n v="2.5899999141693102"/>
    <n v="2.5899999141693102"/>
    <n v="0"/>
    <n v="0"/>
    <n v="0"/>
    <n v="2.5899999141693102"/>
    <n v="0"/>
    <n v="0"/>
    <n v="0"/>
    <n v="108"/>
    <n v="825"/>
    <n v="1623"/>
    <x v="6"/>
    <s v="May"/>
    <n v="108"/>
    <n v="933"/>
    <n v="13.75"/>
    <x v="2"/>
    <s v="Sedentary"/>
    <s v="4388161847|2016-05-12"/>
    <b v="0"/>
  </r>
  <r>
    <n v="4445114986"/>
    <d v="2016-04-13T00:00:00"/>
    <n v="2961"/>
    <n v="1.9900000095367401"/>
    <n v="1.9900000095367401"/>
    <n v="0"/>
    <n v="0"/>
    <n v="0"/>
    <n v="1.9900000095367401"/>
    <n v="0"/>
    <n v="0"/>
    <n v="0"/>
    <n v="194"/>
    <n v="840"/>
    <n v="2095"/>
    <x v="5"/>
    <s v="April"/>
    <n v="194"/>
    <n v="1034"/>
    <n v="14"/>
    <x v="2"/>
    <s v="Sedentary"/>
    <s v="4445114986|2016-04-13"/>
    <b v="1"/>
  </r>
  <r>
    <n v="4445114986"/>
    <d v="2016-04-14T00:00:00"/>
    <n v="3974"/>
    <n v="2.6700000762939502"/>
    <n v="2.6700000762939502"/>
    <n v="0"/>
    <n v="0"/>
    <n v="0"/>
    <n v="2.6700000762939502"/>
    <n v="0"/>
    <n v="0"/>
    <n v="0"/>
    <n v="231"/>
    <n v="717"/>
    <n v="2194"/>
    <x v="6"/>
    <s v="April"/>
    <n v="231"/>
    <n v="948"/>
    <n v="11.95"/>
    <x v="2"/>
    <s v="Sedentary"/>
    <s v="4445114986|2016-04-14"/>
    <b v="1"/>
  </r>
  <r>
    <n v="4445114986"/>
    <d v="2016-04-15T00:00:00"/>
    <n v="7198"/>
    <n v="4.8299999237060502"/>
    <n v="4.8299999237060502"/>
    <n v="0"/>
    <n v="0"/>
    <n v="0"/>
    <n v="4.8299999237060502"/>
    <n v="0"/>
    <n v="0"/>
    <n v="0"/>
    <n v="350"/>
    <n v="711"/>
    <n v="2496"/>
    <x v="0"/>
    <s v="April"/>
    <n v="350"/>
    <n v="1061"/>
    <n v="11.85"/>
    <x v="4"/>
    <s v="Sedentary"/>
    <s v="4445114986|2016-04-15"/>
    <b v="1"/>
  </r>
  <r>
    <n v="4445114986"/>
    <d v="2016-04-16T00:00:00"/>
    <n v="3945"/>
    <n v="2.6500000953674299"/>
    <n v="2.6500000953674299"/>
    <n v="0"/>
    <n v="0"/>
    <n v="0"/>
    <n v="2.6500000953674299"/>
    <n v="0"/>
    <n v="0"/>
    <n v="0"/>
    <n v="225"/>
    <n v="716"/>
    <n v="2180"/>
    <x v="1"/>
    <s v="April"/>
    <n v="225"/>
    <n v="941"/>
    <n v="11.93"/>
    <x v="2"/>
    <s v="Sedentary"/>
    <s v="4445114986|2016-04-16"/>
    <b v="1"/>
  </r>
  <r>
    <n v="4445114986"/>
    <d v="2016-04-17T00:00:00"/>
    <n v="2268"/>
    <n v="1.5199999809265099"/>
    <n v="1.5199999809265099"/>
    <n v="0"/>
    <n v="0"/>
    <n v="0"/>
    <n v="1.5199999809265099"/>
    <n v="0"/>
    <n v="0"/>
    <n v="0"/>
    <n v="114"/>
    <n v="1219"/>
    <n v="1933"/>
    <x v="2"/>
    <s v="April"/>
    <n v="114"/>
    <n v="1333"/>
    <n v="20.32"/>
    <x v="2"/>
    <s v="Sedentary"/>
    <s v="4445114986|2016-04-17"/>
    <b v="1"/>
  </r>
  <r>
    <n v="4445114986"/>
    <d v="2016-04-18T00:00:00"/>
    <n v="6155"/>
    <n v="4.2399997711181596"/>
    <n v="4.2399997711181596"/>
    <n v="0"/>
    <n v="2"/>
    <n v="0.28999999165535001"/>
    <n v="1.95000004768372"/>
    <n v="0"/>
    <n v="25"/>
    <n v="6"/>
    <n v="162"/>
    <n v="1247"/>
    <n v="2248"/>
    <x v="3"/>
    <s v="April"/>
    <n v="193"/>
    <n v="1440"/>
    <n v="20.78"/>
    <x v="4"/>
    <s v="Moderately Active"/>
    <s v="4445114986|2016-04-18"/>
    <b v="0"/>
  </r>
  <r>
    <n v="4445114986"/>
    <d v="2016-04-19T00:00:00"/>
    <n v="2064"/>
    <n v="1.3899999856948899"/>
    <n v="1.3899999856948899"/>
    <n v="0"/>
    <n v="0"/>
    <n v="0"/>
    <n v="1.3899999856948899"/>
    <n v="0"/>
    <n v="0"/>
    <n v="0"/>
    <n v="121"/>
    <n v="895"/>
    <n v="1954"/>
    <x v="4"/>
    <s v="April"/>
    <n v="121"/>
    <n v="1016"/>
    <n v="14.92"/>
    <x v="2"/>
    <s v="Sedentary"/>
    <s v="4445114986|2016-04-19"/>
    <b v="1"/>
  </r>
  <r>
    <n v="4445114986"/>
    <d v="2016-04-20T00:00:00"/>
    <n v="2072"/>
    <n v="1.3899999856948899"/>
    <n v="1.3899999856948899"/>
    <n v="0"/>
    <n v="0"/>
    <n v="0"/>
    <n v="1.3899999856948899"/>
    <n v="0"/>
    <n v="0"/>
    <n v="0"/>
    <n v="137"/>
    <n v="841"/>
    <n v="1974"/>
    <x v="5"/>
    <s v="April"/>
    <n v="137"/>
    <n v="978"/>
    <n v="14.02"/>
    <x v="2"/>
    <s v="Sedentary"/>
    <s v="4445114986|2016-04-20"/>
    <b v="1"/>
  </r>
  <r>
    <n v="4445114986"/>
    <d v="2016-04-21T00:00:00"/>
    <n v="3809"/>
    <n v="2.5599999427795401"/>
    <n v="2.5599999427795401"/>
    <n v="0"/>
    <n v="0"/>
    <n v="0"/>
    <n v="2.53999996185303"/>
    <n v="0"/>
    <n v="0"/>
    <n v="0"/>
    <n v="215"/>
    <n v="756"/>
    <n v="2150"/>
    <x v="6"/>
    <s v="April"/>
    <n v="215"/>
    <n v="971"/>
    <n v="12.6"/>
    <x v="2"/>
    <s v="Sedentary"/>
    <s v="4445114986|2016-04-21"/>
    <b v="1"/>
  </r>
  <r>
    <n v="4445114986"/>
    <d v="2016-04-22T00:00:00"/>
    <n v="6831"/>
    <n v="4.5799999237060502"/>
    <n v="4.5799999237060502"/>
    <n v="0"/>
    <n v="0"/>
    <n v="0"/>
    <n v="4.5799999237060502"/>
    <n v="0"/>
    <n v="0"/>
    <n v="0"/>
    <n v="317"/>
    <n v="706"/>
    <n v="2432"/>
    <x v="0"/>
    <s v="April"/>
    <n v="317"/>
    <n v="1023"/>
    <n v="11.77"/>
    <x v="4"/>
    <s v="Sedentary"/>
    <s v="4445114986|2016-04-22"/>
    <b v="1"/>
  </r>
  <r>
    <n v="4445114986"/>
    <d v="2016-04-23T00:00:00"/>
    <n v="4363"/>
    <n v="2.9300000667571999"/>
    <n v="2.9300000667571999"/>
    <n v="0"/>
    <n v="0"/>
    <n v="0"/>
    <n v="2.9300000667571999"/>
    <n v="0"/>
    <n v="0"/>
    <n v="0"/>
    <n v="201"/>
    <n v="1239"/>
    <n v="2149"/>
    <x v="1"/>
    <s v="April"/>
    <n v="201"/>
    <n v="1440"/>
    <n v="20.65"/>
    <x v="2"/>
    <s v="Sedentary"/>
    <s v="4445114986|2016-04-23"/>
    <b v="0"/>
  </r>
  <r>
    <n v="4445114986"/>
    <d v="2016-04-24T00:00:00"/>
    <n v="5002"/>
    <n v="3.3599998950958301"/>
    <n v="3.3599998950958301"/>
    <n v="0"/>
    <n v="0"/>
    <n v="0"/>
    <n v="3.3599998950958301"/>
    <n v="0"/>
    <n v="0"/>
    <n v="0"/>
    <n v="244"/>
    <n v="1196"/>
    <n v="2247"/>
    <x v="2"/>
    <s v="April"/>
    <n v="244"/>
    <n v="1440"/>
    <n v="19.93"/>
    <x v="4"/>
    <s v="Sedentary"/>
    <s v="4445114986|2016-04-24"/>
    <b v="0"/>
  </r>
  <r>
    <n v="4445114986"/>
    <d v="2016-04-25T00:00:00"/>
    <n v="3385"/>
    <n v="2.2699999809265101"/>
    <n v="2.2699999809265101"/>
    <n v="0"/>
    <n v="0"/>
    <n v="0"/>
    <n v="2.2699999809265101"/>
    <n v="0"/>
    <n v="0"/>
    <n v="0"/>
    <n v="179"/>
    <n v="916"/>
    <n v="2070"/>
    <x v="3"/>
    <s v="April"/>
    <n v="179"/>
    <n v="1095"/>
    <n v="15.27"/>
    <x v="2"/>
    <s v="Sedentary"/>
    <s v="4445114986|2016-04-25"/>
    <b v="1"/>
  </r>
  <r>
    <n v="4445114986"/>
    <d v="2016-04-26T00:00:00"/>
    <n v="6326"/>
    <n v="4.4099998474121103"/>
    <n v="4.4099998474121103"/>
    <n v="0"/>
    <n v="2.4100000858306898"/>
    <n v="3.9999999105930301E-2"/>
    <n v="1.96000003814697"/>
    <n v="0"/>
    <n v="29"/>
    <n v="1"/>
    <n v="180"/>
    <n v="839"/>
    <n v="2291"/>
    <x v="4"/>
    <s v="April"/>
    <n v="210"/>
    <n v="1049"/>
    <n v="13.98"/>
    <x v="4"/>
    <s v="Moderately Active"/>
    <s v="4445114986|2016-04-26"/>
    <b v="1"/>
  </r>
  <r>
    <n v="4445114986"/>
    <d v="2016-04-27T00:00:00"/>
    <n v="7243"/>
    <n v="5.0300002098083496"/>
    <n v="5.0300002098083496"/>
    <n v="0"/>
    <n v="2.6199998855590798"/>
    <n v="2.9999999329447701E-2"/>
    <n v="2.3800001144409202"/>
    <n v="0"/>
    <n v="32"/>
    <n v="1"/>
    <n v="194"/>
    <n v="839"/>
    <n v="2361"/>
    <x v="5"/>
    <s v="April"/>
    <n v="227"/>
    <n v="1066"/>
    <n v="13.98"/>
    <x v="4"/>
    <s v="Very Active"/>
    <s v="4445114986|2016-04-27"/>
    <b v="1"/>
  </r>
  <r>
    <n v="4445114986"/>
    <d v="2016-04-28T00:00:00"/>
    <n v="4493"/>
    <n v="3.0099999904632599"/>
    <n v="3.0099999904632599"/>
    <n v="0"/>
    <n v="0"/>
    <n v="0"/>
    <n v="3.0099999904632599"/>
    <n v="0"/>
    <n v="0"/>
    <n v="0"/>
    <n v="236"/>
    <n v="762"/>
    <n v="2203"/>
    <x v="6"/>
    <s v="April"/>
    <n v="236"/>
    <n v="998"/>
    <n v="12.7"/>
    <x v="2"/>
    <s v="Sedentary"/>
    <s v="4445114986|2016-04-28"/>
    <b v="1"/>
  </r>
  <r>
    <n v="4445114986"/>
    <d v="2016-04-29T00:00:00"/>
    <n v="4676"/>
    <n v="3.1400001049041699"/>
    <n v="3.1400001049041699"/>
    <n v="0"/>
    <n v="0"/>
    <n v="0"/>
    <n v="3.1300001144409202"/>
    <n v="0"/>
    <n v="0"/>
    <n v="0"/>
    <n v="226"/>
    <n v="1106"/>
    <n v="2196"/>
    <x v="0"/>
    <s v="April"/>
    <n v="226"/>
    <n v="1332"/>
    <n v="18.43"/>
    <x v="2"/>
    <s v="Sedentary"/>
    <s v="4445114986|2016-04-29"/>
    <b v="1"/>
  </r>
  <r>
    <n v="4445114986"/>
    <d v="2016-04-30T00:00:00"/>
    <n v="6222"/>
    <n v="4.1799998283386204"/>
    <n v="4.1799998283386204"/>
    <n v="0"/>
    <n v="0"/>
    <n v="0"/>
    <n v="4.1799998283386204"/>
    <n v="0"/>
    <n v="0"/>
    <n v="0"/>
    <n v="290"/>
    <n v="797"/>
    <n v="2363"/>
    <x v="1"/>
    <s v="April"/>
    <n v="290"/>
    <n v="1087"/>
    <n v="13.28"/>
    <x v="4"/>
    <s v="Sedentary"/>
    <s v="4445114986|2016-04-30"/>
    <b v="1"/>
  </r>
  <r>
    <n v="4445114986"/>
    <d v="2016-05-01T00:00:00"/>
    <n v="5232"/>
    <n v="3.5099999904632599"/>
    <n v="3.5099999904632599"/>
    <n v="0"/>
    <n v="0"/>
    <n v="0"/>
    <n v="3.5099999904632599"/>
    <n v="0"/>
    <n v="0"/>
    <n v="0"/>
    <n v="240"/>
    <n v="741"/>
    <n v="2246"/>
    <x v="2"/>
    <s v="May"/>
    <n v="240"/>
    <n v="981"/>
    <n v="12.35"/>
    <x v="4"/>
    <s v="Sedentary"/>
    <s v="4445114986|2016-05-01"/>
    <b v="1"/>
  </r>
  <r>
    <n v="4445114986"/>
    <d v="2016-05-02T00:00:00"/>
    <n v="6910"/>
    <n v="4.75"/>
    <n v="4.75"/>
    <n v="0"/>
    <n v="2.21000003814697"/>
    <n v="0.18999999761581399"/>
    <n v="2.3499999046325701"/>
    <n v="0"/>
    <n v="27"/>
    <n v="4"/>
    <n v="200"/>
    <n v="667"/>
    <n v="2336"/>
    <x v="3"/>
    <s v="May"/>
    <n v="231"/>
    <n v="898"/>
    <n v="11.12"/>
    <x v="4"/>
    <s v="Moderately Active"/>
    <s v="4445114986|2016-05-02"/>
    <b v="1"/>
  </r>
  <r>
    <n v="4445114986"/>
    <d v="2016-05-03T00:00:00"/>
    <n v="7502"/>
    <n v="5.1799998283386204"/>
    <n v="5.1799998283386204"/>
    <n v="0"/>
    <n v="2.4800000190734899"/>
    <n v="0.109999999403954"/>
    <n v="2.5799999237060498"/>
    <n v="0"/>
    <n v="30"/>
    <n v="2"/>
    <n v="233"/>
    <n v="725"/>
    <n v="2421"/>
    <x v="4"/>
    <s v="May"/>
    <n v="265"/>
    <n v="990"/>
    <n v="12.08"/>
    <x v="3"/>
    <s v="Very Active"/>
    <s v="4445114986|2016-05-03"/>
    <b v="1"/>
  </r>
  <r>
    <n v="4445114986"/>
    <d v="2016-05-04T00:00:00"/>
    <n v="2923"/>
    <n v="1.96000003814697"/>
    <n v="1.96000003814697"/>
    <n v="0"/>
    <n v="0"/>
    <n v="0"/>
    <n v="1.96000003814697"/>
    <n v="0"/>
    <n v="0"/>
    <n v="0"/>
    <n v="180"/>
    <n v="897"/>
    <n v="2070"/>
    <x v="5"/>
    <s v="May"/>
    <n v="180"/>
    <n v="1077"/>
    <n v="14.95"/>
    <x v="2"/>
    <s v="Sedentary"/>
    <s v="4445114986|2016-05-04"/>
    <b v="1"/>
  </r>
  <r>
    <n v="4445114986"/>
    <d v="2016-05-05T00:00:00"/>
    <n v="3800"/>
    <n v="2.5499999523162802"/>
    <n v="2.5499999523162802"/>
    <n v="0"/>
    <n v="0.119999997317791"/>
    <n v="0.239999994635582"/>
    <n v="2.1800000667571999"/>
    <n v="0"/>
    <n v="2"/>
    <n v="6"/>
    <n v="185"/>
    <n v="734"/>
    <n v="2120"/>
    <x v="6"/>
    <s v="May"/>
    <n v="193"/>
    <n v="927"/>
    <n v="12.23"/>
    <x v="2"/>
    <s v="Lightly Active"/>
    <s v="4445114986|2016-05-05"/>
    <b v="1"/>
  </r>
  <r>
    <n v="4445114986"/>
    <d v="2016-05-06T00:00:00"/>
    <n v="4514"/>
    <n v="3.0299999713897701"/>
    <n v="3.0299999713897701"/>
    <n v="0"/>
    <n v="0"/>
    <n v="0"/>
    <n v="3.0299999713897701"/>
    <n v="0"/>
    <n v="0"/>
    <n v="0"/>
    <n v="229"/>
    <n v="809"/>
    <n v="2211"/>
    <x v="0"/>
    <s v="May"/>
    <n v="229"/>
    <n v="1038"/>
    <n v="13.48"/>
    <x v="2"/>
    <s v="Sedentary"/>
    <s v="4445114986|2016-05-06"/>
    <b v="1"/>
  </r>
  <r>
    <n v="4445114986"/>
    <d v="2016-05-07T00:00:00"/>
    <n v="5183"/>
    <n v="3.5899999141693102"/>
    <n v="3.5899999141693102"/>
    <n v="0"/>
    <n v="2.1300001144409202"/>
    <n v="0.18999999761581399"/>
    <n v="1.25"/>
    <n v="0"/>
    <n v="26"/>
    <n v="4"/>
    <n v="108"/>
    <n v="866"/>
    <n v="2123"/>
    <x v="1"/>
    <s v="May"/>
    <n v="138"/>
    <n v="1004"/>
    <n v="14.43"/>
    <x v="4"/>
    <s v="Moderately Active"/>
    <s v="4445114986|2016-05-07"/>
    <b v="1"/>
  </r>
  <r>
    <n v="4445114986"/>
    <d v="2016-05-08T00:00:00"/>
    <n v="7303"/>
    <n v="4.9000000953674299"/>
    <n v="4.9000000953674299"/>
    <n v="0"/>
    <n v="0"/>
    <n v="0.25"/>
    <n v="4.6500000953674299"/>
    <n v="0"/>
    <n v="0"/>
    <n v="8"/>
    <n v="308"/>
    <n v="733"/>
    <n v="2423"/>
    <x v="2"/>
    <s v="May"/>
    <n v="316"/>
    <n v="1049"/>
    <n v="12.22"/>
    <x v="4"/>
    <s v="Sedentary"/>
    <s v="4445114986|2016-05-08"/>
    <b v="1"/>
  </r>
  <r>
    <n v="4445114986"/>
    <d v="2016-05-09T00:00:00"/>
    <n v="5275"/>
    <n v="3.53999996185303"/>
    <n v="3.53999996185303"/>
    <n v="0"/>
    <n v="0"/>
    <n v="0"/>
    <n v="3.53999996185303"/>
    <n v="0"/>
    <n v="0"/>
    <n v="0"/>
    <n v="266"/>
    <n v="641"/>
    <n v="2281"/>
    <x v="3"/>
    <s v="May"/>
    <n v="266"/>
    <n v="907"/>
    <n v="10.68"/>
    <x v="4"/>
    <s v="Sedentary"/>
    <s v="4445114986|2016-05-09"/>
    <b v="1"/>
  </r>
  <r>
    <n v="4445114986"/>
    <d v="2016-05-10T00:00:00"/>
    <n v="3915"/>
    <n v="2.6300001144409202"/>
    <n v="2.6300001144409202"/>
    <n v="0"/>
    <n v="0"/>
    <n v="0"/>
    <n v="2.6300001144409202"/>
    <n v="0"/>
    <n v="0"/>
    <n v="0"/>
    <n v="231"/>
    <n v="783"/>
    <n v="2181"/>
    <x v="4"/>
    <s v="May"/>
    <n v="231"/>
    <n v="1014"/>
    <n v="13.05"/>
    <x v="2"/>
    <s v="Sedentary"/>
    <s v="4445114986|2016-05-10"/>
    <b v="1"/>
  </r>
  <r>
    <n v="4445114986"/>
    <d v="2016-05-11T00:00:00"/>
    <n v="9105"/>
    <n v="6.1100001335143999"/>
    <n v="6.1100001335143999"/>
    <n v="0"/>
    <n v="2.25"/>
    <n v="1"/>
    <n v="2.8599998950958301"/>
    <n v="0"/>
    <n v="34"/>
    <n v="22"/>
    <n v="232"/>
    <n v="622"/>
    <n v="2499"/>
    <x v="5"/>
    <s v="May"/>
    <n v="288"/>
    <n v="910"/>
    <n v="10.37"/>
    <x v="3"/>
    <s v="Very Active"/>
    <s v="4445114986|2016-05-11"/>
    <b v="1"/>
  </r>
  <r>
    <n v="4445114986"/>
    <d v="2016-05-12T00:00:00"/>
    <n v="768"/>
    <n v="0.519999980926514"/>
    <n v="0.519999980926514"/>
    <n v="0"/>
    <n v="0"/>
    <n v="0"/>
    <n v="0.519999980926514"/>
    <n v="0"/>
    <n v="0"/>
    <n v="0"/>
    <n v="58"/>
    <n v="380"/>
    <n v="1212"/>
    <x v="6"/>
    <s v="May"/>
    <n v="58"/>
    <n v="438"/>
    <n v="6.33"/>
    <x v="2"/>
    <s v="Sedentary"/>
    <s v="4445114986|2016-05-12"/>
    <b v="1"/>
  </r>
  <r>
    <n v="4558609924"/>
    <d v="2016-04-13T00:00:00"/>
    <n v="4978"/>
    <n v="3.28999996185303"/>
    <n v="3.28999996185303"/>
    <n v="0"/>
    <n v="1.2400000095367401"/>
    <n v="0.43999999761581399"/>
    <n v="1.6100000143051101"/>
    <n v="0"/>
    <n v="19"/>
    <n v="7"/>
    <n v="127"/>
    <n v="1287"/>
    <n v="1722"/>
    <x v="5"/>
    <s v="April"/>
    <n v="153"/>
    <n v="1440"/>
    <n v="21.45"/>
    <x v="2"/>
    <s v="Moderately Active"/>
    <s v="4558609924|2016-04-13"/>
    <b v="0"/>
  </r>
  <r>
    <n v="4558609924"/>
    <d v="2016-04-14T00:00:00"/>
    <n v="6799"/>
    <n v="4.4899997711181596"/>
    <n v="4.4899997711181596"/>
    <n v="0"/>
    <n v="0"/>
    <n v="0"/>
    <n v="4.4899997711181596"/>
    <n v="0"/>
    <n v="0"/>
    <n v="0"/>
    <n v="279"/>
    <n v="1161"/>
    <n v="1922"/>
    <x v="6"/>
    <s v="April"/>
    <n v="279"/>
    <n v="1440"/>
    <n v="19.350000000000001"/>
    <x v="4"/>
    <s v="Sedentary"/>
    <s v="4558609924|2016-04-14"/>
    <b v="0"/>
  </r>
  <r>
    <n v="4558609924"/>
    <d v="2016-04-15T00:00:00"/>
    <n v="7795"/>
    <n v="5.1500000953674299"/>
    <n v="5.1500000953674299"/>
    <n v="0"/>
    <n v="0.58999997377395597"/>
    <n v="0.83999997377395597"/>
    <n v="3.7300000190734899"/>
    <n v="0"/>
    <n v="17"/>
    <n v="30"/>
    <n v="262"/>
    <n v="1131"/>
    <n v="2121"/>
    <x v="0"/>
    <s v="April"/>
    <n v="309"/>
    <n v="1440"/>
    <n v="18.850000000000001"/>
    <x v="3"/>
    <s v="Moderately Active"/>
    <s v="4558609924|2016-04-15"/>
    <b v="0"/>
  </r>
  <r>
    <n v="4558609924"/>
    <d v="2016-04-16T00:00:00"/>
    <n v="7289"/>
    <n v="4.8200001716613796"/>
    <n v="4.8200001716613796"/>
    <n v="0"/>
    <n v="0.55000001192092896"/>
    <n v="0.75"/>
    <n v="3.5"/>
    <n v="0"/>
    <n v="8"/>
    <n v="12"/>
    <n v="308"/>
    <n v="1112"/>
    <n v="1997"/>
    <x v="1"/>
    <s v="April"/>
    <n v="328"/>
    <n v="1440"/>
    <n v="18.53"/>
    <x v="4"/>
    <s v="Lightly Active"/>
    <s v="4558609924|2016-04-16"/>
    <b v="0"/>
  </r>
  <r>
    <n v="4558609924"/>
    <d v="2016-04-17T00:00:00"/>
    <n v="9634"/>
    <n v="6.4000000953674299"/>
    <n v="6.4000000953674299"/>
    <n v="0"/>
    <n v="0.55000001192092896"/>
    <n v="1.1399999856948899"/>
    <n v="4.71000003814697"/>
    <n v="0"/>
    <n v="7"/>
    <n v="19"/>
    <n v="304"/>
    <n v="1110"/>
    <n v="2117"/>
    <x v="2"/>
    <s v="April"/>
    <n v="330"/>
    <n v="1440"/>
    <n v="18.5"/>
    <x v="3"/>
    <s v="Lightly Active"/>
    <s v="4558609924|2016-04-17"/>
    <b v="0"/>
  </r>
  <r>
    <n v="4558609924"/>
    <d v="2016-04-18T00:00:00"/>
    <n v="8940"/>
    <n v="5.9099998474121103"/>
    <n v="5.9099998474121103"/>
    <n v="0"/>
    <n v="0.980000019073486"/>
    <n v="0.93000000715255704"/>
    <n v="4"/>
    <n v="0"/>
    <n v="14"/>
    <n v="15"/>
    <n v="331"/>
    <n v="1080"/>
    <n v="2116"/>
    <x v="3"/>
    <s v="April"/>
    <n v="360"/>
    <n v="1440"/>
    <n v="18"/>
    <x v="3"/>
    <s v="Lightly Active"/>
    <s v="4558609924|2016-04-18"/>
    <b v="0"/>
  </r>
  <r>
    <n v="4558609924"/>
    <d v="2016-04-19T00:00:00"/>
    <n v="5401"/>
    <n v="3.5699999332428001"/>
    <n v="3.5699999332428001"/>
    <n v="0"/>
    <n v="5.0000000745058101E-2"/>
    <n v="0.36000001430511502"/>
    <n v="3.1600000858306898"/>
    <n v="0"/>
    <n v="1"/>
    <n v="9"/>
    <n v="248"/>
    <n v="1182"/>
    <n v="1876"/>
    <x v="4"/>
    <s v="April"/>
    <n v="258"/>
    <n v="1440"/>
    <n v="19.7"/>
    <x v="4"/>
    <s v="Lightly Active"/>
    <s v="4558609924|2016-04-19"/>
    <b v="0"/>
  </r>
  <r>
    <n v="4558609924"/>
    <d v="2016-04-20T00:00:00"/>
    <n v="4803"/>
    <n v="3.1700000762939502"/>
    <n v="3.1700000762939502"/>
    <n v="0"/>
    <n v="0"/>
    <n v="0"/>
    <n v="3.1700000762939502"/>
    <n v="0"/>
    <n v="0"/>
    <n v="0"/>
    <n v="222"/>
    <n v="1218"/>
    <n v="1788"/>
    <x v="5"/>
    <s v="April"/>
    <n v="222"/>
    <n v="1440"/>
    <n v="20.3"/>
    <x v="2"/>
    <s v="Sedentary"/>
    <s v="4558609924|2016-04-20"/>
    <b v="0"/>
  </r>
  <r>
    <n v="4558609924"/>
    <d v="2016-04-21T00:00:00"/>
    <n v="13743"/>
    <n v="9.0799999237060494"/>
    <n v="9.0799999237060494"/>
    <n v="0"/>
    <n v="0.41999998688697798"/>
    <n v="0.97000002861022905"/>
    <n v="7.6999998092651403"/>
    <n v="0"/>
    <n v="6"/>
    <n v="21"/>
    <n v="432"/>
    <n v="844"/>
    <n v="2486"/>
    <x v="6"/>
    <s v="April"/>
    <n v="459"/>
    <n v="1303"/>
    <n v="14.07"/>
    <x v="1"/>
    <s v="Lightly Active"/>
    <s v="4558609924|2016-04-21"/>
    <b v="1"/>
  </r>
  <r>
    <n v="4558609924"/>
    <d v="2016-04-22T00:00:00"/>
    <n v="9601"/>
    <n v="6.3499999046325701"/>
    <n v="6.3499999046325701"/>
    <n v="0"/>
    <n v="1.37000000476837"/>
    <n v="1.5"/>
    <n v="3.4700000286102299"/>
    <n v="0"/>
    <n v="20"/>
    <n v="25"/>
    <n v="273"/>
    <n v="1122"/>
    <n v="2094"/>
    <x v="0"/>
    <s v="April"/>
    <n v="318"/>
    <n v="1440"/>
    <n v="18.7"/>
    <x v="3"/>
    <s v="Moderately Active"/>
    <s v="4558609924|2016-04-22"/>
    <b v="0"/>
  </r>
  <r>
    <n v="4558609924"/>
    <d v="2016-04-23T00:00:00"/>
    <n v="6890"/>
    <n v="4.5500001907348597"/>
    <n v="4.5500001907348597"/>
    <n v="0"/>
    <n v="0.34000000357627902"/>
    <n v="0.20000000298023199"/>
    <n v="4.0100002288818404"/>
    <n v="0"/>
    <n v="5"/>
    <n v="5"/>
    <n v="308"/>
    <n v="1122"/>
    <n v="2085"/>
    <x v="1"/>
    <s v="April"/>
    <n v="318"/>
    <n v="1440"/>
    <n v="18.7"/>
    <x v="4"/>
    <s v="Lightly Active"/>
    <s v="4558609924|2016-04-23"/>
    <b v="0"/>
  </r>
  <r>
    <n v="4558609924"/>
    <d v="2016-04-24T00:00:00"/>
    <n v="8563"/>
    <n v="5.6599998474121103"/>
    <n v="5.6599998474121103"/>
    <n v="0"/>
    <n v="0"/>
    <n v="0"/>
    <n v="5.6500000953674299"/>
    <n v="0"/>
    <n v="0"/>
    <n v="0"/>
    <n v="395"/>
    <n v="1045"/>
    <n v="2173"/>
    <x v="2"/>
    <s v="April"/>
    <n v="395"/>
    <n v="1440"/>
    <n v="17.420000000000002"/>
    <x v="3"/>
    <s v="Sedentary"/>
    <s v="4558609924|2016-04-24"/>
    <b v="0"/>
  </r>
  <r>
    <n v="4558609924"/>
    <d v="2016-04-25T00:00:00"/>
    <n v="8095"/>
    <n v="5.3499999046325701"/>
    <n v="5.3499999046325701"/>
    <n v="0"/>
    <n v="0.58999997377395597"/>
    <n v="0.25"/>
    <n v="4.5100002288818404"/>
    <n v="0"/>
    <n v="18"/>
    <n v="10"/>
    <n v="340"/>
    <n v="993"/>
    <n v="2225"/>
    <x v="3"/>
    <s v="April"/>
    <n v="368"/>
    <n v="1361"/>
    <n v="16.55"/>
    <x v="3"/>
    <s v="Moderately Active"/>
    <s v="4558609924|2016-04-25"/>
    <b v="0"/>
  </r>
  <r>
    <n v="4558609924"/>
    <d v="2016-04-26T00:00:00"/>
    <n v="9148"/>
    <n v="6.0500001907348597"/>
    <n v="6.0500001907348597"/>
    <n v="0"/>
    <n v="0.43000000715255698"/>
    <n v="2.0299999713897701"/>
    <n v="3.5899999141693102"/>
    <n v="0"/>
    <n v="12"/>
    <n v="41"/>
    <n v="283"/>
    <n v="1062"/>
    <n v="2223"/>
    <x v="4"/>
    <s v="April"/>
    <n v="336"/>
    <n v="1398"/>
    <n v="17.7"/>
    <x v="3"/>
    <s v="Lightly Active"/>
    <s v="4558609924|2016-04-26"/>
    <b v="1"/>
  </r>
  <r>
    <n v="4558609924"/>
    <d v="2016-04-27T00:00:00"/>
    <n v="9557"/>
    <n v="6.3200001716613796"/>
    <n v="6.3200001716613796"/>
    <n v="0"/>
    <n v="1.96000003814697"/>
    <n v="0.88999998569488503"/>
    <n v="3.46000003814697"/>
    <n v="0"/>
    <n v="27"/>
    <n v="14"/>
    <n v="312"/>
    <n v="1087"/>
    <n v="2098"/>
    <x v="5"/>
    <s v="April"/>
    <n v="353"/>
    <n v="1440"/>
    <n v="18.12"/>
    <x v="3"/>
    <s v="Moderately Active"/>
    <s v="4558609924|2016-04-27"/>
    <b v="0"/>
  </r>
  <r>
    <n v="4558609924"/>
    <d v="2016-04-28T00:00:00"/>
    <n v="9451"/>
    <n v="6.25"/>
    <n v="6.25"/>
    <n v="0"/>
    <n v="1.9999999552965199E-2"/>
    <n v="0.270000010728836"/>
    <n v="5.9499998092651403"/>
    <n v="0"/>
    <n v="1"/>
    <n v="11"/>
    <n v="367"/>
    <n v="985"/>
    <n v="2185"/>
    <x v="6"/>
    <s v="April"/>
    <n v="379"/>
    <n v="1364"/>
    <n v="16.420000000000002"/>
    <x v="3"/>
    <s v="Lightly Active"/>
    <s v="4558609924|2016-04-28"/>
    <b v="0"/>
  </r>
  <r>
    <n v="4558609924"/>
    <d v="2016-04-29T00:00:00"/>
    <n v="7833"/>
    <n v="5.1799998283386204"/>
    <n v="5.1799998283386204"/>
    <n v="0"/>
    <n v="1.0199999809265099"/>
    <n v="1.8500000238418599"/>
    <n v="2.3099999427795401"/>
    <n v="0"/>
    <n v="15"/>
    <n v="29"/>
    <n v="197"/>
    <n v="1096"/>
    <n v="1918"/>
    <x v="0"/>
    <s v="April"/>
    <n v="241"/>
    <n v="1337"/>
    <n v="18.27"/>
    <x v="3"/>
    <s v="Moderately Active"/>
    <s v="4558609924|2016-04-29"/>
    <b v="1"/>
  </r>
  <r>
    <n v="4558609924"/>
    <d v="2016-04-30T00:00:00"/>
    <n v="10319"/>
    <n v="6.8200001716613796"/>
    <n v="6.8200001716613796"/>
    <n v="0"/>
    <n v="0.46999999880790699"/>
    <n v="1.8899999856948899"/>
    <n v="4.46000003814697"/>
    <n v="0"/>
    <n v="7"/>
    <n v="29"/>
    <n v="293"/>
    <n v="1111"/>
    <n v="2105"/>
    <x v="1"/>
    <s v="April"/>
    <n v="329"/>
    <n v="1440"/>
    <n v="18.52"/>
    <x v="0"/>
    <s v="Lightly Active"/>
    <s v="4558609924|2016-04-30"/>
    <b v="0"/>
  </r>
  <r>
    <n v="4558609924"/>
    <d v="2016-05-01T00:00:00"/>
    <n v="3428"/>
    <n v="2.2699999809265101"/>
    <n v="2.2699999809265101"/>
    <n v="0"/>
    <n v="0"/>
    <n v="0"/>
    <n v="2.2699999809265101"/>
    <n v="0"/>
    <n v="0"/>
    <n v="0"/>
    <n v="190"/>
    <n v="1121"/>
    <n v="1692"/>
    <x v="2"/>
    <s v="May"/>
    <n v="190"/>
    <n v="1311"/>
    <n v="18.68"/>
    <x v="2"/>
    <s v="Sedentary"/>
    <s v="4558609924|2016-05-01"/>
    <b v="1"/>
  </r>
  <r>
    <n v="4558609924"/>
    <d v="2016-05-02T00:00:00"/>
    <n v="7891"/>
    <n v="5.2199997901916504"/>
    <n v="5.2199997901916504"/>
    <n v="0"/>
    <n v="0"/>
    <n v="0"/>
    <n v="5.2199997901916504"/>
    <n v="0"/>
    <n v="0"/>
    <n v="0"/>
    <n v="383"/>
    <n v="1057"/>
    <n v="2066"/>
    <x v="3"/>
    <s v="May"/>
    <n v="383"/>
    <n v="1440"/>
    <n v="17.62"/>
    <x v="3"/>
    <s v="Sedentary"/>
    <s v="4558609924|2016-05-02"/>
    <b v="0"/>
  </r>
  <r>
    <n v="4558609924"/>
    <d v="2016-05-03T00:00:00"/>
    <n v="5267"/>
    <n v="3.4800000190734899"/>
    <n v="3.4800000190734899"/>
    <n v="0"/>
    <n v="0.60000002384185802"/>
    <n v="0.28000000119209301"/>
    <n v="2.5999999046325701"/>
    <n v="0"/>
    <n v="21"/>
    <n v="10"/>
    <n v="237"/>
    <n v="1172"/>
    <n v="1953"/>
    <x v="4"/>
    <s v="May"/>
    <n v="268"/>
    <n v="1440"/>
    <n v="19.53"/>
    <x v="4"/>
    <s v="Moderately Active"/>
    <s v="4558609924|2016-05-03"/>
    <b v="0"/>
  </r>
  <r>
    <n v="4558609924"/>
    <d v="2016-05-04T00:00:00"/>
    <n v="5232"/>
    <n v="3.46000003814697"/>
    <n v="3.46000003814697"/>
    <n v="0"/>
    <n v="0"/>
    <n v="0"/>
    <n v="3.46000003814697"/>
    <n v="0"/>
    <n v="0"/>
    <n v="0"/>
    <n v="252"/>
    <n v="1188"/>
    <n v="1842"/>
    <x v="5"/>
    <s v="May"/>
    <n v="252"/>
    <n v="1440"/>
    <n v="19.8"/>
    <x v="4"/>
    <s v="Sedentary"/>
    <s v="4558609924|2016-05-04"/>
    <b v="0"/>
  </r>
  <r>
    <n v="4558609924"/>
    <d v="2016-05-05T00:00:00"/>
    <n v="10611"/>
    <n v="7.0100002288818404"/>
    <n v="7.0100002288818404"/>
    <n v="0"/>
    <n v="1.0099999904632599"/>
    <n v="0.5"/>
    <n v="5.5100002288818404"/>
    <n v="0"/>
    <n v="14"/>
    <n v="8"/>
    <n v="370"/>
    <n v="1048"/>
    <n v="2262"/>
    <x v="6"/>
    <s v="May"/>
    <n v="392"/>
    <n v="1440"/>
    <n v="17.47"/>
    <x v="0"/>
    <s v="Lightly Active"/>
    <s v="4558609924|2016-05-05"/>
    <b v="0"/>
  </r>
  <r>
    <n v="4558609924"/>
    <d v="2016-05-06T00:00:00"/>
    <n v="3755"/>
    <n v="2.4800000190734899"/>
    <n v="2.4800000190734899"/>
    <n v="0"/>
    <n v="0"/>
    <n v="0"/>
    <n v="2.4800000190734899"/>
    <n v="0"/>
    <n v="0"/>
    <n v="0"/>
    <n v="202"/>
    <n v="1238"/>
    <n v="1722"/>
    <x v="0"/>
    <s v="May"/>
    <n v="202"/>
    <n v="1440"/>
    <n v="20.63"/>
    <x v="2"/>
    <s v="Sedentary"/>
    <s v="4558609924|2016-05-06"/>
    <b v="0"/>
  </r>
  <r>
    <n v="4558609924"/>
    <d v="2016-05-07T00:00:00"/>
    <n v="8237"/>
    <n v="5.4400000572204599"/>
    <n v="5.4400000572204599"/>
    <n v="0"/>
    <n v="1.6100000143051101"/>
    <n v="1"/>
    <n v="2.8299999237060498"/>
    <n v="0"/>
    <n v="23"/>
    <n v="16"/>
    <n v="233"/>
    <n v="1116"/>
    <n v="1973"/>
    <x v="1"/>
    <s v="May"/>
    <n v="272"/>
    <n v="1388"/>
    <n v="18.600000000000001"/>
    <x v="3"/>
    <s v="Moderately Active"/>
    <s v="4558609924|2016-05-07"/>
    <b v="0"/>
  </r>
  <r>
    <n v="4558609924"/>
    <d v="2016-05-08T00:00:00"/>
    <n v="6543"/>
    <n v="4.3299999237060502"/>
    <n v="4.3299999237060502"/>
    <n v="0"/>
    <n v="1.79999995231628"/>
    <n v="0.5"/>
    <n v="2.0199999809265101"/>
    <n v="0"/>
    <n v="66"/>
    <n v="35"/>
    <n v="238"/>
    <n v="1019"/>
    <n v="2666"/>
    <x v="2"/>
    <s v="May"/>
    <n v="339"/>
    <n v="1358"/>
    <n v="16.98"/>
    <x v="4"/>
    <s v="Very Active"/>
    <s v="4558609924|2016-05-08"/>
    <b v="1"/>
  </r>
  <r>
    <n v="4558609924"/>
    <d v="2016-05-09T00:00:00"/>
    <n v="11451"/>
    <n v="7.5700001716613796"/>
    <n v="7.5700001716613796"/>
    <n v="0"/>
    <n v="0.43000000715255698"/>
    <n v="1.62000000476837"/>
    <n v="5.5199999809265101"/>
    <n v="0"/>
    <n v="6"/>
    <n v="30"/>
    <n v="339"/>
    <n v="1065"/>
    <n v="2223"/>
    <x v="3"/>
    <s v="May"/>
    <n v="375"/>
    <n v="1440"/>
    <n v="17.75"/>
    <x v="0"/>
    <s v="Lightly Active"/>
    <s v="4558609924|2016-05-09"/>
    <b v="0"/>
  </r>
  <r>
    <n v="4558609924"/>
    <d v="2016-05-10T00:00:00"/>
    <n v="6435"/>
    <n v="4.25"/>
    <n v="4.25"/>
    <n v="0"/>
    <n v="0.74000000953674305"/>
    <n v="1.12000000476837"/>
    <n v="2.3900001049041699"/>
    <n v="0"/>
    <n v="11"/>
    <n v="18"/>
    <n v="220"/>
    <n v="1191"/>
    <n v="1889"/>
    <x v="4"/>
    <s v="May"/>
    <n v="249"/>
    <n v="1440"/>
    <n v="19.850000000000001"/>
    <x v="4"/>
    <s v="Lightly Active"/>
    <s v="4558609924|2016-05-10"/>
    <b v="0"/>
  </r>
  <r>
    <n v="4558609924"/>
    <d v="2016-05-11T00:00:00"/>
    <n v="9108"/>
    <n v="6.0199999809265101"/>
    <n v="6.0199999809265101"/>
    <n v="0"/>
    <n v="0.259999990463257"/>
    <n v="1.8200000524520901"/>
    <n v="3.9400000572204599"/>
    <n v="0"/>
    <n v="4"/>
    <n v="31"/>
    <n v="324"/>
    <n v="1081"/>
    <n v="2131"/>
    <x v="5"/>
    <s v="May"/>
    <n v="359"/>
    <n v="1440"/>
    <n v="18.02"/>
    <x v="3"/>
    <s v="Lightly Active"/>
    <s v="4558609924|2016-05-11"/>
    <b v="0"/>
  </r>
  <r>
    <n v="4558609924"/>
    <d v="2016-05-12T00:00:00"/>
    <n v="6307"/>
    <n v="4.1700000762939498"/>
    <n v="4.1700000762939498"/>
    <n v="0"/>
    <n v="0"/>
    <n v="0"/>
    <n v="4.1700000762939498"/>
    <n v="0"/>
    <n v="0"/>
    <n v="0"/>
    <n v="247"/>
    <n v="736"/>
    <n v="1452"/>
    <x v="6"/>
    <s v="May"/>
    <n v="247"/>
    <n v="983"/>
    <n v="12.27"/>
    <x v="4"/>
    <s v="Sedentary"/>
    <s v="4558609924|2016-05-12"/>
    <b v="0"/>
  </r>
  <r>
    <n v="4702921684"/>
    <d v="2016-04-13T00:00:00"/>
    <n v="6877"/>
    <n v="5.5799999237060502"/>
    <n v="5.5799999237060502"/>
    <n v="0"/>
    <n v="0"/>
    <n v="0"/>
    <n v="5.5799999237060502"/>
    <n v="0"/>
    <n v="0"/>
    <n v="0"/>
    <n v="258"/>
    <n v="777"/>
    <n v="2898"/>
    <x v="5"/>
    <s v="April"/>
    <n v="258"/>
    <n v="1035"/>
    <n v="12.95"/>
    <x v="4"/>
    <s v="Sedentary"/>
    <s v="4702921684|2016-04-13"/>
    <b v="1"/>
  </r>
  <r>
    <n v="4702921684"/>
    <d v="2016-04-14T00:00:00"/>
    <n v="7860"/>
    <n v="6.3699998855590803"/>
    <n v="6.3699998855590803"/>
    <n v="0"/>
    <n v="0"/>
    <n v="0"/>
    <n v="6.3699998855590803"/>
    <n v="0"/>
    <n v="0"/>
    <n v="0"/>
    <n v="271"/>
    <n v="772"/>
    <n v="2984"/>
    <x v="6"/>
    <s v="April"/>
    <n v="271"/>
    <n v="1043"/>
    <n v="12.87"/>
    <x v="3"/>
    <s v="Sedentary"/>
    <s v="4702921684|2016-04-14"/>
    <b v="1"/>
  </r>
  <r>
    <n v="4702921684"/>
    <d v="2016-04-15T00:00:00"/>
    <n v="6506"/>
    <n v="5.2800002098083496"/>
    <n v="5.2800002098083496"/>
    <n v="0"/>
    <n v="7.0000000298023196E-2"/>
    <n v="0.41999998688697798"/>
    <n v="4.78999996185303"/>
    <n v="0"/>
    <n v="1"/>
    <n v="8"/>
    <n v="256"/>
    <n v="944"/>
    <n v="2896"/>
    <x v="0"/>
    <s v="April"/>
    <n v="265"/>
    <n v="1209"/>
    <n v="15.73"/>
    <x v="4"/>
    <s v="Lightly Active"/>
    <s v="4702921684|2016-04-15"/>
    <b v="1"/>
  </r>
  <r>
    <n v="4702921684"/>
    <d v="2016-04-16T00:00:00"/>
    <n v="11140"/>
    <n v="9.0299997329711896"/>
    <n v="9.0299997329711896"/>
    <n v="0"/>
    <n v="0.239999994635582"/>
    <n v="1.25"/>
    <n v="7.53999996185303"/>
    <n v="0"/>
    <n v="3"/>
    <n v="24"/>
    <n v="335"/>
    <n v="556"/>
    <n v="3328"/>
    <x v="1"/>
    <s v="April"/>
    <n v="362"/>
    <n v="918"/>
    <n v="9.27"/>
    <x v="0"/>
    <s v="Lightly Active"/>
    <s v="4702921684|2016-04-16"/>
    <b v="1"/>
  </r>
  <r>
    <n v="4702921684"/>
    <d v="2016-04-17T00:00:00"/>
    <n v="12692"/>
    <n v="10.289999961853001"/>
    <n v="10.289999961853001"/>
    <n v="0"/>
    <n v="0.95999997854232799"/>
    <n v="3.46000003814697"/>
    <n v="5.8800001144409197"/>
    <n v="0"/>
    <n v="12"/>
    <n v="66"/>
    <n v="302"/>
    <n v="437"/>
    <n v="3394"/>
    <x v="2"/>
    <s v="April"/>
    <n v="380"/>
    <n v="817"/>
    <n v="7.28"/>
    <x v="1"/>
    <s v="Lightly Active"/>
    <s v="4702921684|2016-04-17"/>
    <b v="1"/>
  </r>
  <r>
    <n v="4702921684"/>
    <d v="2016-04-18T00:00:00"/>
    <n v="9105"/>
    <n v="7.3800001144409197"/>
    <n v="7.3800001144409197"/>
    <n v="0"/>
    <n v="1.8200000524520901"/>
    <n v="1.4900000095367401"/>
    <n v="4.0700001716613796"/>
    <n v="0"/>
    <n v="22"/>
    <n v="30"/>
    <n v="191"/>
    <n v="890"/>
    <n v="3013"/>
    <x v="3"/>
    <s v="April"/>
    <n v="243"/>
    <n v="1133"/>
    <n v="14.83"/>
    <x v="3"/>
    <s v="Moderately Active"/>
    <s v="4702921684|2016-04-18"/>
    <b v="1"/>
  </r>
  <r>
    <n v="4702921684"/>
    <d v="2016-04-19T00:00:00"/>
    <n v="6708"/>
    <n v="5.4400000572204599"/>
    <n v="5.4400000572204599"/>
    <n v="0"/>
    <n v="0.87999999523162797"/>
    <n v="0.37000000476837203"/>
    <n v="4.1900000572204599"/>
    <n v="0"/>
    <n v="10"/>
    <n v="8"/>
    <n v="179"/>
    <n v="757"/>
    <n v="2812"/>
    <x v="4"/>
    <s v="April"/>
    <n v="197"/>
    <n v="954"/>
    <n v="12.62"/>
    <x v="4"/>
    <s v="Lightly Active"/>
    <s v="4702921684|2016-04-19"/>
    <b v="1"/>
  </r>
  <r>
    <n v="4702921684"/>
    <d v="2016-04-20T00:00:00"/>
    <n v="8793"/>
    <n v="7.1300001144409197"/>
    <n v="7.1300001144409197"/>
    <n v="0"/>
    <n v="0.15999999642372101"/>
    <n v="1.2300000190734901"/>
    <n v="5.7300000190734899"/>
    <n v="0"/>
    <n v="2"/>
    <n v="29"/>
    <n v="260"/>
    <n v="717"/>
    <n v="3061"/>
    <x v="5"/>
    <s v="April"/>
    <n v="291"/>
    <n v="1008"/>
    <n v="11.95"/>
    <x v="3"/>
    <s v="Lightly Active"/>
    <s v="4702921684|2016-04-20"/>
    <b v="1"/>
  </r>
  <r>
    <n v="4702921684"/>
    <d v="2016-04-21T00:00:00"/>
    <n v="6530"/>
    <n v="5.3000001907348597"/>
    <n v="5.3000001907348597"/>
    <n v="0"/>
    <n v="0.31000000238418601"/>
    <n v="2.0499999523162802"/>
    <n v="2.9400000572204599"/>
    <n v="0"/>
    <n v="4"/>
    <n v="41"/>
    <n v="144"/>
    <n v="901"/>
    <n v="2729"/>
    <x v="6"/>
    <s v="April"/>
    <n v="189"/>
    <n v="1090"/>
    <n v="15.02"/>
    <x v="4"/>
    <s v="Lightly Active"/>
    <s v="4702921684|2016-04-21"/>
    <b v="1"/>
  </r>
  <r>
    <n v="4702921684"/>
    <d v="2016-04-22T00:00:00"/>
    <n v="1664"/>
    <n v="1.3500000238418599"/>
    <n v="1.3500000238418599"/>
    <n v="0"/>
    <n v="0"/>
    <n v="0"/>
    <n v="1.3500000238418599"/>
    <n v="0"/>
    <n v="0"/>
    <n v="0"/>
    <n v="72"/>
    <n v="1341"/>
    <n v="2241"/>
    <x v="0"/>
    <s v="April"/>
    <n v="72"/>
    <n v="1413"/>
    <n v="22.35"/>
    <x v="2"/>
    <s v="Sedentary"/>
    <s v="4702921684|2016-04-22"/>
    <b v="0"/>
  </r>
  <r>
    <n v="4702921684"/>
    <d v="2016-04-23T00:00:00"/>
    <n v="15126"/>
    <n v="12.2700004577637"/>
    <n v="12.2700004577637"/>
    <n v="0"/>
    <n v="0.75999999046325695"/>
    <n v="3.2400000095367401"/>
    <n v="8.2700004577636701"/>
    <n v="0"/>
    <n v="9"/>
    <n v="66"/>
    <n v="408"/>
    <n v="469"/>
    <n v="3691"/>
    <x v="1"/>
    <s v="April"/>
    <n v="483"/>
    <n v="952"/>
    <n v="7.82"/>
    <x v="1"/>
    <s v="Lightly Active"/>
    <s v="4702921684|2016-04-23"/>
    <b v="1"/>
  </r>
  <r>
    <n v="4702921684"/>
    <d v="2016-04-24T00:00:00"/>
    <n v="15050"/>
    <n v="12.2200002670288"/>
    <n v="12.2200002670288"/>
    <n v="0"/>
    <n v="1.20000004768372"/>
    <n v="5.1199998855590803"/>
    <n v="5.8800001144409197"/>
    <n v="0"/>
    <n v="15"/>
    <n v="95"/>
    <n v="281"/>
    <n v="542"/>
    <n v="3538"/>
    <x v="2"/>
    <s v="April"/>
    <n v="391"/>
    <n v="933"/>
    <n v="9.0299999999999994"/>
    <x v="1"/>
    <s v="Moderately Active"/>
    <s v="4702921684|2016-04-24"/>
    <b v="1"/>
  </r>
  <r>
    <n v="4702921684"/>
    <d v="2016-04-25T00:00:00"/>
    <n v="9167"/>
    <n v="7.4299998283386204"/>
    <n v="7.4299998283386204"/>
    <n v="0"/>
    <n v="0.490000009536743"/>
    <n v="0.81999999284744296"/>
    <n v="6.1100001335143999"/>
    <n v="0"/>
    <n v="6"/>
    <n v="15"/>
    <n v="270"/>
    <n v="730"/>
    <n v="3064"/>
    <x v="3"/>
    <s v="April"/>
    <n v="291"/>
    <n v="1021"/>
    <n v="12.17"/>
    <x v="3"/>
    <s v="Lightly Active"/>
    <s v="4702921684|2016-04-25"/>
    <b v="1"/>
  </r>
  <r>
    <n v="4702921684"/>
    <d v="2016-04-26T00:00:00"/>
    <n v="6108"/>
    <n v="4.9499998092651403"/>
    <n v="4.9499998092651403"/>
    <n v="0"/>
    <n v="7.0000000298023196E-2"/>
    <n v="0.34999999403953602"/>
    <n v="4.53999996185303"/>
    <n v="0"/>
    <n v="1"/>
    <n v="8"/>
    <n v="216"/>
    <n v="765"/>
    <n v="2784"/>
    <x v="4"/>
    <s v="April"/>
    <n v="225"/>
    <n v="990"/>
    <n v="12.75"/>
    <x v="4"/>
    <s v="Lightly Active"/>
    <s v="4702921684|2016-04-26"/>
    <b v="1"/>
  </r>
  <r>
    <n v="4702921684"/>
    <d v="2016-04-27T00:00:00"/>
    <n v="7047"/>
    <n v="5.7199997901916504"/>
    <n v="5.7199997901916504"/>
    <n v="0"/>
    <n v="9.00000035762787E-2"/>
    <n v="0.80000001192092896"/>
    <n v="4.7800002098083496"/>
    <n v="0"/>
    <n v="1"/>
    <n v="16"/>
    <n v="238"/>
    <n v="733"/>
    <n v="2908"/>
    <x v="5"/>
    <s v="April"/>
    <n v="255"/>
    <n v="988"/>
    <n v="12.22"/>
    <x v="4"/>
    <s v="Lightly Active"/>
    <s v="4702921684|2016-04-27"/>
    <b v="1"/>
  </r>
  <r>
    <n v="4702921684"/>
    <d v="2016-04-28T00:00:00"/>
    <n v="9023"/>
    <n v="7.3200001716613796"/>
    <n v="7.3200001716613796"/>
    <n v="0"/>
    <n v="1.12999999523163"/>
    <n v="0.41999998688697798"/>
    <n v="5.7699999809265101"/>
    <n v="0"/>
    <n v="14"/>
    <n v="9"/>
    <n v="232"/>
    <n v="738"/>
    <n v="3033"/>
    <x v="6"/>
    <s v="April"/>
    <n v="255"/>
    <n v="993"/>
    <n v="12.3"/>
    <x v="3"/>
    <s v="Lightly Active"/>
    <s v="4702921684|2016-04-28"/>
    <b v="1"/>
  </r>
  <r>
    <n v="4702921684"/>
    <d v="2016-04-29T00:00:00"/>
    <n v="9930"/>
    <n v="8.0500001907348597"/>
    <n v="8.0500001907348597"/>
    <n v="0"/>
    <n v="1.0599999427795399"/>
    <n v="0.92000001668930098"/>
    <n v="6.0700001716613796"/>
    <n v="0"/>
    <n v="12"/>
    <n v="19"/>
    <n v="267"/>
    <n v="692"/>
    <n v="3165"/>
    <x v="0"/>
    <s v="April"/>
    <n v="298"/>
    <n v="990"/>
    <n v="11.53"/>
    <x v="3"/>
    <s v="Lightly Active"/>
    <s v="4702921684|2016-04-29"/>
    <b v="1"/>
  </r>
  <r>
    <n v="4702921684"/>
    <d v="2016-04-30T00:00:00"/>
    <n v="10144"/>
    <n v="8.2299995422363299"/>
    <n v="8.2299995422363299"/>
    <n v="0"/>
    <n v="0.31999999284744302"/>
    <n v="2.0299999713897701"/>
    <n v="5.8800001144409197"/>
    <n v="0"/>
    <n v="4"/>
    <n v="36"/>
    <n v="263"/>
    <n v="728"/>
    <n v="3115"/>
    <x v="1"/>
    <s v="April"/>
    <n v="303"/>
    <n v="1031"/>
    <n v="12.13"/>
    <x v="0"/>
    <s v="Lightly Active"/>
    <s v="4702921684|2016-04-30"/>
    <b v="1"/>
  </r>
  <r>
    <n v="4702921684"/>
    <d v="2016-05-01T00:00:00"/>
    <n v="0"/>
    <n v="0"/>
    <n v="0"/>
    <n v="0"/>
    <n v="0"/>
    <n v="0"/>
    <n v="0"/>
    <n v="0"/>
    <n v="0"/>
    <n v="0"/>
    <n v="0"/>
    <n v="1440"/>
    <n v="2017"/>
    <x v="2"/>
    <s v="May"/>
    <n v="0"/>
    <n v="1440"/>
    <n v="24"/>
    <x v="2"/>
    <s v="Sedentary"/>
    <s v="4702921684|2016-05-01"/>
    <b v="0"/>
  </r>
  <r>
    <n v="4702921684"/>
    <d v="2016-05-02T00:00:00"/>
    <n v="7245"/>
    <n v="5.9200000762939498"/>
    <n v="5.9200000762939498"/>
    <n v="0"/>
    <n v="0.37999999523162797"/>
    <n v="1.7400000095367401"/>
    <n v="3.7599999904632599"/>
    <n v="0"/>
    <n v="5"/>
    <n v="40"/>
    <n v="195"/>
    <n v="1131"/>
    <n v="2859"/>
    <x v="3"/>
    <s v="May"/>
    <n v="240"/>
    <n v="1371"/>
    <n v="18.850000000000001"/>
    <x v="4"/>
    <s v="Lightly Active"/>
    <s v="4702921684|2016-05-02"/>
    <b v="0"/>
  </r>
  <r>
    <n v="4702921684"/>
    <d v="2016-05-03T00:00:00"/>
    <n v="9454"/>
    <n v="7.6700000762939498"/>
    <n v="7.6700000762939498"/>
    <n v="0"/>
    <n v="0"/>
    <n v="0"/>
    <n v="7.6700000762939498"/>
    <n v="0"/>
    <n v="0"/>
    <n v="0"/>
    <n v="313"/>
    <n v="729"/>
    <n v="3145"/>
    <x v="4"/>
    <s v="May"/>
    <n v="313"/>
    <n v="1042"/>
    <n v="12.15"/>
    <x v="3"/>
    <s v="Sedentary"/>
    <s v="4702921684|2016-05-03"/>
    <b v="1"/>
  </r>
  <r>
    <n v="4702921684"/>
    <d v="2016-05-04T00:00:00"/>
    <n v="8161"/>
    <n v="6.6199998855590803"/>
    <n v="6.6199998855590803"/>
    <n v="0"/>
    <n v="0.34000000357627902"/>
    <n v="0.730000019073486"/>
    <n v="5.53999996185303"/>
    <n v="0"/>
    <n v="4"/>
    <n v="15"/>
    <n v="251"/>
    <n v="757"/>
    <n v="3004"/>
    <x v="5"/>
    <s v="May"/>
    <n v="270"/>
    <n v="1027"/>
    <n v="12.62"/>
    <x v="3"/>
    <s v="Lightly Active"/>
    <s v="4702921684|2016-05-04"/>
    <b v="1"/>
  </r>
  <r>
    <n v="4702921684"/>
    <d v="2016-05-05T00:00:00"/>
    <n v="8614"/>
    <n v="6.9899997711181596"/>
    <n v="6.9899997711181596"/>
    <n v="0"/>
    <n v="0.67000001668930098"/>
    <n v="0.21999999880790699"/>
    <n v="6.0900001525878897"/>
    <n v="0"/>
    <n v="8"/>
    <n v="5"/>
    <n v="241"/>
    <n v="745"/>
    <n v="3006"/>
    <x v="6"/>
    <s v="May"/>
    <n v="254"/>
    <n v="999"/>
    <n v="12.42"/>
    <x v="3"/>
    <s v="Lightly Active"/>
    <s v="4702921684|2016-05-05"/>
    <b v="1"/>
  </r>
  <r>
    <n v="4702921684"/>
    <d v="2016-05-06T00:00:00"/>
    <n v="6943"/>
    <n v="5.6300001144409197"/>
    <n v="5.6300001144409197"/>
    <n v="0"/>
    <n v="7.9999998211860698E-2"/>
    <n v="0.66000002622604403"/>
    <n v="4.8699998855590803"/>
    <n v="0"/>
    <n v="1"/>
    <n v="16"/>
    <n v="207"/>
    <n v="682"/>
    <n v="2859"/>
    <x v="0"/>
    <s v="May"/>
    <n v="224"/>
    <n v="906"/>
    <n v="11.37"/>
    <x v="4"/>
    <s v="Lightly Active"/>
    <s v="4702921684|2016-05-06"/>
    <b v="1"/>
  </r>
  <r>
    <n v="4702921684"/>
    <d v="2016-05-07T00:00:00"/>
    <n v="14370"/>
    <n v="11.6499996185303"/>
    <n v="11.6499996185303"/>
    <n v="0"/>
    <n v="0.37000000476837203"/>
    <n v="2.3099999427795401"/>
    <n v="8.9700002670288104"/>
    <n v="0"/>
    <n v="5"/>
    <n v="46"/>
    <n v="439"/>
    <n v="577"/>
    <n v="3683"/>
    <x v="1"/>
    <s v="May"/>
    <n v="490"/>
    <n v="1067"/>
    <n v="9.6199999999999992"/>
    <x v="1"/>
    <s v="Lightly Active"/>
    <s v="4702921684|2016-05-07"/>
    <b v="1"/>
  </r>
  <r>
    <n v="4702921684"/>
    <d v="2016-05-08T00:00:00"/>
    <n v="12857"/>
    <n v="10.430000305175801"/>
    <n v="10.430000305175801"/>
    <n v="0"/>
    <n v="0.68000000715255704"/>
    <n v="6.21000003814697"/>
    <n v="3.53999996185303"/>
    <n v="0"/>
    <n v="9"/>
    <n v="125"/>
    <n v="192"/>
    <n v="1019"/>
    <n v="3287"/>
    <x v="2"/>
    <s v="May"/>
    <n v="326"/>
    <n v="1345"/>
    <n v="16.98"/>
    <x v="1"/>
    <s v="Lightly Active"/>
    <s v="4702921684|2016-05-08"/>
    <b v="0"/>
  </r>
  <r>
    <n v="4702921684"/>
    <d v="2016-05-09T00:00:00"/>
    <n v="8232"/>
    <n v="6.6799998283386204"/>
    <n v="6.6799998283386204"/>
    <n v="0"/>
    <n v="0"/>
    <n v="0.56999999284744296"/>
    <n v="6.0999999046325701"/>
    <n v="0"/>
    <n v="0"/>
    <n v="12"/>
    <n v="253"/>
    <n v="746"/>
    <n v="2990"/>
    <x v="3"/>
    <s v="May"/>
    <n v="265"/>
    <n v="1011"/>
    <n v="12.43"/>
    <x v="3"/>
    <s v="Sedentary"/>
    <s v="4702921684|2016-05-09"/>
    <b v="1"/>
  </r>
  <r>
    <n v="4702921684"/>
    <d v="2016-05-10T00:00:00"/>
    <n v="10613"/>
    <n v="8.6099996566772496"/>
    <n v="8.6099996566772496"/>
    <n v="0"/>
    <n v="7.9999998211860698E-2"/>
    <n v="1.87999999523163"/>
    <n v="6.6500000953674299"/>
    <n v="0"/>
    <n v="1"/>
    <n v="37"/>
    <n v="262"/>
    <n v="701"/>
    <n v="3172"/>
    <x v="4"/>
    <s v="May"/>
    <n v="300"/>
    <n v="1001"/>
    <n v="11.68"/>
    <x v="0"/>
    <s v="Lightly Active"/>
    <s v="4702921684|2016-05-10"/>
    <b v="1"/>
  </r>
  <r>
    <n v="4702921684"/>
    <d v="2016-05-11T00:00:00"/>
    <n v="9810"/>
    <n v="7.96000003814697"/>
    <n v="7.96000003814697"/>
    <n v="0"/>
    <n v="0.77999997138977095"/>
    <n v="2.1600000858306898"/>
    <n v="4.9800000190734899"/>
    <n v="0"/>
    <n v="10"/>
    <n v="41"/>
    <n v="235"/>
    <n v="784"/>
    <n v="3069"/>
    <x v="5"/>
    <s v="May"/>
    <n v="286"/>
    <n v="1070"/>
    <n v="13.07"/>
    <x v="3"/>
    <s v="Lightly Active"/>
    <s v="4702921684|2016-05-11"/>
    <b v="1"/>
  </r>
  <r>
    <n v="4702921684"/>
    <d v="2016-05-12T00:00:00"/>
    <n v="2752"/>
    <n v="2.2300000190734899"/>
    <n v="2.2300000190734899"/>
    <n v="0"/>
    <n v="0"/>
    <n v="0"/>
    <n v="2.2300000190734899"/>
    <n v="0"/>
    <n v="0"/>
    <n v="0"/>
    <n v="68"/>
    <n v="241"/>
    <n v="1240"/>
    <x v="6"/>
    <s v="May"/>
    <n v="68"/>
    <n v="309"/>
    <n v="4.0199999999999996"/>
    <x v="2"/>
    <s v="Sedentary"/>
    <s v="4702921684|2016-05-12"/>
    <b v="1"/>
  </r>
  <r>
    <n v="5553957443"/>
    <d v="2016-04-13T00:00:00"/>
    <n v="4832"/>
    <n v="3.1600000858306898"/>
    <n v="3.1600000858306898"/>
    <n v="0"/>
    <n v="0"/>
    <n v="0"/>
    <n v="3.1600000858306898"/>
    <n v="0"/>
    <n v="0"/>
    <n v="0"/>
    <n v="226"/>
    <n v="647"/>
    <n v="1718"/>
    <x v="5"/>
    <s v="April"/>
    <n v="226"/>
    <n v="873"/>
    <n v="10.78"/>
    <x v="2"/>
    <s v="Sedentary"/>
    <s v="5553957443|2016-04-13"/>
    <b v="1"/>
  </r>
  <r>
    <n v="5553957443"/>
    <d v="2016-04-14T00:00:00"/>
    <n v="17022"/>
    <n v="11.1199998855591"/>
    <n v="11.1199998855591"/>
    <n v="0"/>
    <n v="4"/>
    <n v="2.4500000476837198"/>
    <n v="4.6700000762939498"/>
    <n v="0"/>
    <n v="61"/>
    <n v="41"/>
    <n v="256"/>
    <n v="693"/>
    <n v="2324"/>
    <x v="6"/>
    <s v="April"/>
    <n v="358"/>
    <n v="1051"/>
    <n v="11.55"/>
    <x v="1"/>
    <s v="Very Active"/>
    <s v="5553957443|2016-04-14"/>
    <b v="1"/>
  </r>
  <r>
    <n v="5553957443"/>
    <d v="2016-04-15T00:00:00"/>
    <n v="16556"/>
    <n v="10.8599996566772"/>
    <n v="10.8599996566772"/>
    <n v="0"/>
    <n v="4.1599998474121103"/>
    <n v="1.9800000190734901"/>
    <n v="4.71000003814697"/>
    <n v="0"/>
    <n v="58"/>
    <n v="38"/>
    <n v="239"/>
    <n v="689"/>
    <n v="2254"/>
    <x v="0"/>
    <s v="April"/>
    <n v="335"/>
    <n v="1024"/>
    <n v="11.48"/>
    <x v="1"/>
    <s v="Very Active"/>
    <s v="5553957443|2016-04-15"/>
    <b v="1"/>
  </r>
  <r>
    <n v="5553957443"/>
    <d v="2016-04-16T00:00:00"/>
    <n v="5771"/>
    <n v="3.7699999809265101"/>
    <n v="3.7699999809265101"/>
    <n v="0"/>
    <n v="0"/>
    <n v="0"/>
    <n v="3.7699999809265101"/>
    <n v="0"/>
    <n v="0"/>
    <n v="0"/>
    <n v="288"/>
    <n v="521"/>
    <n v="1831"/>
    <x v="1"/>
    <s v="April"/>
    <n v="288"/>
    <n v="809"/>
    <n v="8.68"/>
    <x v="4"/>
    <s v="Sedentary"/>
    <s v="5553957443|2016-04-16"/>
    <b v="1"/>
  </r>
  <r>
    <n v="5553957443"/>
    <d v="2016-04-17T00:00:00"/>
    <n v="655"/>
    <n v="0.43000000715255698"/>
    <n v="0.43000000715255698"/>
    <n v="0"/>
    <n v="0"/>
    <n v="0"/>
    <n v="0.43000000715255698"/>
    <n v="0"/>
    <n v="0"/>
    <n v="0"/>
    <n v="46"/>
    <n v="943"/>
    <n v="1397"/>
    <x v="2"/>
    <s v="April"/>
    <n v="46"/>
    <n v="989"/>
    <n v="15.72"/>
    <x v="2"/>
    <s v="Sedentary"/>
    <s v="5553957443|2016-04-17"/>
    <b v="1"/>
  </r>
  <r>
    <n v="5553957443"/>
    <d v="2016-04-18T00:00:00"/>
    <n v="3727"/>
    <n v="2.4300000667571999"/>
    <n v="2.4300000667571999"/>
    <n v="0"/>
    <n v="0"/>
    <n v="0"/>
    <n v="2.4300000667571999"/>
    <n v="0"/>
    <n v="0"/>
    <n v="0"/>
    <n v="206"/>
    <n v="622"/>
    <n v="1683"/>
    <x v="3"/>
    <s v="April"/>
    <n v="206"/>
    <n v="828"/>
    <n v="10.37"/>
    <x v="2"/>
    <s v="Sedentary"/>
    <s v="5553957443|2016-04-18"/>
    <b v="1"/>
  </r>
  <r>
    <n v="5553957443"/>
    <d v="2016-04-19T00:00:00"/>
    <n v="15482"/>
    <n v="10.1099996566772"/>
    <n v="10.1099996566772"/>
    <n v="0"/>
    <n v="4.2800002098083496"/>
    <n v="1.6599999666214"/>
    <n v="4.1799998283386204"/>
    <n v="0"/>
    <n v="69"/>
    <n v="28"/>
    <n v="249"/>
    <n v="756"/>
    <n v="2284"/>
    <x v="4"/>
    <s v="April"/>
    <n v="346"/>
    <n v="1102"/>
    <n v="12.6"/>
    <x v="1"/>
    <s v="Very Active"/>
    <s v="5553957443|2016-04-19"/>
    <b v="1"/>
  </r>
  <r>
    <n v="5553957443"/>
    <d v="2016-04-20T00:00:00"/>
    <n v="2713"/>
    <n v="1.7699999809265099"/>
    <n v="1.7699999809265099"/>
    <n v="0"/>
    <n v="0"/>
    <n v="0"/>
    <n v="1.7699999809265099"/>
    <n v="0"/>
    <n v="0"/>
    <n v="0"/>
    <n v="148"/>
    <n v="598"/>
    <n v="1570"/>
    <x v="5"/>
    <s v="April"/>
    <n v="148"/>
    <n v="746"/>
    <n v="9.9700000000000006"/>
    <x v="2"/>
    <s v="Sedentary"/>
    <s v="5553957443|2016-04-20"/>
    <b v="1"/>
  </r>
  <r>
    <n v="5553957443"/>
    <d v="2016-04-21T00:00:00"/>
    <n v="12346"/>
    <n v="8.0600004196166992"/>
    <n v="8.0600004196166992"/>
    <n v="0"/>
    <n v="2.9500000476837198"/>
    <n v="2.1600000858306898"/>
    <n v="2.96000003814697"/>
    <n v="0"/>
    <n v="47"/>
    <n v="42"/>
    <n v="177"/>
    <n v="801"/>
    <n v="2066"/>
    <x v="6"/>
    <s v="April"/>
    <n v="266"/>
    <n v="1067"/>
    <n v="13.35"/>
    <x v="0"/>
    <s v="Very Active"/>
    <s v="5553957443|2016-04-21"/>
    <b v="1"/>
  </r>
  <r>
    <n v="5553957443"/>
    <d v="2016-04-22T00:00:00"/>
    <n v="11682"/>
    <n v="7.6300001144409197"/>
    <n v="7.6300001144409197"/>
    <n v="0"/>
    <n v="1.37999999523163"/>
    <n v="0.62999999523162797"/>
    <n v="5.5999999046325701"/>
    <n v="0"/>
    <n v="25"/>
    <n v="16"/>
    <n v="270"/>
    <n v="781"/>
    <n v="2105"/>
    <x v="0"/>
    <s v="April"/>
    <n v="311"/>
    <n v="1092"/>
    <n v="13.02"/>
    <x v="0"/>
    <s v="Moderately Active"/>
    <s v="5553957443|2016-04-22"/>
    <b v="1"/>
  </r>
  <r>
    <n v="5553957443"/>
    <d v="2016-04-23T00:00:00"/>
    <n v="4112"/>
    <n v="2.6900000572204599"/>
    <n v="2.6900000572204599"/>
    <n v="0"/>
    <n v="0"/>
    <n v="0"/>
    <n v="2.6800000667571999"/>
    <n v="0"/>
    <n v="0"/>
    <n v="0"/>
    <n v="272"/>
    <n v="443"/>
    <n v="1776"/>
    <x v="1"/>
    <s v="April"/>
    <n v="272"/>
    <n v="715"/>
    <n v="7.38"/>
    <x v="2"/>
    <s v="Sedentary"/>
    <s v="5553957443|2016-04-23"/>
    <b v="1"/>
  </r>
  <r>
    <n v="5553957443"/>
    <d v="2016-04-24T00:00:00"/>
    <n v="1807"/>
    <n v="1.1799999475479099"/>
    <n v="1.1799999475479099"/>
    <n v="0"/>
    <n v="0"/>
    <n v="0"/>
    <n v="1.1799999475479099"/>
    <n v="0"/>
    <n v="0"/>
    <n v="0"/>
    <n v="104"/>
    <n v="582"/>
    <n v="1507"/>
    <x v="2"/>
    <s v="April"/>
    <n v="104"/>
    <n v="686"/>
    <n v="9.6999999999999993"/>
    <x v="2"/>
    <s v="Sedentary"/>
    <s v="5553957443|2016-04-24"/>
    <b v="1"/>
  </r>
  <r>
    <n v="5553957443"/>
    <d v="2016-04-25T00:00:00"/>
    <n v="10946"/>
    <n v="7.1900000572204599"/>
    <n v="7.1900000572204599"/>
    <n v="0"/>
    <n v="2.9300000667571999"/>
    <n v="0.56999999284744296"/>
    <n v="3.6900000572204599"/>
    <n v="0"/>
    <n v="51"/>
    <n v="11"/>
    <n v="201"/>
    <n v="732"/>
    <n v="2033"/>
    <x v="3"/>
    <s v="April"/>
    <n v="263"/>
    <n v="995"/>
    <n v="12.2"/>
    <x v="0"/>
    <s v="Very Active"/>
    <s v="5553957443|2016-04-25"/>
    <b v="1"/>
  </r>
  <r>
    <n v="5553957443"/>
    <d v="2016-04-26T00:00:00"/>
    <n v="11886"/>
    <n v="7.7600002288818404"/>
    <n v="7.7600002288818404"/>
    <n v="0"/>
    <n v="2.3699998855590798"/>
    <n v="0.93000000715255704"/>
    <n v="4.46000003814697"/>
    <n v="0"/>
    <n v="40"/>
    <n v="18"/>
    <n v="238"/>
    <n v="750"/>
    <n v="2093"/>
    <x v="4"/>
    <s v="April"/>
    <n v="296"/>
    <n v="1046"/>
    <n v="12.5"/>
    <x v="0"/>
    <s v="Very Active"/>
    <s v="5553957443|2016-04-26"/>
    <b v="1"/>
  </r>
  <r>
    <n v="5553957443"/>
    <d v="2016-04-27T00:00:00"/>
    <n v="10538"/>
    <n v="6.8800001144409197"/>
    <n v="6.8800001144409197"/>
    <n v="0"/>
    <n v="1.1399999856948899"/>
    <n v="1"/>
    <n v="4.7399997711181596"/>
    <n v="0"/>
    <n v="16"/>
    <n v="16"/>
    <n v="206"/>
    <n v="745"/>
    <n v="1922"/>
    <x v="5"/>
    <s v="April"/>
    <n v="238"/>
    <n v="983"/>
    <n v="12.42"/>
    <x v="0"/>
    <s v="Moderately Active"/>
    <s v="5553957443|2016-04-27"/>
    <b v="1"/>
  </r>
  <r>
    <n v="5553957443"/>
    <d v="2016-04-28T00:00:00"/>
    <n v="11393"/>
    <n v="7.6300001144409197"/>
    <n v="7.6300001144409197"/>
    <n v="0"/>
    <n v="3.71000003814697"/>
    <n v="0.75"/>
    <n v="3.1700000762939502"/>
    <n v="0"/>
    <n v="49"/>
    <n v="13"/>
    <n v="165"/>
    <n v="727"/>
    <n v="1999"/>
    <x v="6"/>
    <s v="April"/>
    <n v="227"/>
    <n v="954"/>
    <n v="12.12"/>
    <x v="0"/>
    <s v="Very Active"/>
    <s v="5553957443|2016-04-28"/>
    <b v="1"/>
  </r>
  <r>
    <n v="5553957443"/>
    <d v="2016-04-29T00:00:00"/>
    <n v="12764"/>
    <n v="8.3299999237060494"/>
    <n v="8.3299999237060494"/>
    <n v="0"/>
    <n v="2.78999996185303"/>
    <n v="0.63999998569488503"/>
    <n v="4.9099998474121103"/>
    <n v="0"/>
    <n v="46"/>
    <n v="15"/>
    <n v="270"/>
    <n v="709"/>
    <n v="2169"/>
    <x v="0"/>
    <s v="April"/>
    <n v="331"/>
    <n v="1040"/>
    <n v="11.82"/>
    <x v="1"/>
    <s v="Very Active"/>
    <s v="5553957443|2016-04-29"/>
    <b v="1"/>
  </r>
  <r>
    <n v="5553957443"/>
    <d v="2016-04-30T00:00:00"/>
    <n v="1202"/>
    <n v="0.77999997138977095"/>
    <n v="0.77999997138977095"/>
    <n v="0"/>
    <n v="0"/>
    <n v="0"/>
    <n v="0.77999997138977095"/>
    <n v="0"/>
    <n v="0"/>
    <n v="0"/>
    <n v="84"/>
    <n v="506"/>
    <n v="1463"/>
    <x v="1"/>
    <s v="April"/>
    <n v="84"/>
    <n v="590"/>
    <n v="8.43"/>
    <x v="2"/>
    <s v="Sedentary"/>
    <s v="5553957443|2016-04-30"/>
    <b v="1"/>
  </r>
  <r>
    <n v="5553957443"/>
    <d v="2016-05-01T00:00:00"/>
    <n v="5164"/>
    <n v="3.3699998855590798"/>
    <n v="3.3699998855590798"/>
    <n v="0"/>
    <n v="0"/>
    <n v="0"/>
    <n v="3.3699998855590798"/>
    <n v="0"/>
    <n v="0"/>
    <n v="0"/>
    <n v="237"/>
    <n v="436"/>
    <n v="1747"/>
    <x v="2"/>
    <s v="May"/>
    <n v="237"/>
    <n v="673"/>
    <n v="7.27"/>
    <x v="4"/>
    <s v="Sedentary"/>
    <s v="5553957443|2016-05-01"/>
    <b v="1"/>
  </r>
  <r>
    <n v="5553957443"/>
    <d v="2016-05-02T00:00:00"/>
    <n v="9769"/>
    <n v="6.3800001144409197"/>
    <n v="6.3800001144409197"/>
    <n v="0"/>
    <n v="1.0599999427795399"/>
    <n v="0.40999999642372098"/>
    <n v="4.9000000953674299"/>
    <n v="0"/>
    <n v="23"/>
    <n v="9"/>
    <n v="227"/>
    <n v="724"/>
    <n v="1996"/>
    <x v="3"/>
    <s v="May"/>
    <n v="259"/>
    <n v="983"/>
    <n v="12.07"/>
    <x v="3"/>
    <s v="Moderately Active"/>
    <s v="5553957443|2016-05-02"/>
    <b v="1"/>
  </r>
  <r>
    <n v="5553957443"/>
    <d v="2016-05-03T00:00:00"/>
    <n v="12848"/>
    <n v="8.3900003433227504"/>
    <n v="8.3900003433227504"/>
    <n v="0"/>
    <n v="1.5"/>
    <n v="1.20000004768372"/>
    <n v="5.6799998283386204"/>
    <n v="0"/>
    <n v="26"/>
    <n v="29"/>
    <n v="247"/>
    <n v="812"/>
    <n v="2116"/>
    <x v="4"/>
    <s v="May"/>
    <n v="302"/>
    <n v="1114"/>
    <n v="13.53"/>
    <x v="1"/>
    <s v="Moderately Active"/>
    <s v="5553957443|2016-05-03"/>
    <b v="1"/>
  </r>
  <r>
    <n v="5553957443"/>
    <d v="2016-05-04T00:00:00"/>
    <n v="4249"/>
    <n v="2.7699999809265101"/>
    <n v="2.7699999809265101"/>
    <n v="0"/>
    <n v="0"/>
    <n v="0"/>
    <n v="2.7699999809265101"/>
    <n v="0"/>
    <n v="0"/>
    <n v="0"/>
    <n v="224"/>
    <n v="651"/>
    <n v="1698"/>
    <x v="5"/>
    <s v="May"/>
    <n v="224"/>
    <n v="875"/>
    <n v="10.85"/>
    <x v="2"/>
    <s v="Sedentary"/>
    <s v="5553957443|2016-05-04"/>
    <b v="1"/>
  </r>
  <r>
    <n v="5553957443"/>
    <d v="2016-05-05T00:00:00"/>
    <n v="14331"/>
    <n v="9.5100002288818395"/>
    <n v="9.5100002288818395"/>
    <n v="0"/>
    <n v="3.4300000667571999"/>
    <n v="1.6599999666214"/>
    <n v="4.4299998283386204"/>
    <n v="0"/>
    <n v="44"/>
    <n v="29"/>
    <n v="241"/>
    <n v="692"/>
    <n v="2156"/>
    <x v="6"/>
    <s v="May"/>
    <n v="314"/>
    <n v="1006"/>
    <n v="11.53"/>
    <x v="1"/>
    <s v="Very Active"/>
    <s v="5553957443|2016-05-05"/>
    <b v="1"/>
  </r>
  <r>
    <n v="5553957443"/>
    <d v="2016-05-06T00:00:00"/>
    <n v="9632"/>
    <n v="6.28999996185303"/>
    <n v="6.28999996185303"/>
    <n v="0"/>
    <n v="1.5199999809265099"/>
    <n v="0.54000002145767201"/>
    <n v="4.2300000190734899"/>
    <n v="0"/>
    <n v="21"/>
    <n v="9"/>
    <n v="229"/>
    <n v="761"/>
    <n v="1916"/>
    <x v="0"/>
    <s v="May"/>
    <n v="259"/>
    <n v="1020"/>
    <n v="12.68"/>
    <x v="3"/>
    <s v="Moderately Active"/>
    <s v="5553957443|2016-05-06"/>
    <b v="1"/>
  </r>
  <r>
    <n v="5553957443"/>
    <d v="2016-05-07T00:00:00"/>
    <n v="1868"/>
    <n v="1.2200000286102299"/>
    <n v="1.2200000286102299"/>
    <n v="0"/>
    <n v="0"/>
    <n v="0"/>
    <n v="1.2200000286102299"/>
    <n v="0"/>
    <n v="0"/>
    <n v="0"/>
    <n v="96"/>
    <n v="902"/>
    <n v="1494"/>
    <x v="1"/>
    <s v="May"/>
    <n v="96"/>
    <n v="998"/>
    <n v="15.03"/>
    <x v="2"/>
    <s v="Sedentary"/>
    <s v="5553957443|2016-05-07"/>
    <b v="1"/>
  </r>
  <r>
    <n v="5553957443"/>
    <d v="2016-05-08T00:00:00"/>
    <n v="6083"/>
    <n v="4"/>
    <n v="4"/>
    <n v="0"/>
    <n v="0.21999999880790699"/>
    <n v="0.46999999880790699"/>
    <n v="3.2999999523162802"/>
    <n v="0"/>
    <n v="3"/>
    <n v="8"/>
    <n v="210"/>
    <n v="505"/>
    <n v="1762"/>
    <x v="2"/>
    <s v="May"/>
    <n v="221"/>
    <n v="726"/>
    <n v="8.42"/>
    <x v="4"/>
    <s v="Lightly Active"/>
    <s v="5553957443|2016-05-08"/>
    <b v="1"/>
  </r>
  <r>
    <n v="5553957443"/>
    <d v="2016-05-09T00:00:00"/>
    <n v="11611"/>
    <n v="7.5799999237060502"/>
    <n v="7.5799999237060502"/>
    <n v="0"/>
    <n v="2.1300001144409202"/>
    <n v="0.88999998569488503"/>
    <n v="4.5599999427795401"/>
    <n v="0"/>
    <n v="59"/>
    <n v="22"/>
    <n v="251"/>
    <n v="667"/>
    <n v="2272"/>
    <x v="3"/>
    <s v="May"/>
    <n v="332"/>
    <n v="999"/>
    <n v="11.12"/>
    <x v="0"/>
    <s v="Very Active"/>
    <s v="5553957443|2016-05-09"/>
    <b v="1"/>
  </r>
  <r>
    <n v="5553957443"/>
    <d v="2016-05-10T00:00:00"/>
    <n v="16358"/>
    <n v="10.710000038146999"/>
    <n v="10.710000038146999"/>
    <n v="0"/>
    <n v="3.8699998855590798"/>
    <n v="1.6100000143051101"/>
    <n v="5.1999998092651403"/>
    <n v="0"/>
    <n v="61"/>
    <n v="40"/>
    <n v="265"/>
    <n v="707"/>
    <n v="2335"/>
    <x v="4"/>
    <s v="May"/>
    <n v="366"/>
    <n v="1073"/>
    <n v="11.78"/>
    <x v="1"/>
    <s v="Very Active"/>
    <s v="5553957443|2016-05-10"/>
    <b v="1"/>
  </r>
  <r>
    <n v="5553957443"/>
    <d v="2016-05-11T00:00:00"/>
    <n v="4926"/>
    <n v="3.2200000286102299"/>
    <n v="3.2200000286102299"/>
    <n v="0"/>
    <n v="0"/>
    <n v="0"/>
    <n v="3.2200000286102299"/>
    <n v="0"/>
    <n v="0"/>
    <n v="0"/>
    <n v="195"/>
    <n v="628"/>
    <n v="1693"/>
    <x v="5"/>
    <s v="May"/>
    <n v="195"/>
    <n v="823"/>
    <n v="10.47"/>
    <x v="2"/>
    <s v="Sedentary"/>
    <s v="5553957443|2016-05-11"/>
    <b v="1"/>
  </r>
  <r>
    <n v="5553957443"/>
    <d v="2016-05-12T00:00:00"/>
    <n v="3121"/>
    <n v="2.03999996185303"/>
    <n v="2.03999996185303"/>
    <n v="0"/>
    <n v="0.57999998331069902"/>
    <n v="0.40000000596046398"/>
    <n v="1.0599999427795399"/>
    <n v="0"/>
    <n v="8"/>
    <n v="6"/>
    <n v="48"/>
    <n v="222"/>
    <n v="741"/>
    <x v="6"/>
    <s v="May"/>
    <n v="62"/>
    <n v="284"/>
    <n v="3.7"/>
    <x v="2"/>
    <s v="Lightly Active"/>
    <s v="5553957443|2016-05-12"/>
    <b v="1"/>
  </r>
  <r>
    <n v="5577150313"/>
    <d v="2016-04-12T00:00:00"/>
    <n v="8135"/>
    <n v="6.0799999237060502"/>
    <n v="6.0799999237060502"/>
    <n v="0"/>
    <n v="3.5999999046325701"/>
    <n v="0.37999999523162797"/>
    <n v="2.0999999046325701"/>
    <n v="0"/>
    <n v="86"/>
    <n v="16"/>
    <n v="140"/>
    <n v="728"/>
    <n v="3405"/>
    <x v="4"/>
    <s v="April"/>
    <n v="242"/>
    <n v="970"/>
    <n v="12.13"/>
    <x v="3"/>
    <s v="Very Active"/>
    <s v="5577150313|2016-04-12"/>
    <b v="1"/>
  </r>
  <r>
    <n v="5577150313"/>
    <d v="2016-04-13T00:00:00"/>
    <n v="5077"/>
    <n v="3.78999996185303"/>
    <n v="3.78999996185303"/>
    <n v="0"/>
    <n v="0.31999999284744302"/>
    <n v="0.21999999880790699"/>
    <n v="3.25"/>
    <n v="0"/>
    <n v="15"/>
    <n v="11"/>
    <n v="144"/>
    <n v="776"/>
    <n v="2551"/>
    <x v="5"/>
    <s v="April"/>
    <n v="170"/>
    <n v="946"/>
    <n v="12.93"/>
    <x v="4"/>
    <s v="Moderately Active"/>
    <s v="5577150313|2016-04-13"/>
    <b v="1"/>
  </r>
  <r>
    <n v="5577150313"/>
    <d v="2016-04-14T00:00:00"/>
    <n v="8596"/>
    <n v="6.4200000762939498"/>
    <n v="6.4200000762939498"/>
    <n v="0"/>
    <n v="3.3299999237060498"/>
    <n v="0.31000000238418601"/>
    <n v="2.7799999713897701"/>
    <n v="0"/>
    <n v="118"/>
    <n v="30"/>
    <n v="176"/>
    <n v="662"/>
    <n v="4022"/>
    <x v="6"/>
    <s v="April"/>
    <n v="324"/>
    <n v="986"/>
    <n v="11.03"/>
    <x v="3"/>
    <s v="Very Active"/>
    <s v="5577150313|2016-04-14"/>
    <b v="1"/>
  </r>
  <r>
    <n v="5577150313"/>
    <d v="2016-04-15T00:00:00"/>
    <n v="12087"/>
    <n v="9.0799999237060494"/>
    <n v="9.0799999237060494"/>
    <n v="0"/>
    <n v="3.9200000762939502"/>
    <n v="1.6000000238418599"/>
    <n v="3.5599999427795401"/>
    <n v="0"/>
    <n v="115"/>
    <n v="54"/>
    <n v="199"/>
    <n v="695"/>
    <n v="4005"/>
    <x v="0"/>
    <s v="April"/>
    <n v="368"/>
    <n v="1063"/>
    <n v="11.58"/>
    <x v="0"/>
    <s v="Very Active"/>
    <s v="5577150313|2016-04-15"/>
    <b v="1"/>
  </r>
  <r>
    <n v="5577150313"/>
    <d v="2016-04-16T00:00:00"/>
    <n v="14269"/>
    <n v="10.6599998474121"/>
    <n v="10.6599998474121"/>
    <n v="0"/>
    <n v="6.6399998664856001"/>
    <n v="1.2799999713897701"/>
    <n v="2.7300000190734899"/>
    <n v="0"/>
    <n v="184"/>
    <n v="56"/>
    <n v="158"/>
    <n v="472"/>
    <n v="4274"/>
    <x v="1"/>
    <s v="April"/>
    <n v="398"/>
    <n v="870"/>
    <n v="7.87"/>
    <x v="1"/>
    <s v="Very Active"/>
    <s v="5577150313|2016-04-16"/>
    <b v="1"/>
  </r>
  <r>
    <n v="5577150313"/>
    <d v="2016-04-17T00:00:00"/>
    <n v="12231"/>
    <n v="9.1400003433227504"/>
    <n v="9.1400003433227504"/>
    <n v="0"/>
    <n v="5.9800000190734899"/>
    <n v="0.82999998331069902"/>
    <n v="2.3199999332428001"/>
    <n v="0"/>
    <n v="200"/>
    <n v="37"/>
    <n v="159"/>
    <n v="525"/>
    <n v="4552"/>
    <x v="2"/>
    <s v="April"/>
    <n v="396"/>
    <n v="921"/>
    <n v="8.75"/>
    <x v="0"/>
    <s v="Very Active"/>
    <s v="5577150313|2016-04-17"/>
    <b v="1"/>
  </r>
  <r>
    <n v="5577150313"/>
    <d v="2016-04-18T00:00:00"/>
    <n v="9893"/>
    <n v="7.3899998664856001"/>
    <n v="7.3899998664856001"/>
    <n v="0"/>
    <n v="4.8600001335143999"/>
    <n v="0.72000002861022905"/>
    <n v="1.8200000524520901"/>
    <n v="0"/>
    <n v="114"/>
    <n v="32"/>
    <n v="130"/>
    <n v="623"/>
    <n v="3625"/>
    <x v="3"/>
    <s v="April"/>
    <n v="276"/>
    <n v="899"/>
    <n v="10.38"/>
    <x v="3"/>
    <s v="Very Active"/>
    <s v="5577150313|2016-04-18"/>
    <b v="1"/>
  </r>
  <r>
    <n v="5577150313"/>
    <d v="2016-04-19T00:00:00"/>
    <n v="12574"/>
    <n v="9.4200000762939506"/>
    <n v="9.4200000762939506"/>
    <n v="0"/>
    <n v="7.0199999809265101"/>
    <n v="0.63999998569488503"/>
    <n v="1.7599999904632599"/>
    <n v="0"/>
    <n v="108"/>
    <n v="23"/>
    <n v="111"/>
    <n v="733"/>
    <n v="3501"/>
    <x v="4"/>
    <s v="April"/>
    <n v="242"/>
    <n v="975"/>
    <n v="12.22"/>
    <x v="1"/>
    <s v="Very Active"/>
    <s v="5577150313|2016-04-19"/>
    <b v="1"/>
  </r>
  <r>
    <n v="5577150313"/>
    <d v="2016-04-20T00:00:00"/>
    <n v="8330"/>
    <n v="6.2199997901916504"/>
    <n v="6.2199997901916504"/>
    <n v="0"/>
    <n v="4.1199998855590803"/>
    <n v="0.34000000357627902"/>
    <n v="1.7599999904632599"/>
    <n v="0"/>
    <n v="87"/>
    <n v="16"/>
    <n v="113"/>
    <n v="773"/>
    <n v="3192"/>
    <x v="5"/>
    <s v="April"/>
    <n v="216"/>
    <n v="989"/>
    <n v="12.88"/>
    <x v="3"/>
    <s v="Very Active"/>
    <s v="5577150313|2016-04-20"/>
    <b v="1"/>
  </r>
  <r>
    <n v="5577150313"/>
    <d v="2016-04-21T00:00:00"/>
    <n v="10830"/>
    <n v="8.0900001525878906"/>
    <n v="8.0900001525878906"/>
    <n v="0"/>
    <n v="3.6500000953674299"/>
    <n v="1.6599999666214"/>
    <n v="2.7799999713897701"/>
    <n v="0"/>
    <n v="110"/>
    <n v="74"/>
    <n v="175"/>
    <n v="670"/>
    <n v="4018"/>
    <x v="6"/>
    <s v="April"/>
    <n v="359"/>
    <n v="1029"/>
    <n v="11.17"/>
    <x v="0"/>
    <s v="Very Active"/>
    <s v="5577150313|2016-04-21"/>
    <b v="1"/>
  </r>
  <r>
    <n v="5577150313"/>
    <d v="2016-04-22T00:00:00"/>
    <n v="9172"/>
    <n v="6.8499999046325701"/>
    <n v="6.8499999046325701"/>
    <n v="0"/>
    <n v="2.4200000762939502"/>
    <n v="0.79000002145767201"/>
    <n v="3.2999999523162802"/>
    <n v="0"/>
    <n v="62"/>
    <n v="30"/>
    <n v="200"/>
    <n v="823"/>
    <n v="3329"/>
    <x v="0"/>
    <s v="April"/>
    <n v="292"/>
    <n v="1115"/>
    <n v="13.72"/>
    <x v="3"/>
    <s v="Very Active"/>
    <s v="5577150313|2016-04-22"/>
    <b v="1"/>
  </r>
  <r>
    <n v="5577150313"/>
    <d v="2016-04-23T00:00:00"/>
    <n v="7638"/>
    <n v="5.71000003814697"/>
    <n v="5.71000003814697"/>
    <n v="0"/>
    <n v="1.21000003814697"/>
    <n v="0.36000001430511502"/>
    <n v="4.1399998664856001"/>
    <n v="0"/>
    <n v="24"/>
    <n v="24"/>
    <n v="223"/>
    <n v="627"/>
    <n v="3152"/>
    <x v="1"/>
    <s v="April"/>
    <n v="271"/>
    <n v="898"/>
    <n v="10.45"/>
    <x v="3"/>
    <s v="Moderately Active"/>
    <s v="5577150313|2016-04-23"/>
    <b v="1"/>
  </r>
  <r>
    <n v="5577150313"/>
    <d v="2016-04-24T00:00:00"/>
    <n v="15764"/>
    <n v="11.7799997329712"/>
    <n v="11.7799997329712"/>
    <n v="0"/>
    <n v="7.6500000953674299"/>
    <n v="2.1500000953674299"/>
    <n v="1.9800000190734901"/>
    <n v="0"/>
    <n v="210"/>
    <n v="65"/>
    <n v="141"/>
    <n v="425"/>
    <n v="4392"/>
    <x v="2"/>
    <s v="April"/>
    <n v="416"/>
    <n v="841"/>
    <n v="7.08"/>
    <x v="1"/>
    <s v="Very Active"/>
    <s v="5577150313|2016-04-24"/>
    <b v="1"/>
  </r>
  <r>
    <n v="5577150313"/>
    <d v="2016-04-25T00:00:00"/>
    <n v="6393"/>
    <n v="4.7800002098083496"/>
    <n v="4.7800002098083496"/>
    <n v="0"/>
    <n v="1.3500000238418599"/>
    <n v="0.67000001668930098"/>
    <n v="2.7599999904632599"/>
    <n v="0"/>
    <n v="61"/>
    <n v="38"/>
    <n v="214"/>
    <n v="743"/>
    <n v="3374"/>
    <x v="3"/>
    <s v="April"/>
    <n v="313"/>
    <n v="1056"/>
    <n v="12.38"/>
    <x v="4"/>
    <s v="Very Active"/>
    <s v="5577150313|2016-04-25"/>
    <b v="1"/>
  </r>
  <r>
    <n v="5577150313"/>
    <d v="2016-04-26T00:00:00"/>
    <n v="5325"/>
    <n v="3.9800000190734899"/>
    <n v="3.9800000190734899"/>
    <n v="0"/>
    <n v="0.85000002384185802"/>
    <n v="0.64999997615814198"/>
    <n v="2.4700000286102299"/>
    <n v="0"/>
    <n v="38"/>
    <n v="32"/>
    <n v="181"/>
    <n v="759"/>
    <n v="3088"/>
    <x v="4"/>
    <s v="April"/>
    <n v="251"/>
    <n v="1010"/>
    <n v="12.65"/>
    <x v="4"/>
    <s v="Very Active"/>
    <s v="5577150313|2016-04-26"/>
    <b v="1"/>
  </r>
  <r>
    <n v="5577150313"/>
    <d v="2016-04-27T00:00:00"/>
    <n v="6805"/>
    <n v="5.1399998664856001"/>
    <n v="5.1399998664856001"/>
    <n v="0"/>
    <n v="1.8099999427795399"/>
    <n v="0.40000000596046398"/>
    <n v="2.9300000667571999"/>
    <n v="0"/>
    <n v="63"/>
    <n v="16"/>
    <n v="190"/>
    <n v="773"/>
    <n v="3294"/>
    <x v="5"/>
    <s v="April"/>
    <n v="269"/>
    <n v="1042"/>
    <n v="12.88"/>
    <x v="4"/>
    <s v="Very Active"/>
    <s v="5577150313|2016-04-27"/>
    <b v="1"/>
  </r>
  <r>
    <n v="5577150313"/>
    <d v="2016-04-28T00:00:00"/>
    <n v="9841"/>
    <n v="7.4299998283386204"/>
    <n v="7.4299998283386204"/>
    <n v="0"/>
    <n v="3.25"/>
    <n v="1.16999995708466"/>
    <n v="3.0099999904632599"/>
    <n v="0"/>
    <n v="99"/>
    <n v="51"/>
    <n v="141"/>
    <n v="692"/>
    <n v="3580"/>
    <x v="6"/>
    <s v="April"/>
    <n v="291"/>
    <n v="983"/>
    <n v="11.53"/>
    <x v="3"/>
    <s v="Very Active"/>
    <s v="5577150313|2016-04-28"/>
    <b v="1"/>
  </r>
  <r>
    <n v="5577150313"/>
    <d v="2016-04-29T00:00:00"/>
    <n v="7924"/>
    <n v="5.9200000762939498"/>
    <n v="5.9200000762939498"/>
    <n v="0"/>
    <n v="2.8399999141693102"/>
    <n v="0.61000001430511497"/>
    <n v="2.4700000286102299"/>
    <n v="0"/>
    <n v="97"/>
    <n v="36"/>
    <n v="165"/>
    <n v="739"/>
    <n v="3544"/>
    <x v="0"/>
    <s v="April"/>
    <n v="298"/>
    <n v="1037"/>
    <n v="12.32"/>
    <x v="3"/>
    <s v="Very Active"/>
    <s v="5577150313|2016-04-29"/>
    <b v="1"/>
  </r>
  <r>
    <n v="5577150313"/>
    <d v="2016-04-30T00:00:00"/>
    <n v="12363"/>
    <n v="9.2399997711181605"/>
    <n v="9.2399997711181605"/>
    <n v="0"/>
    <n v="5.8299999237060502"/>
    <n v="0.79000002145767201"/>
    <n v="2.6099998950958301"/>
    <n v="0"/>
    <n v="207"/>
    <n v="45"/>
    <n v="163"/>
    <n v="621"/>
    <n v="4501"/>
    <x v="1"/>
    <s v="April"/>
    <n v="415"/>
    <n v="1036"/>
    <n v="10.35"/>
    <x v="0"/>
    <s v="Very Active"/>
    <s v="5577150313|2016-04-30"/>
    <b v="1"/>
  </r>
  <r>
    <n v="5577150313"/>
    <d v="2016-05-01T00:00:00"/>
    <n v="13368"/>
    <n v="9.9899997711181605"/>
    <n v="9.9899997711181605"/>
    <n v="0"/>
    <n v="5.3099999427795401"/>
    <n v="1.4400000572204601"/>
    <n v="3.2400000095367401"/>
    <n v="0"/>
    <n v="194"/>
    <n v="72"/>
    <n v="178"/>
    <n v="499"/>
    <n v="4546"/>
    <x v="2"/>
    <s v="May"/>
    <n v="444"/>
    <n v="943"/>
    <n v="8.32"/>
    <x v="1"/>
    <s v="Very Active"/>
    <s v="5577150313|2016-05-01"/>
    <b v="1"/>
  </r>
  <r>
    <n v="5577150313"/>
    <d v="2016-05-02T00:00:00"/>
    <n v="7439"/>
    <n v="5.5599999427795401"/>
    <n v="5.5599999427795401"/>
    <n v="0"/>
    <n v="1.12000000476837"/>
    <n v="0.34999999403953602"/>
    <n v="4.0700001716613796"/>
    <n v="0"/>
    <n v="37"/>
    <n v="20"/>
    <n v="235"/>
    <n v="732"/>
    <n v="3014"/>
    <x v="3"/>
    <s v="May"/>
    <n v="292"/>
    <n v="1024"/>
    <n v="12.2"/>
    <x v="4"/>
    <s v="Very Active"/>
    <s v="5577150313|2016-05-02"/>
    <b v="1"/>
  </r>
  <r>
    <n v="5577150313"/>
    <d v="2016-05-03T00:00:00"/>
    <n v="11045"/>
    <n v="8.25"/>
    <n v="8.25"/>
    <n v="0"/>
    <n v="4.5199999809265101"/>
    <n v="0.15000000596046401"/>
    <n v="3.5699999332428001"/>
    <n v="0"/>
    <n v="97"/>
    <n v="8"/>
    <n v="212"/>
    <n v="580"/>
    <n v="3795"/>
    <x v="4"/>
    <s v="May"/>
    <n v="317"/>
    <n v="897"/>
    <n v="9.67"/>
    <x v="0"/>
    <s v="Very Active"/>
    <s v="5577150313|2016-05-03"/>
    <b v="1"/>
  </r>
  <r>
    <n v="5577150313"/>
    <d v="2016-05-04T00:00:00"/>
    <n v="5206"/>
    <n v="3.8900001049041699"/>
    <n v="3.8900001049041699"/>
    <n v="0"/>
    <n v="1.5599999427795399"/>
    <n v="0.25"/>
    <n v="2.0799999237060498"/>
    <n v="0"/>
    <n v="25"/>
    <n v="9"/>
    <n v="141"/>
    <n v="631"/>
    <n v="2755"/>
    <x v="5"/>
    <s v="May"/>
    <n v="175"/>
    <n v="806"/>
    <n v="10.52"/>
    <x v="4"/>
    <s v="Moderately Active"/>
    <s v="5577150313|2016-05-04"/>
    <b v="1"/>
  </r>
  <r>
    <n v="5577150313"/>
    <d v="2016-05-05T00:00:00"/>
    <n v="7550"/>
    <n v="5.6399998664856001"/>
    <n v="5.6399998664856001"/>
    <n v="0"/>
    <n v="2.5"/>
    <n v="0.46999999880790699"/>
    <n v="2.6700000762939502"/>
    <n v="0"/>
    <n v="45"/>
    <n v="21"/>
    <n v="143"/>
    <n v="1153"/>
    <n v="3004"/>
    <x v="6"/>
    <s v="May"/>
    <n v="209"/>
    <n v="1362"/>
    <n v="19.22"/>
    <x v="3"/>
    <s v="Very Active"/>
    <s v="5577150313|2016-05-05"/>
    <b v="1"/>
  </r>
  <r>
    <n v="5577150313"/>
    <d v="2016-05-06T00:00:00"/>
    <n v="4950"/>
    <n v="3.7000000476837198"/>
    <n v="3.7000000476837198"/>
    <n v="0"/>
    <n v="1.9299999475479099"/>
    <n v="0.31999999284744302"/>
    <n v="1.45000004768372"/>
    <n v="0"/>
    <n v="41"/>
    <n v="16"/>
    <n v="79"/>
    <n v="1304"/>
    <n v="2643"/>
    <x v="0"/>
    <s v="May"/>
    <n v="136"/>
    <n v="1440"/>
    <n v="21.73"/>
    <x v="2"/>
    <s v="Very Active"/>
    <s v="5577150313|2016-05-06"/>
    <b v="0"/>
  </r>
  <r>
    <n v="5577150313"/>
    <d v="2016-05-07T00:00:00"/>
    <n v="0"/>
    <n v="0"/>
    <n v="0"/>
    <n v="0"/>
    <n v="0"/>
    <n v="0"/>
    <n v="0"/>
    <n v="0"/>
    <n v="0"/>
    <n v="0"/>
    <n v="0"/>
    <n v="1440"/>
    <n v="1819"/>
    <x v="1"/>
    <s v="May"/>
    <n v="0"/>
    <n v="1440"/>
    <n v="24"/>
    <x v="2"/>
    <s v="Sedentary"/>
    <s v="5577150313|2016-05-07"/>
    <b v="0"/>
  </r>
  <r>
    <n v="5577150313"/>
    <d v="2016-05-08T00:00:00"/>
    <n v="0"/>
    <n v="0"/>
    <n v="0"/>
    <n v="0"/>
    <n v="0"/>
    <n v="0"/>
    <n v="0"/>
    <n v="0"/>
    <n v="0"/>
    <n v="0"/>
    <n v="0"/>
    <n v="1440"/>
    <n v="1819"/>
    <x v="2"/>
    <s v="May"/>
    <n v="0"/>
    <n v="1440"/>
    <n v="24"/>
    <x v="2"/>
    <s v="Sedentary"/>
    <s v="5577150313|2016-05-08"/>
    <b v="0"/>
  </r>
  <r>
    <n v="5577150313"/>
    <d v="2016-05-09T00:00:00"/>
    <n v="3421"/>
    <n v="2.5599999427795401"/>
    <n v="2.5599999427795401"/>
    <n v="0"/>
    <n v="1.4299999475479099"/>
    <n v="0.140000000596046"/>
    <n v="0.99000000953674305"/>
    <n v="0"/>
    <n v="34"/>
    <n v="11"/>
    <n v="70"/>
    <n v="1099"/>
    <n v="2489"/>
    <x v="3"/>
    <s v="May"/>
    <n v="115"/>
    <n v="1214"/>
    <n v="18.32"/>
    <x v="2"/>
    <s v="Very Active"/>
    <s v="5577150313|2016-05-09"/>
    <b v="0"/>
  </r>
  <r>
    <n v="5577150313"/>
    <d v="2016-05-10T00:00:00"/>
    <n v="8869"/>
    <n v="6.6500000953674299"/>
    <n v="6.6500000953674299"/>
    <n v="0"/>
    <n v="2.5599999427795401"/>
    <n v="0.75"/>
    <n v="3.3499999046325701"/>
    <n v="0"/>
    <n v="104"/>
    <n v="37"/>
    <n v="194"/>
    <n v="639"/>
    <n v="3841"/>
    <x v="4"/>
    <s v="May"/>
    <n v="335"/>
    <n v="974"/>
    <n v="10.65"/>
    <x v="3"/>
    <s v="Very Active"/>
    <s v="5577150313|2016-05-10"/>
    <b v="1"/>
  </r>
  <r>
    <n v="5577150313"/>
    <d v="2016-05-11T00:00:00"/>
    <n v="4038"/>
    <n v="3.03999996185303"/>
    <n v="3.03999996185303"/>
    <n v="0"/>
    <n v="1.83000004291534"/>
    <n v="0.30000001192092901"/>
    <n v="0.88999998569488503"/>
    <n v="0"/>
    <n v="45"/>
    <n v="15"/>
    <n v="63"/>
    <n v="257"/>
    <n v="1665"/>
    <x v="5"/>
    <s v="May"/>
    <n v="123"/>
    <n v="380"/>
    <n v="4.28"/>
    <x v="2"/>
    <s v="Very Active"/>
    <s v="5577150313|2016-05-11"/>
    <b v="1"/>
  </r>
  <r>
    <n v="6117666160"/>
    <d v="2016-04-12T00:00:00"/>
    <n v="0"/>
    <n v="0"/>
    <n v="0"/>
    <n v="0"/>
    <n v="0"/>
    <n v="0"/>
    <n v="0"/>
    <n v="0"/>
    <n v="0"/>
    <n v="0"/>
    <n v="0"/>
    <n v="1440"/>
    <n v="1496"/>
    <x v="4"/>
    <s v="April"/>
    <n v="0"/>
    <n v="1440"/>
    <n v="24"/>
    <x v="2"/>
    <s v="Sedentary"/>
    <s v="6117666160|2016-04-12"/>
    <b v="0"/>
  </r>
  <r>
    <n v="6117666160"/>
    <d v="2016-04-13T00:00:00"/>
    <n v="0"/>
    <n v="0"/>
    <n v="0"/>
    <n v="0"/>
    <n v="0"/>
    <n v="0"/>
    <n v="0"/>
    <n v="0"/>
    <n v="0"/>
    <n v="0"/>
    <n v="0"/>
    <n v="1440"/>
    <n v="1496"/>
    <x v="5"/>
    <s v="April"/>
    <n v="0"/>
    <n v="1440"/>
    <n v="24"/>
    <x v="2"/>
    <s v="Sedentary"/>
    <s v="6117666160|2016-04-13"/>
    <b v="0"/>
  </r>
  <r>
    <n v="6117666160"/>
    <d v="2016-04-14T00:00:00"/>
    <n v="0"/>
    <n v="0"/>
    <n v="0"/>
    <n v="0"/>
    <n v="0"/>
    <n v="0"/>
    <n v="0"/>
    <n v="0"/>
    <n v="0"/>
    <n v="0"/>
    <n v="0"/>
    <n v="1440"/>
    <n v="1496"/>
    <x v="6"/>
    <s v="April"/>
    <n v="0"/>
    <n v="1440"/>
    <n v="24"/>
    <x v="2"/>
    <s v="Sedentary"/>
    <s v="6117666160|2016-04-14"/>
    <b v="0"/>
  </r>
  <r>
    <n v="6117666160"/>
    <d v="2016-04-15T00:00:00"/>
    <n v="14019"/>
    <n v="10.5900001525879"/>
    <n v="10.5900001525879"/>
    <n v="0"/>
    <n v="0"/>
    <n v="0.28000000119209301"/>
    <n v="10.300000190734901"/>
    <n v="0"/>
    <n v="0"/>
    <n v="6"/>
    <n v="513"/>
    <n v="921"/>
    <n v="2865"/>
    <x v="0"/>
    <s v="April"/>
    <n v="519"/>
    <n v="1440"/>
    <n v="15.35"/>
    <x v="1"/>
    <s v="Sedentary"/>
    <s v="6117666160|2016-04-15"/>
    <b v="0"/>
  </r>
  <r>
    <n v="6117666160"/>
    <d v="2016-04-16T00:00:00"/>
    <n v="14450"/>
    <n v="10.9099998474121"/>
    <n v="10.9099998474121"/>
    <n v="0"/>
    <n v="0.57999998331069902"/>
    <n v="0.85000002384185802"/>
    <n v="9.4799995422363299"/>
    <n v="0"/>
    <n v="7"/>
    <n v="15"/>
    <n v="518"/>
    <n v="502"/>
    <n v="2828"/>
    <x v="1"/>
    <s v="April"/>
    <n v="540"/>
    <n v="1042"/>
    <n v="8.3699999999999992"/>
    <x v="1"/>
    <s v="Lightly Active"/>
    <s v="6117666160|2016-04-16"/>
    <b v="1"/>
  </r>
  <r>
    <n v="6117666160"/>
    <d v="2016-04-17T00:00:00"/>
    <n v="7150"/>
    <n v="5.4000000953674299"/>
    <n v="5.4000000953674299"/>
    <n v="0"/>
    <n v="0"/>
    <n v="0"/>
    <n v="5.4000000953674299"/>
    <n v="0"/>
    <n v="0"/>
    <n v="0"/>
    <n v="312"/>
    <n v="702"/>
    <n v="2225"/>
    <x v="2"/>
    <s v="April"/>
    <n v="312"/>
    <n v="1014"/>
    <n v="11.7"/>
    <x v="4"/>
    <s v="Sedentary"/>
    <s v="6117666160|2016-04-17"/>
    <b v="1"/>
  </r>
  <r>
    <n v="6117666160"/>
    <d v="2016-04-18T00:00:00"/>
    <n v="5153"/>
    <n v="3.9100000858306898"/>
    <n v="3.9100000858306898"/>
    <n v="0"/>
    <n v="0"/>
    <n v="0"/>
    <n v="3.8900001049041699"/>
    <n v="0"/>
    <n v="0"/>
    <n v="0"/>
    <n v="241"/>
    <n v="759"/>
    <n v="2018"/>
    <x v="3"/>
    <s v="April"/>
    <n v="241"/>
    <n v="1000"/>
    <n v="12.65"/>
    <x v="4"/>
    <s v="Sedentary"/>
    <s v="6117666160|2016-04-18"/>
    <b v="1"/>
  </r>
  <r>
    <n v="6117666160"/>
    <d v="2016-04-19T00:00:00"/>
    <n v="11135"/>
    <n v="8.4099998474121094"/>
    <n v="8.4099998474121094"/>
    <n v="0"/>
    <n v="0"/>
    <n v="0"/>
    <n v="8.4099998474121094"/>
    <n v="0"/>
    <n v="0"/>
    <n v="0"/>
    <n v="480"/>
    <n v="425"/>
    <n v="2606"/>
    <x v="4"/>
    <s v="April"/>
    <n v="480"/>
    <n v="905"/>
    <n v="7.08"/>
    <x v="0"/>
    <s v="Sedentary"/>
    <s v="6117666160|2016-04-19"/>
    <b v="1"/>
  </r>
  <r>
    <n v="6117666160"/>
    <d v="2016-04-20T00:00:00"/>
    <n v="10449"/>
    <n v="8.0200004577636701"/>
    <n v="8.0200004577636701"/>
    <n v="0"/>
    <n v="2.0299999713897701"/>
    <n v="0.479999989271164"/>
    <n v="5.5199999809265101"/>
    <n v="0"/>
    <n v="26"/>
    <n v="10"/>
    <n v="349"/>
    <n v="587"/>
    <n v="2536"/>
    <x v="5"/>
    <s v="April"/>
    <n v="385"/>
    <n v="972"/>
    <n v="9.7799999999999994"/>
    <x v="0"/>
    <s v="Moderately Active"/>
    <s v="6117666160|2016-04-20"/>
    <b v="1"/>
  </r>
  <r>
    <n v="6117666160"/>
    <d v="2016-04-21T00:00:00"/>
    <n v="19542"/>
    <n v="15.0100002288818"/>
    <n v="15.0100002288818"/>
    <n v="0"/>
    <n v="0.980000019073486"/>
    <n v="0.40000000596046398"/>
    <n v="5.6199998855590803"/>
    <n v="0"/>
    <n v="11"/>
    <n v="19"/>
    <n v="294"/>
    <n v="579"/>
    <n v="4900"/>
    <x v="6"/>
    <s v="April"/>
    <n v="324"/>
    <n v="903"/>
    <n v="9.65"/>
    <x v="1"/>
    <s v="Lightly Active"/>
    <s v="6117666160|2016-04-21"/>
    <b v="1"/>
  </r>
  <r>
    <n v="6117666160"/>
    <d v="2016-04-22T00:00:00"/>
    <n v="8206"/>
    <n v="6.1999998092651403"/>
    <n v="6.1999998092651403"/>
    <n v="0"/>
    <n v="0"/>
    <n v="0"/>
    <n v="6.1999998092651403"/>
    <n v="0"/>
    <n v="0"/>
    <n v="0"/>
    <n v="402"/>
    <n v="413"/>
    <n v="2409"/>
    <x v="0"/>
    <s v="April"/>
    <n v="402"/>
    <n v="815"/>
    <n v="6.88"/>
    <x v="3"/>
    <s v="Sedentary"/>
    <s v="6117666160|2016-04-22"/>
    <b v="1"/>
  </r>
  <r>
    <n v="6117666160"/>
    <d v="2016-04-23T00:00:00"/>
    <n v="11495"/>
    <n v="8.6800003051757795"/>
    <n v="8.6800003051757795"/>
    <n v="0"/>
    <n v="0"/>
    <n v="0"/>
    <n v="8.6800003051757795"/>
    <n v="0"/>
    <n v="0"/>
    <n v="0"/>
    <n v="512"/>
    <n v="468"/>
    <n v="2651"/>
    <x v="1"/>
    <s v="April"/>
    <n v="512"/>
    <n v="980"/>
    <n v="7.8"/>
    <x v="0"/>
    <s v="Sedentary"/>
    <s v="6117666160|2016-04-23"/>
    <b v="1"/>
  </r>
  <r>
    <n v="6117666160"/>
    <d v="2016-04-24T00:00:00"/>
    <n v="7623"/>
    <n v="5.7600002288818404"/>
    <n v="5.7600002288818404"/>
    <n v="0"/>
    <n v="0"/>
    <n v="0"/>
    <n v="5.7600002288818404"/>
    <n v="0"/>
    <n v="0"/>
    <n v="0"/>
    <n v="362"/>
    <n v="711"/>
    <n v="2305"/>
    <x v="2"/>
    <s v="April"/>
    <n v="362"/>
    <n v="1073"/>
    <n v="11.85"/>
    <x v="3"/>
    <s v="Sedentary"/>
    <s v="6117666160|2016-04-24"/>
    <b v="1"/>
  </r>
  <r>
    <n v="6117666160"/>
    <d v="2016-04-25T00:00:00"/>
    <n v="0"/>
    <n v="0"/>
    <n v="0"/>
    <n v="0"/>
    <n v="0"/>
    <n v="0"/>
    <n v="0"/>
    <n v="0"/>
    <n v="0"/>
    <n v="0"/>
    <n v="0"/>
    <n v="1440"/>
    <n v="1497"/>
    <x v="3"/>
    <s v="April"/>
    <n v="0"/>
    <n v="1440"/>
    <n v="24"/>
    <x v="2"/>
    <s v="Sedentary"/>
    <s v="6117666160|2016-04-25"/>
    <b v="0"/>
  </r>
  <r>
    <n v="6117666160"/>
    <d v="2016-04-26T00:00:00"/>
    <n v="9543"/>
    <n v="7.21000003814697"/>
    <n v="7.21000003814697"/>
    <n v="0"/>
    <n v="0"/>
    <n v="0.34000000357627902"/>
    <n v="6.8699998855590803"/>
    <n v="0"/>
    <n v="0"/>
    <n v="7"/>
    <n v="352"/>
    <n v="1077"/>
    <n v="2450"/>
    <x v="4"/>
    <s v="April"/>
    <n v="359"/>
    <n v="1436"/>
    <n v="17.95"/>
    <x v="3"/>
    <s v="Sedentary"/>
    <s v="6117666160|2016-04-26"/>
    <b v="0"/>
  </r>
  <r>
    <n v="6117666160"/>
    <d v="2016-04-27T00:00:00"/>
    <n v="9411"/>
    <n v="7.1100001335143999"/>
    <n v="7.1100001335143999"/>
    <n v="0"/>
    <n v="0"/>
    <n v="0"/>
    <n v="7.1100001335143999"/>
    <n v="0"/>
    <n v="0"/>
    <n v="0"/>
    <n v="458"/>
    <n v="417"/>
    <n v="2576"/>
    <x v="5"/>
    <s v="April"/>
    <n v="458"/>
    <n v="875"/>
    <n v="6.95"/>
    <x v="3"/>
    <s v="Sedentary"/>
    <s v="6117666160|2016-04-27"/>
    <b v="1"/>
  </r>
  <r>
    <n v="6117666160"/>
    <d v="2016-04-28T00:00:00"/>
    <n v="3403"/>
    <n v="2.5999999046325701"/>
    <n v="2.5999999046325701"/>
    <n v="0"/>
    <n v="0"/>
    <n v="0"/>
    <n v="2.5999999046325701"/>
    <n v="0"/>
    <n v="0"/>
    <n v="0"/>
    <n v="141"/>
    <n v="758"/>
    <n v="1879"/>
    <x v="6"/>
    <s v="April"/>
    <n v="141"/>
    <n v="899"/>
    <n v="12.63"/>
    <x v="2"/>
    <s v="Sedentary"/>
    <s v="6117666160|2016-04-28"/>
    <b v="1"/>
  </r>
  <r>
    <n v="6117666160"/>
    <d v="2016-04-29T00:00:00"/>
    <n v="9592"/>
    <n v="7.2399997711181596"/>
    <n v="7.2399997711181596"/>
    <n v="0"/>
    <n v="0"/>
    <n v="0"/>
    <n v="7.2399997711181596"/>
    <n v="0"/>
    <n v="0"/>
    <n v="0"/>
    <n v="461"/>
    <n v="479"/>
    <n v="2560"/>
    <x v="0"/>
    <s v="April"/>
    <n v="461"/>
    <n v="940"/>
    <n v="7.98"/>
    <x v="3"/>
    <s v="Sedentary"/>
    <s v="6117666160|2016-04-29"/>
    <b v="1"/>
  </r>
  <r>
    <n v="6117666160"/>
    <d v="2016-04-30T00:00:00"/>
    <n v="6987"/>
    <n v="5.2800002098083496"/>
    <n v="5.2800002098083496"/>
    <n v="0"/>
    <n v="0"/>
    <n v="0"/>
    <n v="5.2800002098083496"/>
    <n v="0"/>
    <n v="0"/>
    <n v="0"/>
    <n v="343"/>
    <n v="1040"/>
    <n v="2275"/>
    <x v="1"/>
    <s v="April"/>
    <n v="343"/>
    <n v="1383"/>
    <n v="17.329999999999998"/>
    <x v="4"/>
    <s v="Sedentary"/>
    <s v="6117666160|2016-04-30"/>
    <b v="0"/>
  </r>
  <r>
    <n v="6117666160"/>
    <d v="2016-05-01T00:00:00"/>
    <n v="8915"/>
    <n v="6.7300000190734899"/>
    <n v="6.7300000190734899"/>
    <n v="0"/>
    <n v="0"/>
    <n v="0"/>
    <n v="6.7300000190734899"/>
    <n v="0"/>
    <n v="0"/>
    <n v="0"/>
    <n v="397"/>
    <n v="525"/>
    <n v="2361"/>
    <x v="2"/>
    <s v="May"/>
    <n v="397"/>
    <n v="922"/>
    <n v="8.75"/>
    <x v="3"/>
    <s v="Sedentary"/>
    <s v="6117666160|2016-05-01"/>
    <b v="1"/>
  </r>
  <r>
    <n v="6117666160"/>
    <d v="2016-05-02T00:00:00"/>
    <n v="4933"/>
    <n v="3.7300000190734899"/>
    <n v="3.7300000190734899"/>
    <n v="0"/>
    <n v="0"/>
    <n v="0"/>
    <n v="3.7300000190734899"/>
    <n v="0"/>
    <n v="0"/>
    <n v="0"/>
    <n v="236"/>
    <n v="1204"/>
    <n v="2044"/>
    <x v="3"/>
    <s v="May"/>
    <n v="236"/>
    <n v="1440"/>
    <n v="20.07"/>
    <x v="2"/>
    <s v="Sedentary"/>
    <s v="6117666160|2016-05-02"/>
    <b v="0"/>
  </r>
  <r>
    <n v="6117666160"/>
    <d v="2016-05-03T00:00:00"/>
    <n v="0"/>
    <n v="0"/>
    <n v="0"/>
    <n v="0"/>
    <n v="0"/>
    <n v="0"/>
    <n v="0"/>
    <n v="0"/>
    <n v="0"/>
    <n v="0"/>
    <n v="0"/>
    <n v="1440"/>
    <n v="1496"/>
    <x v="4"/>
    <s v="May"/>
    <n v="0"/>
    <n v="1440"/>
    <n v="24"/>
    <x v="2"/>
    <s v="Sedentary"/>
    <s v="6117666160|2016-05-03"/>
    <b v="0"/>
  </r>
  <r>
    <n v="6117666160"/>
    <d v="2016-05-04T00:00:00"/>
    <n v="2997"/>
    <n v="2.2599999904632599"/>
    <n v="2.2599999904632599"/>
    <n v="0"/>
    <n v="0"/>
    <n v="0"/>
    <n v="2.2599999904632599"/>
    <n v="0"/>
    <n v="0"/>
    <n v="0"/>
    <n v="156"/>
    <n v="1279"/>
    <n v="1902"/>
    <x v="5"/>
    <s v="May"/>
    <n v="156"/>
    <n v="1435"/>
    <n v="21.32"/>
    <x v="2"/>
    <s v="Sedentary"/>
    <s v="6117666160|2016-05-04"/>
    <b v="0"/>
  </r>
  <r>
    <n v="6117666160"/>
    <d v="2016-05-05T00:00:00"/>
    <n v="9799"/>
    <n v="7.4000000953674299"/>
    <n v="7.4000000953674299"/>
    <n v="0"/>
    <n v="0"/>
    <n v="0"/>
    <n v="7.4000000953674299"/>
    <n v="0"/>
    <n v="0"/>
    <n v="0"/>
    <n v="487"/>
    <n v="479"/>
    <n v="2636"/>
    <x v="6"/>
    <s v="May"/>
    <n v="487"/>
    <n v="966"/>
    <n v="7.98"/>
    <x v="3"/>
    <s v="Sedentary"/>
    <s v="6117666160|2016-05-05"/>
    <b v="1"/>
  </r>
  <r>
    <n v="6117666160"/>
    <d v="2016-05-06T00:00:00"/>
    <n v="3365"/>
    <n v="2.6800000667571999"/>
    <n v="2.6800000667571999"/>
    <n v="0"/>
    <n v="0"/>
    <n v="0"/>
    <n v="2.6800000667571999"/>
    <n v="0"/>
    <n v="0"/>
    <n v="0"/>
    <n v="133"/>
    <n v="673"/>
    <n v="1838"/>
    <x v="0"/>
    <s v="May"/>
    <n v="133"/>
    <n v="806"/>
    <n v="11.22"/>
    <x v="2"/>
    <s v="Sedentary"/>
    <s v="6117666160|2016-05-06"/>
    <b v="1"/>
  </r>
  <r>
    <n v="6117666160"/>
    <d v="2016-05-07T00:00:00"/>
    <n v="7336"/>
    <n v="5.53999996185303"/>
    <n v="5.53999996185303"/>
    <n v="0"/>
    <n v="0"/>
    <n v="0"/>
    <n v="5.53999996185303"/>
    <n v="0"/>
    <n v="0"/>
    <n v="0"/>
    <n v="412"/>
    <n v="456"/>
    <n v="2469"/>
    <x v="1"/>
    <s v="May"/>
    <n v="412"/>
    <n v="868"/>
    <n v="7.6"/>
    <x v="4"/>
    <s v="Sedentary"/>
    <s v="6117666160|2016-05-07"/>
    <b v="1"/>
  </r>
  <r>
    <n v="6117666160"/>
    <d v="2016-05-08T00:00:00"/>
    <n v="7328"/>
    <n v="5.5300002098083496"/>
    <n v="5.5300002098083496"/>
    <n v="0"/>
    <n v="0"/>
    <n v="0"/>
    <n v="5.5300002098083496"/>
    <n v="0"/>
    <n v="0"/>
    <n v="0"/>
    <n v="318"/>
    <n v="517"/>
    <n v="2250"/>
    <x v="2"/>
    <s v="May"/>
    <n v="318"/>
    <n v="835"/>
    <n v="8.6199999999999992"/>
    <x v="4"/>
    <s v="Sedentary"/>
    <s v="6117666160|2016-05-08"/>
    <b v="1"/>
  </r>
  <r>
    <n v="6117666160"/>
    <d v="2016-05-09T00:00:00"/>
    <n v="4477"/>
    <n v="3.3800001144409202"/>
    <n v="3.3800001144409202"/>
    <n v="0"/>
    <n v="0"/>
    <n v="0"/>
    <n v="3.3800001144409202"/>
    <n v="0"/>
    <n v="0"/>
    <n v="0"/>
    <n v="197"/>
    <n v="125"/>
    <n v="1248"/>
    <x v="3"/>
    <s v="May"/>
    <n v="197"/>
    <n v="322"/>
    <n v="2.08"/>
    <x v="2"/>
    <s v="Sedentary"/>
    <s v="6117666160|2016-05-09"/>
    <b v="1"/>
  </r>
  <r>
    <n v="6290855005"/>
    <d v="2016-04-12T00:00:00"/>
    <n v="4562"/>
    <n v="3.4500000476837198"/>
    <n v="3.4500000476837198"/>
    <n v="0"/>
    <n v="0"/>
    <n v="0"/>
    <n v="3.4500000476837198"/>
    <n v="0"/>
    <n v="0"/>
    <n v="0"/>
    <n v="199"/>
    <n v="1241"/>
    <n v="2560"/>
    <x v="4"/>
    <s v="April"/>
    <n v="199"/>
    <n v="1440"/>
    <n v="20.68"/>
    <x v="2"/>
    <s v="Sedentary"/>
    <s v="6290855005|2016-04-12"/>
    <b v="0"/>
  </r>
  <r>
    <n v="6290855005"/>
    <d v="2016-04-13T00:00:00"/>
    <n v="7142"/>
    <n v="5.4000000953674299"/>
    <n v="5.4000000953674299"/>
    <n v="0"/>
    <n v="0"/>
    <n v="0"/>
    <n v="5.3899998664856001"/>
    <n v="9.9999997764825804E-3"/>
    <n v="0"/>
    <n v="0"/>
    <n v="350"/>
    <n v="1090"/>
    <n v="2905"/>
    <x v="5"/>
    <s v="April"/>
    <n v="350"/>
    <n v="1440"/>
    <n v="18.170000000000002"/>
    <x v="4"/>
    <s v="Sedentary"/>
    <s v="6290855005|2016-04-13"/>
    <b v="0"/>
  </r>
  <r>
    <n v="6290855005"/>
    <d v="2016-04-14T00:00:00"/>
    <n v="7671"/>
    <n v="5.8000001907348597"/>
    <n v="5.8000001907348597"/>
    <n v="0"/>
    <n v="0"/>
    <n v="0"/>
    <n v="5.7699999809265101"/>
    <n v="2.9999999329447701E-2"/>
    <n v="0"/>
    <n v="0"/>
    <n v="363"/>
    <n v="1077"/>
    <n v="2952"/>
    <x v="6"/>
    <s v="April"/>
    <n v="363"/>
    <n v="1440"/>
    <n v="17.95"/>
    <x v="3"/>
    <s v="Sedentary"/>
    <s v="6290855005|2016-04-14"/>
    <b v="0"/>
  </r>
  <r>
    <n v="6290855005"/>
    <d v="2016-04-15T00:00:00"/>
    <n v="9501"/>
    <n v="7.1799998283386204"/>
    <n v="7.1799998283386204"/>
    <n v="0"/>
    <n v="0"/>
    <n v="0"/>
    <n v="7.1700000762939498"/>
    <n v="9.9999997764825804E-3"/>
    <n v="0"/>
    <n v="0"/>
    <n v="328"/>
    <n v="1112"/>
    <n v="2896"/>
    <x v="0"/>
    <s v="April"/>
    <n v="328"/>
    <n v="1440"/>
    <n v="18.53"/>
    <x v="3"/>
    <s v="Sedentary"/>
    <s v="6290855005|2016-04-15"/>
    <b v="0"/>
  </r>
  <r>
    <n v="6290855005"/>
    <d v="2016-04-16T00:00:00"/>
    <n v="8301"/>
    <n v="6.2800002098083496"/>
    <n v="6.2800002098083496"/>
    <n v="0"/>
    <n v="0"/>
    <n v="0"/>
    <n v="6.2699999809265101"/>
    <n v="9.9999997764825804E-3"/>
    <n v="0"/>
    <n v="0"/>
    <n v="258"/>
    <n v="1182"/>
    <n v="2783"/>
    <x v="1"/>
    <s v="April"/>
    <n v="258"/>
    <n v="1440"/>
    <n v="19.7"/>
    <x v="3"/>
    <s v="Sedentary"/>
    <s v="6290855005|2016-04-16"/>
    <b v="0"/>
  </r>
  <r>
    <n v="6290855005"/>
    <d v="2016-04-17T00:00:00"/>
    <n v="7851"/>
    <n v="5.9400000572204599"/>
    <n v="5.9400000572204599"/>
    <n v="0"/>
    <n v="1.1399999856948899"/>
    <n v="0.79000002145767201"/>
    <n v="4"/>
    <n v="0"/>
    <n v="31"/>
    <n v="12"/>
    <n v="225"/>
    <n v="1172"/>
    <n v="3171"/>
    <x v="2"/>
    <s v="April"/>
    <n v="268"/>
    <n v="1440"/>
    <n v="19.53"/>
    <x v="3"/>
    <s v="Very Active"/>
    <s v="6290855005|2016-04-17"/>
    <b v="0"/>
  </r>
  <r>
    <n v="6290855005"/>
    <d v="2016-04-18T00:00:00"/>
    <n v="6885"/>
    <n v="5.21000003814697"/>
    <n v="5.21000003814697"/>
    <n v="0"/>
    <n v="0"/>
    <n v="0"/>
    <n v="5.1900000572204599"/>
    <n v="1.9999999552965199E-2"/>
    <n v="0"/>
    <n v="0"/>
    <n v="271"/>
    <n v="1169"/>
    <n v="2766"/>
    <x v="3"/>
    <s v="April"/>
    <n v="271"/>
    <n v="1440"/>
    <n v="19.48"/>
    <x v="4"/>
    <s v="Sedentary"/>
    <s v="6290855005|2016-04-18"/>
    <b v="0"/>
  </r>
  <r>
    <n v="6290855005"/>
    <d v="2016-04-19T00:00:00"/>
    <n v="7142"/>
    <n v="5.4000000953674299"/>
    <n v="5.4000000953674299"/>
    <n v="0"/>
    <n v="0"/>
    <n v="0"/>
    <n v="5.3899998664856001"/>
    <n v="9.9999997764825804E-3"/>
    <n v="0"/>
    <n v="0"/>
    <n v="321"/>
    <n v="1119"/>
    <n v="2839"/>
    <x v="4"/>
    <s v="April"/>
    <n v="321"/>
    <n v="1440"/>
    <n v="18.649999999999999"/>
    <x v="4"/>
    <s v="Sedentary"/>
    <s v="6290855005|2016-04-19"/>
    <b v="0"/>
  </r>
  <r>
    <n v="6290855005"/>
    <d v="2016-04-20T00:00:00"/>
    <n v="6361"/>
    <n v="4.8099999427795401"/>
    <n v="4.8099999427795401"/>
    <n v="0"/>
    <n v="0"/>
    <n v="0"/>
    <n v="4.8000001907348597"/>
    <n v="9.9999997764825804E-3"/>
    <n v="0"/>
    <n v="0"/>
    <n v="258"/>
    <n v="1182"/>
    <n v="2701"/>
    <x v="5"/>
    <s v="April"/>
    <n v="258"/>
    <n v="1440"/>
    <n v="19.7"/>
    <x v="4"/>
    <s v="Sedentary"/>
    <s v="6290855005|2016-04-20"/>
    <b v="0"/>
  </r>
  <r>
    <n v="6290855005"/>
    <d v="2016-04-21T00:00:00"/>
    <n v="0"/>
    <n v="0"/>
    <n v="0"/>
    <n v="0"/>
    <n v="0"/>
    <n v="0"/>
    <n v="0"/>
    <n v="0"/>
    <n v="0"/>
    <n v="0"/>
    <n v="0"/>
    <n v="1440"/>
    <n v="2060"/>
    <x v="6"/>
    <s v="April"/>
    <n v="0"/>
    <n v="1440"/>
    <n v="24"/>
    <x v="2"/>
    <s v="Sedentary"/>
    <s v="6290855005|2016-04-21"/>
    <b v="0"/>
  </r>
  <r>
    <n v="6290855005"/>
    <d v="2016-04-22T00:00:00"/>
    <n v="6238"/>
    <n v="4.7199997901916504"/>
    <n v="4.7199997901916504"/>
    <n v="0"/>
    <n v="0"/>
    <n v="0"/>
    <n v="4.7199997901916504"/>
    <n v="0"/>
    <n v="0"/>
    <n v="0"/>
    <n v="302"/>
    <n v="1138"/>
    <n v="2796"/>
    <x v="0"/>
    <s v="April"/>
    <n v="302"/>
    <n v="1440"/>
    <n v="18.97"/>
    <x v="4"/>
    <s v="Sedentary"/>
    <s v="6290855005|2016-04-22"/>
    <b v="0"/>
  </r>
  <r>
    <n v="6290855005"/>
    <d v="2016-04-23T00:00:00"/>
    <n v="0"/>
    <n v="0"/>
    <n v="0"/>
    <n v="0"/>
    <n v="0"/>
    <n v="0"/>
    <n v="0"/>
    <n v="0"/>
    <n v="33"/>
    <n v="0"/>
    <n v="0"/>
    <n v="1407"/>
    <n v="2664"/>
    <x v="1"/>
    <s v="April"/>
    <n v="33"/>
    <n v="1440"/>
    <n v="23.45"/>
    <x v="2"/>
    <s v="Very Active"/>
    <s v="6290855005|2016-04-23"/>
    <b v="0"/>
  </r>
  <r>
    <n v="6290855005"/>
    <d v="2016-04-24T00:00:00"/>
    <n v="5896"/>
    <n v="4.46000003814697"/>
    <n v="4.46000003814697"/>
    <n v="0"/>
    <n v="0"/>
    <n v="0"/>
    <n v="4.46000003814697"/>
    <n v="0"/>
    <n v="0"/>
    <n v="0"/>
    <n v="258"/>
    <n v="1182"/>
    <n v="2703"/>
    <x v="2"/>
    <s v="April"/>
    <n v="258"/>
    <n v="1440"/>
    <n v="19.7"/>
    <x v="4"/>
    <s v="Sedentary"/>
    <s v="6290855005|2016-04-24"/>
    <b v="0"/>
  </r>
  <r>
    <n v="6290855005"/>
    <d v="2016-04-25T00:00:00"/>
    <n v="7802"/>
    <n v="5.9000000953674299"/>
    <n v="5.9000000953674299"/>
    <n v="0"/>
    <n v="0.68000000715255704"/>
    <n v="0.18000000715255701"/>
    <n v="5.0300002098083496"/>
    <n v="9.9999997764825804E-3"/>
    <n v="8"/>
    <n v="3"/>
    <n v="249"/>
    <n v="1180"/>
    <n v="2771"/>
    <x v="3"/>
    <s v="April"/>
    <n v="260"/>
    <n v="1440"/>
    <n v="19.670000000000002"/>
    <x v="3"/>
    <s v="Lightly Active"/>
    <s v="6290855005|2016-04-25"/>
    <b v="0"/>
  </r>
  <r>
    <n v="6290855005"/>
    <d v="2016-04-26T00:00:00"/>
    <n v="0"/>
    <n v="0"/>
    <n v="0"/>
    <n v="0"/>
    <n v="0"/>
    <n v="0"/>
    <n v="0"/>
    <n v="0"/>
    <n v="0"/>
    <n v="0"/>
    <n v="0"/>
    <n v="1440"/>
    <n v="2060"/>
    <x v="4"/>
    <s v="April"/>
    <n v="0"/>
    <n v="1440"/>
    <n v="24"/>
    <x v="2"/>
    <s v="Sedentary"/>
    <s v="6290855005|2016-04-26"/>
    <b v="0"/>
  </r>
  <r>
    <n v="6290855005"/>
    <d v="2016-04-27T00:00:00"/>
    <n v="5565"/>
    <n v="4.21000003814697"/>
    <n v="4.21000003814697"/>
    <n v="0"/>
    <n v="0"/>
    <n v="0"/>
    <n v="4.1799998283386204"/>
    <n v="2.9999999329447701E-2"/>
    <n v="0"/>
    <n v="0"/>
    <n v="287"/>
    <n v="1153"/>
    <n v="2743"/>
    <x v="5"/>
    <s v="April"/>
    <n v="287"/>
    <n v="1440"/>
    <n v="19.22"/>
    <x v="4"/>
    <s v="Sedentary"/>
    <s v="6290855005|2016-04-27"/>
    <b v="0"/>
  </r>
  <r>
    <n v="6290855005"/>
    <d v="2016-04-28T00:00:00"/>
    <n v="5731"/>
    <n v="4.3299999237060502"/>
    <n v="4.3299999237060502"/>
    <n v="0"/>
    <n v="0"/>
    <n v="0"/>
    <n v="4.3299999237060502"/>
    <n v="0"/>
    <n v="0"/>
    <n v="0"/>
    <n v="255"/>
    <n v="1185"/>
    <n v="2687"/>
    <x v="6"/>
    <s v="April"/>
    <n v="255"/>
    <n v="1440"/>
    <n v="19.75"/>
    <x v="4"/>
    <s v="Sedentary"/>
    <s v="6290855005|2016-04-28"/>
    <b v="0"/>
  </r>
  <r>
    <n v="6290855005"/>
    <d v="2016-04-29T00:00:00"/>
    <n v="0"/>
    <n v="0"/>
    <n v="0"/>
    <n v="0"/>
    <n v="0"/>
    <n v="0"/>
    <n v="0"/>
    <n v="0"/>
    <n v="0"/>
    <n v="0"/>
    <n v="0"/>
    <n v="1440"/>
    <n v="2060"/>
    <x v="0"/>
    <s v="April"/>
    <n v="0"/>
    <n v="1440"/>
    <n v="24"/>
    <x v="2"/>
    <s v="Sedentary"/>
    <s v="6290855005|2016-04-29"/>
    <b v="0"/>
  </r>
  <r>
    <n v="6290855005"/>
    <d v="2016-04-30T00:00:00"/>
    <n v="6744"/>
    <n v="5.0999999046325701"/>
    <n v="5.0999999046325701"/>
    <n v="0"/>
    <n v="0"/>
    <n v="0"/>
    <n v="5.0900001525878897"/>
    <n v="9.9999997764825804E-3"/>
    <n v="0"/>
    <n v="0"/>
    <n v="324"/>
    <n v="1116"/>
    <n v="2843"/>
    <x v="1"/>
    <s v="April"/>
    <n v="324"/>
    <n v="1440"/>
    <n v="18.600000000000001"/>
    <x v="4"/>
    <s v="Sedentary"/>
    <s v="6290855005|2016-04-30"/>
    <b v="0"/>
  </r>
  <r>
    <n v="6290855005"/>
    <d v="2016-05-01T00:00:00"/>
    <n v="9837"/>
    <n v="7.4400000572204599"/>
    <n v="7.4400000572204599"/>
    <n v="0"/>
    <n v="0.66000002622604403"/>
    <n v="2.75"/>
    <n v="4"/>
    <n v="1.9999999552965199E-2"/>
    <n v="8"/>
    <n v="95"/>
    <n v="282"/>
    <n v="1055"/>
    <n v="3327"/>
    <x v="2"/>
    <s v="May"/>
    <n v="385"/>
    <n v="1440"/>
    <n v="17.579999999999998"/>
    <x v="3"/>
    <s v="Lightly Active"/>
    <s v="6290855005|2016-05-01"/>
    <b v="0"/>
  </r>
  <r>
    <n v="6290855005"/>
    <d v="2016-05-02T00:00:00"/>
    <n v="6781"/>
    <n v="5.1300001144409197"/>
    <n v="5.1300001144409197"/>
    <n v="0"/>
    <n v="0"/>
    <n v="0"/>
    <n v="5.1100001335143999"/>
    <n v="1.9999999552965199E-2"/>
    <n v="0"/>
    <n v="0"/>
    <n v="268"/>
    <n v="1172"/>
    <n v="2725"/>
    <x v="3"/>
    <s v="May"/>
    <n v="268"/>
    <n v="1440"/>
    <n v="19.53"/>
    <x v="4"/>
    <s v="Sedentary"/>
    <s v="6290855005|2016-05-02"/>
    <b v="0"/>
  </r>
  <r>
    <n v="6290855005"/>
    <d v="2016-05-03T00:00:00"/>
    <n v="6047"/>
    <n v="4.5700001716613796"/>
    <n v="4.5700001716613796"/>
    <n v="0"/>
    <n v="0"/>
    <n v="0"/>
    <n v="4.5700001716613796"/>
    <n v="0"/>
    <n v="0"/>
    <n v="0"/>
    <n v="240"/>
    <n v="1200"/>
    <n v="2671"/>
    <x v="4"/>
    <s v="May"/>
    <n v="240"/>
    <n v="1440"/>
    <n v="20"/>
    <x v="4"/>
    <s v="Sedentary"/>
    <s v="6290855005|2016-05-03"/>
    <b v="0"/>
  </r>
  <r>
    <n v="6290855005"/>
    <d v="2016-05-04T00:00:00"/>
    <n v="5832"/>
    <n v="4.4099998474121103"/>
    <n v="4.4099998474121103"/>
    <n v="0"/>
    <n v="0"/>
    <n v="0"/>
    <n v="4.4000000953674299"/>
    <n v="9.9999997764825804E-3"/>
    <n v="0"/>
    <n v="0"/>
    <n v="272"/>
    <n v="1168"/>
    <n v="2718"/>
    <x v="5"/>
    <s v="May"/>
    <n v="272"/>
    <n v="1440"/>
    <n v="19.47"/>
    <x v="4"/>
    <s v="Sedentary"/>
    <s v="6290855005|2016-05-04"/>
    <b v="0"/>
  </r>
  <r>
    <n v="6290855005"/>
    <d v="2016-05-05T00:00:00"/>
    <n v="6339"/>
    <n v="4.78999996185303"/>
    <n v="4.78999996185303"/>
    <n v="0"/>
    <n v="0"/>
    <n v="0"/>
    <n v="4.78999996185303"/>
    <n v="0"/>
    <n v="0"/>
    <n v="0"/>
    <n v="239"/>
    <n v="1201"/>
    <n v="2682"/>
    <x v="6"/>
    <s v="May"/>
    <n v="239"/>
    <n v="1440"/>
    <n v="20.02"/>
    <x v="4"/>
    <s v="Sedentary"/>
    <s v="6290855005|2016-05-05"/>
    <b v="0"/>
  </r>
  <r>
    <n v="6290855005"/>
    <d v="2016-05-06T00:00:00"/>
    <n v="6116"/>
    <n v="4.6199998855590803"/>
    <n v="4.6199998855590803"/>
    <n v="0"/>
    <n v="0"/>
    <n v="0"/>
    <n v="4.5900001525878897"/>
    <n v="2.9999999329447701E-2"/>
    <n v="0"/>
    <n v="0"/>
    <n v="305"/>
    <n v="1135"/>
    <n v="2806"/>
    <x v="0"/>
    <s v="May"/>
    <n v="305"/>
    <n v="1440"/>
    <n v="18.920000000000002"/>
    <x v="4"/>
    <s v="Sedentary"/>
    <s v="6290855005|2016-05-06"/>
    <b v="0"/>
  </r>
  <r>
    <n v="6290855005"/>
    <d v="2016-05-07T00:00:00"/>
    <n v="5510"/>
    <n v="4.1700000762939498"/>
    <n v="4.1700000762939498"/>
    <n v="0"/>
    <n v="0"/>
    <n v="0"/>
    <n v="4.1599998474121103"/>
    <n v="0"/>
    <n v="0"/>
    <n v="0"/>
    <n v="227"/>
    <n v="1213"/>
    <n v="2613"/>
    <x v="1"/>
    <s v="May"/>
    <n v="227"/>
    <n v="1440"/>
    <n v="20.22"/>
    <x v="4"/>
    <s v="Sedentary"/>
    <s v="6290855005|2016-05-07"/>
    <b v="0"/>
  </r>
  <r>
    <n v="6290855005"/>
    <d v="2016-05-08T00:00:00"/>
    <n v="7706"/>
    <n v="5.8299999237060502"/>
    <n v="5.8299999237060502"/>
    <n v="0"/>
    <n v="0"/>
    <n v="0"/>
    <n v="5.8200001716613796"/>
    <n v="0"/>
    <n v="0"/>
    <n v="0"/>
    <n v="251"/>
    <n v="1189"/>
    <n v="2712"/>
    <x v="2"/>
    <s v="May"/>
    <n v="251"/>
    <n v="1440"/>
    <n v="19.82"/>
    <x v="3"/>
    <s v="Sedentary"/>
    <s v="6290855005|2016-05-08"/>
    <b v="0"/>
  </r>
  <r>
    <n v="6290855005"/>
    <d v="2016-05-09T00:00:00"/>
    <n v="6277"/>
    <n v="4.75"/>
    <n v="4.75"/>
    <n v="0"/>
    <n v="0"/>
    <n v="0"/>
    <n v="4.7300000190734899"/>
    <n v="1.9999999552965199E-2"/>
    <n v="0"/>
    <n v="0"/>
    <n v="264"/>
    <n v="800"/>
    <n v="2175"/>
    <x v="3"/>
    <s v="May"/>
    <n v="264"/>
    <n v="1064"/>
    <n v="13.33"/>
    <x v="4"/>
    <s v="Sedentary"/>
    <s v="6290855005|2016-05-09"/>
    <b v="0"/>
  </r>
  <r>
    <n v="6290855005"/>
    <d v="2016-05-10T00:00:00"/>
    <n v="0"/>
    <n v="0"/>
    <n v="0"/>
    <n v="0"/>
    <n v="0"/>
    <n v="0"/>
    <n v="0"/>
    <n v="0"/>
    <n v="0"/>
    <n v="0"/>
    <n v="0"/>
    <n v="1440"/>
    <n v="0"/>
    <x v="4"/>
    <s v="May"/>
    <n v="0"/>
    <n v="1440"/>
    <n v="24"/>
    <x v="2"/>
    <s v="Sedentary"/>
    <s v="6290855005|2016-05-10"/>
    <b v="0"/>
  </r>
  <r>
    <n v="6775888955"/>
    <d v="2016-04-12T00:00:00"/>
    <n v="0"/>
    <n v="0"/>
    <n v="0"/>
    <n v="0"/>
    <n v="0"/>
    <n v="0"/>
    <n v="0"/>
    <n v="0"/>
    <n v="0"/>
    <n v="0"/>
    <n v="0"/>
    <n v="1440"/>
    <n v="1841"/>
    <x v="4"/>
    <s v="April"/>
    <n v="0"/>
    <n v="1440"/>
    <n v="24"/>
    <x v="2"/>
    <s v="Sedentary"/>
    <s v="6775888955|2016-04-12"/>
    <b v="0"/>
  </r>
  <r>
    <n v="6775888955"/>
    <d v="2016-04-13T00:00:00"/>
    <n v="4053"/>
    <n v="2.9100000858306898"/>
    <n v="2.9100000858306898"/>
    <n v="0"/>
    <n v="1.1100000143051101"/>
    <n v="0.57999998331069902"/>
    <n v="1.2200000286102299"/>
    <n v="0"/>
    <n v="17"/>
    <n v="18"/>
    <n v="85"/>
    <n v="1053"/>
    <n v="2400"/>
    <x v="5"/>
    <s v="April"/>
    <n v="120"/>
    <n v="1173"/>
    <n v="17.55"/>
    <x v="2"/>
    <s v="Moderately Active"/>
    <s v="6775888955|2016-04-13"/>
    <b v="1"/>
  </r>
  <r>
    <n v="6775888955"/>
    <d v="2016-04-14T00:00:00"/>
    <n v="5162"/>
    <n v="3.7000000476837198"/>
    <n v="3.7000000476837198"/>
    <n v="0"/>
    <n v="0.87000000476837203"/>
    <n v="0.86000001430511497"/>
    <n v="1.9700000286102299"/>
    <n v="0"/>
    <n v="14"/>
    <n v="24"/>
    <n v="105"/>
    <n v="863"/>
    <n v="2507"/>
    <x v="6"/>
    <s v="April"/>
    <n v="143"/>
    <n v="1006"/>
    <n v="14.38"/>
    <x v="4"/>
    <s v="Lightly Active"/>
    <s v="6775888955|2016-04-14"/>
    <b v="1"/>
  </r>
  <r>
    <n v="6775888955"/>
    <d v="2016-04-15T00:00:00"/>
    <n v="1282"/>
    <n v="0.92000001668930098"/>
    <n v="0.92000001668930098"/>
    <n v="0"/>
    <n v="0"/>
    <n v="0"/>
    <n v="0.92000001668930098"/>
    <n v="0"/>
    <n v="0"/>
    <n v="0"/>
    <n v="58"/>
    <n v="976"/>
    <n v="2127"/>
    <x v="0"/>
    <s v="April"/>
    <n v="58"/>
    <n v="1034"/>
    <n v="16.27"/>
    <x v="2"/>
    <s v="Sedentary"/>
    <s v="6775888955|2016-04-15"/>
    <b v="1"/>
  </r>
  <r>
    <n v="6775888955"/>
    <d v="2016-04-16T00:00:00"/>
    <n v="4732"/>
    <n v="3.3900001049041699"/>
    <n v="3.3900001049041699"/>
    <n v="0"/>
    <n v="2.5199999809265101"/>
    <n v="0.81000000238418601"/>
    <n v="5.9999998658895499E-2"/>
    <n v="0"/>
    <n v="36"/>
    <n v="18"/>
    <n v="9"/>
    <n v="1377"/>
    <n v="2225"/>
    <x v="1"/>
    <s v="April"/>
    <n v="63"/>
    <n v="1440"/>
    <n v="22.95"/>
    <x v="2"/>
    <s v="Very Active"/>
    <s v="6775888955|2016-04-16"/>
    <b v="0"/>
  </r>
  <r>
    <n v="6775888955"/>
    <d v="2016-04-17T00:00:00"/>
    <n v="2497"/>
    <n v="1.78999996185303"/>
    <n v="1.78999996185303"/>
    <n v="0"/>
    <n v="0.34999999403953602"/>
    <n v="1.12999999523163"/>
    <n v="0.31000000238418601"/>
    <n v="0"/>
    <n v="5"/>
    <n v="24"/>
    <n v="19"/>
    <n v="1392"/>
    <n v="2067"/>
    <x v="2"/>
    <s v="April"/>
    <n v="48"/>
    <n v="1440"/>
    <n v="23.2"/>
    <x v="2"/>
    <s v="Lightly Active"/>
    <s v="6775888955|2016-04-17"/>
    <b v="0"/>
  </r>
  <r>
    <n v="6775888955"/>
    <d v="2016-04-18T00:00:00"/>
    <n v="8294"/>
    <n v="5.9499998092651403"/>
    <n v="5.9499998092651403"/>
    <n v="0"/>
    <n v="2"/>
    <n v="0.769999980926514"/>
    <n v="3.1700000762939502"/>
    <n v="0"/>
    <n v="30"/>
    <n v="31"/>
    <n v="146"/>
    <n v="1233"/>
    <n v="2798"/>
    <x v="3"/>
    <s v="April"/>
    <n v="207"/>
    <n v="1440"/>
    <n v="20.55"/>
    <x v="3"/>
    <s v="Very Active"/>
    <s v="6775888955|2016-04-18"/>
    <b v="0"/>
  </r>
  <r>
    <n v="6775888955"/>
    <d v="2016-04-19T00:00:00"/>
    <n v="0"/>
    <n v="0"/>
    <n v="0"/>
    <n v="0"/>
    <n v="0"/>
    <n v="0"/>
    <n v="0"/>
    <n v="0"/>
    <n v="0"/>
    <n v="0"/>
    <n v="0"/>
    <n v="1440"/>
    <n v="1841"/>
    <x v="4"/>
    <s v="April"/>
    <n v="0"/>
    <n v="1440"/>
    <n v="24"/>
    <x v="2"/>
    <s v="Sedentary"/>
    <s v="6775888955|2016-04-19"/>
    <b v="0"/>
  </r>
  <r>
    <n v="6775888955"/>
    <d v="2016-04-20T00:00:00"/>
    <n v="10771"/>
    <n v="7.7199997901916504"/>
    <n v="7.7199997901916504"/>
    <n v="0"/>
    <n v="3.7699999809265101"/>
    <n v="1.7400000095367401"/>
    <n v="2.2200000286102299"/>
    <n v="0"/>
    <n v="70"/>
    <n v="113"/>
    <n v="178"/>
    <n v="1079"/>
    <n v="3727"/>
    <x v="5"/>
    <s v="April"/>
    <n v="361"/>
    <n v="1440"/>
    <n v="17.98"/>
    <x v="0"/>
    <s v="Very Active"/>
    <s v="6775888955|2016-04-20"/>
    <b v="0"/>
  </r>
  <r>
    <n v="6775888955"/>
    <d v="2016-04-21T00:00:00"/>
    <n v="0"/>
    <n v="0"/>
    <n v="0"/>
    <n v="0"/>
    <n v="0"/>
    <n v="0"/>
    <n v="0"/>
    <n v="0"/>
    <n v="0"/>
    <n v="0"/>
    <n v="0"/>
    <n v="1440"/>
    <n v="1841"/>
    <x v="6"/>
    <s v="April"/>
    <n v="0"/>
    <n v="1440"/>
    <n v="24"/>
    <x v="2"/>
    <s v="Sedentary"/>
    <s v="6775888955|2016-04-21"/>
    <b v="0"/>
  </r>
  <r>
    <n v="6775888955"/>
    <d v="2016-04-22T00:00:00"/>
    <n v="637"/>
    <n v="0.46000000834464999"/>
    <n v="0.46000000834464999"/>
    <n v="0"/>
    <n v="0"/>
    <n v="0"/>
    <n v="0.46000000834464999"/>
    <n v="0"/>
    <n v="0"/>
    <n v="0"/>
    <n v="20"/>
    <n v="1420"/>
    <n v="1922"/>
    <x v="0"/>
    <s v="April"/>
    <n v="20"/>
    <n v="1440"/>
    <n v="23.67"/>
    <x v="2"/>
    <s v="Sedentary"/>
    <s v="6775888955|2016-04-22"/>
    <b v="0"/>
  </r>
  <r>
    <n v="6775888955"/>
    <d v="2016-04-23T00:00:00"/>
    <n v="0"/>
    <n v="0"/>
    <n v="0"/>
    <n v="0"/>
    <n v="0"/>
    <n v="0"/>
    <n v="0"/>
    <n v="0"/>
    <n v="0"/>
    <n v="0"/>
    <n v="0"/>
    <n v="1440"/>
    <n v="1841"/>
    <x v="1"/>
    <s v="April"/>
    <n v="0"/>
    <n v="1440"/>
    <n v="24"/>
    <x v="2"/>
    <s v="Sedentary"/>
    <s v="6775888955|2016-04-23"/>
    <b v="0"/>
  </r>
  <r>
    <n v="6775888955"/>
    <d v="2016-04-24T00:00:00"/>
    <n v="2153"/>
    <n v="1.53999996185303"/>
    <n v="1.53999996185303"/>
    <n v="0"/>
    <n v="0.769999980926514"/>
    <n v="0.62000000476837203"/>
    <n v="0.15000000596046401"/>
    <n v="0"/>
    <n v="11"/>
    <n v="18"/>
    <n v="11"/>
    <n v="1400"/>
    <n v="2053"/>
    <x v="2"/>
    <s v="April"/>
    <n v="40"/>
    <n v="1440"/>
    <n v="23.33"/>
    <x v="2"/>
    <s v="Lightly Active"/>
    <s v="6775888955|2016-04-24"/>
    <b v="0"/>
  </r>
  <r>
    <n v="6775888955"/>
    <d v="2016-04-25T00:00:00"/>
    <n v="6474"/>
    <n v="4.6399998664856001"/>
    <n v="4.6399998664856001"/>
    <n v="0"/>
    <n v="2.2699999809265101"/>
    <n v="0.46000000834464999"/>
    <n v="1.8999999761581401"/>
    <n v="0"/>
    <n v="33"/>
    <n v="13"/>
    <n v="92"/>
    <n v="1302"/>
    <n v="2484"/>
    <x v="3"/>
    <s v="April"/>
    <n v="138"/>
    <n v="1440"/>
    <n v="21.7"/>
    <x v="4"/>
    <s v="Very Active"/>
    <s v="6775888955|2016-04-25"/>
    <b v="0"/>
  </r>
  <r>
    <n v="6775888955"/>
    <d v="2016-04-26T00:00:00"/>
    <n v="7091"/>
    <n v="5.2699999809265101"/>
    <n v="5.2699999809265101"/>
    <n v="1.9595960378646899"/>
    <n v="3.4800000190734899"/>
    <n v="0.87000000476837203"/>
    <n v="0.730000019073486"/>
    <n v="0"/>
    <n v="42"/>
    <n v="30"/>
    <n v="47"/>
    <n v="1321"/>
    <n v="2584"/>
    <x v="4"/>
    <s v="April"/>
    <n v="119"/>
    <n v="1440"/>
    <n v="22.02"/>
    <x v="4"/>
    <s v="Very Active"/>
    <s v="6775888955|2016-04-26"/>
    <b v="0"/>
  </r>
  <r>
    <n v="6775888955"/>
    <d v="2016-04-27T00:00:00"/>
    <n v="0"/>
    <n v="0"/>
    <n v="0"/>
    <n v="0"/>
    <n v="0"/>
    <n v="0"/>
    <n v="0"/>
    <n v="0"/>
    <n v="0"/>
    <n v="0"/>
    <n v="0"/>
    <n v="1440"/>
    <n v="1841"/>
    <x v="5"/>
    <s v="April"/>
    <n v="0"/>
    <n v="1440"/>
    <n v="24"/>
    <x v="2"/>
    <s v="Sedentary"/>
    <s v="6775888955|2016-04-27"/>
    <b v="0"/>
  </r>
  <r>
    <n v="6775888955"/>
    <d v="2016-04-28T00:00:00"/>
    <n v="703"/>
    <n v="0.5"/>
    <n v="0.5"/>
    <n v="0"/>
    <n v="5.9999998658895499E-2"/>
    <n v="0.20000000298023199"/>
    <n v="0.239999994635582"/>
    <n v="0"/>
    <n v="2"/>
    <n v="13"/>
    <n v="15"/>
    <n v="1410"/>
    <n v="1993"/>
    <x v="6"/>
    <s v="April"/>
    <n v="30"/>
    <n v="1440"/>
    <n v="23.5"/>
    <x v="2"/>
    <s v="Lightly Active"/>
    <s v="6775888955|2016-04-28"/>
    <b v="0"/>
  </r>
  <r>
    <n v="6775888955"/>
    <d v="2016-04-29T00:00:00"/>
    <n v="0"/>
    <n v="0"/>
    <n v="0"/>
    <n v="0"/>
    <n v="0"/>
    <n v="0"/>
    <n v="0"/>
    <n v="0"/>
    <n v="0"/>
    <n v="0"/>
    <n v="0"/>
    <n v="1440"/>
    <n v="1841"/>
    <x v="0"/>
    <s v="April"/>
    <n v="0"/>
    <n v="1440"/>
    <n v="24"/>
    <x v="2"/>
    <s v="Sedentary"/>
    <s v="6775888955|2016-04-29"/>
    <b v="0"/>
  </r>
  <r>
    <n v="6775888955"/>
    <d v="2016-04-30T00:00:00"/>
    <n v="2503"/>
    <n v="1.78999996185303"/>
    <n v="1.78999996185303"/>
    <n v="0"/>
    <n v="0.15999999642372101"/>
    <n v="0.15999999642372101"/>
    <n v="1.4800000190734901"/>
    <n v="0"/>
    <n v="3"/>
    <n v="9"/>
    <n v="84"/>
    <n v="1344"/>
    <n v="2280"/>
    <x v="1"/>
    <s v="April"/>
    <n v="96"/>
    <n v="1440"/>
    <n v="22.4"/>
    <x v="2"/>
    <s v="Lightly Active"/>
    <s v="6775888955|2016-04-30"/>
    <b v="0"/>
  </r>
  <r>
    <n v="6775888955"/>
    <d v="2016-05-01T00:00:00"/>
    <n v="2487"/>
    <n v="1.7799999713897701"/>
    <n v="1.7799999713897701"/>
    <n v="0"/>
    <n v="0.479999989271164"/>
    <n v="0.62000000476837203"/>
    <n v="0.68000000715255704"/>
    <n v="0"/>
    <n v="9"/>
    <n v="34"/>
    <n v="50"/>
    <n v="1347"/>
    <n v="2319"/>
    <x v="2"/>
    <s v="May"/>
    <n v="93"/>
    <n v="1440"/>
    <n v="22.45"/>
    <x v="2"/>
    <s v="Lightly Active"/>
    <s v="6775888955|2016-05-01"/>
    <b v="0"/>
  </r>
  <r>
    <n v="6775888955"/>
    <d v="2016-05-02T00:00:00"/>
    <n v="0"/>
    <n v="0"/>
    <n v="0"/>
    <n v="0"/>
    <n v="0"/>
    <n v="0"/>
    <n v="0"/>
    <n v="0"/>
    <n v="0"/>
    <n v="0"/>
    <n v="0"/>
    <n v="1440"/>
    <n v="1841"/>
    <x v="3"/>
    <s v="May"/>
    <n v="0"/>
    <n v="1440"/>
    <n v="24"/>
    <x v="2"/>
    <s v="Sedentary"/>
    <s v="6775888955|2016-05-02"/>
    <b v="0"/>
  </r>
  <r>
    <n v="6775888955"/>
    <d v="2016-05-03T00:00:00"/>
    <n v="9"/>
    <n v="9.9999997764825804E-3"/>
    <n v="9.9999997764825804E-3"/>
    <n v="0"/>
    <n v="0"/>
    <n v="0"/>
    <n v="9.9999997764825804E-3"/>
    <n v="0"/>
    <n v="0"/>
    <n v="0"/>
    <n v="1"/>
    <n v="1439"/>
    <n v="1843"/>
    <x v="4"/>
    <s v="May"/>
    <n v="1"/>
    <n v="1440"/>
    <n v="23.98"/>
    <x v="2"/>
    <s v="Sedentary"/>
    <s v="6775888955|2016-05-03"/>
    <b v="0"/>
  </r>
  <r>
    <n v="6775888955"/>
    <d v="2016-05-04T00:00:00"/>
    <n v="0"/>
    <n v="0"/>
    <n v="0"/>
    <n v="0"/>
    <n v="0"/>
    <n v="0"/>
    <n v="0"/>
    <n v="0"/>
    <n v="0"/>
    <n v="0"/>
    <n v="0"/>
    <n v="1440"/>
    <n v="1841"/>
    <x v="5"/>
    <s v="May"/>
    <n v="0"/>
    <n v="1440"/>
    <n v="24"/>
    <x v="2"/>
    <s v="Sedentary"/>
    <s v="6775888955|2016-05-04"/>
    <b v="0"/>
  </r>
  <r>
    <n v="6775888955"/>
    <d v="2016-05-05T00:00:00"/>
    <n v="0"/>
    <n v="0"/>
    <n v="0"/>
    <n v="0"/>
    <n v="0"/>
    <n v="0"/>
    <n v="0"/>
    <n v="0"/>
    <n v="0"/>
    <n v="0"/>
    <n v="0"/>
    <n v="1440"/>
    <n v="1841"/>
    <x v="6"/>
    <s v="May"/>
    <n v="0"/>
    <n v="1440"/>
    <n v="24"/>
    <x v="2"/>
    <s v="Sedentary"/>
    <s v="6775888955|2016-05-05"/>
    <b v="0"/>
  </r>
  <r>
    <n v="6775888955"/>
    <d v="2016-05-06T00:00:00"/>
    <n v="4697"/>
    <n v="3.3699998855590798"/>
    <n v="3.3699998855590798"/>
    <n v="0"/>
    <n v="0.46999999880790699"/>
    <n v="0.93000000715255704"/>
    <n v="1.9299999475479099"/>
    <n v="0"/>
    <n v="12"/>
    <n v="35"/>
    <n v="75"/>
    <n v="1318"/>
    <n v="2496"/>
    <x v="0"/>
    <s v="May"/>
    <n v="122"/>
    <n v="1440"/>
    <n v="21.97"/>
    <x v="2"/>
    <s v="Lightly Active"/>
    <s v="6775888955|2016-05-06"/>
    <b v="0"/>
  </r>
  <r>
    <n v="6775888955"/>
    <d v="2016-05-07T00:00:00"/>
    <n v="1967"/>
    <n v="1.4099999666214"/>
    <n v="1.4099999666214"/>
    <n v="0"/>
    <n v="0.129999995231628"/>
    <n v="0.239999994635582"/>
    <n v="1.04999995231628"/>
    <n v="0"/>
    <n v="2"/>
    <n v="5"/>
    <n v="49"/>
    <n v="551"/>
    <n v="1032"/>
    <x v="1"/>
    <s v="May"/>
    <n v="56"/>
    <n v="607"/>
    <n v="9.18"/>
    <x v="2"/>
    <s v="Lightly Active"/>
    <s v="6775888955|2016-05-07"/>
    <b v="0"/>
  </r>
  <r>
    <n v="6962181067"/>
    <d v="2016-04-13T00:00:00"/>
    <n v="5652"/>
    <n v="3.7400000095367401"/>
    <n v="3.7400000095367401"/>
    <n v="0"/>
    <n v="0.56999999284744296"/>
    <n v="1.21000003814697"/>
    <n v="1.96000003814697"/>
    <n v="0"/>
    <n v="8"/>
    <n v="24"/>
    <n v="142"/>
    <n v="548"/>
    <n v="1718"/>
    <x v="5"/>
    <s v="April"/>
    <n v="174"/>
    <n v="722"/>
    <n v="9.1300000000000008"/>
    <x v="4"/>
    <s v="Lightly Active"/>
    <s v="6962181067|2016-04-13"/>
    <b v="1"/>
  </r>
  <r>
    <n v="6962181067"/>
    <d v="2016-04-14T00:00:00"/>
    <n v="1551"/>
    <n v="1.0299999713897701"/>
    <n v="1.0299999713897701"/>
    <n v="0"/>
    <n v="0"/>
    <n v="0"/>
    <n v="1.0299999713897701"/>
    <n v="0"/>
    <n v="0"/>
    <n v="0"/>
    <n v="86"/>
    <n v="862"/>
    <n v="1466"/>
    <x v="6"/>
    <s v="April"/>
    <n v="86"/>
    <n v="948"/>
    <n v="14.37"/>
    <x v="2"/>
    <s v="Sedentary"/>
    <s v="6962181067|2016-04-14"/>
    <b v="1"/>
  </r>
  <r>
    <n v="6962181067"/>
    <d v="2016-04-15T00:00:00"/>
    <n v="5563"/>
    <n v="3.6800000667571999"/>
    <n v="3.6800000667571999"/>
    <n v="0"/>
    <n v="0"/>
    <n v="0"/>
    <n v="3.6800000667571999"/>
    <n v="0"/>
    <n v="0"/>
    <n v="0"/>
    <n v="217"/>
    <n v="837"/>
    <n v="1756"/>
    <x v="0"/>
    <s v="April"/>
    <n v="217"/>
    <n v="1054"/>
    <n v="13.95"/>
    <x v="4"/>
    <s v="Sedentary"/>
    <s v="6962181067|2016-04-15"/>
    <b v="1"/>
  </r>
  <r>
    <n v="6962181067"/>
    <d v="2016-04-16T00:00:00"/>
    <n v="13217"/>
    <n v="8.7399997711181605"/>
    <n v="8.7399997711181605"/>
    <n v="0"/>
    <n v="3.6600000858306898"/>
    <n v="0.18999999761581399"/>
    <n v="4.8800001144409197"/>
    <n v="0"/>
    <n v="50"/>
    <n v="3"/>
    <n v="280"/>
    <n v="741"/>
    <n v="2173"/>
    <x v="1"/>
    <s v="April"/>
    <n v="333"/>
    <n v="1074"/>
    <n v="12.35"/>
    <x v="1"/>
    <s v="Very Active"/>
    <s v="6962181067|2016-04-16"/>
    <b v="1"/>
  </r>
  <r>
    <n v="6962181067"/>
    <d v="2016-04-17T00:00:00"/>
    <n v="10145"/>
    <n v="6.71000003814697"/>
    <n v="6.71000003814697"/>
    <n v="0"/>
    <n v="0.33000001311302202"/>
    <n v="0.68000000715255704"/>
    <n v="5.6900000572204599"/>
    <n v="0"/>
    <n v="5"/>
    <n v="13"/>
    <n v="295"/>
    <n v="634"/>
    <n v="2027"/>
    <x v="2"/>
    <s v="April"/>
    <n v="313"/>
    <n v="947"/>
    <n v="10.57"/>
    <x v="0"/>
    <s v="Lightly Active"/>
    <s v="6962181067|2016-04-17"/>
    <b v="1"/>
  </r>
  <r>
    <n v="6962181067"/>
    <d v="2016-04-18T00:00:00"/>
    <n v="11404"/>
    <n v="7.53999996185303"/>
    <n v="7.53999996185303"/>
    <n v="0"/>
    <n v="0.82999998331069902"/>
    <n v="2.3900001049041699"/>
    <n v="4.3200001716613796"/>
    <n v="0"/>
    <n v="13"/>
    <n v="42"/>
    <n v="238"/>
    <n v="689"/>
    <n v="2039"/>
    <x v="3"/>
    <s v="April"/>
    <n v="293"/>
    <n v="982"/>
    <n v="11.48"/>
    <x v="0"/>
    <s v="Lightly Active"/>
    <s v="6962181067|2016-04-18"/>
    <b v="1"/>
  </r>
  <r>
    <n v="6962181067"/>
    <d v="2016-04-19T00:00:00"/>
    <n v="10742"/>
    <n v="7.0999999046325701"/>
    <n v="7.0999999046325701"/>
    <n v="0"/>
    <n v="2.0999999046325701"/>
    <n v="2.1300001144409202"/>
    <n v="2.8699998855590798"/>
    <n v="0"/>
    <n v="35"/>
    <n v="41"/>
    <n v="195"/>
    <n v="659"/>
    <n v="2046"/>
    <x v="4"/>
    <s v="April"/>
    <n v="271"/>
    <n v="930"/>
    <n v="10.98"/>
    <x v="0"/>
    <s v="Very Active"/>
    <s v="6962181067|2016-04-19"/>
    <b v="1"/>
  </r>
  <r>
    <n v="6962181067"/>
    <d v="2016-04-20T00:00:00"/>
    <n v="13928"/>
    <n v="9.5500001907348597"/>
    <n v="9.5500001907348597"/>
    <n v="0"/>
    <n v="4.2800002098083496"/>
    <n v="0.18999999761581399"/>
    <n v="5.0900001525878897"/>
    <n v="0"/>
    <n v="48"/>
    <n v="4"/>
    <n v="297"/>
    <n v="639"/>
    <n v="2174"/>
    <x v="5"/>
    <s v="April"/>
    <n v="349"/>
    <n v="988"/>
    <n v="10.65"/>
    <x v="1"/>
    <s v="Very Active"/>
    <s v="6962181067|2016-04-20"/>
    <b v="1"/>
  </r>
  <r>
    <n v="6962181067"/>
    <d v="2016-04-21T00:00:00"/>
    <n v="11835"/>
    <n v="9.7100000381469709"/>
    <n v="7.8800001144409197"/>
    <n v="4.0816922187805202"/>
    <n v="3.9900000095367401"/>
    <n v="2.0999999046325701"/>
    <n v="3.5099999904632599"/>
    <n v="0.109999999403954"/>
    <n v="53"/>
    <n v="27"/>
    <n v="214"/>
    <n v="708"/>
    <n v="2179"/>
    <x v="6"/>
    <s v="April"/>
    <n v="294"/>
    <n v="1002"/>
    <n v="11.8"/>
    <x v="0"/>
    <s v="Very Active"/>
    <s v="6962181067|2016-04-21"/>
    <b v="1"/>
  </r>
  <r>
    <n v="6962181067"/>
    <d v="2016-04-22T00:00:00"/>
    <n v="10725"/>
    <n v="7.0900001525878897"/>
    <n v="7.0900001525878897"/>
    <n v="0"/>
    <n v="1.7699999809265099"/>
    <n v="1.54999995231628"/>
    <n v="3.7699999809265101"/>
    <n v="0"/>
    <n v="30"/>
    <n v="33"/>
    <n v="240"/>
    <n v="659"/>
    <n v="2086"/>
    <x v="0"/>
    <s v="April"/>
    <n v="303"/>
    <n v="962"/>
    <n v="10.98"/>
    <x v="0"/>
    <s v="Very Active"/>
    <s v="6962181067|2016-04-22"/>
    <b v="1"/>
  </r>
  <r>
    <n v="6962181067"/>
    <d v="2016-04-23T00:00:00"/>
    <n v="20031"/>
    <n v="13.2399997711182"/>
    <n v="13.2399997711182"/>
    <n v="0"/>
    <n v="4.1999998092651403"/>
    <n v="2"/>
    <n v="7.03999996185303"/>
    <n v="0"/>
    <n v="58"/>
    <n v="41"/>
    <n v="347"/>
    <n v="484"/>
    <n v="2571"/>
    <x v="1"/>
    <s v="April"/>
    <n v="446"/>
    <n v="930"/>
    <n v="8.07"/>
    <x v="1"/>
    <s v="Very Active"/>
    <s v="6962181067|2016-04-23"/>
    <b v="1"/>
  </r>
  <r>
    <n v="6962181067"/>
    <d v="2016-04-24T00:00:00"/>
    <n v="5029"/>
    <n v="3.3199999332428001"/>
    <n v="3.3199999332428001"/>
    <n v="0"/>
    <n v="0"/>
    <n v="0"/>
    <n v="3.3199999332428001"/>
    <n v="0"/>
    <n v="0"/>
    <n v="0"/>
    <n v="199"/>
    <n v="720"/>
    <n v="1705"/>
    <x v="2"/>
    <s v="April"/>
    <n v="199"/>
    <n v="919"/>
    <n v="12"/>
    <x v="4"/>
    <s v="Sedentary"/>
    <s v="6962181067|2016-04-24"/>
    <b v="1"/>
  </r>
  <r>
    <n v="6962181067"/>
    <d v="2016-04-25T00:00:00"/>
    <n v="13239"/>
    <n v="9.2700004577636701"/>
    <n v="9.0799999237060494"/>
    <n v="2.7851750850677499"/>
    <n v="3.0199999809265101"/>
    <n v="1.6799999475479099"/>
    <n v="4.46000003814697"/>
    <n v="0.10000000149011599"/>
    <n v="35"/>
    <n v="31"/>
    <n v="282"/>
    <n v="637"/>
    <n v="2194"/>
    <x v="3"/>
    <s v="April"/>
    <n v="348"/>
    <n v="985"/>
    <n v="10.62"/>
    <x v="1"/>
    <s v="Very Active"/>
    <s v="6962181067|2016-04-25"/>
    <b v="1"/>
  </r>
  <r>
    <n v="6962181067"/>
    <d v="2016-04-26T00:00:00"/>
    <n v="10433"/>
    <n v="6.9000000953674299"/>
    <n v="6.9000000953674299"/>
    <n v="0"/>
    <n v="2.5799999237060498"/>
    <n v="0.41999998688697798"/>
    <n v="3.9000000953674299"/>
    <n v="0"/>
    <n v="36"/>
    <n v="7"/>
    <n v="254"/>
    <n v="680"/>
    <n v="2012"/>
    <x v="4"/>
    <s v="April"/>
    <n v="297"/>
    <n v="977"/>
    <n v="11.33"/>
    <x v="0"/>
    <s v="Very Active"/>
    <s v="6962181067|2016-04-26"/>
    <b v="1"/>
  </r>
  <r>
    <n v="6962181067"/>
    <d v="2016-04-27T00:00:00"/>
    <n v="10320"/>
    <n v="6.8200001716613796"/>
    <n v="6.8200001716613796"/>
    <n v="0"/>
    <n v="0.55000001192092896"/>
    <n v="2.0199999809265101"/>
    <n v="4.25"/>
    <n v="0"/>
    <n v="7"/>
    <n v="38"/>
    <n v="279"/>
    <n v="697"/>
    <n v="2034"/>
    <x v="5"/>
    <s v="April"/>
    <n v="324"/>
    <n v="1021"/>
    <n v="11.62"/>
    <x v="0"/>
    <s v="Lightly Active"/>
    <s v="6962181067|2016-04-27"/>
    <b v="1"/>
  </r>
  <r>
    <n v="6962181067"/>
    <d v="2016-04-28T00:00:00"/>
    <n v="12627"/>
    <n v="8.3500003814697301"/>
    <n v="8.3500003814697301"/>
    <n v="0"/>
    <n v="2.5099999904632599"/>
    <n v="0.239999994635582"/>
    <n v="5.5900001525878897"/>
    <n v="0"/>
    <n v="38"/>
    <n v="8"/>
    <n v="288"/>
    <n v="621"/>
    <n v="2182"/>
    <x v="6"/>
    <s v="April"/>
    <n v="334"/>
    <n v="955"/>
    <n v="10.35"/>
    <x v="1"/>
    <s v="Very Active"/>
    <s v="6962181067|2016-04-28"/>
    <b v="1"/>
  </r>
  <r>
    <n v="6962181067"/>
    <d v="2016-04-29T00:00:00"/>
    <n v="10762"/>
    <n v="7.1100001335143999"/>
    <n v="7.1100001335143999"/>
    <n v="0"/>
    <n v="0.81999999284744296"/>
    <n v="0.479999989271164"/>
    <n v="5.8099999427795401"/>
    <n v="0"/>
    <n v="12"/>
    <n v="15"/>
    <n v="369"/>
    <n v="645"/>
    <n v="2254"/>
    <x v="0"/>
    <s v="April"/>
    <n v="396"/>
    <n v="1041"/>
    <n v="10.75"/>
    <x v="0"/>
    <s v="Lightly Active"/>
    <s v="6962181067|2016-04-29"/>
    <b v="1"/>
  </r>
  <r>
    <n v="6962181067"/>
    <d v="2016-04-30T00:00:00"/>
    <n v="10081"/>
    <n v="6.6599998474121103"/>
    <n v="6.6599998474121103"/>
    <n v="0"/>
    <n v="2.2400000095367401"/>
    <n v="0.75999999046325695"/>
    <n v="3.6700000762939502"/>
    <n v="0"/>
    <n v="32"/>
    <n v="16"/>
    <n v="237"/>
    <n v="731"/>
    <n v="2002"/>
    <x v="1"/>
    <s v="April"/>
    <n v="285"/>
    <n v="1016"/>
    <n v="12.18"/>
    <x v="0"/>
    <s v="Very Active"/>
    <s v="6962181067|2016-04-30"/>
    <b v="1"/>
  </r>
  <r>
    <n v="6962181067"/>
    <d v="2016-05-01T00:00:00"/>
    <n v="5454"/>
    <n v="3.6099998950958301"/>
    <n v="3.6099998950958301"/>
    <n v="0"/>
    <n v="0"/>
    <n v="0"/>
    <n v="3.6099998950958301"/>
    <n v="0"/>
    <n v="0"/>
    <n v="0"/>
    <n v="215"/>
    <n v="722"/>
    <n v="1740"/>
    <x v="2"/>
    <s v="May"/>
    <n v="215"/>
    <n v="937"/>
    <n v="12.03"/>
    <x v="4"/>
    <s v="Sedentary"/>
    <s v="6962181067|2016-05-01"/>
    <b v="1"/>
  </r>
  <r>
    <n v="6962181067"/>
    <d v="2016-05-02T00:00:00"/>
    <n v="12912"/>
    <n v="8.5399999618530291"/>
    <n v="8.5399999618530291"/>
    <n v="0"/>
    <n v="1.20000004768372"/>
    <n v="2"/>
    <n v="5.3400001525878897"/>
    <n v="0"/>
    <n v="18"/>
    <n v="39"/>
    <n v="313"/>
    <n v="655"/>
    <n v="2162"/>
    <x v="3"/>
    <s v="May"/>
    <n v="370"/>
    <n v="1025"/>
    <n v="10.92"/>
    <x v="1"/>
    <s v="Moderately Active"/>
    <s v="6962181067|2016-05-02"/>
    <b v="1"/>
  </r>
  <r>
    <n v="6962181067"/>
    <d v="2016-05-03T00:00:00"/>
    <n v="12109"/>
    <n v="8.1199998855590803"/>
    <n v="8.1199998855590803"/>
    <n v="0"/>
    <n v="1.7400000095367401"/>
    <n v="2.03999996185303"/>
    <n v="4.3299999237060502"/>
    <n v="0"/>
    <n v="21"/>
    <n v="36"/>
    <n v="267"/>
    <n v="654"/>
    <n v="2072"/>
    <x v="4"/>
    <s v="May"/>
    <n v="324"/>
    <n v="978"/>
    <n v="10.9"/>
    <x v="0"/>
    <s v="Moderately Active"/>
    <s v="6962181067|2016-05-03"/>
    <b v="1"/>
  </r>
  <r>
    <n v="6962181067"/>
    <d v="2016-05-04T00:00:00"/>
    <n v="10147"/>
    <n v="6.71000003814697"/>
    <n v="6.71000003814697"/>
    <n v="0"/>
    <n v="0.46999999880790699"/>
    <n v="1.6799999475479099"/>
    <n v="4.5500001907348597"/>
    <n v="0"/>
    <n v="15"/>
    <n v="36"/>
    <n v="284"/>
    <n v="683"/>
    <n v="2086"/>
    <x v="5"/>
    <s v="May"/>
    <n v="335"/>
    <n v="1018"/>
    <n v="11.38"/>
    <x v="0"/>
    <s v="Moderately Active"/>
    <s v="6962181067|2016-05-04"/>
    <b v="1"/>
  </r>
  <r>
    <n v="6962181067"/>
    <d v="2016-05-05T00:00:00"/>
    <n v="10524"/>
    <n v="6.96000003814697"/>
    <n v="6.96000003814697"/>
    <n v="0"/>
    <n v="0.99000000953674305"/>
    <n v="1.1599999666214"/>
    <n v="4.8099999427795401"/>
    <n v="0"/>
    <n v="14"/>
    <n v="22"/>
    <n v="305"/>
    <n v="591"/>
    <n v="2066"/>
    <x v="6"/>
    <s v="May"/>
    <n v="341"/>
    <n v="932"/>
    <n v="9.85"/>
    <x v="0"/>
    <s v="Lightly Active"/>
    <s v="6962181067|2016-05-05"/>
    <b v="1"/>
  </r>
  <r>
    <n v="6962181067"/>
    <d v="2016-05-06T00:00:00"/>
    <n v="5908"/>
    <n v="3.9100000858306898"/>
    <n v="3.9100000858306898"/>
    <n v="0"/>
    <n v="0"/>
    <n v="0"/>
    <n v="3.9100000858306898"/>
    <n v="0"/>
    <n v="0"/>
    <n v="0"/>
    <n v="299"/>
    <n v="717"/>
    <n v="1850"/>
    <x v="0"/>
    <s v="May"/>
    <n v="299"/>
    <n v="1016"/>
    <n v="11.95"/>
    <x v="4"/>
    <s v="Sedentary"/>
    <s v="6962181067|2016-05-06"/>
    <b v="1"/>
  </r>
  <r>
    <n v="6962181067"/>
    <d v="2016-05-07T00:00:00"/>
    <n v="6815"/>
    <n v="4.5"/>
    <n v="4.5"/>
    <n v="0"/>
    <n v="0"/>
    <n v="0"/>
    <n v="4.5"/>
    <n v="0"/>
    <n v="0"/>
    <n v="0"/>
    <n v="328"/>
    <n v="745"/>
    <n v="1947"/>
    <x v="1"/>
    <s v="May"/>
    <n v="328"/>
    <n v="1073"/>
    <n v="12.42"/>
    <x v="4"/>
    <s v="Sedentary"/>
    <s v="6962181067|2016-05-07"/>
    <b v="1"/>
  </r>
  <r>
    <n v="6962181067"/>
    <d v="2016-05-08T00:00:00"/>
    <n v="4188"/>
    <n v="2.7699999809265101"/>
    <n v="2.7699999809265101"/>
    <n v="0"/>
    <n v="0"/>
    <n v="0.519999980926514"/>
    <n v="2.25"/>
    <n v="0"/>
    <n v="0"/>
    <n v="14"/>
    <n v="151"/>
    <n v="709"/>
    <n v="1659"/>
    <x v="2"/>
    <s v="May"/>
    <n v="165"/>
    <n v="874"/>
    <n v="11.82"/>
    <x v="2"/>
    <s v="Sedentary"/>
    <s v="6962181067|2016-05-08"/>
    <b v="1"/>
  </r>
  <r>
    <n v="6962181067"/>
    <d v="2016-05-09T00:00:00"/>
    <n v="12342"/>
    <n v="8.7200002670288104"/>
    <n v="8.6800003051757795"/>
    <n v="3.1678218841552699"/>
    <n v="3.9000000953674299"/>
    <n v="1.1799999475479099"/>
    <n v="3.6500000953674299"/>
    <n v="0"/>
    <n v="43"/>
    <n v="21"/>
    <n v="231"/>
    <n v="607"/>
    <n v="2105"/>
    <x v="3"/>
    <s v="May"/>
    <n v="295"/>
    <n v="902"/>
    <n v="10.119999999999999"/>
    <x v="0"/>
    <s v="Very Active"/>
    <s v="6962181067|2016-05-09"/>
    <b v="1"/>
  </r>
  <r>
    <n v="6962181067"/>
    <d v="2016-05-10T00:00:00"/>
    <n v="15448"/>
    <n v="10.210000038146999"/>
    <n v="10.210000038146999"/>
    <n v="0"/>
    <n v="3.4700000286102299"/>
    <n v="1.75"/>
    <n v="4.9899997711181596"/>
    <n v="0"/>
    <n v="62"/>
    <n v="34"/>
    <n v="275"/>
    <n v="626"/>
    <n v="2361"/>
    <x v="4"/>
    <s v="May"/>
    <n v="371"/>
    <n v="997"/>
    <n v="10.43"/>
    <x v="1"/>
    <s v="Very Active"/>
    <s v="6962181067|2016-05-10"/>
    <b v="1"/>
  </r>
  <r>
    <n v="6962181067"/>
    <d v="2016-05-11T00:00:00"/>
    <n v="6722"/>
    <n v="4.4400000572204599"/>
    <n v="4.4400000572204599"/>
    <n v="0"/>
    <n v="1.4900000095367401"/>
    <n v="0.31000000238418601"/>
    <n v="2.6500000953674299"/>
    <n v="0"/>
    <n v="24"/>
    <n v="7"/>
    <n v="199"/>
    <n v="709"/>
    <n v="1855"/>
    <x v="5"/>
    <s v="May"/>
    <n v="230"/>
    <n v="939"/>
    <n v="11.82"/>
    <x v="4"/>
    <s v="Moderately Active"/>
    <s v="6962181067|2016-05-11"/>
    <b v="1"/>
  </r>
  <r>
    <n v="6962181067"/>
    <d v="2016-05-12T00:00:00"/>
    <n v="3587"/>
    <n v="2.3699998855590798"/>
    <n v="2.3699998855590798"/>
    <n v="0"/>
    <n v="0"/>
    <n v="0.25"/>
    <n v="2.1099998950958301"/>
    <n v="0"/>
    <n v="0"/>
    <n v="8"/>
    <n v="105"/>
    <n v="127"/>
    <n v="928"/>
    <x v="6"/>
    <s v="May"/>
    <n v="113"/>
    <n v="240"/>
    <n v="2.12"/>
    <x v="2"/>
    <s v="Sedentary"/>
    <s v="6962181067|2016-05-12"/>
    <b v="1"/>
  </r>
  <r>
    <n v="7007744171"/>
    <d v="2016-04-13T00:00:00"/>
    <n v="12862"/>
    <n v="9.6499996185302699"/>
    <n v="8.6000003814697301"/>
    <n v="4.8513069152831996"/>
    <n v="4.6100001335143999"/>
    <n v="0.56000000238418601"/>
    <n v="4.4800000190734899"/>
    <n v="0"/>
    <n v="56"/>
    <n v="22"/>
    <n v="261"/>
    <n v="1101"/>
    <n v="2742"/>
    <x v="5"/>
    <s v="April"/>
    <n v="339"/>
    <n v="1440"/>
    <n v="18.350000000000001"/>
    <x v="1"/>
    <s v="Very Active"/>
    <s v="7007744171|2016-04-13"/>
    <b v="0"/>
  </r>
  <r>
    <n v="7007744171"/>
    <d v="2016-04-14T00:00:00"/>
    <n v="11179"/>
    <n v="8.2399997711181605"/>
    <n v="7.4800000190734899"/>
    <n v="3.2854149341583301"/>
    <n v="2.9500000476837198"/>
    <n v="0.34000000357627902"/>
    <n v="4.96000003814697"/>
    <n v="0"/>
    <n v="34"/>
    <n v="6"/>
    <n v="304"/>
    <n v="1096"/>
    <n v="2668"/>
    <x v="6"/>
    <s v="April"/>
    <n v="344"/>
    <n v="1440"/>
    <n v="18.27"/>
    <x v="0"/>
    <s v="Very Active"/>
    <s v="7007744171|2016-04-14"/>
    <b v="0"/>
  </r>
  <r>
    <n v="7007744171"/>
    <d v="2016-04-15T00:00:00"/>
    <n v="5273"/>
    <n v="3.5299999713897701"/>
    <n v="3.5299999713897701"/>
    <n v="0"/>
    <n v="0"/>
    <n v="0"/>
    <n v="3.5299999713897701"/>
    <n v="0"/>
    <n v="0"/>
    <n v="0"/>
    <n v="202"/>
    <n v="1238"/>
    <n v="2098"/>
    <x v="0"/>
    <s v="April"/>
    <n v="202"/>
    <n v="1440"/>
    <n v="20.63"/>
    <x v="4"/>
    <s v="Sedentary"/>
    <s v="7007744171|2016-04-15"/>
    <b v="0"/>
  </r>
  <r>
    <n v="7007744171"/>
    <d v="2016-04-16T00:00:00"/>
    <n v="4631"/>
    <n v="3.0999999046325701"/>
    <n v="3.0999999046325701"/>
    <n v="0"/>
    <n v="0"/>
    <n v="0"/>
    <n v="3.0999999046325701"/>
    <n v="0"/>
    <n v="0"/>
    <n v="0"/>
    <n v="203"/>
    <n v="1155"/>
    <n v="2076"/>
    <x v="1"/>
    <s v="April"/>
    <n v="203"/>
    <n v="1358"/>
    <n v="19.25"/>
    <x v="2"/>
    <s v="Sedentary"/>
    <s v="7007744171|2016-04-16"/>
    <b v="1"/>
  </r>
  <r>
    <n v="7007744171"/>
    <d v="2016-04-17T00:00:00"/>
    <n v="8059"/>
    <n v="5.3899998664856001"/>
    <n v="5.3899998664856001"/>
    <n v="0"/>
    <n v="0"/>
    <n v="0"/>
    <n v="5.3899998664856001"/>
    <n v="0"/>
    <n v="0"/>
    <n v="0"/>
    <n v="305"/>
    <n v="1135"/>
    <n v="2383"/>
    <x v="2"/>
    <s v="April"/>
    <n v="305"/>
    <n v="1440"/>
    <n v="18.920000000000002"/>
    <x v="3"/>
    <s v="Sedentary"/>
    <s v="7007744171|2016-04-17"/>
    <b v="0"/>
  </r>
  <r>
    <n v="7007744171"/>
    <d v="2016-04-18T00:00:00"/>
    <n v="14816"/>
    <n v="10.9799995422363"/>
    <n v="9.9099998474121094"/>
    <n v="4.9305500984191903"/>
    <n v="3.78999996185303"/>
    <n v="2.1199998855590798"/>
    <n v="5.0500001907348597"/>
    <n v="1.9999999552965199E-2"/>
    <n v="48"/>
    <n v="31"/>
    <n v="284"/>
    <n v="1077"/>
    <n v="2832"/>
    <x v="3"/>
    <s v="April"/>
    <n v="363"/>
    <n v="1440"/>
    <n v="17.95"/>
    <x v="1"/>
    <s v="Very Active"/>
    <s v="7007744171|2016-04-18"/>
    <b v="0"/>
  </r>
  <r>
    <n v="7007744171"/>
    <d v="2016-04-19T00:00:00"/>
    <n v="14194"/>
    <n v="10.4799995422363"/>
    <n v="9.5"/>
    <n v="4.9421420097351101"/>
    <n v="4.4099998474121103"/>
    <n v="0.75999999046325695"/>
    <n v="5.3099999427795401"/>
    <n v="0"/>
    <n v="53"/>
    <n v="17"/>
    <n v="304"/>
    <n v="1066"/>
    <n v="2812"/>
    <x v="4"/>
    <s v="April"/>
    <n v="374"/>
    <n v="1440"/>
    <n v="17.77"/>
    <x v="1"/>
    <s v="Very Active"/>
    <s v="7007744171|2016-04-19"/>
    <b v="0"/>
  </r>
  <r>
    <n v="7007744171"/>
    <d v="2016-04-20T00:00:00"/>
    <n v="15566"/>
    <n v="11.310000419616699"/>
    <n v="10.4099998474121"/>
    <n v="4.9248409271240199"/>
    <n v="4.78999996185303"/>
    <n v="0.67000001668930098"/>
    <n v="5.8600001335143999"/>
    <n v="0"/>
    <n v="60"/>
    <n v="33"/>
    <n v="347"/>
    <n v="1000"/>
    <n v="3096"/>
    <x v="5"/>
    <s v="April"/>
    <n v="440"/>
    <n v="1440"/>
    <n v="16.670000000000002"/>
    <x v="1"/>
    <s v="Very Active"/>
    <s v="7007744171|2016-04-20"/>
    <b v="0"/>
  </r>
  <r>
    <n v="7007744171"/>
    <d v="2016-04-21T00:00:00"/>
    <n v="13744"/>
    <n v="9.1899995803833008"/>
    <n v="9.1899995803833008"/>
    <n v="0"/>
    <n v="2.1500000953674299"/>
    <n v="1.87000000476837"/>
    <n v="5.1700000762939498"/>
    <n v="0"/>
    <n v="30"/>
    <n v="34"/>
    <n v="327"/>
    <n v="1049"/>
    <n v="2763"/>
    <x v="6"/>
    <s v="April"/>
    <n v="391"/>
    <n v="1440"/>
    <n v="17.48"/>
    <x v="1"/>
    <s v="Very Active"/>
    <s v="7007744171|2016-04-21"/>
    <b v="0"/>
  </r>
  <r>
    <n v="7007744171"/>
    <d v="2016-04-22T00:00:00"/>
    <n v="15299"/>
    <n v="10.2399997711182"/>
    <n v="10.2399997711182"/>
    <n v="0"/>
    <n v="4.0999999046325701"/>
    <n v="1.7599999904632599"/>
    <n v="4.3699998855590803"/>
    <n v="0"/>
    <n v="64"/>
    <n v="50"/>
    <n v="261"/>
    <n v="1065"/>
    <n v="2889"/>
    <x v="0"/>
    <s v="April"/>
    <n v="375"/>
    <n v="1440"/>
    <n v="17.75"/>
    <x v="1"/>
    <s v="Very Active"/>
    <s v="7007744171|2016-04-22"/>
    <b v="0"/>
  </r>
  <r>
    <n v="7007744171"/>
    <d v="2016-04-23T00:00:00"/>
    <n v="8093"/>
    <n v="5.4099998474121103"/>
    <n v="5.4099998474121103"/>
    <n v="0"/>
    <n v="0.129999995231628"/>
    <n v="1.12999999523163"/>
    <n v="4.1500000953674299"/>
    <n v="0"/>
    <n v="2"/>
    <n v="25"/>
    <n v="223"/>
    <n v="1190"/>
    <n v="2284"/>
    <x v="1"/>
    <s v="April"/>
    <n v="250"/>
    <n v="1440"/>
    <n v="19.829999999999998"/>
    <x v="3"/>
    <s v="Lightly Active"/>
    <s v="7007744171|2016-04-23"/>
    <b v="0"/>
  </r>
  <r>
    <n v="7007744171"/>
    <d v="2016-04-24T00:00:00"/>
    <n v="11085"/>
    <n v="7.4200000762939498"/>
    <n v="7.4200000762939498"/>
    <n v="0"/>
    <n v="0"/>
    <n v="0"/>
    <n v="7.4200000762939498"/>
    <n v="0"/>
    <n v="0"/>
    <n v="0"/>
    <n v="419"/>
    <n v="1021"/>
    <n v="2667"/>
    <x v="2"/>
    <s v="April"/>
    <n v="419"/>
    <n v="1440"/>
    <n v="17.02"/>
    <x v="0"/>
    <s v="Sedentary"/>
    <s v="7007744171|2016-04-24"/>
    <b v="0"/>
  </r>
  <r>
    <n v="7007744171"/>
    <d v="2016-04-25T00:00:00"/>
    <n v="18229"/>
    <n v="13.3400001525879"/>
    <n v="12.199999809265099"/>
    <n v="4.8617920875549299"/>
    <n v="4.3099999427795401"/>
    <n v="1.37000000476837"/>
    <n v="7.6700000762939498"/>
    <n v="0"/>
    <n v="51"/>
    <n v="24"/>
    <n v="379"/>
    <n v="986"/>
    <n v="3055"/>
    <x v="3"/>
    <s v="April"/>
    <n v="454"/>
    <n v="1440"/>
    <n v="16.43"/>
    <x v="1"/>
    <s v="Very Active"/>
    <s v="7007744171|2016-04-25"/>
    <b v="0"/>
  </r>
  <r>
    <n v="7007744171"/>
    <d v="2016-04-26T00:00:00"/>
    <n v="15090"/>
    <n v="10.1000003814697"/>
    <n v="10.1000003814697"/>
    <n v="0"/>
    <n v="0.93000000715255704"/>
    <n v="0.93999999761581399"/>
    <n v="8.2299995422363299"/>
    <n v="0"/>
    <n v="16"/>
    <n v="22"/>
    <n v="424"/>
    <n v="978"/>
    <n v="2939"/>
    <x v="4"/>
    <s v="April"/>
    <n v="462"/>
    <n v="1440"/>
    <n v="16.3"/>
    <x v="1"/>
    <s v="Moderately Active"/>
    <s v="7007744171|2016-04-26"/>
    <b v="0"/>
  </r>
  <r>
    <n v="7007744171"/>
    <d v="2016-04-27T00:00:00"/>
    <n v="13541"/>
    <n v="10.2200002670288"/>
    <n v="9.0600004196166992"/>
    <n v="4.8856048583984402"/>
    <n v="4.2699999809265101"/>
    <n v="0.66000002622604403"/>
    <n v="5.28999996185303"/>
    <n v="0"/>
    <n v="50"/>
    <n v="12"/>
    <n v="337"/>
    <n v="1041"/>
    <n v="2830"/>
    <x v="5"/>
    <s v="April"/>
    <n v="399"/>
    <n v="1440"/>
    <n v="17.350000000000001"/>
    <x v="1"/>
    <s v="Very Active"/>
    <s v="7007744171|2016-04-27"/>
    <b v="0"/>
  </r>
  <r>
    <n v="7007744171"/>
    <d v="2016-04-28T00:00:00"/>
    <n v="15128"/>
    <n v="10.1199998855591"/>
    <n v="10.1199998855591"/>
    <n v="0"/>
    <n v="1.0900000333786"/>
    <n v="0.769999980926514"/>
    <n v="8.2600002288818395"/>
    <n v="0"/>
    <n v="16"/>
    <n v="16"/>
    <n v="401"/>
    <n v="1007"/>
    <n v="2836"/>
    <x v="6"/>
    <s v="April"/>
    <n v="433"/>
    <n v="1440"/>
    <n v="16.78"/>
    <x v="1"/>
    <s v="Moderately Active"/>
    <s v="7007744171|2016-04-28"/>
    <b v="0"/>
  </r>
  <r>
    <n v="7007744171"/>
    <d v="2016-04-29T00:00:00"/>
    <n v="20067"/>
    <n v="14.300000190734901"/>
    <n v="13.420000076293899"/>
    <n v="4.9111461639404297"/>
    <n v="4.3099999427795401"/>
    <n v="2.0499999523162802"/>
    <n v="7.9499998092651403"/>
    <n v="0"/>
    <n v="55"/>
    <n v="42"/>
    <n v="382"/>
    <n v="961"/>
    <n v="3180"/>
    <x v="0"/>
    <s v="April"/>
    <n v="479"/>
    <n v="1440"/>
    <n v="16.02"/>
    <x v="1"/>
    <s v="Very Active"/>
    <s v="7007744171|2016-04-29"/>
    <b v="0"/>
  </r>
  <r>
    <n v="7007744171"/>
    <d v="2016-04-30T00:00:00"/>
    <n v="3761"/>
    <n v="2.5199999809265101"/>
    <n v="2.5199999809265101"/>
    <n v="0"/>
    <n v="0"/>
    <n v="0"/>
    <n v="2.5199999809265101"/>
    <n v="0"/>
    <n v="0"/>
    <n v="0"/>
    <n v="200"/>
    <n v="1240"/>
    <n v="2051"/>
    <x v="1"/>
    <s v="April"/>
    <n v="200"/>
    <n v="1440"/>
    <n v="20.67"/>
    <x v="2"/>
    <s v="Sedentary"/>
    <s v="7007744171|2016-04-30"/>
    <b v="0"/>
  </r>
  <r>
    <n v="7007744171"/>
    <d v="2016-05-01T00:00:00"/>
    <n v="5600"/>
    <n v="3.75"/>
    <n v="3.75"/>
    <n v="0"/>
    <n v="0"/>
    <n v="0"/>
    <n v="3.75"/>
    <n v="0"/>
    <n v="0"/>
    <n v="0"/>
    <n v="237"/>
    <n v="1142"/>
    <n v="2225"/>
    <x v="2"/>
    <s v="May"/>
    <n v="237"/>
    <n v="1379"/>
    <n v="19.03"/>
    <x v="4"/>
    <s v="Sedentary"/>
    <s v="7007744171|2016-05-01"/>
    <b v="1"/>
  </r>
  <r>
    <n v="7007744171"/>
    <d v="2016-05-02T00:00:00"/>
    <n v="13041"/>
    <n v="9.1800003051757795"/>
    <n v="8.7200002670288104"/>
    <n v="2.83232593536377"/>
    <n v="4.6399998664856001"/>
    <n v="0.69999998807907104"/>
    <n v="3.8299999237060498"/>
    <n v="0"/>
    <n v="64"/>
    <n v="14"/>
    <n v="250"/>
    <n v="1112"/>
    <n v="2642"/>
    <x v="3"/>
    <s v="May"/>
    <n v="328"/>
    <n v="1440"/>
    <n v="18.53"/>
    <x v="1"/>
    <s v="Very Active"/>
    <s v="7007744171|2016-05-02"/>
    <b v="0"/>
  </r>
  <r>
    <n v="7007744171"/>
    <d v="2016-05-03T00:00:00"/>
    <n v="14510"/>
    <n v="10.8699998855591"/>
    <n v="9.7100000381469709"/>
    <n v="4.9123678207397496"/>
    <n v="4.4800000190734899"/>
    <n v="1.0199999809265099"/>
    <n v="5.3600001335143999"/>
    <n v="0"/>
    <n v="58"/>
    <n v="31"/>
    <n v="330"/>
    <n v="1021"/>
    <n v="2976"/>
    <x v="4"/>
    <s v="May"/>
    <n v="419"/>
    <n v="1440"/>
    <n v="17.02"/>
    <x v="1"/>
    <s v="Very Active"/>
    <s v="7007744171|2016-05-03"/>
    <b v="0"/>
  </r>
  <r>
    <n v="7007744171"/>
    <d v="2016-05-04T00:00:00"/>
    <n v="0"/>
    <n v="0"/>
    <n v="0"/>
    <n v="0"/>
    <n v="0"/>
    <n v="0"/>
    <n v="0"/>
    <n v="0"/>
    <n v="0"/>
    <n v="0"/>
    <n v="0"/>
    <n v="1440"/>
    <n v="1557"/>
    <x v="5"/>
    <s v="May"/>
    <n v="0"/>
    <n v="1440"/>
    <n v="24"/>
    <x v="2"/>
    <s v="Sedentary"/>
    <s v="7007744171|2016-05-04"/>
    <b v="0"/>
  </r>
  <r>
    <n v="7007744171"/>
    <d v="2016-05-05T00:00:00"/>
    <n v="15010"/>
    <n v="11.1000003814697"/>
    <n v="10.039999961853001"/>
    <n v="4.8782320022582999"/>
    <n v="4.3299999237060502"/>
    <n v="1.28999996185303"/>
    <n v="5.4800000190734899"/>
    <n v="0"/>
    <n v="53"/>
    <n v="23"/>
    <n v="317"/>
    <n v="1047"/>
    <n v="2933"/>
    <x v="6"/>
    <s v="May"/>
    <n v="393"/>
    <n v="1440"/>
    <n v="17.45"/>
    <x v="1"/>
    <s v="Very Active"/>
    <s v="7007744171|2016-05-05"/>
    <b v="0"/>
  </r>
  <r>
    <n v="7007744171"/>
    <d v="2016-05-06T00:00:00"/>
    <n v="11459"/>
    <n v="7.6700000762939498"/>
    <n v="7.6700000762939498"/>
    <n v="0"/>
    <n v="3"/>
    <n v="0.81000000238418601"/>
    <n v="3.8599998950958301"/>
    <n v="0"/>
    <n v="44"/>
    <n v="13"/>
    <n v="247"/>
    <n v="1136"/>
    <n v="2553"/>
    <x v="0"/>
    <s v="May"/>
    <n v="304"/>
    <n v="1440"/>
    <n v="18.93"/>
    <x v="0"/>
    <s v="Very Active"/>
    <s v="7007744171|2016-05-06"/>
    <b v="0"/>
  </r>
  <r>
    <n v="7007744171"/>
    <d v="2016-05-07T00:00:00"/>
    <n v="0"/>
    <n v="0"/>
    <n v="0"/>
    <n v="0"/>
    <n v="0"/>
    <n v="0"/>
    <n v="0"/>
    <n v="0"/>
    <n v="0"/>
    <n v="0"/>
    <n v="0"/>
    <n v="111"/>
    <n v="120"/>
    <x v="1"/>
    <s v="May"/>
    <n v="0"/>
    <n v="111"/>
    <n v="1.85"/>
    <x v="2"/>
    <s v="Sedentary"/>
    <s v="7007744171|2016-05-07"/>
    <b v="0"/>
  </r>
  <r>
    <n v="7086361926"/>
    <d v="2016-04-13T00:00:00"/>
    <n v="5813"/>
    <n v="3.6199998855590798"/>
    <n v="3.6199998855590798"/>
    <n v="0"/>
    <n v="0.56000000238418601"/>
    <n v="0.20999999344348899"/>
    <n v="2.8399999141693102"/>
    <n v="0"/>
    <n v="31"/>
    <n v="26"/>
    <n v="155"/>
    <n v="744"/>
    <n v="2516"/>
    <x v="5"/>
    <s v="April"/>
    <n v="212"/>
    <n v="956"/>
    <n v="12.4"/>
    <x v="4"/>
    <s v="Very Active"/>
    <s v="7086361926|2016-04-13"/>
    <b v="1"/>
  </r>
  <r>
    <n v="7086361926"/>
    <d v="2016-04-14T00:00:00"/>
    <n v="9123"/>
    <n v="6.1199998855590803"/>
    <n v="6.1199998855590803"/>
    <n v="0"/>
    <n v="2.0299999713897701"/>
    <n v="0.33000001311302202"/>
    <n v="3.6600000858306898"/>
    <n v="0"/>
    <n v="35"/>
    <n v="32"/>
    <n v="189"/>
    <n v="787"/>
    <n v="2734"/>
    <x v="6"/>
    <s v="April"/>
    <n v="256"/>
    <n v="1043"/>
    <n v="13.12"/>
    <x v="3"/>
    <s v="Very Active"/>
    <s v="7086361926|2016-04-14"/>
    <b v="1"/>
  </r>
  <r>
    <n v="7086361926"/>
    <d v="2016-04-15T00:00:00"/>
    <n v="8585"/>
    <n v="5.6700000762939498"/>
    <n v="5.6700000762939498"/>
    <n v="0"/>
    <n v="2.03999996185303"/>
    <n v="1.1100000143051101"/>
    <n v="2.5299999713897701"/>
    <n v="0"/>
    <n v="30"/>
    <n v="21"/>
    <n v="139"/>
    <n v="864"/>
    <n v="2395"/>
    <x v="0"/>
    <s v="April"/>
    <n v="190"/>
    <n v="1054"/>
    <n v="14.4"/>
    <x v="3"/>
    <s v="Very Active"/>
    <s v="7086361926|2016-04-15"/>
    <b v="1"/>
  </r>
  <r>
    <n v="7086361926"/>
    <d v="2016-04-16T00:00:00"/>
    <n v="31"/>
    <n v="9.9999997764825804E-3"/>
    <n v="9.9999997764825804E-3"/>
    <n v="0"/>
    <n v="0"/>
    <n v="0"/>
    <n v="9.9999997764825804E-3"/>
    <n v="0"/>
    <n v="0"/>
    <n v="0"/>
    <n v="3"/>
    <n v="1437"/>
    <n v="1635"/>
    <x v="1"/>
    <s v="April"/>
    <n v="3"/>
    <n v="1440"/>
    <n v="23.95"/>
    <x v="2"/>
    <s v="Sedentary"/>
    <s v="7086361926|2016-04-16"/>
    <b v="0"/>
  </r>
  <r>
    <n v="7086361926"/>
    <d v="2016-04-17T00:00:00"/>
    <n v="0"/>
    <n v="0"/>
    <n v="0"/>
    <n v="0"/>
    <n v="0"/>
    <n v="0"/>
    <n v="0"/>
    <n v="0"/>
    <n v="0"/>
    <n v="0"/>
    <n v="0"/>
    <n v="1440"/>
    <n v="1629"/>
    <x v="2"/>
    <s v="April"/>
    <n v="0"/>
    <n v="1440"/>
    <n v="24"/>
    <x v="2"/>
    <s v="Sedentary"/>
    <s v="7086361926|2016-04-17"/>
    <b v="0"/>
  </r>
  <r>
    <n v="7086361926"/>
    <d v="2016-04-18T00:00:00"/>
    <n v="9827"/>
    <n v="6.71000003814697"/>
    <n v="6.71000003814697"/>
    <n v="0"/>
    <n v="3.1700000762939502"/>
    <n v="1.2200000286102299"/>
    <n v="2.3099999427795401"/>
    <n v="0"/>
    <n v="61"/>
    <n v="51"/>
    <n v="114"/>
    <n v="1136"/>
    <n v="2743"/>
    <x v="3"/>
    <s v="April"/>
    <n v="226"/>
    <n v="1362"/>
    <n v="18.93"/>
    <x v="3"/>
    <s v="Very Active"/>
    <s v="7086361926|2016-04-18"/>
    <b v="0"/>
  </r>
  <r>
    <n v="7086361926"/>
    <d v="2016-04-19T00:00:00"/>
    <n v="10688"/>
    <n v="7.28999996185303"/>
    <n v="7.28999996185303"/>
    <n v="0"/>
    <n v="3.5299999713897701"/>
    <n v="1.2300000190734901"/>
    <n v="2.5099999904632599"/>
    <n v="0"/>
    <n v="67"/>
    <n v="69"/>
    <n v="124"/>
    <n v="671"/>
    <n v="2944"/>
    <x v="4"/>
    <s v="April"/>
    <n v="260"/>
    <n v="931"/>
    <n v="11.18"/>
    <x v="0"/>
    <s v="Very Active"/>
    <s v="7086361926|2016-04-19"/>
    <b v="1"/>
  </r>
  <r>
    <n v="7086361926"/>
    <d v="2016-04-20T00:00:00"/>
    <n v="14365"/>
    <n v="10.6400003433228"/>
    <n v="10.6400003433228"/>
    <n v="0"/>
    <n v="7.6399998664856001"/>
    <n v="0.44999998807907099"/>
    <n v="2.53999996185303"/>
    <n v="0"/>
    <n v="87"/>
    <n v="13"/>
    <n v="145"/>
    <n v="797"/>
    <n v="2997"/>
    <x v="5"/>
    <s v="April"/>
    <n v="245"/>
    <n v="1042"/>
    <n v="13.28"/>
    <x v="1"/>
    <s v="Very Active"/>
    <s v="7086361926|2016-04-20"/>
    <b v="1"/>
  </r>
  <r>
    <n v="7086361926"/>
    <d v="2016-04-21T00:00:00"/>
    <n v="9469"/>
    <n v="6.1799998283386204"/>
    <n v="6.1799998283386204"/>
    <n v="0"/>
    <n v="1.3600000143051101"/>
    <n v="0.30000001192092901"/>
    <n v="4.5100002288818404"/>
    <n v="0"/>
    <n v="19"/>
    <n v="6"/>
    <n v="206"/>
    <n v="758"/>
    <n v="2463"/>
    <x v="6"/>
    <s v="April"/>
    <n v="231"/>
    <n v="989"/>
    <n v="12.63"/>
    <x v="3"/>
    <s v="Moderately Active"/>
    <s v="7086361926|2016-04-21"/>
    <b v="1"/>
  </r>
  <r>
    <n v="7086361926"/>
    <d v="2016-04-22T00:00:00"/>
    <n v="9753"/>
    <n v="6.5300002098083496"/>
    <n v="6.5300002098083496"/>
    <n v="0"/>
    <n v="2.8699998855590798"/>
    <n v="0.97000002861022905"/>
    <n v="2.6700000762939502"/>
    <n v="0"/>
    <n v="58"/>
    <n v="59"/>
    <n v="153"/>
    <n v="762"/>
    <n v="2846"/>
    <x v="0"/>
    <s v="April"/>
    <n v="270"/>
    <n v="1032"/>
    <n v="12.7"/>
    <x v="3"/>
    <s v="Very Active"/>
    <s v="7086361926|2016-04-22"/>
    <b v="1"/>
  </r>
  <r>
    <n v="7086361926"/>
    <d v="2016-04-23T00:00:00"/>
    <n v="2817"/>
    <n v="1.8099999427795399"/>
    <n v="1.8099999427795399"/>
    <n v="0"/>
    <n v="0"/>
    <n v="0"/>
    <n v="1.79999995231628"/>
    <n v="0"/>
    <n v="0"/>
    <n v="0"/>
    <n v="90"/>
    <n v="1350"/>
    <n v="1965"/>
    <x v="1"/>
    <s v="April"/>
    <n v="90"/>
    <n v="1440"/>
    <n v="22.5"/>
    <x v="2"/>
    <s v="Sedentary"/>
    <s v="7086361926|2016-04-23"/>
    <b v="0"/>
  </r>
  <r>
    <n v="7086361926"/>
    <d v="2016-04-24T00:00:00"/>
    <n v="3520"/>
    <n v="2.1600000858306898"/>
    <n v="2.1600000858306898"/>
    <n v="0"/>
    <n v="0"/>
    <n v="0"/>
    <n v="2.1500000953674299"/>
    <n v="0"/>
    <n v="0"/>
    <n v="0"/>
    <n v="125"/>
    <n v="566"/>
    <n v="2049"/>
    <x v="2"/>
    <s v="April"/>
    <n v="125"/>
    <n v="691"/>
    <n v="9.43"/>
    <x v="2"/>
    <s v="Sedentary"/>
    <s v="7086361926|2016-04-24"/>
    <b v="1"/>
  </r>
  <r>
    <n v="7086361926"/>
    <d v="2016-04-25T00:00:00"/>
    <n v="10091"/>
    <n v="6.8200001716613796"/>
    <n v="6.8200001716613796"/>
    <n v="0"/>
    <n v="3.75"/>
    <n v="0.69999998807907104"/>
    <n v="2.3699998855590798"/>
    <n v="0"/>
    <n v="69"/>
    <n v="39"/>
    <n v="129"/>
    <n v="706"/>
    <n v="2752"/>
    <x v="3"/>
    <s v="April"/>
    <n v="237"/>
    <n v="943"/>
    <n v="11.77"/>
    <x v="0"/>
    <s v="Very Active"/>
    <s v="7086361926|2016-04-25"/>
    <b v="1"/>
  </r>
  <r>
    <n v="7086361926"/>
    <d v="2016-04-26T00:00:00"/>
    <n v="10387"/>
    <n v="7.0700001716613796"/>
    <n v="7.0700001716613796"/>
    <n v="0"/>
    <n v="4.1599998474121103"/>
    <n v="0.769999980926514"/>
    <n v="2.1199998855590798"/>
    <n v="0"/>
    <n v="70"/>
    <n v="33"/>
    <n v="132"/>
    <n v="726"/>
    <n v="2781"/>
    <x v="4"/>
    <s v="April"/>
    <n v="235"/>
    <n v="961"/>
    <n v="12.1"/>
    <x v="0"/>
    <s v="Very Active"/>
    <s v="7086361926|2016-04-26"/>
    <b v="1"/>
  </r>
  <r>
    <n v="7086361926"/>
    <d v="2016-04-27T00:00:00"/>
    <n v="11107"/>
    <n v="8.3400001525878906"/>
    <n v="8.3400001525878906"/>
    <n v="0"/>
    <n v="5.6300001144409197"/>
    <n v="0.18000000715255701"/>
    <n v="2.5299999713897701"/>
    <n v="0"/>
    <n v="55"/>
    <n v="6"/>
    <n v="145"/>
    <n v="829"/>
    <n v="2693"/>
    <x v="5"/>
    <s v="April"/>
    <n v="206"/>
    <n v="1035"/>
    <n v="13.82"/>
    <x v="0"/>
    <s v="Very Active"/>
    <s v="7086361926|2016-04-27"/>
    <b v="1"/>
  </r>
  <r>
    <n v="7086361926"/>
    <d v="2016-04-28T00:00:00"/>
    <n v="11584"/>
    <n v="7.8000001907348597"/>
    <n v="7.8000001907348597"/>
    <n v="0"/>
    <n v="2.78999996185303"/>
    <n v="1.6399999856948899"/>
    <n v="3.3599998950958301"/>
    <n v="0"/>
    <n v="54"/>
    <n v="48"/>
    <n v="161"/>
    <n v="810"/>
    <n v="2862"/>
    <x v="6"/>
    <s v="April"/>
    <n v="263"/>
    <n v="1073"/>
    <n v="13.5"/>
    <x v="0"/>
    <s v="Very Active"/>
    <s v="7086361926|2016-04-28"/>
    <b v="1"/>
  </r>
  <r>
    <n v="7086361926"/>
    <d v="2016-04-29T00:00:00"/>
    <n v="7881"/>
    <n v="4.9499998092651403"/>
    <n v="4.9499998092651403"/>
    <n v="0"/>
    <n v="0.490000009536743"/>
    <n v="0.44999998807907099"/>
    <n v="4"/>
    <n v="0"/>
    <n v="24"/>
    <n v="36"/>
    <n v="182"/>
    <n v="1198"/>
    <n v="2616"/>
    <x v="0"/>
    <s v="April"/>
    <n v="242"/>
    <n v="1440"/>
    <n v="19.97"/>
    <x v="3"/>
    <s v="Moderately Active"/>
    <s v="7086361926|2016-04-29"/>
    <b v="0"/>
  </r>
  <r>
    <n v="7086361926"/>
    <d v="2016-04-30T00:00:00"/>
    <n v="14560"/>
    <n v="9.4099998474121094"/>
    <n v="9.4099998474121094"/>
    <n v="0"/>
    <n v="3.1199998855590798"/>
    <n v="1.03999996185303"/>
    <n v="5.2399997711181596"/>
    <n v="0"/>
    <n v="42"/>
    <n v="17"/>
    <n v="308"/>
    <n v="584"/>
    <n v="2995"/>
    <x v="1"/>
    <s v="April"/>
    <n v="367"/>
    <n v="951"/>
    <n v="9.73"/>
    <x v="1"/>
    <s v="Very Active"/>
    <s v="7086361926|2016-04-30"/>
    <b v="1"/>
  </r>
  <r>
    <n v="7086361926"/>
    <d v="2016-05-01T00:00:00"/>
    <n v="12390"/>
    <n v="8.0699996948242205"/>
    <n v="8.0699996948242205"/>
    <n v="0"/>
    <n v="2.2999999523162802"/>
    <n v="0.89999997615814198"/>
    <n v="4.8499999046325701"/>
    <n v="0"/>
    <n v="30"/>
    <n v="15"/>
    <n v="258"/>
    <n v="685"/>
    <n v="2730"/>
    <x v="2"/>
    <s v="May"/>
    <n v="303"/>
    <n v="988"/>
    <n v="11.42"/>
    <x v="0"/>
    <s v="Very Active"/>
    <s v="7086361926|2016-05-01"/>
    <b v="1"/>
  </r>
  <r>
    <n v="7086361926"/>
    <d v="2016-05-02T00:00:00"/>
    <n v="10052"/>
    <n v="6.8099999427795401"/>
    <n v="6.8099999427795401"/>
    <n v="0"/>
    <n v="3.4800000190734899"/>
    <n v="0.66000002622604403"/>
    <n v="2.6600000858306898"/>
    <n v="0"/>
    <n v="66"/>
    <n v="26"/>
    <n v="139"/>
    <n v="737"/>
    <n v="2754"/>
    <x v="3"/>
    <s v="May"/>
    <n v="231"/>
    <n v="968"/>
    <n v="12.28"/>
    <x v="0"/>
    <s v="Very Active"/>
    <s v="7086361926|2016-05-02"/>
    <b v="1"/>
  </r>
  <r>
    <n v="7086361926"/>
    <d v="2016-05-03T00:00:00"/>
    <n v="10288"/>
    <n v="6.7600002288818404"/>
    <n v="6.7600002288818404"/>
    <n v="0"/>
    <n v="2.7400000095367401"/>
    <n v="0.85000002384185802"/>
    <n v="3.1600000858306898"/>
    <n v="0"/>
    <n v="57"/>
    <n v="36"/>
    <n v="152"/>
    <n v="761"/>
    <n v="2754"/>
    <x v="4"/>
    <s v="May"/>
    <n v="245"/>
    <n v="1006"/>
    <n v="12.68"/>
    <x v="0"/>
    <s v="Very Active"/>
    <s v="7086361926|2016-05-03"/>
    <b v="1"/>
  </r>
  <r>
    <n v="7086361926"/>
    <d v="2016-05-04T00:00:00"/>
    <n v="10988"/>
    <n v="8.3100004196166992"/>
    <n v="8.3100004196166992"/>
    <n v="0"/>
    <n v="5.2800002098083496"/>
    <n v="0.119999997317791"/>
    <n v="2.9000000953674299"/>
    <n v="0"/>
    <n v="45"/>
    <n v="12"/>
    <n v="135"/>
    <n v="843"/>
    <n v="2655"/>
    <x v="5"/>
    <s v="May"/>
    <n v="192"/>
    <n v="1035"/>
    <n v="14.05"/>
    <x v="0"/>
    <s v="Very Active"/>
    <s v="7086361926|2016-05-04"/>
    <b v="1"/>
  </r>
  <r>
    <n v="7086361926"/>
    <d v="2016-05-05T00:00:00"/>
    <n v="8564"/>
    <n v="5.5999999046325701"/>
    <n v="5.5999999046325701"/>
    <n v="0"/>
    <n v="1.7799999713897701"/>
    <n v="0.82999998331069902"/>
    <n v="2.9500000476837198"/>
    <n v="0"/>
    <n v="24"/>
    <n v="14"/>
    <n v="149"/>
    <n v="1253"/>
    <n v="2386"/>
    <x v="6"/>
    <s v="May"/>
    <n v="187"/>
    <n v="1440"/>
    <n v="20.88"/>
    <x v="3"/>
    <s v="Moderately Active"/>
    <s v="7086361926|2016-05-05"/>
    <b v="0"/>
  </r>
  <r>
    <n v="7086361926"/>
    <d v="2016-05-06T00:00:00"/>
    <n v="12461"/>
    <n v="8.3800001144409197"/>
    <n v="8.3800001144409197"/>
    <n v="0"/>
    <n v="3.8199999332428001"/>
    <n v="1.4299999475479099"/>
    <n v="3.1199998855590798"/>
    <n v="0"/>
    <n v="84"/>
    <n v="35"/>
    <n v="154"/>
    <n v="834"/>
    <n v="2924"/>
    <x v="0"/>
    <s v="May"/>
    <n v="273"/>
    <n v="1107"/>
    <n v="13.9"/>
    <x v="0"/>
    <s v="Very Active"/>
    <s v="7086361926|2016-05-06"/>
    <b v="1"/>
  </r>
  <r>
    <n v="7086361926"/>
    <d v="2016-05-07T00:00:00"/>
    <n v="12827"/>
    <n v="8.4799995422363299"/>
    <n v="8.4799995422363299"/>
    <n v="0"/>
    <n v="1.46000003814697"/>
    <n v="2.3299999237060498"/>
    <n v="4.6799998283386204"/>
    <n v="0"/>
    <n v="20"/>
    <n v="42"/>
    <n v="209"/>
    <n v="621"/>
    <n v="2739"/>
    <x v="1"/>
    <s v="May"/>
    <n v="271"/>
    <n v="892"/>
    <n v="10.35"/>
    <x v="1"/>
    <s v="Moderately Active"/>
    <s v="7086361926|2016-05-07"/>
    <b v="1"/>
  </r>
  <r>
    <n v="7086361926"/>
    <d v="2016-05-08T00:00:00"/>
    <n v="10677"/>
    <n v="7.0999999046325701"/>
    <n v="7.0999999046325701"/>
    <n v="0"/>
    <n v="2.3099999427795401"/>
    <n v="1.5299999713897701"/>
    <n v="3.25"/>
    <n v="0"/>
    <n v="32"/>
    <n v="27"/>
    <n v="147"/>
    <n v="695"/>
    <n v="2534"/>
    <x v="2"/>
    <s v="May"/>
    <n v="206"/>
    <n v="901"/>
    <n v="11.58"/>
    <x v="0"/>
    <s v="Very Active"/>
    <s v="7086361926|2016-05-08"/>
    <b v="1"/>
  </r>
  <r>
    <n v="7086361926"/>
    <d v="2016-05-09T00:00:00"/>
    <n v="13566"/>
    <n v="9.1099996566772496"/>
    <n v="9.1099996566772496"/>
    <n v="0"/>
    <n v="4.2600002288818404"/>
    <n v="1.71000003814697"/>
    <n v="3.1199998855590798"/>
    <n v="0"/>
    <n v="67"/>
    <n v="50"/>
    <n v="171"/>
    <n v="743"/>
    <n v="2960"/>
    <x v="3"/>
    <s v="May"/>
    <n v="288"/>
    <n v="1031"/>
    <n v="12.38"/>
    <x v="1"/>
    <s v="Very Active"/>
    <s v="7086361926|2016-05-09"/>
    <b v="1"/>
  </r>
  <r>
    <n v="7086361926"/>
    <d v="2016-05-10T00:00:00"/>
    <n v="14433"/>
    <n v="10.789999961853001"/>
    <n v="10.789999961853001"/>
    <n v="0"/>
    <n v="7.1100001335143999"/>
    <n v="1.20000004768372"/>
    <n v="2.4500000476837198"/>
    <n v="0"/>
    <n v="72"/>
    <n v="23"/>
    <n v="106"/>
    <n v="1182"/>
    <n v="2800"/>
    <x v="4"/>
    <s v="May"/>
    <n v="201"/>
    <n v="1383"/>
    <n v="19.7"/>
    <x v="1"/>
    <s v="Very Active"/>
    <s v="7086361926|2016-05-10"/>
    <b v="0"/>
  </r>
  <r>
    <n v="7086361926"/>
    <d v="2016-05-11T00:00:00"/>
    <n v="9572"/>
    <n v="6.5199999809265101"/>
    <n v="6.5199999809265101"/>
    <n v="0"/>
    <n v="2.8900001049041699"/>
    <n v="1.3899999856948899"/>
    <n v="2.2300000190734899"/>
    <n v="0"/>
    <n v="57"/>
    <n v="40"/>
    <n v="128"/>
    <n v="757"/>
    <n v="2735"/>
    <x v="5"/>
    <s v="May"/>
    <n v="225"/>
    <n v="982"/>
    <n v="12.62"/>
    <x v="3"/>
    <s v="Very Active"/>
    <s v="7086361926|2016-05-11"/>
    <b v="1"/>
  </r>
  <r>
    <n v="7086361926"/>
    <d v="2016-05-12T00:00:00"/>
    <n v="3789"/>
    <n v="2.5599999427795401"/>
    <n v="2.5599999427795401"/>
    <n v="0"/>
    <n v="0.37999999523162797"/>
    <n v="0.270000010728836"/>
    <n v="1.8899999856948899"/>
    <n v="0"/>
    <n v="5"/>
    <n v="4"/>
    <n v="58"/>
    <n v="343"/>
    <n v="1199"/>
    <x v="6"/>
    <s v="May"/>
    <n v="67"/>
    <n v="410"/>
    <n v="5.72"/>
    <x v="2"/>
    <s v="Lightly Active"/>
    <s v="7086361926|2016-05-12"/>
    <b v="1"/>
  </r>
  <r>
    <n v="8053475328"/>
    <d v="2016-04-13T00:00:00"/>
    <n v="16433"/>
    <n v="13.3500003814697"/>
    <n v="13.3500003814697"/>
    <n v="0"/>
    <n v="10.430000305175801"/>
    <n v="0.46999999880790699"/>
    <n v="2.4500000476837198"/>
    <n v="0"/>
    <n v="95"/>
    <n v="12"/>
    <n v="156"/>
    <n v="1177"/>
    <n v="3140"/>
    <x v="5"/>
    <s v="April"/>
    <n v="263"/>
    <n v="1440"/>
    <n v="19.62"/>
    <x v="1"/>
    <s v="Very Active"/>
    <s v="8053475328|2016-04-13"/>
    <b v="0"/>
  </r>
  <r>
    <n v="8053475328"/>
    <d v="2016-04-14T00:00:00"/>
    <n v="20159"/>
    <n v="15.9700002670288"/>
    <n v="15.9700002670288"/>
    <n v="0"/>
    <n v="12.3400001525879"/>
    <n v="0.20999999344348899"/>
    <n v="3.3599998950958301"/>
    <n v="0"/>
    <n v="119"/>
    <n v="5"/>
    <n v="193"/>
    <n v="1123"/>
    <n v="3411"/>
    <x v="6"/>
    <s v="April"/>
    <n v="317"/>
    <n v="1440"/>
    <n v="18.72"/>
    <x v="1"/>
    <s v="Very Active"/>
    <s v="8053475328|2016-04-14"/>
    <b v="0"/>
  </r>
  <r>
    <n v="8053475328"/>
    <d v="2016-04-15T00:00:00"/>
    <n v="20669"/>
    <n v="16.2399997711182"/>
    <n v="16.2399997711182"/>
    <n v="0"/>
    <n v="13.2600002288818"/>
    <n v="0.38999998569488498"/>
    <n v="2.5899999141693102"/>
    <n v="0"/>
    <n v="132"/>
    <n v="8"/>
    <n v="158"/>
    <n v="1142"/>
    <n v="3410"/>
    <x v="0"/>
    <s v="April"/>
    <n v="298"/>
    <n v="1440"/>
    <n v="19.03"/>
    <x v="1"/>
    <s v="Very Active"/>
    <s v="8053475328|2016-04-15"/>
    <b v="0"/>
  </r>
  <r>
    <n v="8053475328"/>
    <d v="2016-04-16T00:00:00"/>
    <n v="14549"/>
    <n v="11.1099996566772"/>
    <n v="11.1099996566772"/>
    <n v="0"/>
    <n v="9.3599996566772496"/>
    <n v="0.270000010728836"/>
    <n v="1.4900000095367401"/>
    <n v="0"/>
    <n v="96"/>
    <n v="6"/>
    <n v="83"/>
    <n v="1255"/>
    <n v="2867"/>
    <x v="1"/>
    <s v="April"/>
    <n v="185"/>
    <n v="1440"/>
    <n v="20.92"/>
    <x v="1"/>
    <s v="Very Active"/>
    <s v="8053475328|2016-04-16"/>
    <b v="0"/>
  </r>
  <r>
    <n v="8053475328"/>
    <d v="2016-04-17T00:00:00"/>
    <n v="18827"/>
    <n v="13.689999580383301"/>
    <n v="13.689999580383301"/>
    <n v="0"/>
    <n v="9.2399997711181605"/>
    <n v="0.80000001192092896"/>
    <n v="3.6400001049041699"/>
    <n v="0"/>
    <n v="111"/>
    <n v="21"/>
    <n v="195"/>
    <n v="1113"/>
    <n v="3213"/>
    <x v="2"/>
    <s v="April"/>
    <n v="327"/>
    <n v="1440"/>
    <n v="18.55"/>
    <x v="1"/>
    <s v="Very Active"/>
    <s v="8053475328|2016-04-17"/>
    <b v="0"/>
  </r>
  <r>
    <n v="8053475328"/>
    <d v="2016-04-18T00:00:00"/>
    <n v="17076"/>
    <n v="12.6599998474121"/>
    <n v="12.6599998474121"/>
    <n v="0"/>
    <n v="9.0799999237060494"/>
    <n v="0.230000004172325"/>
    <n v="3.3499999046325701"/>
    <n v="0"/>
    <n v="102"/>
    <n v="6"/>
    <n v="195"/>
    <n v="1137"/>
    <n v="3133"/>
    <x v="3"/>
    <s v="April"/>
    <n v="303"/>
    <n v="1440"/>
    <n v="18.95"/>
    <x v="1"/>
    <s v="Very Active"/>
    <s v="8053475328|2016-04-18"/>
    <b v="0"/>
  </r>
  <r>
    <n v="8053475328"/>
    <d v="2016-04-19T00:00:00"/>
    <n v="15929"/>
    <n v="12.4799995422363"/>
    <n v="12.4799995422363"/>
    <n v="0"/>
    <n v="9.2200002670288104"/>
    <n v="0.31000000238418601"/>
    <n v="2.9500000476837198"/>
    <n v="0"/>
    <n v="90"/>
    <n v="7"/>
    <n v="191"/>
    <n v="1152"/>
    <n v="3114"/>
    <x v="4"/>
    <s v="April"/>
    <n v="288"/>
    <n v="1440"/>
    <n v="19.2"/>
    <x v="1"/>
    <s v="Very Active"/>
    <s v="8053475328|2016-04-19"/>
    <b v="0"/>
  </r>
  <r>
    <n v="8053475328"/>
    <d v="2016-04-20T00:00:00"/>
    <n v="15108"/>
    <n v="12.189999580383301"/>
    <n v="12.189999580383301"/>
    <n v="0"/>
    <n v="9.5799999237060494"/>
    <n v="0.230000004172325"/>
    <n v="2.3800001144409202"/>
    <n v="0"/>
    <n v="89"/>
    <n v="5"/>
    <n v="158"/>
    <n v="695"/>
    <n v="3043"/>
    <x v="5"/>
    <s v="April"/>
    <n v="252"/>
    <n v="947"/>
    <n v="11.58"/>
    <x v="1"/>
    <s v="Very Active"/>
    <s v="8053475328|2016-04-20"/>
    <b v="1"/>
  </r>
  <r>
    <n v="8053475328"/>
    <d v="2016-04-21T00:00:00"/>
    <n v="16057"/>
    <n v="12.5100002288818"/>
    <n v="12.5100002288818"/>
    <n v="0"/>
    <n v="9.6700000762939506"/>
    <n v="0.25"/>
    <n v="2.5799999237060498"/>
    <n v="0"/>
    <n v="100"/>
    <n v="6"/>
    <n v="170"/>
    <n v="1164"/>
    <n v="3103"/>
    <x v="6"/>
    <s v="April"/>
    <n v="276"/>
    <n v="1440"/>
    <n v="19.399999999999999"/>
    <x v="1"/>
    <s v="Very Active"/>
    <s v="8053475328|2016-04-21"/>
    <b v="0"/>
  </r>
  <r>
    <n v="8053475328"/>
    <d v="2016-04-22T00:00:00"/>
    <n v="10520"/>
    <n v="8.2899999618530291"/>
    <n v="8.2899999618530291"/>
    <n v="0"/>
    <n v="6.2600002288818404"/>
    <n v="0.15000000596046401"/>
    <n v="1.87999999523163"/>
    <n v="0"/>
    <n v="60"/>
    <n v="3"/>
    <n v="117"/>
    <n v="1260"/>
    <n v="2655"/>
    <x v="0"/>
    <s v="April"/>
    <n v="180"/>
    <n v="1440"/>
    <n v="21"/>
    <x v="0"/>
    <s v="Very Active"/>
    <s v="8053475328|2016-04-22"/>
    <b v="0"/>
  </r>
  <r>
    <n v="8053475328"/>
    <d v="2016-04-23T00:00:00"/>
    <n v="22359"/>
    <n v="17.190000534057599"/>
    <n v="17.190000534057599"/>
    <n v="0"/>
    <n v="12.539999961853001"/>
    <n v="0.62999999523162797"/>
    <n v="4.0199999809265101"/>
    <n v="0"/>
    <n v="125"/>
    <n v="14"/>
    <n v="223"/>
    <n v="741"/>
    <n v="3554"/>
    <x v="1"/>
    <s v="April"/>
    <n v="362"/>
    <n v="1103"/>
    <n v="12.35"/>
    <x v="1"/>
    <s v="Very Active"/>
    <s v="8053475328|2016-04-23"/>
    <b v="1"/>
  </r>
  <r>
    <n v="8053475328"/>
    <d v="2016-04-24T00:00:00"/>
    <n v="22988"/>
    <n v="17.950000762939499"/>
    <n v="17.950000762939499"/>
    <n v="0"/>
    <n v="13.1300001144409"/>
    <n v="1.54999995231628"/>
    <n v="3.2599999904632599"/>
    <n v="0"/>
    <n v="129"/>
    <n v="33"/>
    <n v="182"/>
    <n v="1096"/>
    <n v="3577"/>
    <x v="2"/>
    <s v="April"/>
    <n v="344"/>
    <n v="1440"/>
    <n v="18.27"/>
    <x v="1"/>
    <s v="Very Active"/>
    <s v="8053475328|2016-04-24"/>
    <b v="0"/>
  </r>
  <r>
    <n v="8053475328"/>
    <d v="2016-04-25T00:00:00"/>
    <n v="20500"/>
    <n v="15.689999580383301"/>
    <n v="15.689999580383301"/>
    <n v="0"/>
    <n v="11.3699998855591"/>
    <n v="0.46000000834464999"/>
    <n v="3.8599998950958301"/>
    <n v="0"/>
    <n v="118"/>
    <n v="9"/>
    <n v="209"/>
    <n v="1104"/>
    <n v="3403"/>
    <x v="3"/>
    <s v="April"/>
    <n v="336"/>
    <n v="1440"/>
    <n v="18.399999999999999"/>
    <x v="1"/>
    <s v="Very Active"/>
    <s v="8053475328|2016-04-25"/>
    <b v="0"/>
  </r>
  <r>
    <n v="8053475328"/>
    <d v="2016-04-26T00:00:00"/>
    <n v="12685"/>
    <n v="9.6199998855590803"/>
    <n v="9.6199998855590803"/>
    <n v="0"/>
    <n v="6.3099999427795401"/>
    <n v="0.20000000298023199"/>
    <n v="3.0999999046325701"/>
    <n v="0"/>
    <n v="68"/>
    <n v="5"/>
    <n v="185"/>
    <n v="1182"/>
    <n v="2846"/>
    <x v="4"/>
    <s v="April"/>
    <n v="258"/>
    <n v="1440"/>
    <n v="19.7"/>
    <x v="1"/>
    <s v="Very Active"/>
    <s v="8053475328|2016-04-26"/>
    <b v="0"/>
  </r>
  <r>
    <n v="8053475328"/>
    <d v="2016-04-27T00:00:00"/>
    <n v="12422"/>
    <n v="9.8199996948242205"/>
    <n v="9.8199996948242205"/>
    <n v="0"/>
    <n v="6.46000003814697"/>
    <n v="0.43000000715255698"/>
    <n v="2.9300000667571999"/>
    <n v="0"/>
    <n v="60"/>
    <n v="10"/>
    <n v="183"/>
    <n v="1187"/>
    <n v="2852"/>
    <x v="5"/>
    <s v="April"/>
    <n v="253"/>
    <n v="1440"/>
    <n v="19.78"/>
    <x v="0"/>
    <s v="Very Active"/>
    <s v="8053475328|2016-04-27"/>
    <b v="0"/>
  </r>
  <r>
    <n v="8053475328"/>
    <d v="2016-04-28T00:00:00"/>
    <n v="15447"/>
    <n v="12.3999996185303"/>
    <n v="12.3999996185303"/>
    <n v="0"/>
    <n v="9.6700000762939506"/>
    <n v="0.38999998569488498"/>
    <n v="2.3499999046325701"/>
    <n v="0"/>
    <n v="90"/>
    <n v="9"/>
    <n v="153"/>
    <n v="1188"/>
    <n v="3062"/>
    <x v="6"/>
    <s v="April"/>
    <n v="252"/>
    <n v="1440"/>
    <n v="19.8"/>
    <x v="1"/>
    <s v="Very Active"/>
    <s v="8053475328|2016-04-28"/>
    <b v="0"/>
  </r>
  <r>
    <n v="8053475328"/>
    <d v="2016-04-29T00:00:00"/>
    <n v="12315"/>
    <n v="9.6499996185302699"/>
    <n v="9.6499996185302699"/>
    <n v="0"/>
    <n v="6.1700000762939498"/>
    <n v="0.31000000238418601"/>
    <n v="3.1700000762939502"/>
    <n v="0"/>
    <n v="58"/>
    <n v="8"/>
    <n v="159"/>
    <n v="1215"/>
    <n v="2794"/>
    <x v="0"/>
    <s v="April"/>
    <n v="225"/>
    <n v="1440"/>
    <n v="20.25"/>
    <x v="0"/>
    <s v="Very Active"/>
    <s v="8053475328|2016-04-29"/>
    <b v="0"/>
  </r>
  <r>
    <n v="8053475328"/>
    <d v="2016-04-30T00:00:00"/>
    <n v="7135"/>
    <n v="5.5900001525878897"/>
    <n v="5.5900001525878897"/>
    <n v="0"/>
    <n v="2.9900000095367401"/>
    <n v="5.9999998658895499E-2"/>
    <n v="2.53999996185303"/>
    <n v="0"/>
    <n v="27"/>
    <n v="1"/>
    <n v="131"/>
    <n v="1281"/>
    <n v="2408"/>
    <x v="1"/>
    <s v="April"/>
    <n v="159"/>
    <n v="1440"/>
    <n v="21.35"/>
    <x v="4"/>
    <s v="Moderately Active"/>
    <s v="8053475328|2016-04-30"/>
    <b v="0"/>
  </r>
  <r>
    <n v="8053475328"/>
    <d v="2016-05-01T00:00:00"/>
    <n v="1170"/>
    <n v="0.85000002384185802"/>
    <n v="0.85000002384185802"/>
    <n v="0"/>
    <n v="0"/>
    <n v="0"/>
    <n v="0.85000002384185802"/>
    <n v="0"/>
    <n v="0"/>
    <n v="0"/>
    <n v="51"/>
    <n v="1389"/>
    <n v="1886"/>
    <x v="2"/>
    <s v="May"/>
    <n v="51"/>
    <n v="1440"/>
    <n v="23.15"/>
    <x v="2"/>
    <s v="Sedentary"/>
    <s v="8053475328|2016-05-01"/>
    <b v="0"/>
  </r>
  <r>
    <n v="8053475328"/>
    <d v="2016-05-02T00:00:00"/>
    <n v="1969"/>
    <n v="1.4299999475479099"/>
    <n v="1.4299999475479099"/>
    <n v="0"/>
    <n v="0"/>
    <n v="0"/>
    <n v="1.4299999475479099"/>
    <n v="0"/>
    <n v="0"/>
    <n v="0"/>
    <n v="95"/>
    <n v="1345"/>
    <n v="1988"/>
    <x v="3"/>
    <s v="May"/>
    <n v="95"/>
    <n v="1440"/>
    <n v="22.42"/>
    <x v="2"/>
    <s v="Sedentary"/>
    <s v="8053475328|2016-05-02"/>
    <b v="0"/>
  </r>
  <r>
    <n v="8053475328"/>
    <d v="2016-05-03T00:00:00"/>
    <n v="15484"/>
    <n v="11.8999996185303"/>
    <n v="11.8999996185303"/>
    <n v="0"/>
    <n v="8.3900003433227504"/>
    <n v="0.93000000715255704"/>
    <n v="2.5899999141693102"/>
    <n v="0"/>
    <n v="87"/>
    <n v="22"/>
    <n v="165"/>
    <n v="1166"/>
    <n v="3023"/>
    <x v="4"/>
    <s v="May"/>
    <n v="274"/>
    <n v="1440"/>
    <n v="19.43"/>
    <x v="1"/>
    <s v="Very Active"/>
    <s v="8053475328|2016-05-03"/>
    <b v="0"/>
  </r>
  <r>
    <n v="8053475328"/>
    <d v="2016-05-04T00:00:00"/>
    <n v="14581"/>
    <n v="11.1499996185303"/>
    <n v="11.1499996185303"/>
    <n v="0"/>
    <n v="8.8199996948242205"/>
    <n v="0.40000000596046398"/>
    <n v="1.9099999666214"/>
    <n v="0"/>
    <n v="89"/>
    <n v="8"/>
    <n v="123"/>
    <n v="1220"/>
    <n v="2918"/>
    <x v="5"/>
    <s v="May"/>
    <n v="220"/>
    <n v="1440"/>
    <n v="20.329999999999998"/>
    <x v="1"/>
    <s v="Very Active"/>
    <s v="8053475328|2016-05-04"/>
    <b v="0"/>
  </r>
  <r>
    <n v="8053475328"/>
    <d v="2016-05-05T00:00:00"/>
    <n v="14990"/>
    <n v="11.5100002288818"/>
    <n v="11.5100002288818"/>
    <n v="0"/>
    <n v="8.8500003814697301"/>
    <n v="0.44999998807907099"/>
    <n v="2.21000003814697"/>
    <n v="0"/>
    <n v="93"/>
    <n v="9"/>
    <n v="130"/>
    <n v="1208"/>
    <n v="2950"/>
    <x v="6"/>
    <s v="May"/>
    <n v="232"/>
    <n v="1440"/>
    <n v="20.13"/>
    <x v="1"/>
    <s v="Very Active"/>
    <s v="8053475328|2016-05-05"/>
    <b v="0"/>
  </r>
  <r>
    <n v="8053475328"/>
    <d v="2016-05-06T00:00:00"/>
    <n v="13953"/>
    <n v="11"/>
    <n v="11"/>
    <n v="0"/>
    <n v="9.1000003814697301"/>
    <n v="0.68999999761581399"/>
    <n v="1.21000003814697"/>
    <n v="0"/>
    <n v="90"/>
    <n v="15"/>
    <n v="90"/>
    <n v="1245"/>
    <n v="2859"/>
    <x v="0"/>
    <s v="May"/>
    <n v="195"/>
    <n v="1440"/>
    <n v="20.75"/>
    <x v="1"/>
    <s v="Very Active"/>
    <s v="8053475328|2016-05-06"/>
    <b v="0"/>
  </r>
  <r>
    <n v="8053475328"/>
    <d v="2016-05-07T00:00:00"/>
    <n v="19769"/>
    <n v="15.670000076293899"/>
    <n v="15.670000076293899"/>
    <n v="0"/>
    <n v="12.439999580383301"/>
    <n v="0.87999999523162797"/>
    <n v="2.3499999046325701"/>
    <n v="0"/>
    <n v="121"/>
    <n v="20"/>
    <n v="148"/>
    <n v="1076"/>
    <n v="3331"/>
    <x v="1"/>
    <s v="May"/>
    <n v="289"/>
    <n v="1365"/>
    <n v="17.93"/>
    <x v="1"/>
    <s v="Very Active"/>
    <s v="8053475328|2016-05-07"/>
    <b v="1"/>
  </r>
  <r>
    <n v="8053475328"/>
    <d v="2016-05-08T00:00:00"/>
    <n v="22026"/>
    <n v="17.649999618530298"/>
    <n v="17.649999618530298"/>
    <n v="0"/>
    <n v="13.3999996185303"/>
    <n v="0.58999997377395597"/>
    <n v="3.6600000858306898"/>
    <n v="0"/>
    <n v="125"/>
    <n v="14"/>
    <n v="228"/>
    <n v="1073"/>
    <n v="3589"/>
    <x v="2"/>
    <s v="May"/>
    <n v="367"/>
    <n v="1440"/>
    <n v="17.88"/>
    <x v="1"/>
    <s v="Very Active"/>
    <s v="8053475328|2016-05-08"/>
    <b v="0"/>
  </r>
  <r>
    <n v="8053475328"/>
    <d v="2016-05-09T00:00:00"/>
    <n v="12465"/>
    <n v="9.3800001144409197"/>
    <n v="9.3800001144409197"/>
    <n v="0"/>
    <n v="6.1199998855590803"/>
    <n v="0.56999999284744296"/>
    <n v="2.6900000572204599"/>
    <n v="0"/>
    <n v="66"/>
    <n v="12"/>
    <n v="148"/>
    <n v="1214"/>
    <n v="2765"/>
    <x v="3"/>
    <s v="May"/>
    <n v="226"/>
    <n v="1440"/>
    <n v="20.23"/>
    <x v="0"/>
    <s v="Very Active"/>
    <s v="8053475328|2016-05-09"/>
    <b v="0"/>
  </r>
  <r>
    <n v="8053475328"/>
    <d v="2016-05-10T00:00:00"/>
    <n v="14810"/>
    <n v="11.3599996566772"/>
    <n v="11.3599996566772"/>
    <n v="0"/>
    <n v="9.0900001525878906"/>
    <n v="0.41999998688697798"/>
    <n v="1.8500000238418599"/>
    <n v="0"/>
    <n v="96"/>
    <n v="10"/>
    <n v="115"/>
    <n v="1219"/>
    <n v="2926"/>
    <x v="4"/>
    <s v="May"/>
    <n v="221"/>
    <n v="1440"/>
    <n v="20.32"/>
    <x v="1"/>
    <s v="Very Active"/>
    <s v="8053475328|2016-05-10"/>
    <b v="0"/>
  </r>
  <r>
    <n v="8053475328"/>
    <d v="2016-05-11T00:00:00"/>
    <n v="12209"/>
    <n v="9.3999996185302699"/>
    <n v="9.3999996185302699"/>
    <n v="0"/>
    <n v="6.0799999237060502"/>
    <n v="0.28000000119209301"/>
    <n v="3.03999996185303"/>
    <n v="0"/>
    <n v="60"/>
    <n v="7"/>
    <n v="184"/>
    <n v="1189"/>
    <n v="2809"/>
    <x v="5"/>
    <s v="May"/>
    <n v="251"/>
    <n v="1440"/>
    <n v="19.82"/>
    <x v="0"/>
    <s v="Very Active"/>
    <s v="8053475328|2016-05-11"/>
    <b v="0"/>
  </r>
  <r>
    <n v="8053475328"/>
    <d v="2016-05-12T00:00:00"/>
    <n v="4998"/>
    <n v="3.9100000858306898"/>
    <n v="3.9100000858306898"/>
    <n v="0"/>
    <n v="2.9500000476837198"/>
    <n v="0.20000000298023199"/>
    <n v="0.75999999046325695"/>
    <n v="0"/>
    <n v="28"/>
    <n v="4"/>
    <n v="39"/>
    <n v="839"/>
    <n v="1505"/>
    <x v="6"/>
    <s v="May"/>
    <n v="71"/>
    <n v="910"/>
    <n v="13.98"/>
    <x v="2"/>
    <s v="Moderately Active"/>
    <s v="8053475328|2016-05-12"/>
    <b v="0"/>
  </r>
  <r>
    <n v="8253242879"/>
    <d v="2016-04-13T00:00:00"/>
    <n v="8053"/>
    <n v="6.0999999046325701"/>
    <n v="6.0999999046325701"/>
    <n v="0"/>
    <n v="4.1700000762939498"/>
    <n v="0.62999999523162797"/>
    <n v="1.3099999427795399"/>
    <n v="0"/>
    <n v="35"/>
    <n v="11"/>
    <n v="96"/>
    <n v="1298"/>
    <n v="1935"/>
    <x v="5"/>
    <s v="April"/>
    <n v="142"/>
    <n v="1440"/>
    <n v="21.63"/>
    <x v="3"/>
    <s v="Very Active"/>
    <s v="8253242879|2016-04-13"/>
    <b v="0"/>
  </r>
  <r>
    <n v="8253242879"/>
    <d v="2016-04-14T00:00:00"/>
    <n v="5234"/>
    <n v="3.46000003814697"/>
    <n v="3.46000003814697"/>
    <n v="0"/>
    <n v="1.9299999475479099"/>
    <n v="0.99000000953674305"/>
    <n v="0.54000002145767201"/>
    <n v="0"/>
    <n v="29"/>
    <n v="16"/>
    <n v="33"/>
    <n v="1362"/>
    <n v="1705"/>
    <x v="6"/>
    <s v="April"/>
    <n v="78"/>
    <n v="1440"/>
    <n v="22.7"/>
    <x v="4"/>
    <s v="Moderately Active"/>
    <s v="8253242879|2016-04-14"/>
    <b v="0"/>
  </r>
  <r>
    <n v="8253242879"/>
    <d v="2016-04-15T00:00:00"/>
    <n v="2672"/>
    <n v="1.7699999809265099"/>
    <n v="1.7699999809265099"/>
    <n v="0"/>
    <n v="0"/>
    <n v="0"/>
    <n v="1.7599999904632599"/>
    <n v="0"/>
    <n v="0"/>
    <n v="0"/>
    <n v="105"/>
    <n v="1335"/>
    <n v="1632"/>
    <x v="0"/>
    <s v="April"/>
    <n v="105"/>
    <n v="1440"/>
    <n v="22.25"/>
    <x v="2"/>
    <s v="Sedentary"/>
    <s v="8253242879|2016-04-15"/>
    <b v="0"/>
  </r>
  <r>
    <n v="8253242879"/>
    <d v="2016-04-16T00:00:00"/>
    <n v="9256"/>
    <n v="6.1399998664856001"/>
    <n v="6.1399998664856001"/>
    <n v="0"/>
    <n v="0.43000000715255698"/>
    <n v="3.2699999809265101"/>
    <n v="2.4500000476837198"/>
    <n v="0"/>
    <n v="6"/>
    <n v="51"/>
    <n v="115"/>
    <n v="1268"/>
    <n v="1880"/>
    <x v="1"/>
    <s v="April"/>
    <n v="172"/>
    <n v="1440"/>
    <n v="21.13"/>
    <x v="3"/>
    <s v="Lightly Active"/>
    <s v="8253242879|2016-04-16"/>
    <b v="0"/>
  </r>
  <r>
    <n v="8253242879"/>
    <d v="2016-04-17T00:00:00"/>
    <n v="10204"/>
    <n v="7.9099998474121103"/>
    <n v="7.9099998474121103"/>
    <n v="0"/>
    <n v="5.4299998283386204"/>
    <n v="0.15000000596046401"/>
    <n v="2.3299999237060498"/>
    <n v="0"/>
    <n v="41"/>
    <n v="5"/>
    <n v="157"/>
    <n v="1237"/>
    <n v="2112"/>
    <x v="2"/>
    <s v="April"/>
    <n v="203"/>
    <n v="1440"/>
    <n v="20.62"/>
    <x v="0"/>
    <s v="Very Active"/>
    <s v="8253242879|2016-04-17"/>
    <b v="0"/>
  </r>
  <r>
    <n v="8253242879"/>
    <d v="2016-04-18T00:00:00"/>
    <n v="5151"/>
    <n v="3.4800000190734899"/>
    <n v="3.4800000190734899"/>
    <n v="0"/>
    <n v="1.03999996185303"/>
    <n v="0.62999999523162797"/>
    <n v="1.79999995231628"/>
    <n v="0"/>
    <n v="16"/>
    <n v="16"/>
    <n v="130"/>
    <n v="1278"/>
    <n v="1829"/>
    <x v="3"/>
    <s v="April"/>
    <n v="162"/>
    <n v="1440"/>
    <n v="21.3"/>
    <x v="4"/>
    <s v="Moderately Active"/>
    <s v="8253242879|2016-04-18"/>
    <b v="0"/>
  </r>
  <r>
    <n v="8253242879"/>
    <d v="2016-04-19T00:00:00"/>
    <n v="4212"/>
    <n v="2.7799999713897701"/>
    <n v="2.7799999713897701"/>
    <n v="0"/>
    <n v="0"/>
    <n v="0"/>
    <n v="2.7799999713897701"/>
    <n v="0"/>
    <n v="0"/>
    <n v="0"/>
    <n v="164"/>
    <n v="1276"/>
    <n v="1763"/>
    <x v="4"/>
    <s v="April"/>
    <n v="164"/>
    <n v="1440"/>
    <n v="21.27"/>
    <x v="2"/>
    <s v="Sedentary"/>
    <s v="8253242879|2016-04-19"/>
    <b v="0"/>
  </r>
  <r>
    <n v="8253242879"/>
    <d v="2016-04-20T00:00:00"/>
    <n v="6466"/>
    <n v="4.2699999809265101"/>
    <n v="4.2699999809265101"/>
    <n v="0"/>
    <n v="0.33000001311302202"/>
    <n v="0.81999999284744296"/>
    <n v="3.1099998950958301"/>
    <n v="9.9999997764825804E-3"/>
    <n v="5"/>
    <n v="18"/>
    <n v="216"/>
    <n v="1201"/>
    <n v="1931"/>
    <x v="5"/>
    <s v="April"/>
    <n v="239"/>
    <n v="1440"/>
    <n v="20.02"/>
    <x v="4"/>
    <s v="Lightly Active"/>
    <s v="8253242879|2016-04-20"/>
    <b v="0"/>
  </r>
  <r>
    <n v="8253242879"/>
    <d v="2016-04-21T00:00:00"/>
    <n v="11268"/>
    <n v="8.5600004196166992"/>
    <n v="8.5600004196166992"/>
    <n v="0"/>
    <n v="5.8800001144409197"/>
    <n v="0.93000000715255704"/>
    <n v="1.75"/>
    <n v="0"/>
    <n v="49"/>
    <n v="20"/>
    <n v="172"/>
    <n v="1199"/>
    <n v="2218"/>
    <x v="6"/>
    <s v="April"/>
    <n v="241"/>
    <n v="1440"/>
    <n v="19.98"/>
    <x v="0"/>
    <s v="Very Active"/>
    <s v="8253242879|2016-04-21"/>
    <b v="0"/>
  </r>
  <r>
    <n v="8253242879"/>
    <d v="2016-04-22T00:00:00"/>
    <n v="2824"/>
    <n v="1.87000000476837"/>
    <n v="1.87000000476837"/>
    <n v="0"/>
    <n v="0"/>
    <n v="0"/>
    <n v="1.87000000476837"/>
    <n v="0"/>
    <n v="0"/>
    <n v="0"/>
    <n v="120"/>
    <n v="1320"/>
    <n v="1651"/>
    <x v="0"/>
    <s v="April"/>
    <n v="120"/>
    <n v="1440"/>
    <n v="22"/>
    <x v="2"/>
    <s v="Sedentary"/>
    <s v="8253242879|2016-04-22"/>
    <b v="0"/>
  </r>
  <r>
    <n v="8253242879"/>
    <d v="2016-04-23T00:00:00"/>
    <n v="9282"/>
    <n v="6.2600002288818404"/>
    <n v="6.2600002288818404"/>
    <n v="0"/>
    <n v="2.0899999141693102"/>
    <n v="1.03999996185303"/>
    <n v="3.1300001144409202"/>
    <n v="0"/>
    <n v="30"/>
    <n v="26"/>
    <n v="191"/>
    <n v="1193"/>
    <n v="2132"/>
    <x v="1"/>
    <s v="April"/>
    <n v="247"/>
    <n v="1440"/>
    <n v="19.88"/>
    <x v="3"/>
    <s v="Very Active"/>
    <s v="8253242879|2016-04-23"/>
    <b v="0"/>
  </r>
  <r>
    <n v="8253242879"/>
    <d v="2016-04-24T00:00:00"/>
    <n v="8905"/>
    <n v="7.1300001144409197"/>
    <n v="7.1300001144409197"/>
    <n v="0"/>
    <n v="5.5999999046325701"/>
    <n v="0.18999999761581399"/>
    <n v="1.3400000333786"/>
    <n v="0"/>
    <n v="41"/>
    <n v="4"/>
    <n v="82"/>
    <n v="1313"/>
    <n v="1976"/>
    <x v="2"/>
    <s v="April"/>
    <n v="127"/>
    <n v="1440"/>
    <n v="21.88"/>
    <x v="3"/>
    <s v="Very Active"/>
    <s v="8253242879|2016-04-24"/>
    <b v="0"/>
  </r>
  <r>
    <n v="8253242879"/>
    <d v="2016-04-25T00:00:00"/>
    <n v="6829"/>
    <n v="4.5100002288818404"/>
    <n v="4.5100002288818404"/>
    <n v="0"/>
    <n v="0.36000001430511502"/>
    <n v="2.3900001049041699"/>
    <n v="1.7699999809265099"/>
    <n v="0"/>
    <n v="7"/>
    <n v="54"/>
    <n v="118"/>
    <n v="1261"/>
    <n v="1909"/>
    <x v="3"/>
    <s v="April"/>
    <n v="179"/>
    <n v="1440"/>
    <n v="21.02"/>
    <x v="4"/>
    <s v="Lightly Active"/>
    <s v="8253242879|2016-04-25"/>
    <b v="0"/>
  </r>
  <r>
    <n v="8253242879"/>
    <d v="2016-04-26T00:00:00"/>
    <n v="4562"/>
    <n v="3.03999996185303"/>
    <n v="3.03999996185303"/>
    <n v="0"/>
    <n v="1.1799999475479099"/>
    <n v="0.490000009536743"/>
    <n v="1.37000000476837"/>
    <n v="0"/>
    <n v="19"/>
    <n v="14"/>
    <n v="108"/>
    <n v="1299"/>
    <n v="1813"/>
    <x v="4"/>
    <s v="April"/>
    <n v="141"/>
    <n v="1440"/>
    <n v="21.65"/>
    <x v="2"/>
    <s v="Moderately Active"/>
    <s v="8253242879|2016-04-26"/>
    <b v="0"/>
  </r>
  <r>
    <n v="8253242879"/>
    <d v="2016-04-27T00:00:00"/>
    <n v="10232"/>
    <n v="8.1800003051757795"/>
    <n v="8.1800003051757795"/>
    <n v="0"/>
    <n v="6.2399997711181596"/>
    <n v="0.230000004172325"/>
    <n v="1.70000004768372"/>
    <n v="0"/>
    <n v="45"/>
    <n v="5"/>
    <n v="104"/>
    <n v="1286"/>
    <n v="2008"/>
    <x v="5"/>
    <s v="April"/>
    <n v="154"/>
    <n v="1440"/>
    <n v="21.43"/>
    <x v="0"/>
    <s v="Very Active"/>
    <s v="8253242879|2016-04-27"/>
    <b v="0"/>
  </r>
  <r>
    <n v="8253242879"/>
    <d v="2016-04-28T00:00:00"/>
    <n v="2718"/>
    <n v="1.79999995231628"/>
    <n v="1.79999995231628"/>
    <n v="0"/>
    <n v="0.67000001668930098"/>
    <n v="0.77999997138977095"/>
    <n v="0.34000000357627902"/>
    <n v="0"/>
    <n v="11"/>
    <n v="16"/>
    <n v="20"/>
    <n v="1393"/>
    <n v="1580"/>
    <x v="6"/>
    <s v="April"/>
    <n v="47"/>
    <n v="1440"/>
    <n v="23.22"/>
    <x v="2"/>
    <s v="Lightly Active"/>
    <s v="8253242879|2016-04-28"/>
    <b v="0"/>
  </r>
  <r>
    <n v="8253242879"/>
    <d v="2016-04-29T00:00:00"/>
    <n v="6260"/>
    <n v="4.2600002288818404"/>
    <n v="4.2600002288818404"/>
    <n v="0"/>
    <n v="1.28999996185303"/>
    <n v="0.54000002145767201"/>
    <n v="2.4000000953674299"/>
    <n v="0"/>
    <n v="16"/>
    <n v="14"/>
    <n v="136"/>
    <n v="1257"/>
    <n v="1854"/>
    <x v="0"/>
    <s v="April"/>
    <n v="166"/>
    <n v="1423"/>
    <n v="20.95"/>
    <x v="4"/>
    <s v="Moderately Active"/>
    <s v="8253242879|2016-04-29"/>
    <b v="0"/>
  </r>
  <r>
    <n v="8253242879"/>
    <d v="2016-04-30T00:00:00"/>
    <n v="0"/>
    <n v="0"/>
    <n v="0"/>
    <n v="0"/>
    <n v="0"/>
    <n v="0"/>
    <n v="0"/>
    <n v="0"/>
    <n v="0"/>
    <n v="0"/>
    <n v="0"/>
    <n v="1440"/>
    <n v="0"/>
    <x v="1"/>
    <s v="April"/>
    <n v="0"/>
    <n v="1440"/>
    <n v="24"/>
    <x v="2"/>
    <s v="Sedentary"/>
    <s v="8253242879|2016-04-30"/>
    <b v="0"/>
  </r>
  <r>
    <n v="8378563200"/>
    <d v="2016-04-13T00:00:00"/>
    <n v="12386"/>
    <n v="9.8199996948242205"/>
    <n v="9.8199996948242205"/>
    <n v="2.0921471118927002"/>
    <n v="4.96000003814697"/>
    <n v="0.64999997615814198"/>
    <n v="4.21000003814697"/>
    <n v="0"/>
    <n v="116"/>
    <n v="14"/>
    <n v="169"/>
    <n v="680"/>
    <n v="4079"/>
    <x v="5"/>
    <s v="April"/>
    <n v="299"/>
    <n v="979"/>
    <n v="11.33"/>
    <x v="0"/>
    <s v="Very Active"/>
    <s v="8378563200|2016-04-13"/>
    <b v="1"/>
  </r>
  <r>
    <n v="8378563200"/>
    <d v="2016-04-14T00:00:00"/>
    <n v="13318"/>
    <n v="10.560000419616699"/>
    <n v="10.560000419616699"/>
    <n v="2.2530810832977299"/>
    <n v="5.6199998855590803"/>
    <n v="1.0299999713897701"/>
    <n v="3.9100000858306898"/>
    <n v="0"/>
    <n v="123"/>
    <n v="21"/>
    <n v="174"/>
    <n v="699"/>
    <n v="4163"/>
    <x v="6"/>
    <s v="April"/>
    <n v="318"/>
    <n v="1017"/>
    <n v="11.65"/>
    <x v="1"/>
    <s v="Very Active"/>
    <s v="8378563200|2016-04-14"/>
    <b v="1"/>
  </r>
  <r>
    <n v="8378563200"/>
    <d v="2016-04-15T00:00:00"/>
    <n v="14461"/>
    <n v="11.4700002670288"/>
    <n v="11.4700002670288"/>
    <n v="0"/>
    <n v="4.9099998474121103"/>
    <n v="1.1499999761581401"/>
    <n v="5.4099998474121103"/>
    <n v="0"/>
    <n v="60"/>
    <n v="23"/>
    <n v="190"/>
    <n v="729"/>
    <n v="3666"/>
    <x v="0"/>
    <s v="April"/>
    <n v="273"/>
    <n v="1002"/>
    <n v="12.15"/>
    <x v="1"/>
    <s v="Very Active"/>
    <s v="8378563200|2016-04-15"/>
    <b v="1"/>
  </r>
  <r>
    <n v="8378563200"/>
    <d v="2016-04-16T00:00:00"/>
    <n v="11207"/>
    <n v="8.8900003433227504"/>
    <n v="8.8900003433227504"/>
    <n v="0"/>
    <n v="5.3699998855590803"/>
    <n v="1.0700000524520901"/>
    <n v="2.4400000572204599"/>
    <n v="0"/>
    <n v="64"/>
    <n v="21"/>
    <n v="142"/>
    <n v="563"/>
    <n v="3363"/>
    <x v="1"/>
    <s v="April"/>
    <n v="227"/>
    <n v="790"/>
    <n v="9.3800000000000008"/>
    <x v="0"/>
    <s v="Very Active"/>
    <s v="8378563200|2016-04-16"/>
    <b v="1"/>
  </r>
  <r>
    <n v="8378563200"/>
    <d v="2016-04-17T00:00:00"/>
    <n v="2132"/>
    <n v="1.6900000572204601"/>
    <n v="1.6900000572204601"/>
    <n v="0"/>
    <n v="0"/>
    <n v="0"/>
    <n v="1.6900000572204601"/>
    <n v="0"/>
    <n v="0"/>
    <n v="0"/>
    <n v="93"/>
    <n v="599"/>
    <n v="2572"/>
    <x v="2"/>
    <s v="April"/>
    <n v="93"/>
    <n v="692"/>
    <n v="9.98"/>
    <x v="2"/>
    <s v="Sedentary"/>
    <s v="8378563200|2016-04-17"/>
    <b v="1"/>
  </r>
  <r>
    <n v="8378563200"/>
    <d v="2016-04-18T00:00:00"/>
    <n v="13630"/>
    <n v="10.810000419616699"/>
    <n v="10.810000419616699"/>
    <n v="2.0921471118927002"/>
    <n v="5.0500001907348597"/>
    <n v="0.56000000238418601"/>
    <n v="5.1999998092651403"/>
    <n v="0"/>
    <n v="117"/>
    <n v="10"/>
    <n v="174"/>
    <n v="720"/>
    <n v="4157"/>
    <x v="3"/>
    <s v="April"/>
    <n v="301"/>
    <n v="1021"/>
    <n v="12"/>
    <x v="1"/>
    <s v="Very Active"/>
    <s v="8378563200|2016-04-18"/>
    <b v="1"/>
  </r>
  <r>
    <n v="8378563200"/>
    <d v="2016-04-19T00:00:00"/>
    <n v="13070"/>
    <n v="10.3599996566772"/>
    <n v="10.3599996566772"/>
    <n v="2.2530810832977299"/>
    <n v="5.3000001907348597"/>
    <n v="0.87999999523162797"/>
    <n v="4.1799998283386204"/>
    <n v="0"/>
    <n v="120"/>
    <n v="19"/>
    <n v="154"/>
    <n v="737"/>
    <n v="4092"/>
    <x v="4"/>
    <s v="April"/>
    <n v="293"/>
    <n v="1030"/>
    <n v="12.28"/>
    <x v="1"/>
    <s v="Very Active"/>
    <s v="8378563200|2016-04-19"/>
    <b v="1"/>
  </r>
  <r>
    <n v="8378563200"/>
    <d v="2016-04-20T00:00:00"/>
    <n v="9388"/>
    <n v="7.4400000572204599"/>
    <n v="7.4400000572204599"/>
    <n v="2.0921471118927002"/>
    <n v="2.2300000190734899"/>
    <n v="0.43999999761581399"/>
    <n v="4.7800002098083496"/>
    <n v="0"/>
    <n v="82"/>
    <n v="8"/>
    <n v="169"/>
    <n v="763"/>
    <n v="3787"/>
    <x v="5"/>
    <s v="April"/>
    <n v="259"/>
    <n v="1022"/>
    <n v="12.72"/>
    <x v="3"/>
    <s v="Very Active"/>
    <s v="8378563200|2016-04-20"/>
    <b v="1"/>
  </r>
  <r>
    <n v="8378563200"/>
    <d v="2016-04-21T00:00:00"/>
    <n v="15148"/>
    <n v="12.0100002288818"/>
    <n v="12.0100002288818"/>
    <n v="2.2530810832977299"/>
    <n v="6.9000000953674299"/>
    <n v="0.81999999284744296"/>
    <n v="4.28999996185303"/>
    <n v="0"/>
    <n v="137"/>
    <n v="16"/>
    <n v="145"/>
    <n v="677"/>
    <n v="4236"/>
    <x v="6"/>
    <s v="April"/>
    <n v="298"/>
    <n v="975"/>
    <n v="11.28"/>
    <x v="1"/>
    <s v="Very Active"/>
    <s v="8378563200|2016-04-21"/>
    <b v="1"/>
  </r>
  <r>
    <n v="8378563200"/>
    <d v="2016-04-22T00:00:00"/>
    <n v="12200"/>
    <n v="9.6700000762939506"/>
    <n v="9.6700000762939506"/>
    <n v="2.0921471118927002"/>
    <n v="4.9099998474121103"/>
    <n v="0.58999997377395597"/>
    <n v="4.1799998283386204"/>
    <n v="0"/>
    <n v="113"/>
    <n v="12"/>
    <n v="159"/>
    <n v="769"/>
    <n v="4044"/>
    <x v="0"/>
    <s v="April"/>
    <n v="284"/>
    <n v="1053"/>
    <n v="12.82"/>
    <x v="0"/>
    <s v="Very Active"/>
    <s v="8378563200|2016-04-22"/>
    <b v="1"/>
  </r>
  <r>
    <n v="8378563200"/>
    <d v="2016-04-23T00:00:00"/>
    <n v="5709"/>
    <n v="4.5300002098083496"/>
    <n v="4.5300002098083496"/>
    <n v="0"/>
    <n v="1.5199999809265099"/>
    <n v="0.519999980926514"/>
    <n v="2.4800000190734899"/>
    <n v="0"/>
    <n v="19"/>
    <n v="10"/>
    <n v="136"/>
    <n v="740"/>
    <n v="2908"/>
    <x v="1"/>
    <s v="April"/>
    <n v="165"/>
    <n v="905"/>
    <n v="12.33"/>
    <x v="4"/>
    <s v="Moderately Active"/>
    <s v="8378563200|2016-04-23"/>
    <b v="1"/>
  </r>
  <r>
    <n v="8378563200"/>
    <d v="2016-04-24T00:00:00"/>
    <n v="3703"/>
    <n v="2.9400000572204599"/>
    <n v="2.9400000572204599"/>
    <n v="0"/>
    <n v="0"/>
    <n v="0"/>
    <n v="2.9400000572204599"/>
    <n v="0"/>
    <n v="0"/>
    <n v="0"/>
    <n v="135"/>
    <n v="734"/>
    <n v="2741"/>
    <x v="2"/>
    <s v="April"/>
    <n v="135"/>
    <n v="869"/>
    <n v="12.23"/>
    <x v="2"/>
    <s v="Sedentary"/>
    <s v="8378563200|2016-04-24"/>
    <b v="1"/>
  </r>
  <r>
    <n v="8378563200"/>
    <d v="2016-04-25T00:00:00"/>
    <n v="12405"/>
    <n v="9.8400001525878906"/>
    <n v="9.8400001525878906"/>
    <n v="2.0921471118927002"/>
    <n v="5.0500001907348597"/>
    <n v="0.87000000476837203"/>
    <n v="3.9200000762939502"/>
    <n v="0"/>
    <n v="117"/>
    <n v="16"/>
    <n v="141"/>
    <n v="692"/>
    <n v="4005"/>
    <x v="3"/>
    <s v="April"/>
    <n v="274"/>
    <n v="966"/>
    <n v="11.53"/>
    <x v="0"/>
    <s v="Very Active"/>
    <s v="8378563200|2016-04-25"/>
    <b v="1"/>
  </r>
  <r>
    <n v="8378563200"/>
    <d v="2016-04-26T00:00:00"/>
    <n v="16208"/>
    <n v="12.8500003814697"/>
    <n v="12.8500003814697"/>
    <n v="0"/>
    <n v="7.5100002288818404"/>
    <n v="0.92000001668930098"/>
    <n v="4.4200000762939498"/>
    <n v="0"/>
    <n v="90"/>
    <n v="18"/>
    <n v="161"/>
    <n v="593"/>
    <n v="3763"/>
    <x v="4"/>
    <s v="April"/>
    <n v="269"/>
    <n v="862"/>
    <n v="9.8800000000000008"/>
    <x v="1"/>
    <s v="Very Active"/>
    <s v="8378563200|2016-04-26"/>
    <b v="1"/>
  </r>
  <r>
    <n v="8378563200"/>
    <d v="2016-04-27T00:00:00"/>
    <n v="7359"/>
    <n v="5.8400001525878897"/>
    <n v="5.8400001525878897"/>
    <n v="0"/>
    <n v="0.33000001311302202"/>
    <n v="0.18000000715255701"/>
    <n v="5.3299999237060502"/>
    <n v="0"/>
    <n v="4"/>
    <n v="4"/>
    <n v="192"/>
    <n v="676"/>
    <n v="3061"/>
    <x v="5"/>
    <s v="April"/>
    <n v="200"/>
    <n v="876"/>
    <n v="11.27"/>
    <x v="4"/>
    <s v="Lightly Active"/>
    <s v="8378563200|2016-04-27"/>
    <b v="1"/>
  </r>
  <r>
    <n v="8378563200"/>
    <d v="2016-04-28T00:00:00"/>
    <n v="5417"/>
    <n v="4.3000001907348597"/>
    <n v="4.3000001907348597"/>
    <n v="0"/>
    <n v="0.89999997615814198"/>
    <n v="0.490000009536743"/>
    <n v="2.9100000858306898"/>
    <n v="0"/>
    <n v="11"/>
    <n v="10"/>
    <n v="139"/>
    <n v="711"/>
    <n v="2884"/>
    <x v="6"/>
    <s v="April"/>
    <n v="160"/>
    <n v="871"/>
    <n v="11.85"/>
    <x v="4"/>
    <s v="Lightly Active"/>
    <s v="8378563200|2016-04-28"/>
    <b v="1"/>
  </r>
  <r>
    <n v="8378563200"/>
    <d v="2016-04-29T00:00:00"/>
    <n v="6175"/>
    <n v="4.9000000953674299"/>
    <n v="4.9000000953674299"/>
    <n v="0"/>
    <n v="0.25"/>
    <n v="0.36000001430511502"/>
    <n v="4.2699999809265101"/>
    <n v="0"/>
    <n v="3"/>
    <n v="7"/>
    <n v="172"/>
    <n v="767"/>
    <n v="2982"/>
    <x v="0"/>
    <s v="April"/>
    <n v="182"/>
    <n v="949"/>
    <n v="12.78"/>
    <x v="4"/>
    <s v="Lightly Active"/>
    <s v="8378563200|2016-04-29"/>
    <b v="1"/>
  </r>
  <r>
    <n v="8378563200"/>
    <d v="2016-04-30T00:00:00"/>
    <n v="2946"/>
    <n v="2.3399999141693102"/>
    <n v="2.3399999141693102"/>
    <n v="0"/>
    <n v="0"/>
    <n v="0"/>
    <n v="2.3399999141693102"/>
    <n v="0"/>
    <n v="0"/>
    <n v="0"/>
    <n v="121"/>
    <n v="780"/>
    <n v="2660"/>
    <x v="1"/>
    <s v="April"/>
    <n v="121"/>
    <n v="901"/>
    <n v="13"/>
    <x v="2"/>
    <s v="Sedentary"/>
    <s v="8378563200|2016-04-30"/>
    <b v="1"/>
  </r>
  <r>
    <n v="8378563200"/>
    <d v="2016-05-01T00:00:00"/>
    <n v="11419"/>
    <n v="9.0600004196166992"/>
    <n v="9.0600004196166992"/>
    <n v="0"/>
    <n v="6.0300002098083496"/>
    <n v="0.56000000238418601"/>
    <n v="2.4700000286102299"/>
    <n v="0"/>
    <n v="71"/>
    <n v="10"/>
    <n v="127"/>
    <n v="669"/>
    <n v="3369"/>
    <x v="2"/>
    <s v="May"/>
    <n v="208"/>
    <n v="877"/>
    <n v="11.15"/>
    <x v="0"/>
    <s v="Very Active"/>
    <s v="8378563200|2016-05-01"/>
    <b v="1"/>
  </r>
  <r>
    <n v="8378563200"/>
    <d v="2016-05-02T00:00:00"/>
    <n v="6064"/>
    <n v="4.8099999427795401"/>
    <n v="4.8099999427795401"/>
    <n v="2.0921471118927002"/>
    <n v="0.62999999523162797"/>
    <n v="0.17000000178813901"/>
    <n v="4.0100002288818404"/>
    <n v="0"/>
    <n v="63"/>
    <n v="4"/>
    <n v="142"/>
    <n v="802"/>
    <n v="3491"/>
    <x v="3"/>
    <s v="May"/>
    <n v="209"/>
    <n v="1011"/>
    <n v="13.37"/>
    <x v="4"/>
    <s v="Very Active"/>
    <s v="8378563200|2016-05-02"/>
    <b v="1"/>
  </r>
  <r>
    <n v="8378563200"/>
    <d v="2016-05-03T00:00:00"/>
    <n v="8712"/>
    <n v="6.9099998474121103"/>
    <n v="6.9099998474121103"/>
    <n v="2.2530810832977299"/>
    <n v="1.3400000333786"/>
    <n v="1.0599999427795399"/>
    <n v="4.5"/>
    <n v="0"/>
    <n v="71"/>
    <n v="20"/>
    <n v="195"/>
    <n v="822"/>
    <n v="3784"/>
    <x v="4"/>
    <s v="May"/>
    <n v="286"/>
    <n v="1108"/>
    <n v="13.7"/>
    <x v="3"/>
    <s v="Very Active"/>
    <s v="8378563200|2016-05-03"/>
    <b v="1"/>
  </r>
  <r>
    <n v="8378563200"/>
    <d v="2016-05-04T00:00:00"/>
    <n v="7875"/>
    <n v="6.2399997711181596"/>
    <n v="6.2399997711181596"/>
    <n v="0"/>
    <n v="1.5599999427795399"/>
    <n v="0.490000009536743"/>
    <n v="4.1999998092651403"/>
    <n v="0"/>
    <n v="19"/>
    <n v="10"/>
    <n v="167"/>
    <n v="680"/>
    <n v="3110"/>
    <x v="5"/>
    <s v="May"/>
    <n v="196"/>
    <n v="876"/>
    <n v="11.33"/>
    <x v="3"/>
    <s v="Moderately Active"/>
    <s v="8378563200|2016-05-04"/>
    <b v="1"/>
  </r>
  <r>
    <n v="8378563200"/>
    <d v="2016-05-05T00:00:00"/>
    <n v="8567"/>
    <n v="6.78999996185303"/>
    <n v="6.78999996185303"/>
    <n v="2.2530810832977299"/>
    <n v="0.88999998569488503"/>
    <n v="0.15999999642372101"/>
    <n v="5.7399997711181596"/>
    <n v="0"/>
    <n v="66"/>
    <n v="3"/>
    <n v="214"/>
    <n v="764"/>
    <n v="3783"/>
    <x v="6"/>
    <s v="May"/>
    <n v="283"/>
    <n v="1047"/>
    <n v="12.73"/>
    <x v="3"/>
    <s v="Very Active"/>
    <s v="8378563200|2016-05-05"/>
    <b v="1"/>
  </r>
  <r>
    <n v="8378563200"/>
    <d v="2016-05-06T00:00:00"/>
    <n v="7045"/>
    <n v="5.5900001525878897"/>
    <n v="5.5900001525878897"/>
    <n v="2.0921471118927002"/>
    <n v="1.54999995231628"/>
    <n v="0.25"/>
    <n v="3.7799999713897701"/>
    <n v="0"/>
    <n v="74"/>
    <n v="5"/>
    <n v="166"/>
    <n v="831"/>
    <n v="3644"/>
    <x v="0"/>
    <s v="May"/>
    <n v="245"/>
    <n v="1076"/>
    <n v="13.85"/>
    <x v="4"/>
    <s v="Very Active"/>
    <s v="8378563200|2016-05-06"/>
    <b v="1"/>
  </r>
  <r>
    <n v="8378563200"/>
    <d v="2016-05-07T00:00:00"/>
    <n v="4468"/>
    <n v="3.53999996185303"/>
    <n v="3.53999996185303"/>
    <n v="0"/>
    <n v="0"/>
    <n v="0"/>
    <n v="3.53999996185303"/>
    <n v="0"/>
    <n v="0"/>
    <n v="0"/>
    <n v="158"/>
    <n v="851"/>
    <n v="2799"/>
    <x v="1"/>
    <s v="May"/>
    <n v="158"/>
    <n v="1009"/>
    <n v="14.18"/>
    <x v="2"/>
    <s v="Sedentary"/>
    <s v="8378563200|2016-05-07"/>
    <b v="1"/>
  </r>
  <r>
    <n v="8378563200"/>
    <d v="2016-05-08T00:00:00"/>
    <n v="2943"/>
    <n v="2.3299999237060498"/>
    <n v="2.3299999237060498"/>
    <n v="0"/>
    <n v="0"/>
    <n v="0"/>
    <n v="2.3299999237060498"/>
    <n v="0"/>
    <n v="0"/>
    <n v="0"/>
    <n v="139"/>
    <n v="621"/>
    <n v="2685"/>
    <x v="2"/>
    <s v="May"/>
    <n v="139"/>
    <n v="760"/>
    <n v="10.35"/>
    <x v="2"/>
    <s v="Sedentary"/>
    <s v="8378563200|2016-05-08"/>
    <b v="1"/>
  </r>
  <r>
    <n v="8378563200"/>
    <d v="2016-05-09T00:00:00"/>
    <n v="8382"/>
    <n v="6.6500000953674299"/>
    <n v="6.6500000953674299"/>
    <n v="2.0921471118927002"/>
    <n v="1.2699999809265099"/>
    <n v="0.66000002622604403"/>
    <n v="4.7199997901916504"/>
    <n v="0"/>
    <n v="71"/>
    <n v="13"/>
    <n v="171"/>
    <n v="772"/>
    <n v="3721"/>
    <x v="3"/>
    <s v="May"/>
    <n v="255"/>
    <n v="1027"/>
    <n v="12.87"/>
    <x v="3"/>
    <s v="Very Active"/>
    <s v="8378563200|2016-05-09"/>
    <b v="1"/>
  </r>
  <r>
    <n v="8378563200"/>
    <d v="2016-05-10T00:00:00"/>
    <n v="6582"/>
    <n v="5.2199997901916504"/>
    <n v="5.2199997901916504"/>
    <n v="2.2530810832977299"/>
    <n v="0.66000002622604403"/>
    <n v="0.63999998569488503"/>
    <n v="3.9200000762939502"/>
    <n v="0"/>
    <n v="63"/>
    <n v="13"/>
    <n v="152"/>
    <n v="840"/>
    <n v="3586"/>
    <x v="4"/>
    <s v="May"/>
    <n v="228"/>
    <n v="1068"/>
    <n v="14"/>
    <x v="4"/>
    <s v="Very Active"/>
    <s v="8378563200|2016-05-10"/>
    <b v="1"/>
  </r>
  <r>
    <n v="8378563200"/>
    <d v="2016-05-11T00:00:00"/>
    <n v="9143"/>
    <n v="7.25"/>
    <n v="7.25"/>
    <n v="2.0921471118927002"/>
    <n v="1.3899999856948899"/>
    <n v="0.58999997377395597"/>
    <n v="5.2699999809265101"/>
    <n v="0"/>
    <n v="72"/>
    <n v="10"/>
    <n v="184"/>
    <n v="763"/>
    <n v="3788"/>
    <x v="5"/>
    <s v="May"/>
    <n v="266"/>
    <n v="1029"/>
    <n v="12.72"/>
    <x v="3"/>
    <s v="Very Active"/>
    <s v="8378563200|2016-05-11"/>
    <b v="1"/>
  </r>
  <r>
    <n v="8378563200"/>
    <d v="2016-05-12T00:00:00"/>
    <n v="4561"/>
    <n v="3.6199998855590798"/>
    <n v="3.6199998855590798"/>
    <n v="0"/>
    <n v="0.64999997615814198"/>
    <n v="0.270000010728836"/>
    <n v="2.6900000572204599"/>
    <n v="0"/>
    <n v="8"/>
    <n v="6"/>
    <n v="102"/>
    <n v="433"/>
    <n v="1976"/>
    <x v="6"/>
    <s v="May"/>
    <n v="116"/>
    <n v="549"/>
    <n v="7.22"/>
    <x v="2"/>
    <s v="Lightly Active"/>
    <s v="8378563200|2016-05-12"/>
    <b v="1"/>
  </r>
  <r>
    <n v="8583815059"/>
    <d v="2016-04-12T00:00:00"/>
    <n v="5014"/>
    <n v="3.9100000858306898"/>
    <n v="3.9100000858306898"/>
    <n v="0"/>
    <n v="0"/>
    <n v="0.33000001311302202"/>
    <n v="3.5799999237060498"/>
    <n v="0"/>
    <n v="0"/>
    <n v="7"/>
    <n v="196"/>
    <n v="1237"/>
    <n v="2650"/>
    <x v="4"/>
    <s v="April"/>
    <n v="203"/>
    <n v="1440"/>
    <n v="20.62"/>
    <x v="4"/>
    <s v="Sedentary"/>
    <s v="8583815059|2016-04-12"/>
    <b v="0"/>
  </r>
  <r>
    <n v="8583815059"/>
    <d v="2016-04-13T00:00:00"/>
    <n v="5571"/>
    <n v="4.3499999046325701"/>
    <n v="4.3499999046325701"/>
    <n v="0"/>
    <n v="0.15000000596046401"/>
    <n v="0.97000002861022905"/>
    <n v="3.2300000190734899"/>
    <n v="0"/>
    <n v="2"/>
    <n v="23"/>
    <n v="163"/>
    <n v="1252"/>
    <n v="2654"/>
    <x v="5"/>
    <s v="April"/>
    <n v="188"/>
    <n v="1440"/>
    <n v="20.87"/>
    <x v="4"/>
    <s v="Lightly Active"/>
    <s v="8583815059|2016-04-13"/>
    <b v="0"/>
  </r>
  <r>
    <n v="8583815059"/>
    <d v="2016-04-14T00:00:00"/>
    <n v="3135"/>
    <n v="2.4500000476837198"/>
    <n v="2.4500000476837198"/>
    <n v="0"/>
    <n v="0"/>
    <n v="0"/>
    <n v="2.4300000667571999"/>
    <n v="0"/>
    <n v="0"/>
    <n v="0"/>
    <n v="134"/>
    <n v="1306"/>
    <n v="2443"/>
    <x v="6"/>
    <s v="April"/>
    <n v="134"/>
    <n v="1440"/>
    <n v="21.77"/>
    <x v="2"/>
    <s v="Sedentary"/>
    <s v="8583815059|2016-04-14"/>
    <b v="0"/>
  </r>
  <r>
    <n v="8583815059"/>
    <d v="2016-04-15T00:00:00"/>
    <n v="3430"/>
    <n v="2.6800000667571999"/>
    <n v="2.6800000667571999"/>
    <n v="0"/>
    <n v="0"/>
    <n v="0"/>
    <n v="0.89999997615814198"/>
    <n v="0"/>
    <n v="0"/>
    <n v="0"/>
    <n v="65"/>
    <n v="1375"/>
    <n v="2505"/>
    <x v="0"/>
    <s v="April"/>
    <n v="65"/>
    <n v="1440"/>
    <n v="22.92"/>
    <x v="2"/>
    <s v="Sedentary"/>
    <s v="8583815059|2016-04-15"/>
    <b v="0"/>
  </r>
  <r>
    <n v="8583815059"/>
    <d v="2016-04-16T00:00:00"/>
    <n v="5319"/>
    <n v="4.1500000953674299"/>
    <n v="4.1500000953674299"/>
    <n v="0"/>
    <n v="0"/>
    <n v="0"/>
    <n v="0"/>
    <n v="0"/>
    <n v="0"/>
    <n v="0"/>
    <n v="0"/>
    <n v="1440"/>
    <n v="2693"/>
    <x v="1"/>
    <s v="April"/>
    <n v="0"/>
    <n v="1440"/>
    <n v="24"/>
    <x v="4"/>
    <s v="Sedentary"/>
    <s v="8583815059|2016-04-16"/>
    <b v="0"/>
  </r>
  <r>
    <n v="8583815059"/>
    <d v="2016-04-17T00:00:00"/>
    <n v="3008"/>
    <n v="2.3499999046325701"/>
    <n v="2.3499999046325701"/>
    <n v="0"/>
    <n v="0"/>
    <n v="0"/>
    <n v="0"/>
    <n v="0"/>
    <n v="0"/>
    <n v="0"/>
    <n v="0"/>
    <n v="1440"/>
    <n v="2439"/>
    <x v="2"/>
    <s v="April"/>
    <n v="0"/>
    <n v="1440"/>
    <n v="24"/>
    <x v="2"/>
    <s v="Sedentary"/>
    <s v="8583815059|2016-04-17"/>
    <b v="0"/>
  </r>
  <r>
    <n v="8583815059"/>
    <d v="2016-04-18T00:00:00"/>
    <n v="3864"/>
    <n v="3.0099999904632599"/>
    <n v="3.0099999904632599"/>
    <n v="0"/>
    <n v="0.31000000238418601"/>
    <n v="1.0599999427795399"/>
    <n v="1.3500000238418599"/>
    <n v="0"/>
    <n v="4"/>
    <n v="22"/>
    <n v="105"/>
    <n v="1309"/>
    <n v="2536"/>
    <x v="3"/>
    <s v="April"/>
    <n v="131"/>
    <n v="1440"/>
    <n v="21.82"/>
    <x v="2"/>
    <s v="Lightly Active"/>
    <s v="8583815059|2016-04-18"/>
    <b v="0"/>
  </r>
  <r>
    <n v="8583815059"/>
    <d v="2016-04-19T00:00:00"/>
    <n v="5697"/>
    <n v="4.4400000572204599"/>
    <n v="4.4400000572204599"/>
    <n v="0"/>
    <n v="0.52999997138977095"/>
    <n v="0.479999989271164"/>
    <n v="3.4400000572204599"/>
    <n v="0"/>
    <n v="7"/>
    <n v="10"/>
    <n v="166"/>
    <n v="1257"/>
    <n v="2668"/>
    <x v="4"/>
    <s v="April"/>
    <n v="183"/>
    <n v="1440"/>
    <n v="20.95"/>
    <x v="4"/>
    <s v="Lightly Active"/>
    <s v="8583815059|2016-04-19"/>
    <b v="0"/>
  </r>
  <r>
    <n v="8583815059"/>
    <d v="2016-04-20T00:00:00"/>
    <n v="5273"/>
    <n v="4.1100001335143999"/>
    <n v="4.1100001335143999"/>
    <n v="0"/>
    <n v="0"/>
    <n v="1.03999996185303"/>
    <n v="3.0699999332428001"/>
    <n v="0"/>
    <n v="0"/>
    <n v="27"/>
    <n v="167"/>
    <n v="1246"/>
    <n v="2647"/>
    <x v="5"/>
    <s v="April"/>
    <n v="194"/>
    <n v="1440"/>
    <n v="20.77"/>
    <x v="4"/>
    <s v="Sedentary"/>
    <s v="8583815059|2016-04-20"/>
    <b v="0"/>
  </r>
  <r>
    <n v="8583815059"/>
    <d v="2016-04-21T00:00:00"/>
    <n v="8538"/>
    <n v="6.6599998474121103"/>
    <n v="6.6599998474121103"/>
    <n v="0"/>
    <n v="2.6300001144409202"/>
    <n v="1.0199999809265099"/>
    <n v="3.0099999904632599"/>
    <n v="0"/>
    <n v="35"/>
    <n v="18"/>
    <n v="158"/>
    <n v="1229"/>
    <n v="2883"/>
    <x v="6"/>
    <s v="April"/>
    <n v="211"/>
    <n v="1440"/>
    <n v="20.48"/>
    <x v="3"/>
    <s v="Very Active"/>
    <s v="8583815059|2016-04-21"/>
    <b v="0"/>
  </r>
  <r>
    <n v="8583815059"/>
    <d v="2016-04-22T00:00:00"/>
    <n v="8687"/>
    <n v="6.7800002098083496"/>
    <n v="6.7800002098083496"/>
    <n v="0"/>
    <n v="0.28999999165535001"/>
    <n v="2.4100000858306898"/>
    <n v="4.0799999237060502"/>
    <n v="0"/>
    <n v="4"/>
    <n v="54"/>
    <n v="212"/>
    <n v="1170"/>
    <n v="2944"/>
    <x v="0"/>
    <s v="April"/>
    <n v="270"/>
    <n v="1440"/>
    <n v="19.5"/>
    <x v="3"/>
    <s v="Lightly Active"/>
    <s v="8583815059|2016-04-22"/>
    <b v="0"/>
  </r>
  <r>
    <n v="8583815059"/>
    <d v="2016-04-23T00:00:00"/>
    <n v="9423"/>
    <n v="7.3499999046325701"/>
    <n v="7.3499999046325701"/>
    <n v="0"/>
    <n v="0.52999997138977095"/>
    <n v="2.0299999713897701"/>
    <n v="4.75"/>
    <n v="0"/>
    <n v="7"/>
    <n v="44"/>
    <n v="238"/>
    <n v="1151"/>
    <n v="3012"/>
    <x v="1"/>
    <s v="April"/>
    <n v="289"/>
    <n v="1440"/>
    <n v="19.18"/>
    <x v="3"/>
    <s v="Lightly Active"/>
    <s v="8583815059|2016-04-23"/>
    <b v="0"/>
  </r>
  <r>
    <n v="8583815059"/>
    <d v="2016-04-24T00:00:00"/>
    <n v="8286"/>
    <n v="6.46000003814697"/>
    <n v="6.46000003814697"/>
    <n v="0"/>
    <n v="0.15000000596046401"/>
    <n v="2.0499999523162802"/>
    <n v="4.2699999809265101"/>
    <n v="0"/>
    <n v="2"/>
    <n v="44"/>
    <n v="206"/>
    <n v="1188"/>
    <n v="2889"/>
    <x v="2"/>
    <s v="April"/>
    <n v="252"/>
    <n v="1440"/>
    <n v="19.8"/>
    <x v="3"/>
    <s v="Lightly Active"/>
    <s v="8583815059|2016-04-24"/>
    <b v="0"/>
  </r>
  <r>
    <n v="8583815059"/>
    <d v="2016-04-25T00:00:00"/>
    <n v="4503"/>
    <n v="3.5099999904632599"/>
    <n v="3.5099999904632599"/>
    <n v="0"/>
    <n v="1.4700000286102299"/>
    <n v="0.239999994635582"/>
    <n v="1.8099999427795399"/>
    <n v="0"/>
    <n v="18"/>
    <n v="6"/>
    <n v="122"/>
    <n v="1294"/>
    <n v="2547"/>
    <x v="3"/>
    <s v="April"/>
    <n v="146"/>
    <n v="1440"/>
    <n v="21.57"/>
    <x v="2"/>
    <s v="Moderately Active"/>
    <s v="8583815059|2016-04-25"/>
    <b v="0"/>
  </r>
  <r>
    <n v="8583815059"/>
    <d v="2016-04-26T00:00:00"/>
    <n v="10499"/>
    <n v="8.1899995803833008"/>
    <n v="8.1899995803833008"/>
    <n v="0"/>
    <n v="7.0000000298023196E-2"/>
    <n v="4.2199997901916504"/>
    <n v="3.8900001049041699"/>
    <n v="0"/>
    <n v="1"/>
    <n v="91"/>
    <n v="214"/>
    <n v="1134"/>
    <n v="3093"/>
    <x v="4"/>
    <s v="April"/>
    <n v="306"/>
    <n v="1440"/>
    <n v="18.899999999999999"/>
    <x v="0"/>
    <s v="Lightly Active"/>
    <s v="8583815059|2016-04-26"/>
    <b v="0"/>
  </r>
  <r>
    <n v="8583815059"/>
    <d v="2016-04-27T00:00:00"/>
    <n v="12474"/>
    <n v="9.7299995422363299"/>
    <n v="9.7299995422363299"/>
    <n v="0"/>
    <n v="6.5999999046325701"/>
    <n v="0.270000010728836"/>
    <n v="2.8699998855590798"/>
    <n v="0"/>
    <n v="77"/>
    <n v="5"/>
    <n v="129"/>
    <n v="1229"/>
    <n v="3142"/>
    <x v="5"/>
    <s v="April"/>
    <n v="211"/>
    <n v="1440"/>
    <n v="20.48"/>
    <x v="0"/>
    <s v="Very Active"/>
    <s v="8583815059|2016-04-27"/>
    <b v="0"/>
  </r>
  <r>
    <n v="8583815059"/>
    <d v="2016-04-28T00:00:00"/>
    <n v="6174"/>
    <n v="4.8200001716613796"/>
    <n v="4.8200001716613796"/>
    <n v="0"/>
    <n v="0"/>
    <n v="1.20000004768372"/>
    <n v="3.6099998950958301"/>
    <n v="0"/>
    <n v="0"/>
    <n v="28"/>
    <n v="203"/>
    <n v="1209"/>
    <n v="2757"/>
    <x v="6"/>
    <s v="April"/>
    <n v="231"/>
    <n v="1440"/>
    <n v="20.149999999999999"/>
    <x v="4"/>
    <s v="Sedentary"/>
    <s v="8583815059|2016-04-28"/>
    <b v="0"/>
  </r>
  <r>
    <n v="8583815059"/>
    <d v="2016-04-29T00:00:00"/>
    <n v="15168"/>
    <n v="11.829999923706101"/>
    <n v="11.829999923706101"/>
    <n v="0"/>
    <n v="3.9000000953674299"/>
    <n v="3"/>
    <n v="4.9200000762939498"/>
    <n v="0"/>
    <n v="46"/>
    <n v="67"/>
    <n v="258"/>
    <n v="1069"/>
    <n v="3513"/>
    <x v="0"/>
    <s v="April"/>
    <n v="371"/>
    <n v="1440"/>
    <n v="17.82"/>
    <x v="1"/>
    <s v="Very Active"/>
    <s v="8583815059|2016-04-29"/>
    <b v="0"/>
  </r>
  <r>
    <n v="8583815059"/>
    <d v="2016-04-30T00:00:00"/>
    <n v="10085"/>
    <n v="7.8699998855590803"/>
    <n v="7.8699998855590803"/>
    <n v="0"/>
    <n v="0.15000000596046401"/>
    <n v="1.2799999713897701"/>
    <n v="6.4299998283386204"/>
    <n v="0"/>
    <n v="2"/>
    <n v="28"/>
    <n v="317"/>
    <n v="1093"/>
    <n v="3164"/>
    <x v="1"/>
    <s v="April"/>
    <n v="347"/>
    <n v="1440"/>
    <n v="18.22"/>
    <x v="0"/>
    <s v="Lightly Active"/>
    <s v="8583815059|2016-04-30"/>
    <b v="0"/>
  </r>
  <r>
    <n v="8583815059"/>
    <d v="2016-05-01T00:00:00"/>
    <n v="4512"/>
    <n v="3.5199999809265101"/>
    <n v="3.5199999809265101"/>
    <n v="0"/>
    <n v="0.77999997138977095"/>
    <n v="0.119999997317791"/>
    <n v="2.03999996185303"/>
    <n v="0"/>
    <n v="10"/>
    <n v="2"/>
    <n v="117"/>
    <n v="1311"/>
    <n v="2596"/>
    <x v="2"/>
    <s v="May"/>
    <n v="129"/>
    <n v="1440"/>
    <n v="21.85"/>
    <x v="2"/>
    <s v="Lightly Active"/>
    <s v="8583815059|2016-05-01"/>
    <b v="0"/>
  </r>
  <r>
    <n v="8583815059"/>
    <d v="2016-05-02T00:00:00"/>
    <n v="8469"/>
    <n v="6.6100001335143999"/>
    <n v="6.6100001335143999"/>
    <n v="0"/>
    <n v="0"/>
    <n v="0"/>
    <n v="0"/>
    <n v="0"/>
    <n v="0"/>
    <n v="0"/>
    <n v="0"/>
    <n v="1440"/>
    <n v="2894"/>
    <x v="3"/>
    <s v="May"/>
    <n v="0"/>
    <n v="1440"/>
    <n v="24"/>
    <x v="3"/>
    <s v="Sedentary"/>
    <s v="8583815059|2016-05-02"/>
    <b v="0"/>
  </r>
  <r>
    <n v="8583815059"/>
    <d v="2016-05-03T00:00:00"/>
    <n v="12015"/>
    <n v="9.3699998855590803"/>
    <n v="9.3699998855590803"/>
    <n v="0"/>
    <n v="0"/>
    <n v="0"/>
    <n v="0"/>
    <n v="0"/>
    <n v="0"/>
    <n v="0"/>
    <n v="0"/>
    <n v="1440"/>
    <n v="3212"/>
    <x v="4"/>
    <s v="May"/>
    <n v="0"/>
    <n v="1440"/>
    <n v="24"/>
    <x v="0"/>
    <s v="Sedentary"/>
    <s v="8583815059|2016-05-03"/>
    <b v="0"/>
  </r>
  <r>
    <n v="8583815059"/>
    <d v="2016-05-04T00:00:00"/>
    <n v="3588"/>
    <n v="2.7999999523162802"/>
    <n v="2.7999999523162802"/>
    <n v="0"/>
    <n v="0"/>
    <n v="0"/>
    <n v="0"/>
    <n v="0"/>
    <n v="0"/>
    <n v="0"/>
    <n v="0"/>
    <n v="1440"/>
    <n v="2516"/>
    <x v="5"/>
    <s v="May"/>
    <n v="0"/>
    <n v="1440"/>
    <n v="24"/>
    <x v="2"/>
    <s v="Sedentary"/>
    <s v="8583815059|2016-05-04"/>
    <b v="0"/>
  </r>
  <r>
    <n v="8583815059"/>
    <d v="2016-05-05T00:00:00"/>
    <n v="12427"/>
    <n v="9.6899995803833008"/>
    <n v="9.6899995803833008"/>
    <n v="0"/>
    <n v="0"/>
    <n v="0"/>
    <n v="1.1799999475479099"/>
    <n v="0"/>
    <n v="0"/>
    <n v="0"/>
    <n v="70"/>
    <n v="1370"/>
    <n v="3266"/>
    <x v="6"/>
    <s v="May"/>
    <n v="70"/>
    <n v="1440"/>
    <n v="22.83"/>
    <x v="0"/>
    <s v="Sedentary"/>
    <s v="8583815059|2016-05-05"/>
    <b v="0"/>
  </r>
  <r>
    <n v="8583815059"/>
    <d v="2016-05-06T00:00:00"/>
    <n v="5843"/>
    <n v="4.5599999427795401"/>
    <n v="4.5599999427795401"/>
    <n v="0"/>
    <n v="0.140000000596046"/>
    <n v="1.1900000572204601"/>
    <n v="3.2300000190734899"/>
    <n v="0"/>
    <n v="2"/>
    <n v="22"/>
    <n v="166"/>
    <n v="1250"/>
    <n v="2683"/>
    <x v="0"/>
    <s v="May"/>
    <n v="190"/>
    <n v="1440"/>
    <n v="20.83"/>
    <x v="4"/>
    <s v="Lightly Active"/>
    <s v="8583815059|2016-05-06"/>
    <b v="0"/>
  </r>
  <r>
    <n v="8583815059"/>
    <d v="2016-05-07T00:00:00"/>
    <n v="6117"/>
    <n v="4.7699999809265101"/>
    <n v="4.7699999809265101"/>
    <n v="0"/>
    <n v="0"/>
    <n v="0"/>
    <n v="4.7699999809265101"/>
    <n v="0"/>
    <n v="0"/>
    <n v="0"/>
    <n v="250"/>
    <n v="1190"/>
    <n v="2810"/>
    <x v="1"/>
    <s v="May"/>
    <n v="250"/>
    <n v="1440"/>
    <n v="19.829999999999998"/>
    <x v="4"/>
    <s v="Sedentary"/>
    <s v="8583815059|2016-05-07"/>
    <b v="0"/>
  </r>
  <r>
    <n v="8583815059"/>
    <d v="2016-05-08T00:00:00"/>
    <n v="9217"/>
    <n v="7.1900000572204599"/>
    <n v="7.1900000572204599"/>
    <n v="0"/>
    <n v="0.21999999880790699"/>
    <n v="3.3099999427795401"/>
    <n v="3.6600000858306898"/>
    <n v="0"/>
    <n v="3"/>
    <n v="72"/>
    <n v="182"/>
    <n v="1183"/>
    <n v="2940"/>
    <x v="2"/>
    <s v="May"/>
    <n v="257"/>
    <n v="1440"/>
    <n v="19.72"/>
    <x v="3"/>
    <s v="Lightly Active"/>
    <s v="8583815059|2016-05-08"/>
    <b v="0"/>
  </r>
  <r>
    <n v="8583815059"/>
    <d v="2016-05-09T00:00:00"/>
    <n v="9877"/>
    <n v="7.6999998092651403"/>
    <n v="7.6999998092651403"/>
    <n v="0"/>
    <n v="5.7600002288818404"/>
    <n v="0.17000000178813901"/>
    <n v="1.7300000190734901"/>
    <n v="0"/>
    <n v="66"/>
    <n v="4"/>
    <n v="110"/>
    <n v="1260"/>
    <n v="2947"/>
    <x v="3"/>
    <s v="May"/>
    <n v="180"/>
    <n v="1440"/>
    <n v="21"/>
    <x v="3"/>
    <s v="Very Active"/>
    <s v="8583815059|2016-05-09"/>
    <b v="0"/>
  </r>
  <r>
    <n v="8583815059"/>
    <d v="2016-05-10T00:00:00"/>
    <n v="8240"/>
    <n v="6.4299998283386204"/>
    <n v="6.4299998283386204"/>
    <n v="0"/>
    <n v="0.68999999761581399"/>
    <n v="2.0099999904632599"/>
    <n v="3.7200000286102299"/>
    <n v="0"/>
    <n v="9"/>
    <n v="43"/>
    <n v="162"/>
    <n v="1226"/>
    <n v="2846"/>
    <x v="4"/>
    <s v="May"/>
    <n v="214"/>
    <n v="1440"/>
    <n v="20.43"/>
    <x v="3"/>
    <s v="Lightly Active"/>
    <s v="8583815059|2016-05-10"/>
    <b v="0"/>
  </r>
  <r>
    <n v="8583815059"/>
    <d v="2016-05-11T00:00:00"/>
    <n v="8701"/>
    <n v="6.78999996185303"/>
    <n v="6.78999996185303"/>
    <n v="0"/>
    <n v="0.37000000476837203"/>
    <n v="3.2400000095367401"/>
    <n v="3.1700000762939502"/>
    <n v="0"/>
    <n v="5"/>
    <n v="71"/>
    <n v="177"/>
    <n v="1106"/>
    <n v="2804"/>
    <x v="5"/>
    <s v="May"/>
    <n v="253"/>
    <n v="1359"/>
    <n v="18.43"/>
    <x v="3"/>
    <s v="Lightly Active"/>
    <s v="8583815059|2016-05-11"/>
    <b v="0"/>
  </r>
  <r>
    <n v="8583815059"/>
    <d v="2016-05-12T00:00:00"/>
    <n v="0"/>
    <n v="0"/>
    <n v="0"/>
    <n v="0"/>
    <n v="0"/>
    <n v="0"/>
    <n v="0"/>
    <n v="0"/>
    <n v="0"/>
    <n v="0"/>
    <n v="0"/>
    <n v="1440"/>
    <n v="0"/>
    <x v="6"/>
    <s v="May"/>
    <n v="0"/>
    <n v="1440"/>
    <n v="24"/>
    <x v="2"/>
    <s v="Sedentary"/>
    <s v="8583815059|2016-05-12"/>
    <b v="0"/>
  </r>
  <r>
    <n v="8792009665"/>
    <d v="2016-04-13T00:00:00"/>
    <n v="1320"/>
    <n v="0.83999997377395597"/>
    <n v="0.83999997377395597"/>
    <n v="0"/>
    <n v="0"/>
    <n v="0"/>
    <n v="0.83999997377395597"/>
    <n v="0"/>
    <n v="0"/>
    <n v="0"/>
    <n v="82"/>
    <n v="806"/>
    <n v="1934"/>
    <x v="5"/>
    <s v="April"/>
    <n v="82"/>
    <n v="888"/>
    <n v="13.43"/>
    <x v="2"/>
    <s v="Sedentary"/>
    <s v="8792009665|2016-04-13"/>
    <b v="1"/>
  </r>
  <r>
    <n v="8792009665"/>
    <d v="2016-04-14T00:00:00"/>
    <n v="1219"/>
    <n v="0.77999997138977095"/>
    <n v="0.77999997138977095"/>
    <n v="0"/>
    <n v="0"/>
    <n v="0"/>
    <n v="0.77999997138977095"/>
    <n v="0"/>
    <n v="0"/>
    <n v="0"/>
    <n v="84"/>
    <n v="853"/>
    <n v="1963"/>
    <x v="6"/>
    <s v="April"/>
    <n v="84"/>
    <n v="937"/>
    <n v="14.22"/>
    <x v="2"/>
    <s v="Sedentary"/>
    <s v="8792009665|2016-04-14"/>
    <b v="1"/>
  </r>
  <r>
    <n v="8792009665"/>
    <d v="2016-04-15T00:00:00"/>
    <n v="2483"/>
    <n v="1.5900000333786"/>
    <n v="1.5900000333786"/>
    <n v="0"/>
    <n v="0"/>
    <n v="0"/>
    <n v="1.5900000333786"/>
    <n v="0"/>
    <n v="0"/>
    <n v="0"/>
    <n v="126"/>
    <n v="937"/>
    <n v="2009"/>
    <x v="0"/>
    <s v="April"/>
    <n v="126"/>
    <n v="1063"/>
    <n v="15.62"/>
    <x v="2"/>
    <s v="Sedentary"/>
    <s v="8792009665|2016-04-15"/>
    <b v="1"/>
  </r>
  <r>
    <n v="8792009665"/>
    <d v="2016-04-16T00:00:00"/>
    <n v="244"/>
    <n v="0.15999999642372101"/>
    <n v="0.15999999642372101"/>
    <n v="0"/>
    <n v="0"/>
    <n v="0"/>
    <n v="0.15999999642372101"/>
    <n v="0"/>
    <n v="0"/>
    <n v="0"/>
    <n v="12"/>
    <n v="1428"/>
    <n v="1721"/>
    <x v="1"/>
    <s v="April"/>
    <n v="12"/>
    <n v="1440"/>
    <n v="23.8"/>
    <x v="2"/>
    <s v="Sedentary"/>
    <s v="8792009665|2016-04-16"/>
    <b v="0"/>
  </r>
  <r>
    <n v="8792009665"/>
    <d v="2016-04-17T00:00:00"/>
    <n v="0"/>
    <n v="0"/>
    <n v="0"/>
    <n v="0"/>
    <n v="0"/>
    <n v="0"/>
    <n v="0"/>
    <n v="0"/>
    <n v="0"/>
    <n v="0"/>
    <n v="0"/>
    <n v="1440"/>
    <n v="1688"/>
    <x v="2"/>
    <s v="April"/>
    <n v="0"/>
    <n v="1440"/>
    <n v="24"/>
    <x v="2"/>
    <s v="Sedentary"/>
    <s v="8792009665|2016-04-17"/>
    <b v="0"/>
  </r>
  <r>
    <n v="8792009665"/>
    <d v="2016-04-18T00:00:00"/>
    <n v="0"/>
    <n v="0"/>
    <n v="0"/>
    <n v="0"/>
    <n v="0"/>
    <n v="0"/>
    <n v="0"/>
    <n v="0"/>
    <n v="0"/>
    <n v="0"/>
    <n v="0"/>
    <n v="1440"/>
    <n v="1688"/>
    <x v="3"/>
    <s v="April"/>
    <n v="0"/>
    <n v="1440"/>
    <n v="24"/>
    <x v="2"/>
    <s v="Sedentary"/>
    <s v="8792009665|2016-04-18"/>
    <b v="0"/>
  </r>
  <r>
    <n v="8792009665"/>
    <d v="2016-04-19T00:00:00"/>
    <n v="0"/>
    <n v="0"/>
    <n v="0"/>
    <n v="0"/>
    <n v="0"/>
    <n v="0"/>
    <n v="0"/>
    <n v="0"/>
    <n v="0"/>
    <n v="0"/>
    <n v="0"/>
    <n v="1440"/>
    <n v="1688"/>
    <x v="4"/>
    <s v="April"/>
    <n v="0"/>
    <n v="1440"/>
    <n v="24"/>
    <x v="2"/>
    <s v="Sedentary"/>
    <s v="8792009665|2016-04-19"/>
    <b v="0"/>
  </r>
  <r>
    <n v="8792009665"/>
    <d v="2016-04-20T00:00:00"/>
    <n v="3147"/>
    <n v="2.0099999904632599"/>
    <n v="2.0099999904632599"/>
    <n v="0"/>
    <n v="0"/>
    <n v="0.28000000119209301"/>
    <n v="1.7400000095367401"/>
    <n v="0"/>
    <n v="0"/>
    <n v="10"/>
    <n v="139"/>
    <n v="744"/>
    <n v="2188"/>
    <x v="5"/>
    <s v="April"/>
    <n v="149"/>
    <n v="893"/>
    <n v="12.4"/>
    <x v="2"/>
    <s v="Sedentary"/>
    <s v="8792009665|2016-04-20"/>
    <b v="1"/>
  </r>
  <r>
    <n v="8792009665"/>
    <d v="2016-04-21T00:00:00"/>
    <n v="144"/>
    <n v="9.00000035762787E-2"/>
    <n v="9.00000035762787E-2"/>
    <n v="0"/>
    <n v="0"/>
    <n v="0"/>
    <n v="9.00000035762787E-2"/>
    <n v="0"/>
    <n v="0"/>
    <n v="0"/>
    <n v="9"/>
    <n v="1431"/>
    <n v="1720"/>
    <x v="6"/>
    <s v="April"/>
    <n v="9"/>
    <n v="1440"/>
    <n v="23.85"/>
    <x v="2"/>
    <s v="Sedentary"/>
    <s v="8792009665|2016-04-21"/>
    <b v="0"/>
  </r>
  <r>
    <n v="8792009665"/>
    <d v="2016-04-22T00:00:00"/>
    <n v="4068"/>
    <n v="2.5999999046325701"/>
    <n v="2.5999999046325701"/>
    <n v="0"/>
    <n v="5.0000000745058101E-2"/>
    <n v="0.28000000119209301"/>
    <n v="2.2699999809265101"/>
    <n v="0"/>
    <n v="1"/>
    <n v="20"/>
    <n v="195"/>
    <n v="817"/>
    <n v="2419"/>
    <x v="0"/>
    <s v="April"/>
    <n v="216"/>
    <n v="1033"/>
    <n v="13.62"/>
    <x v="2"/>
    <s v="Lightly Active"/>
    <s v="8792009665|2016-04-22"/>
    <b v="1"/>
  </r>
  <r>
    <n v="8792009665"/>
    <d v="2016-04-23T00:00:00"/>
    <n v="5245"/>
    <n v="3.3599998950958301"/>
    <n v="3.3599998950958301"/>
    <n v="0"/>
    <n v="0.15999999642372101"/>
    <n v="0.43999999761581399"/>
    <n v="2.75"/>
    <n v="0"/>
    <n v="8"/>
    <n v="45"/>
    <n v="232"/>
    <n v="795"/>
    <n v="2748"/>
    <x v="1"/>
    <s v="April"/>
    <n v="285"/>
    <n v="1080"/>
    <n v="13.25"/>
    <x v="4"/>
    <s v="Lightly Active"/>
    <s v="8792009665|2016-04-23"/>
    <b v="1"/>
  </r>
  <r>
    <n v="8792009665"/>
    <d v="2016-04-24T00:00:00"/>
    <n v="400"/>
    <n v="0.259999990463257"/>
    <n v="0.259999990463257"/>
    <n v="0"/>
    <n v="3.9999999105930301E-2"/>
    <n v="5.0000000745058101E-2"/>
    <n v="0.15999999642372101"/>
    <n v="0"/>
    <n v="3"/>
    <n v="8"/>
    <n v="19"/>
    <n v="1410"/>
    <n v="1799"/>
    <x v="2"/>
    <s v="April"/>
    <n v="30"/>
    <n v="1440"/>
    <n v="23.5"/>
    <x v="2"/>
    <s v="Lightly Active"/>
    <s v="8792009665|2016-04-24"/>
    <b v="0"/>
  </r>
  <r>
    <n v="8792009665"/>
    <d v="2016-04-25T00:00:00"/>
    <n v="0"/>
    <n v="0"/>
    <n v="0"/>
    <n v="0"/>
    <n v="0"/>
    <n v="0"/>
    <n v="0"/>
    <n v="0"/>
    <n v="0"/>
    <n v="0"/>
    <n v="0"/>
    <n v="1440"/>
    <n v="1688"/>
    <x v="3"/>
    <s v="April"/>
    <n v="0"/>
    <n v="1440"/>
    <n v="24"/>
    <x v="2"/>
    <s v="Sedentary"/>
    <s v="8792009665|2016-04-25"/>
    <b v="0"/>
  </r>
  <r>
    <n v="8792009665"/>
    <d v="2016-04-26T00:00:00"/>
    <n v="1321"/>
    <n v="0.85000002384185802"/>
    <n v="0.85000002384185802"/>
    <n v="0"/>
    <n v="0"/>
    <n v="0"/>
    <n v="0.85000002384185802"/>
    <n v="0"/>
    <n v="0"/>
    <n v="0"/>
    <n v="80"/>
    <n v="1360"/>
    <n v="1928"/>
    <x v="4"/>
    <s v="April"/>
    <n v="80"/>
    <n v="1440"/>
    <n v="22.67"/>
    <x v="2"/>
    <s v="Sedentary"/>
    <s v="8792009665|2016-04-26"/>
    <b v="0"/>
  </r>
  <r>
    <n v="8792009665"/>
    <d v="2016-04-27T00:00:00"/>
    <n v="1758"/>
    <n v="1.12999999523163"/>
    <n v="1.12999999523163"/>
    <n v="0"/>
    <n v="0"/>
    <n v="0"/>
    <n v="1.12999999523163"/>
    <n v="0"/>
    <n v="0"/>
    <n v="0"/>
    <n v="112"/>
    <n v="900"/>
    <n v="2067"/>
    <x v="5"/>
    <s v="April"/>
    <n v="112"/>
    <n v="1012"/>
    <n v="15"/>
    <x v="2"/>
    <s v="Sedentary"/>
    <s v="8792009665|2016-04-27"/>
    <b v="1"/>
  </r>
  <r>
    <n v="8792009665"/>
    <d v="2016-04-28T00:00:00"/>
    <n v="6157"/>
    <n v="3.9400000572204599"/>
    <n v="3.9400000572204599"/>
    <n v="0"/>
    <n v="0"/>
    <n v="0"/>
    <n v="3.9400000572204599"/>
    <n v="0"/>
    <n v="0"/>
    <n v="0"/>
    <n v="310"/>
    <n v="714"/>
    <n v="2780"/>
    <x v="6"/>
    <s v="April"/>
    <n v="310"/>
    <n v="1024"/>
    <n v="11.9"/>
    <x v="4"/>
    <s v="Sedentary"/>
    <s v="8792009665|2016-04-28"/>
    <b v="1"/>
  </r>
  <r>
    <n v="8792009665"/>
    <d v="2016-04-29T00:00:00"/>
    <n v="8360"/>
    <n v="5.3499999046325701"/>
    <n v="5.3499999046325701"/>
    <n v="0"/>
    <n v="0.140000000596046"/>
    <n v="0.28000000119209301"/>
    <n v="4.9299998283386204"/>
    <n v="0"/>
    <n v="6"/>
    <n v="14"/>
    <n v="380"/>
    <n v="634"/>
    <n v="3101"/>
    <x v="0"/>
    <s v="April"/>
    <n v="400"/>
    <n v="1034"/>
    <n v="10.57"/>
    <x v="3"/>
    <s v="Lightly Active"/>
    <s v="8792009665|2016-04-29"/>
    <b v="1"/>
  </r>
  <r>
    <n v="8792009665"/>
    <d v="2016-04-30T00:00:00"/>
    <n v="7174"/>
    <n v="4.5900001525878897"/>
    <n v="4.5900001525878897"/>
    <n v="0"/>
    <n v="0.33000001311302202"/>
    <n v="0.36000001430511502"/>
    <n v="3.9100000858306898"/>
    <n v="0"/>
    <n v="10"/>
    <n v="20"/>
    <n v="301"/>
    <n v="749"/>
    <n v="2896"/>
    <x v="1"/>
    <s v="April"/>
    <n v="331"/>
    <n v="1080"/>
    <n v="12.48"/>
    <x v="4"/>
    <s v="Lightly Active"/>
    <s v="8792009665|2016-04-30"/>
    <b v="1"/>
  </r>
  <r>
    <n v="8792009665"/>
    <d v="2016-05-01T00:00:00"/>
    <n v="1619"/>
    <n v="1.03999996185303"/>
    <n v="1.03999996185303"/>
    <n v="0"/>
    <n v="0"/>
    <n v="0"/>
    <n v="1.03999996185303"/>
    <n v="0"/>
    <n v="0"/>
    <n v="0"/>
    <n v="79"/>
    <n v="834"/>
    <n v="1962"/>
    <x v="2"/>
    <s v="May"/>
    <n v="79"/>
    <n v="913"/>
    <n v="13.9"/>
    <x v="2"/>
    <s v="Sedentary"/>
    <s v="8792009665|2016-05-01"/>
    <b v="1"/>
  </r>
  <r>
    <n v="8792009665"/>
    <d v="2016-05-02T00:00:00"/>
    <n v="1831"/>
    <n v="1.16999995708466"/>
    <n v="1.16999995708466"/>
    <n v="0"/>
    <n v="0"/>
    <n v="0"/>
    <n v="1.16999995708466"/>
    <n v="0"/>
    <n v="0"/>
    <n v="0"/>
    <n v="101"/>
    <n v="916"/>
    <n v="2015"/>
    <x v="3"/>
    <s v="May"/>
    <n v="101"/>
    <n v="1017"/>
    <n v="15.27"/>
    <x v="2"/>
    <s v="Sedentary"/>
    <s v="8792009665|2016-05-02"/>
    <b v="1"/>
  </r>
  <r>
    <n v="8792009665"/>
    <d v="2016-05-03T00:00:00"/>
    <n v="2421"/>
    <n v="1.54999995231628"/>
    <n v="1.54999995231628"/>
    <n v="0"/>
    <n v="0"/>
    <n v="0"/>
    <n v="1.54999995231628"/>
    <n v="0"/>
    <n v="0"/>
    <n v="0"/>
    <n v="156"/>
    <n v="739"/>
    <n v="2297"/>
    <x v="4"/>
    <s v="May"/>
    <n v="156"/>
    <n v="895"/>
    <n v="12.32"/>
    <x v="2"/>
    <s v="Sedentary"/>
    <s v="8792009665|2016-05-03"/>
    <b v="1"/>
  </r>
  <r>
    <n v="8792009665"/>
    <d v="2016-05-04T00:00:00"/>
    <n v="2283"/>
    <n v="1.46000003814697"/>
    <n v="1.46000003814697"/>
    <n v="0"/>
    <n v="0"/>
    <n v="0"/>
    <n v="1.46000003814697"/>
    <n v="0"/>
    <n v="0"/>
    <n v="0"/>
    <n v="129"/>
    <n v="848"/>
    <n v="2067"/>
    <x v="5"/>
    <s v="May"/>
    <n v="129"/>
    <n v="977"/>
    <n v="14.13"/>
    <x v="2"/>
    <s v="Sedentary"/>
    <s v="8792009665|2016-05-04"/>
    <b v="1"/>
  </r>
  <r>
    <n v="8792009665"/>
    <d v="2016-05-05T00:00:00"/>
    <n v="0"/>
    <n v="0"/>
    <n v="0"/>
    <n v="0"/>
    <n v="0"/>
    <n v="0"/>
    <n v="0"/>
    <n v="0"/>
    <n v="0"/>
    <n v="0"/>
    <n v="0"/>
    <n v="1440"/>
    <n v="1688"/>
    <x v="6"/>
    <s v="May"/>
    <n v="0"/>
    <n v="1440"/>
    <n v="24"/>
    <x v="2"/>
    <s v="Sedentary"/>
    <s v="8792009665|2016-05-05"/>
    <b v="0"/>
  </r>
  <r>
    <n v="8792009665"/>
    <d v="2016-05-06T00:00:00"/>
    <n v="0"/>
    <n v="0"/>
    <n v="0"/>
    <n v="0"/>
    <n v="0"/>
    <n v="0"/>
    <n v="0"/>
    <n v="0"/>
    <n v="0"/>
    <n v="0"/>
    <n v="0"/>
    <n v="1440"/>
    <n v="1688"/>
    <x v="0"/>
    <s v="May"/>
    <n v="0"/>
    <n v="1440"/>
    <n v="24"/>
    <x v="2"/>
    <s v="Sedentary"/>
    <s v="8792009665|2016-05-06"/>
    <b v="0"/>
  </r>
  <r>
    <n v="8792009665"/>
    <d v="2016-05-07T00:00:00"/>
    <n v="0"/>
    <n v="0"/>
    <n v="0"/>
    <n v="0"/>
    <n v="0"/>
    <n v="0"/>
    <n v="0"/>
    <n v="0"/>
    <n v="0"/>
    <n v="0"/>
    <n v="0"/>
    <n v="1440"/>
    <n v="1688"/>
    <x v="1"/>
    <s v="May"/>
    <n v="0"/>
    <n v="1440"/>
    <n v="24"/>
    <x v="2"/>
    <s v="Sedentary"/>
    <s v="8792009665|2016-05-07"/>
    <b v="0"/>
  </r>
  <r>
    <n v="8792009665"/>
    <d v="2016-05-08T00:00:00"/>
    <n v="0"/>
    <n v="0"/>
    <n v="0"/>
    <n v="0"/>
    <n v="0"/>
    <n v="0"/>
    <n v="0"/>
    <n v="0"/>
    <n v="0"/>
    <n v="0"/>
    <n v="0"/>
    <n v="1440"/>
    <n v="1688"/>
    <x v="2"/>
    <s v="May"/>
    <n v="0"/>
    <n v="1440"/>
    <n v="24"/>
    <x v="2"/>
    <s v="Sedentary"/>
    <s v="8792009665|2016-05-08"/>
    <b v="0"/>
  </r>
  <r>
    <n v="8792009665"/>
    <d v="2016-05-09T00:00:00"/>
    <n v="0"/>
    <n v="0"/>
    <n v="0"/>
    <n v="0"/>
    <n v="0"/>
    <n v="0"/>
    <n v="0"/>
    <n v="0"/>
    <n v="0"/>
    <n v="0"/>
    <n v="0"/>
    <n v="1440"/>
    <n v="1688"/>
    <x v="3"/>
    <s v="May"/>
    <n v="0"/>
    <n v="1440"/>
    <n v="24"/>
    <x v="2"/>
    <s v="Sedentary"/>
    <s v="8792009665|2016-05-09"/>
    <b v="0"/>
  </r>
  <r>
    <n v="8792009665"/>
    <d v="2016-05-10T00:00:00"/>
    <n v="0"/>
    <n v="0"/>
    <n v="0"/>
    <n v="0"/>
    <n v="0"/>
    <n v="0"/>
    <n v="0"/>
    <n v="0"/>
    <n v="0"/>
    <n v="0"/>
    <n v="0"/>
    <n v="48"/>
    <n v="57"/>
    <x v="4"/>
    <s v="May"/>
    <n v="0"/>
    <n v="48"/>
    <n v="0.8"/>
    <x v="2"/>
    <s v="Sedentary"/>
    <s v="8792009665|2016-05-10"/>
    <b v="0"/>
  </r>
  <r>
    <n v="8877689391"/>
    <d v="2016-04-13T00:00:00"/>
    <n v="15337"/>
    <n v="9.5799999237060494"/>
    <n v="9.5799999237060494"/>
    <n v="0"/>
    <n v="3.5499999523162802"/>
    <n v="0.37999999523162797"/>
    <n v="5.6399998664856001"/>
    <n v="0"/>
    <n v="108"/>
    <n v="18"/>
    <n v="216"/>
    <n v="1098"/>
    <n v="3566"/>
    <x v="5"/>
    <s v="April"/>
    <n v="342"/>
    <n v="1440"/>
    <n v="18.3"/>
    <x v="1"/>
    <s v="Very Active"/>
    <s v="8877689391|2016-04-13"/>
    <b v="0"/>
  </r>
  <r>
    <n v="8877689391"/>
    <d v="2016-04-14T00:00:00"/>
    <n v="21129"/>
    <n v="18.9799995422363"/>
    <n v="18.9799995422363"/>
    <n v="0"/>
    <n v="10.550000190734901"/>
    <n v="0.58999997377395597"/>
    <n v="7.75"/>
    <n v="1.9999999552965199E-2"/>
    <n v="68"/>
    <n v="13"/>
    <n v="298"/>
    <n v="1061"/>
    <n v="3793"/>
    <x v="6"/>
    <s v="April"/>
    <n v="379"/>
    <n v="1440"/>
    <n v="17.68"/>
    <x v="1"/>
    <s v="Very Active"/>
    <s v="8877689391|2016-04-14"/>
    <b v="0"/>
  </r>
  <r>
    <n v="8877689391"/>
    <d v="2016-04-15T00:00:00"/>
    <n v="13422"/>
    <n v="7.1700000762939498"/>
    <n v="7.1700000762939498"/>
    <n v="0"/>
    <n v="5.0000000745058101E-2"/>
    <n v="5.0000000745058101E-2"/>
    <n v="7.0100002288818404"/>
    <n v="9.9999997764825804E-3"/>
    <n v="106"/>
    <n v="1"/>
    <n v="281"/>
    <n v="1052"/>
    <n v="3934"/>
    <x v="0"/>
    <s v="April"/>
    <n v="388"/>
    <n v="1440"/>
    <n v="17.53"/>
    <x v="1"/>
    <s v="Very Active"/>
    <s v="8877689391|2016-04-15"/>
    <b v="0"/>
  </r>
  <r>
    <n v="8877689391"/>
    <d v="2016-04-16T00:00:00"/>
    <n v="29326"/>
    <n v="25.290000915527301"/>
    <n v="25.290000915527301"/>
    <n v="0"/>
    <n v="13.2399997711182"/>
    <n v="1.21000003814697"/>
    <n v="10.710000038146999"/>
    <n v="0"/>
    <n v="94"/>
    <n v="29"/>
    <n v="429"/>
    <n v="888"/>
    <n v="4547"/>
    <x v="1"/>
    <s v="April"/>
    <n v="552"/>
    <n v="1440"/>
    <n v="14.8"/>
    <x v="1"/>
    <s v="Very Active"/>
    <s v="8877689391|2016-04-16"/>
    <b v="0"/>
  </r>
  <r>
    <n v="8877689391"/>
    <d v="2016-04-17T00:00:00"/>
    <n v="15118"/>
    <n v="8.8699998855590803"/>
    <n v="8.8699998855590803"/>
    <n v="0"/>
    <n v="0"/>
    <n v="7.0000000298023196E-2"/>
    <n v="8.7899999618530291"/>
    <n v="0"/>
    <n v="58"/>
    <n v="15"/>
    <n v="307"/>
    <n v="1060"/>
    <n v="3545"/>
    <x v="2"/>
    <s v="April"/>
    <n v="380"/>
    <n v="1440"/>
    <n v="17.670000000000002"/>
    <x v="1"/>
    <s v="Very Active"/>
    <s v="8877689391|2016-04-17"/>
    <b v="0"/>
  </r>
  <r>
    <n v="8877689391"/>
    <d v="2016-04-18T00:00:00"/>
    <n v="11423"/>
    <n v="8.6700000762939506"/>
    <n v="8.6700000762939506"/>
    <n v="0"/>
    <n v="2.4400000572204599"/>
    <n v="0.270000010728836"/>
    <n v="5.9400000572204599"/>
    <n v="0"/>
    <n v="29"/>
    <n v="5"/>
    <n v="191"/>
    <n v="1215"/>
    <n v="2761"/>
    <x v="3"/>
    <s v="April"/>
    <n v="225"/>
    <n v="1440"/>
    <n v="20.25"/>
    <x v="0"/>
    <s v="Moderately Active"/>
    <s v="8877689391|2016-04-18"/>
    <b v="0"/>
  </r>
  <r>
    <n v="8877689391"/>
    <d v="2016-04-19T00:00:00"/>
    <n v="18785"/>
    <n v="17.399999618530298"/>
    <n v="17.399999618530298"/>
    <n v="0"/>
    <n v="12.1499996185303"/>
    <n v="0.18000000715255701"/>
    <n v="5.0300002098083496"/>
    <n v="0"/>
    <n v="82"/>
    <n v="13"/>
    <n v="214"/>
    <n v="1131"/>
    <n v="3676"/>
    <x v="4"/>
    <s v="April"/>
    <n v="309"/>
    <n v="1440"/>
    <n v="18.850000000000001"/>
    <x v="1"/>
    <s v="Very Active"/>
    <s v="8877689391|2016-04-19"/>
    <b v="0"/>
  </r>
  <r>
    <n v="8877689391"/>
    <d v="2016-04-20T00:00:00"/>
    <n v="19948"/>
    <n v="18.110000610351602"/>
    <n v="18.110000610351602"/>
    <n v="0"/>
    <n v="11.0200004577637"/>
    <n v="0.68999999761581399"/>
    <n v="6.3400001525878897"/>
    <n v="0"/>
    <n v="73"/>
    <n v="19"/>
    <n v="225"/>
    <n v="1123"/>
    <n v="3679"/>
    <x v="5"/>
    <s v="April"/>
    <n v="317"/>
    <n v="1440"/>
    <n v="18.72"/>
    <x v="1"/>
    <s v="Very Active"/>
    <s v="8877689391|2016-04-20"/>
    <b v="0"/>
  </r>
  <r>
    <n v="8877689391"/>
    <d v="2016-04-21T00:00:00"/>
    <n v="19377"/>
    <n v="17.620000839233398"/>
    <n v="17.620000839233398"/>
    <n v="0"/>
    <n v="12.289999961853001"/>
    <n v="0.41999998688697798"/>
    <n v="4.8899998664856001"/>
    <n v="0"/>
    <n v="82"/>
    <n v="13"/>
    <n v="226"/>
    <n v="1119"/>
    <n v="3659"/>
    <x v="6"/>
    <s v="April"/>
    <n v="321"/>
    <n v="1440"/>
    <n v="18.649999999999999"/>
    <x v="1"/>
    <s v="Very Active"/>
    <s v="8877689391|2016-04-21"/>
    <b v="0"/>
  </r>
  <r>
    <n v="8877689391"/>
    <d v="2016-04-22T00:00:00"/>
    <n v="18258"/>
    <n v="16.309999465942401"/>
    <n v="16.309999465942401"/>
    <n v="0"/>
    <n v="10.2299995422363"/>
    <n v="2.9999999329447701E-2"/>
    <n v="5.9699997901916504"/>
    <n v="5.0000000745058101E-2"/>
    <n v="61"/>
    <n v="2"/>
    <n v="236"/>
    <n v="1141"/>
    <n v="3427"/>
    <x v="0"/>
    <s v="April"/>
    <n v="299"/>
    <n v="1440"/>
    <n v="19.02"/>
    <x v="1"/>
    <s v="Very Active"/>
    <s v="8877689391|2016-04-22"/>
    <b v="0"/>
  </r>
  <r>
    <n v="8877689391"/>
    <d v="2016-04-23T00:00:00"/>
    <n v="11200"/>
    <n v="7.4299998283386204"/>
    <n v="7.4299998283386204"/>
    <n v="0"/>
    <n v="0"/>
    <n v="0"/>
    <n v="7.4000000953674299"/>
    <n v="9.9999997764825804E-3"/>
    <n v="102"/>
    <n v="6"/>
    <n v="300"/>
    <n v="1032"/>
    <n v="3891"/>
    <x v="1"/>
    <s v="April"/>
    <n v="408"/>
    <n v="1440"/>
    <n v="17.2"/>
    <x v="0"/>
    <s v="Very Active"/>
    <s v="8877689391|2016-04-23"/>
    <b v="0"/>
  </r>
  <r>
    <n v="8877689391"/>
    <d v="2016-04-24T00:00:00"/>
    <n v="16674"/>
    <n v="15.7399997711182"/>
    <n v="15.7399997711182"/>
    <n v="0"/>
    <n v="11.0100002288818"/>
    <n v="9.9999997764825804E-3"/>
    <n v="4.6900000572204599"/>
    <n v="0"/>
    <n v="64"/>
    <n v="1"/>
    <n v="227"/>
    <n v="1148"/>
    <n v="3455"/>
    <x v="2"/>
    <s v="April"/>
    <n v="292"/>
    <n v="1440"/>
    <n v="19.13"/>
    <x v="1"/>
    <s v="Very Active"/>
    <s v="8877689391|2016-04-24"/>
    <b v="0"/>
  </r>
  <r>
    <n v="8877689391"/>
    <d v="2016-04-25T00:00:00"/>
    <n v="12986"/>
    <n v="8.7399997711181605"/>
    <n v="8.7399997711181605"/>
    <n v="0"/>
    <n v="2.3699998855590798"/>
    <n v="7.0000000298023196E-2"/>
    <n v="6.2699999809265101"/>
    <n v="9.9999997764825804E-3"/>
    <n v="113"/>
    <n v="8"/>
    <n v="218"/>
    <n v="1101"/>
    <n v="3802"/>
    <x v="3"/>
    <s v="April"/>
    <n v="339"/>
    <n v="1440"/>
    <n v="18.350000000000001"/>
    <x v="1"/>
    <s v="Very Active"/>
    <s v="8877689391|2016-04-25"/>
    <b v="0"/>
  </r>
  <r>
    <n v="8877689391"/>
    <d v="2016-04-26T00:00:00"/>
    <n v="11101"/>
    <n v="8.4300003051757795"/>
    <n v="8.4300003051757795"/>
    <n v="0"/>
    <n v="1.7599999904632599"/>
    <n v="0.129999995231628"/>
    <n v="6.5"/>
    <n v="0"/>
    <n v="22"/>
    <n v="3"/>
    <n v="258"/>
    <n v="1157"/>
    <n v="2860"/>
    <x v="4"/>
    <s v="April"/>
    <n v="283"/>
    <n v="1440"/>
    <n v="19.28"/>
    <x v="0"/>
    <s v="Moderately Active"/>
    <s v="8877689391|2016-04-26"/>
    <b v="0"/>
  </r>
  <r>
    <n v="8877689391"/>
    <d v="2016-04-27T00:00:00"/>
    <n v="23629"/>
    <n v="20.649999618530298"/>
    <n v="20.649999618530298"/>
    <n v="0"/>
    <n v="13.069999694824199"/>
    <n v="0.43999999761581399"/>
    <n v="7.0999999046325701"/>
    <n v="0"/>
    <n v="93"/>
    <n v="8"/>
    <n v="235"/>
    <n v="1104"/>
    <n v="3808"/>
    <x v="5"/>
    <s v="April"/>
    <n v="336"/>
    <n v="1440"/>
    <n v="18.399999999999999"/>
    <x v="1"/>
    <s v="Very Active"/>
    <s v="8877689391|2016-04-27"/>
    <b v="0"/>
  </r>
  <r>
    <n v="8877689391"/>
    <d v="2016-04-28T00:00:00"/>
    <n v="14890"/>
    <n v="11.300000190734901"/>
    <n v="11.300000190734901"/>
    <n v="0"/>
    <n v="4.9299998283386204"/>
    <n v="0.37999999523162797"/>
    <n v="5.9699997901916504"/>
    <n v="0"/>
    <n v="58"/>
    <n v="8"/>
    <n v="231"/>
    <n v="1143"/>
    <n v="3060"/>
    <x v="6"/>
    <s v="April"/>
    <n v="297"/>
    <n v="1440"/>
    <n v="19.05"/>
    <x v="1"/>
    <s v="Very Active"/>
    <s v="8877689391|2016-04-28"/>
    <b v="0"/>
  </r>
  <r>
    <n v="8877689391"/>
    <d v="2016-04-29T00:00:00"/>
    <n v="9733"/>
    <n v="7.3899998664856001"/>
    <n v="7.3899998664856001"/>
    <n v="0"/>
    <n v="1.37999999523163"/>
    <n v="0.17000000178813901"/>
    <n v="5.78999996185303"/>
    <n v="0"/>
    <n v="18"/>
    <n v="5"/>
    <n v="210"/>
    <n v="1207"/>
    <n v="2698"/>
    <x v="0"/>
    <s v="April"/>
    <n v="233"/>
    <n v="1440"/>
    <n v="20.12"/>
    <x v="3"/>
    <s v="Moderately Active"/>
    <s v="8877689391|2016-04-29"/>
    <b v="0"/>
  </r>
  <r>
    <n v="8877689391"/>
    <d v="2016-04-30T00:00:00"/>
    <n v="27745"/>
    <n v="26.719999313354499"/>
    <n v="26.719999313354499"/>
    <n v="0"/>
    <n v="21.659999847412099"/>
    <n v="7.9999998211860698E-2"/>
    <n v="4.9299998283386204"/>
    <n v="0"/>
    <n v="124"/>
    <n v="4"/>
    <n v="223"/>
    <n v="1089"/>
    <n v="4398"/>
    <x v="1"/>
    <s v="April"/>
    <n v="351"/>
    <n v="1440"/>
    <n v="18.149999999999999"/>
    <x v="1"/>
    <s v="Very Active"/>
    <s v="8877689391|2016-04-30"/>
    <b v="0"/>
  </r>
  <r>
    <n v="8877689391"/>
    <d v="2016-05-01T00:00:00"/>
    <n v="10930"/>
    <n v="8.3199996948242205"/>
    <n v="8.3199996948242205"/>
    <n v="0"/>
    <n v="3.1300001144409202"/>
    <n v="0.56999999284744296"/>
    <n v="4.5700001716613796"/>
    <n v="0"/>
    <n v="36"/>
    <n v="12"/>
    <n v="166"/>
    <n v="1226"/>
    <n v="2786"/>
    <x v="2"/>
    <s v="May"/>
    <n v="214"/>
    <n v="1440"/>
    <n v="20.43"/>
    <x v="0"/>
    <s v="Very Active"/>
    <s v="8877689391|2016-05-01"/>
    <b v="0"/>
  </r>
  <r>
    <n v="8877689391"/>
    <d v="2016-05-02T00:00:00"/>
    <n v="4790"/>
    <n v="3.6400001049041699"/>
    <n v="3.6400001049041699"/>
    <n v="0"/>
    <n v="0"/>
    <n v="0"/>
    <n v="3.5599999427795401"/>
    <n v="0"/>
    <n v="0"/>
    <n v="0"/>
    <n v="105"/>
    <n v="1335"/>
    <n v="2189"/>
    <x v="3"/>
    <s v="May"/>
    <n v="105"/>
    <n v="1440"/>
    <n v="22.25"/>
    <x v="2"/>
    <s v="Sedentary"/>
    <s v="8877689391|2016-05-02"/>
    <b v="0"/>
  </r>
  <r>
    <n v="8877689391"/>
    <d v="2016-05-03T00:00:00"/>
    <n v="10818"/>
    <n v="8.2100000381469709"/>
    <n v="8.2100000381469709"/>
    <n v="0"/>
    <n v="1.3899999856948899"/>
    <n v="0.10000000149011599"/>
    <n v="6.6700000762939498"/>
    <n v="9.9999997764825804E-3"/>
    <n v="19"/>
    <n v="3"/>
    <n v="229"/>
    <n v="1189"/>
    <n v="2817"/>
    <x v="4"/>
    <s v="May"/>
    <n v="251"/>
    <n v="1440"/>
    <n v="19.82"/>
    <x v="0"/>
    <s v="Moderately Active"/>
    <s v="8877689391|2016-05-03"/>
    <b v="0"/>
  </r>
  <r>
    <n v="8877689391"/>
    <d v="2016-05-04T00:00:00"/>
    <n v="18193"/>
    <n v="16.299999237060501"/>
    <n v="16.299999237060501"/>
    <n v="0"/>
    <n v="10.420000076293899"/>
    <n v="0.31000000238418601"/>
    <n v="5.5300002098083496"/>
    <n v="0"/>
    <n v="66"/>
    <n v="8"/>
    <n v="212"/>
    <n v="1154"/>
    <n v="3477"/>
    <x v="5"/>
    <s v="May"/>
    <n v="286"/>
    <n v="1440"/>
    <n v="19.23"/>
    <x v="1"/>
    <s v="Very Active"/>
    <s v="8877689391|2016-05-04"/>
    <b v="0"/>
  </r>
  <r>
    <n v="8877689391"/>
    <d v="2016-05-05T00:00:00"/>
    <n v="14055"/>
    <n v="10.670000076293899"/>
    <n v="10.670000076293899"/>
    <n v="0"/>
    <n v="5.46000003814697"/>
    <n v="0.81999999284744296"/>
    <n v="4.3699998855590803"/>
    <n v="0"/>
    <n v="67"/>
    <n v="15"/>
    <n v="188"/>
    <n v="1170"/>
    <n v="3052"/>
    <x v="6"/>
    <s v="May"/>
    <n v="270"/>
    <n v="1440"/>
    <n v="19.5"/>
    <x v="1"/>
    <s v="Very Active"/>
    <s v="8877689391|2016-05-05"/>
    <b v="0"/>
  </r>
  <r>
    <n v="8877689391"/>
    <d v="2016-05-06T00:00:00"/>
    <n v="21727"/>
    <n v="19.340000152587901"/>
    <n v="19.340000152587901"/>
    <n v="0"/>
    <n v="12.789999961853001"/>
    <n v="0.28999999165535001"/>
    <n v="6.1599998474121103"/>
    <n v="0"/>
    <n v="96"/>
    <n v="17"/>
    <n v="232"/>
    <n v="1095"/>
    <n v="4015"/>
    <x v="0"/>
    <s v="May"/>
    <n v="345"/>
    <n v="1440"/>
    <n v="18.25"/>
    <x v="1"/>
    <s v="Very Active"/>
    <s v="8877689391|2016-05-06"/>
    <b v="0"/>
  </r>
  <r>
    <n v="8877689391"/>
    <d v="2016-05-07T00:00:00"/>
    <n v="12332"/>
    <n v="8.1300001144409197"/>
    <n v="8.1300001144409197"/>
    <n v="0"/>
    <n v="7.9999998211860698E-2"/>
    <n v="0.95999997854232799"/>
    <n v="6.9899997711181596"/>
    <n v="0"/>
    <n v="105"/>
    <n v="28"/>
    <n v="271"/>
    <n v="1036"/>
    <n v="4142"/>
    <x v="1"/>
    <s v="May"/>
    <n v="404"/>
    <n v="1440"/>
    <n v="17.27"/>
    <x v="0"/>
    <s v="Very Active"/>
    <s v="8877689391|2016-05-07"/>
    <b v="0"/>
  </r>
  <r>
    <n v="8877689391"/>
    <d v="2016-05-08T00:00:00"/>
    <n v="10686"/>
    <n v="8.1099996566772496"/>
    <n v="8.1099996566772496"/>
    <n v="0"/>
    <n v="1.08000004291534"/>
    <n v="0.20000000298023199"/>
    <n v="6.8000001907348597"/>
    <n v="0"/>
    <n v="17"/>
    <n v="4"/>
    <n v="245"/>
    <n v="1174"/>
    <n v="2847"/>
    <x v="2"/>
    <s v="May"/>
    <n v="266"/>
    <n v="1440"/>
    <n v="19.57"/>
    <x v="0"/>
    <s v="Moderately Active"/>
    <s v="8877689391|2016-05-08"/>
    <b v="0"/>
  </r>
  <r>
    <n v="8877689391"/>
    <d v="2016-05-09T00:00:00"/>
    <n v="20226"/>
    <n v="18.25"/>
    <n v="18.25"/>
    <n v="0"/>
    <n v="11.1000003814697"/>
    <n v="0.80000001192092896"/>
    <n v="6.2399997711181596"/>
    <n v="5.0000000745058101E-2"/>
    <n v="73"/>
    <n v="19"/>
    <n v="217"/>
    <n v="1131"/>
    <n v="3710"/>
    <x v="3"/>
    <s v="May"/>
    <n v="309"/>
    <n v="1440"/>
    <n v="18.850000000000001"/>
    <x v="1"/>
    <s v="Very Active"/>
    <s v="8877689391|2016-05-09"/>
    <b v="0"/>
  </r>
  <r>
    <n v="8877689391"/>
    <d v="2016-05-10T00:00:00"/>
    <n v="10733"/>
    <n v="8.1499996185302699"/>
    <n v="8.1499996185302699"/>
    <n v="0"/>
    <n v="1.3500000238418599"/>
    <n v="0.46000000834464999"/>
    <n v="6.2800002098083496"/>
    <n v="0"/>
    <n v="18"/>
    <n v="11"/>
    <n v="224"/>
    <n v="1187"/>
    <n v="2832"/>
    <x v="4"/>
    <s v="May"/>
    <n v="253"/>
    <n v="1440"/>
    <n v="19.78"/>
    <x v="0"/>
    <s v="Moderately Active"/>
    <s v="8877689391|2016-05-10"/>
    <b v="0"/>
  </r>
  <r>
    <n v="8877689391"/>
    <d v="2016-05-11T00:00:00"/>
    <n v="21420"/>
    <n v="19.559999465942401"/>
    <n v="19.559999465942401"/>
    <n v="0"/>
    <n v="13.2200002670288"/>
    <n v="0.40999999642372098"/>
    <n v="5.8899998664856001"/>
    <n v="0"/>
    <n v="88"/>
    <n v="12"/>
    <n v="213"/>
    <n v="1127"/>
    <n v="3832"/>
    <x v="5"/>
    <s v="May"/>
    <n v="313"/>
    <n v="1440"/>
    <n v="18.78"/>
    <x v="1"/>
    <s v="Very Active"/>
    <s v="8877689391|2016-05-11"/>
    <b v="0"/>
  </r>
  <r>
    <n v="8877689391"/>
    <d v="2016-05-12T00:00:00"/>
    <n v="8064"/>
    <n v="6.1199998855590803"/>
    <n v="6.1199998855590803"/>
    <n v="0"/>
    <n v="1.8200000524520901"/>
    <n v="3.9999999105930301E-2"/>
    <n v="4.25"/>
    <n v="0"/>
    <n v="23"/>
    <n v="1"/>
    <n v="137"/>
    <n v="770"/>
    <n v="1849"/>
    <x v="6"/>
    <s v="May"/>
    <n v="161"/>
    <n v="931"/>
    <n v="12.83"/>
    <x v="3"/>
    <s v="Moderately Active"/>
    <s v="8877689391|2016-05-12"/>
    <b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n v="1503960366"/>
    <d v="2016-04-12T00:00:00"/>
    <n v="1"/>
    <n v="327"/>
    <n v="346"/>
    <x v="0"/>
    <n v="5.45"/>
    <n v="5.77"/>
    <n v="19"/>
    <n v="94.51"/>
    <x v="0"/>
    <s v="1503960366|2016-04-12"/>
  </r>
  <r>
    <n v="1503960366"/>
    <d v="2016-04-13T00:00:00"/>
    <n v="2"/>
    <n v="384"/>
    <n v="407"/>
    <x v="1"/>
    <n v="6.4"/>
    <n v="6.78"/>
    <n v="23"/>
    <n v="94.35"/>
    <x v="1"/>
    <s v="1503960366|2016-04-13"/>
  </r>
  <r>
    <n v="1503960366"/>
    <d v="2016-04-15T00:00:00"/>
    <n v="1"/>
    <n v="412"/>
    <n v="442"/>
    <x v="2"/>
    <n v="6.87"/>
    <n v="7.37"/>
    <n v="30"/>
    <n v="93.21"/>
    <x v="1"/>
    <s v="1503960366|2016-04-15"/>
  </r>
  <r>
    <n v="1503960366"/>
    <d v="2016-04-16T00:00:00"/>
    <n v="2"/>
    <n v="340"/>
    <n v="367"/>
    <x v="3"/>
    <n v="5.67"/>
    <n v="6.12"/>
    <n v="27"/>
    <n v="92.64"/>
    <x v="0"/>
    <s v="1503960366|2016-04-16"/>
  </r>
  <r>
    <n v="1503960366"/>
    <d v="2016-04-17T00:00:00"/>
    <n v="1"/>
    <n v="700"/>
    <n v="712"/>
    <x v="4"/>
    <n v="11.67"/>
    <n v="11.87"/>
    <n v="12"/>
    <n v="98.31"/>
    <x v="2"/>
    <s v="1503960366|2016-04-17"/>
  </r>
  <r>
    <n v="1503960366"/>
    <d v="2016-04-19T00:00:00"/>
    <n v="1"/>
    <n v="304"/>
    <n v="320"/>
    <x v="0"/>
    <n v="5.07"/>
    <n v="5.33"/>
    <n v="16"/>
    <n v="95"/>
    <x v="0"/>
    <s v="1503960366|2016-04-19"/>
  </r>
  <r>
    <n v="1503960366"/>
    <d v="2016-04-20T00:00:00"/>
    <n v="1"/>
    <n v="360"/>
    <n v="377"/>
    <x v="1"/>
    <n v="6"/>
    <n v="6.28"/>
    <n v="17"/>
    <n v="95.49"/>
    <x v="1"/>
    <s v="1503960366|2016-04-20"/>
  </r>
  <r>
    <n v="1503960366"/>
    <d v="2016-04-21T00:00:00"/>
    <n v="1"/>
    <n v="325"/>
    <n v="364"/>
    <x v="5"/>
    <n v="5.42"/>
    <n v="6.07"/>
    <n v="39"/>
    <n v="89.29"/>
    <x v="0"/>
    <s v="1503960366|2016-04-21"/>
  </r>
  <r>
    <n v="1503960366"/>
    <d v="2016-04-23T00:00:00"/>
    <n v="1"/>
    <n v="361"/>
    <n v="384"/>
    <x v="3"/>
    <n v="6.02"/>
    <n v="6.4"/>
    <n v="23"/>
    <n v="94.01"/>
    <x v="1"/>
    <s v="1503960366|2016-04-23"/>
  </r>
  <r>
    <n v="1503960366"/>
    <d v="2016-04-24T00:00:00"/>
    <n v="1"/>
    <n v="430"/>
    <n v="449"/>
    <x v="4"/>
    <n v="7.17"/>
    <n v="7.48"/>
    <n v="19"/>
    <n v="95.77"/>
    <x v="3"/>
    <s v="1503960366|2016-04-24"/>
  </r>
  <r>
    <n v="1503960366"/>
    <d v="2016-04-25T00:00:00"/>
    <n v="1"/>
    <n v="277"/>
    <n v="323"/>
    <x v="6"/>
    <n v="4.62"/>
    <n v="5.38"/>
    <n v="46"/>
    <n v="85.76"/>
    <x v="0"/>
    <s v="1503960366|2016-04-25"/>
  </r>
  <r>
    <n v="1503960366"/>
    <d v="2016-04-26T00:00:00"/>
    <n v="1"/>
    <n v="245"/>
    <n v="274"/>
    <x v="0"/>
    <n v="4.08"/>
    <n v="4.57"/>
    <n v="29"/>
    <n v="89.42"/>
    <x v="0"/>
    <s v="1503960366|2016-04-26"/>
  </r>
  <r>
    <n v="1503960366"/>
    <d v="2016-04-28T00:00:00"/>
    <n v="1"/>
    <n v="366"/>
    <n v="393"/>
    <x v="5"/>
    <n v="6.1"/>
    <n v="6.55"/>
    <n v="27"/>
    <n v="93.13"/>
    <x v="1"/>
    <s v="1503960366|2016-04-28"/>
  </r>
  <r>
    <n v="1503960366"/>
    <d v="2016-04-29T00:00:00"/>
    <n v="1"/>
    <n v="341"/>
    <n v="354"/>
    <x v="2"/>
    <n v="5.68"/>
    <n v="5.9"/>
    <n v="13"/>
    <n v="96.33"/>
    <x v="0"/>
    <s v="1503960366|2016-04-29"/>
  </r>
  <r>
    <n v="1503960366"/>
    <d v="2016-04-30T00:00:00"/>
    <n v="1"/>
    <n v="404"/>
    <n v="425"/>
    <x v="3"/>
    <n v="6.73"/>
    <n v="7.08"/>
    <n v="21"/>
    <n v="95.06"/>
    <x v="1"/>
    <s v="1503960366|2016-04-30"/>
  </r>
  <r>
    <n v="1503960366"/>
    <d v="2016-05-01T00:00:00"/>
    <n v="1"/>
    <n v="369"/>
    <n v="396"/>
    <x v="4"/>
    <n v="6.15"/>
    <n v="6.6"/>
    <n v="27"/>
    <n v="93.18"/>
    <x v="1"/>
    <s v="1503960366|2016-05-01"/>
  </r>
  <r>
    <n v="1503960366"/>
    <d v="2016-05-02T00:00:00"/>
    <n v="1"/>
    <n v="277"/>
    <n v="309"/>
    <x v="6"/>
    <n v="4.62"/>
    <n v="5.15"/>
    <n v="32"/>
    <n v="89.64"/>
    <x v="0"/>
    <s v="1503960366|2016-05-02"/>
  </r>
  <r>
    <n v="1503960366"/>
    <d v="2016-05-03T00:00:00"/>
    <n v="1"/>
    <n v="273"/>
    <n v="296"/>
    <x v="0"/>
    <n v="4.55"/>
    <n v="4.93"/>
    <n v="23"/>
    <n v="92.23"/>
    <x v="0"/>
    <s v="1503960366|2016-05-03"/>
  </r>
  <r>
    <n v="1503960366"/>
    <d v="2016-05-05T00:00:00"/>
    <n v="1"/>
    <n v="247"/>
    <n v="264"/>
    <x v="5"/>
    <n v="4.12"/>
    <n v="4.4000000000000004"/>
    <n v="17"/>
    <n v="93.56"/>
    <x v="0"/>
    <s v="1503960366|2016-05-05"/>
  </r>
  <r>
    <n v="1503960366"/>
    <d v="2016-05-06T00:00:00"/>
    <n v="1"/>
    <n v="334"/>
    <n v="367"/>
    <x v="2"/>
    <n v="5.57"/>
    <n v="6.12"/>
    <n v="33"/>
    <n v="91.01"/>
    <x v="0"/>
    <s v="1503960366|2016-05-06"/>
  </r>
  <r>
    <n v="1503960366"/>
    <d v="2016-05-07T00:00:00"/>
    <n v="1"/>
    <n v="331"/>
    <n v="349"/>
    <x v="3"/>
    <n v="5.52"/>
    <n v="5.82"/>
    <n v="18"/>
    <n v="94.84"/>
    <x v="0"/>
    <s v="1503960366|2016-05-07"/>
  </r>
  <r>
    <n v="1503960366"/>
    <d v="2016-05-08T00:00:00"/>
    <n v="1"/>
    <n v="594"/>
    <n v="611"/>
    <x v="4"/>
    <n v="9.9"/>
    <n v="10.18"/>
    <n v="17"/>
    <n v="97.22"/>
    <x v="2"/>
    <s v="1503960366|2016-05-08"/>
  </r>
  <r>
    <n v="1503960366"/>
    <d v="2016-05-09T00:00:00"/>
    <n v="1"/>
    <n v="338"/>
    <n v="342"/>
    <x v="6"/>
    <n v="5.63"/>
    <n v="5.7"/>
    <n v="4"/>
    <n v="98.83"/>
    <x v="0"/>
    <s v="1503960366|2016-05-09"/>
  </r>
  <r>
    <n v="1503960366"/>
    <d v="2016-05-10T00:00:00"/>
    <n v="1"/>
    <n v="383"/>
    <n v="403"/>
    <x v="0"/>
    <n v="6.38"/>
    <n v="6.72"/>
    <n v="20"/>
    <n v="95.04"/>
    <x v="1"/>
    <s v="1503960366|2016-05-10"/>
  </r>
  <r>
    <n v="1503960366"/>
    <d v="2016-05-11T00:00:00"/>
    <n v="1"/>
    <n v="285"/>
    <n v="306"/>
    <x v="1"/>
    <n v="4.75"/>
    <n v="5.0999999999999996"/>
    <n v="21"/>
    <n v="93.14"/>
    <x v="0"/>
    <s v="1503960366|2016-05-11"/>
  </r>
  <r>
    <n v="1644430081"/>
    <d v="2016-04-29T00:00:00"/>
    <n v="1"/>
    <n v="119"/>
    <n v="127"/>
    <x v="2"/>
    <n v="1.98"/>
    <n v="2.12"/>
    <n v="8"/>
    <n v="93.7"/>
    <x v="0"/>
    <s v="1644430081|2016-04-29"/>
  </r>
  <r>
    <n v="1644430081"/>
    <d v="2016-04-30T00:00:00"/>
    <n v="1"/>
    <n v="124"/>
    <n v="142"/>
    <x v="3"/>
    <n v="2.0699999999999998"/>
    <n v="2.37"/>
    <n v="18"/>
    <n v="87.32"/>
    <x v="0"/>
    <s v="1644430081|2016-04-30"/>
  </r>
  <r>
    <n v="1644430081"/>
    <d v="2016-05-02T00:00:00"/>
    <n v="1"/>
    <n v="796"/>
    <n v="961"/>
    <x v="6"/>
    <n v="13.27"/>
    <n v="16.02"/>
    <n v="165"/>
    <n v="82.83"/>
    <x v="2"/>
    <s v="1644430081|2016-05-02"/>
  </r>
  <r>
    <n v="1644430081"/>
    <d v="2016-05-08T00:00:00"/>
    <n v="1"/>
    <n v="137"/>
    <n v="154"/>
    <x v="4"/>
    <n v="2.2799999999999998"/>
    <n v="2.57"/>
    <n v="17"/>
    <n v="88.96"/>
    <x v="0"/>
    <s v="1644430081|2016-05-08"/>
  </r>
  <r>
    <n v="1844505072"/>
    <d v="2016-04-15T00:00:00"/>
    <n v="1"/>
    <n v="644"/>
    <n v="961"/>
    <x v="2"/>
    <n v="10.73"/>
    <n v="16.02"/>
    <n v="317"/>
    <n v="67.010000000000005"/>
    <x v="2"/>
    <s v="1844505072|2016-04-15"/>
  </r>
  <r>
    <n v="1844505072"/>
    <d v="2016-04-30T00:00:00"/>
    <n v="1"/>
    <n v="722"/>
    <n v="961"/>
    <x v="3"/>
    <n v="12.03"/>
    <n v="16.02"/>
    <n v="239"/>
    <n v="75.13"/>
    <x v="2"/>
    <s v="1844505072|2016-04-30"/>
  </r>
  <r>
    <n v="1844505072"/>
    <d v="2016-05-01T00:00:00"/>
    <n v="1"/>
    <n v="590"/>
    <n v="961"/>
    <x v="4"/>
    <n v="9.83"/>
    <n v="16.02"/>
    <n v="371"/>
    <n v="61.39"/>
    <x v="2"/>
    <s v="1844505072|2016-05-01"/>
  </r>
  <r>
    <n v="1927972279"/>
    <d v="2016-04-12T00:00:00"/>
    <n v="3"/>
    <n v="750"/>
    <n v="775"/>
    <x v="0"/>
    <n v="12.5"/>
    <n v="12.92"/>
    <n v="25"/>
    <n v="96.77"/>
    <x v="2"/>
    <s v="1927972279|2016-04-12"/>
  </r>
  <r>
    <n v="1927972279"/>
    <d v="2016-04-13T00:00:00"/>
    <n v="1"/>
    <n v="398"/>
    <n v="422"/>
    <x v="1"/>
    <n v="6.63"/>
    <n v="7.03"/>
    <n v="24"/>
    <n v="94.31"/>
    <x v="1"/>
    <s v="1927972279|2016-04-13"/>
  </r>
  <r>
    <n v="1927972279"/>
    <d v="2016-04-15T00:00:00"/>
    <n v="2"/>
    <n v="475"/>
    <n v="499"/>
    <x v="2"/>
    <n v="7.92"/>
    <n v="8.32"/>
    <n v="24"/>
    <n v="95.19"/>
    <x v="3"/>
    <s v="1927972279|2016-04-15"/>
  </r>
  <r>
    <n v="1927972279"/>
    <d v="2016-04-26T00:00:00"/>
    <n v="1"/>
    <n v="296"/>
    <n v="315"/>
    <x v="0"/>
    <n v="4.93"/>
    <n v="5.25"/>
    <n v="19"/>
    <n v="93.97"/>
    <x v="0"/>
    <s v="1927972279|2016-04-26"/>
  </r>
  <r>
    <n v="1927972279"/>
    <d v="2016-04-28T00:00:00"/>
    <n v="1"/>
    <n v="166"/>
    <n v="178"/>
    <x v="5"/>
    <n v="2.77"/>
    <n v="2.97"/>
    <n v="12"/>
    <n v="93.26"/>
    <x v="0"/>
    <s v="1927972279|2016-04-28"/>
  </r>
  <r>
    <n v="2026352035"/>
    <d v="2016-04-12T00:00:00"/>
    <n v="1"/>
    <n v="503"/>
    <n v="546"/>
    <x v="0"/>
    <n v="8.3800000000000008"/>
    <n v="9.1"/>
    <n v="43"/>
    <n v="92.12"/>
    <x v="3"/>
    <s v="2026352035|2016-04-12"/>
  </r>
  <r>
    <n v="2026352035"/>
    <d v="2016-04-13T00:00:00"/>
    <n v="1"/>
    <n v="531"/>
    <n v="565"/>
    <x v="1"/>
    <n v="8.85"/>
    <n v="9.42"/>
    <n v="34"/>
    <n v="93.98"/>
    <x v="3"/>
    <s v="2026352035|2016-04-13"/>
  </r>
  <r>
    <n v="2026352035"/>
    <d v="2016-04-14T00:00:00"/>
    <n v="1"/>
    <n v="545"/>
    <n v="568"/>
    <x v="5"/>
    <n v="9.08"/>
    <n v="9.4700000000000006"/>
    <n v="23"/>
    <n v="95.95"/>
    <x v="2"/>
    <s v="2026352035|2016-04-14"/>
  </r>
  <r>
    <n v="2026352035"/>
    <d v="2016-04-15T00:00:00"/>
    <n v="1"/>
    <n v="523"/>
    <n v="573"/>
    <x v="2"/>
    <n v="8.7200000000000006"/>
    <n v="9.5500000000000007"/>
    <n v="50"/>
    <n v="91.27"/>
    <x v="3"/>
    <s v="2026352035|2016-04-15"/>
  </r>
  <r>
    <n v="2026352035"/>
    <d v="2016-04-16T00:00:00"/>
    <n v="1"/>
    <n v="524"/>
    <n v="567"/>
    <x v="3"/>
    <n v="8.73"/>
    <n v="9.4499999999999993"/>
    <n v="43"/>
    <n v="92.42"/>
    <x v="3"/>
    <s v="2026352035|2016-04-16"/>
  </r>
  <r>
    <n v="2026352035"/>
    <d v="2016-04-17T00:00:00"/>
    <n v="1"/>
    <n v="437"/>
    <n v="498"/>
    <x v="4"/>
    <n v="7.28"/>
    <n v="8.3000000000000007"/>
    <n v="61"/>
    <n v="87.75"/>
    <x v="3"/>
    <s v="2026352035|2016-04-17"/>
  </r>
  <r>
    <n v="2026352035"/>
    <d v="2016-04-19T00:00:00"/>
    <n v="1"/>
    <n v="498"/>
    <n v="540"/>
    <x v="0"/>
    <n v="8.3000000000000007"/>
    <n v="9"/>
    <n v="42"/>
    <n v="92.22"/>
    <x v="3"/>
    <s v="2026352035|2016-04-19"/>
  </r>
  <r>
    <n v="2026352035"/>
    <d v="2016-04-20T00:00:00"/>
    <n v="1"/>
    <n v="461"/>
    <n v="510"/>
    <x v="1"/>
    <n v="7.68"/>
    <n v="8.5"/>
    <n v="49"/>
    <n v="90.39"/>
    <x v="3"/>
    <s v="2026352035|2016-04-20"/>
  </r>
  <r>
    <n v="2026352035"/>
    <d v="2016-04-21T00:00:00"/>
    <n v="1"/>
    <n v="477"/>
    <n v="514"/>
    <x v="5"/>
    <n v="7.95"/>
    <n v="8.57"/>
    <n v="37"/>
    <n v="92.8"/>
    <x v="3"/>
    <s v="2026352035|2016-04-21"/>
  </r>
  <r>
    <n v="2026352035"/>
    <d v="2016-04-22T00:00:00"/>
    <n v="1"/>
    <n v="520"/>
    <n v="545"/>
    <x v="2"/>
    <n v="8.67"/>
    <n v="9.08"/>
    <n v="25"/>
    <n v="95.41"/>
    <x v="3"/>
    <s v="2026352035|2016-04-22"/>
  </r>
  <r>
    <n v="2026352035"/>
    <d v="2016-04-23T00:00:00"/>
    <n v="1"/>
    <n v="522"/>
    <n v="554"/>
    <x v="3"/>
    <n v="8.6999999999999993"/>
    <n v="9.23"/>
    <n v="32"/>
    <n v="94.22"/>
    <x v="3"/>
    <s v="2026352035|2016-04-23"/>
  </r>
  <r>
    <n v="2026352035"/>
    <d v="2016-04-24T00:00:00"/>
    <n v="1"/>
    <n v="555"/>
    <n v="591"/>
    <x v="4"/>
    <n v="9.25"/>
    <n v="9.85"/>
    <n v="36"/>
    <n v="93.91"/>
    <x v="2"/>
    <s v="2026352035|2016-04-24"/>
  </r>
  <r>
    <n v="2026352035"/>
    <d v="2016-04-25T00:00:00"/>
    <n v="1"/>
    <n v="506"/>
    <n v="531"/>
    <x v="6"/>
    <n v="8.43"/>
    <n v="8.85"/>
    <n v="25"/>
    <n v="95.29"/>
    <x v="3"/>
    <s v="2026352035|2016-04-25"/>
  </r>
  <r>
    <n v="2026352035"/>
    <d v="2016-04-27T00:00:00"/>
    <n v="1"/>
    <n v="508"/>
    <n v="545"/>
    <x v="1"/>
    <n v="8.4700000000000006"/>
    <n v="9.08"/>
    <n v="37"/>
    <n v="93.21"/>
    <x v="3"/>
    <s v="2026352035|2016-04-27"/>
  </r>
  <r>
    <n v="2026352035"/>
    <d v="2016-04-28T00:00:00"/>
    <n v="1"/>
    <n v="513"/>
    <n v="545"/>
    <x v="5"/>
    <n v="8.5500000000000007"/>
    <n v="9.08"/>
    <n v="32"/>
    <n v="94.13"/>
    <x v="3"/>
    <s v="2026352035|2016-04-28"/>
  </r>
  <r>
    <n v="2026352035"/>
    <d v="2016-04-29T00:00:00"/>
    <n v="1"/>
    <n v="490"/>
    <n v="510"/>
    <x v="2"/>
    <n v="8.17"/>
    <n v="8.5"/>
    <n v="20"/>
    <n v="96.08"/>
    <x v="3"/>
    <s v="2026352035|2016-04-29"/>
  </r>
  <r>
    <n v="2026352035"/>
    <d v="2016-04-30T00:00:00"/>
    <n v="1"/>
    <n v="573"/>
    <n v="607"/>
    <x v="3"/>
    <n v="9.5500000000000007"/>
    <n v="10.119999999999999"/>
    <n v="34"/>
    <n v="94.4"/>
    <x v="2"/>
    <s v="2026352035|2016-04-30"/>
  </r>
  <r>
    <n v="2026352035"/>
    <d v="2016-05-01T00:00:00"/>
    <n v="1"/>
    <n v="527"/>
    <n v="546"/>
    <x v="4"/>
    <n v="8.7799999999999994"/>
    <n v="9.1"/>
    <n v="19"/>
    <n v="96.52"/>
    <x v="3"/>
    <s v="2026352035|2016-05-01"/>
  </r>
  <r>
    <n v="2026352035"/>
    <d v="2016-05-02T00:00:00"/>
    <n v="1"/>
    <n v="511"/>
    <n v="543"/>
    <x v="6"/>
    <n v="8.52"/>
    <n v="9.0500000000000007"/>
    <n v="32"/>
    <n v="94.11"/>
    <x v="3"/>
    <s v="2026352035|2016-05-02"/>
  </r>
  <r>
    <n v="2026352035"/>
    <d v="2016-05-04T00:00:00"/>
    <n v="1"/>
    <n v="538"/>
    <n v="560"/>
    <x v="1"/>
    <n v="8.9700000000000006"/>
    <n v="9.33"/>
    <n v="22"/>
    <n v="96.07"/>
    <x v="3"/>
    <s v="2026352035|2016-05-04"/>
  </r>
  <r>
    <n v="2026352035"/>
    <d v="2016-05-05T00:00:00"/>
    <n v="1"/>
    <n v="468"/>
    <n v="485"/>
    <x v="5"/>
    <n v="7.8"/>
    <n v="8.08"/>
    <n v="17"/>
    <n v="96.49"/>
    <x v="3"/>
    <s v="2026352035|2016-05-05"/>
  </r>
  <r>
    <n v="2026352035"/>
    <d v="2016-05-06T00:00:00"/>
    <n v="1"/>
    <n v="524"/>
    <n v="548"/>
    <x v="2"/>
    <n v="8.73"/>
    <n v="9.1300000000000008"/>
    <n v="24"/>
    <n v="95.62"/>
    <x v="3"/>
    <s v="2026352035|2016-05-06"/>
  </r>
  <r>
    <n v="2026352035"/>
    <d v="2016-05-07T00:00:00"/>
    <n v="1"/>
    <n v="511"/>
    <n v="521"/>
    <x v="3"/>
    <n v="8.52"/>
    <n v="8.68"/>
    <n v="10"/>
    <n v="98.08"/>
    <x v="3"/>
    <s v="2026352035|2016-05-07"/>
  </r>
  <r>
    <n v="2026352035"/>
    <d v="2016-05-08T00:00:00"/>
    <n v="1"/>
    <n v="541"/>
    <n v="568"/>
    <x v="4"/>
    <n v="9.02"/>
    <n v="9.4700000000000006"/>
    <n v="27"/>
    <n v="95.25"/>
    <x v="2"/>
    <s v="2026352035|2016-05-08"/>
  </r>
  <r>
    <n v="2026352035"/>
    <d v="2016-05-09T00:00:00"/>
    <n v="1"/>
    <n v="531"/>
    <n v="556"/>
    <x v="6"/>
    <n v="8.85"/>
    <n v="9.27"/>
    <n v="25"/>
    <n v="95.5"/>
    <x v="3"/>
    <s v="2026352035|2016-05-09"/>
  </r>
  <r>
    <n v="2026352035"/>
    <d v="2016-05-10T00:00:00"/>
    <n v="1"/>
    <n v="357"/>
    <n v="380"/>
    <x v="0"/>
    <n v="5.95"/>
    <n v="6.33"/>
    <n v="23"/>
    <n v="93.95"/>
    <x v="0"/>
    <s v="2026352035|2016-05-10"/>
  </r>
  <r>
    <n v="2026352035"/>
    <d v="2016-05-11T00:00:00"/>
    <n v="1"/>
    <n v="523"/>
    <n v="553"/>
    <x v="1"/>
    <n v="8.7200000000000006"/>
    <n v="9.2200000000000006"/>
    <n v="30"/>
    <n v="94.58"/>
    <x v="3"/>
    <s v="2026352035|2016-05-11"/>
  </r>
  <r>
    <n v="2026352035"/>
    <d v="2016-05-12T00:00:00"/>
    <n v="1"/>
    <n v="456"/>
    <n v="485"/>
    <x v="5"/>
    <n v="7.6"/>
    <n v="8.08"/>
    <n v="29"/>
    <n v="94.02"/>
    <x v="3"/>
    <s v="2026352035|2016-05-12"/>
  </r>
  <r>
    <n v="2320127002"/>
    <d v="2016-04-23T00:00:00"/>
    <n v="1"/>
    <n v="61"/>
    <n v="69"/>
    <x v="3"/>
    <n v="1.02"/>
    <n v="1.1499999999999999"/>
    <n v="8"/>
    <n v="88.41"/>
    <x v="0"/>
    <s v="2320127002|2016-04-23"/>
  </r>
  <r>
    <n v="2347167796"/>
    <d v="2016-04-13T00:00:00"/>
    <n v="1"/>
    <n v="467"/>
    <n v="531"/>
    <x v="1"/>
    <n v="7.78"/>
    <n v="8.85"/>
    <n v="64"/>
    <n v="87.95"/>
    <x v="3"/>
    <s v="2347167796|2016-04-13"/>
  </r>
  <r>
    <n v="2347167796"/>
    <d v="2016-04-14T00:00:00"/>
    <n v="1"/>
    <n v="445"/>
    <n v="489"/>
    <x v="5"/>
    <n v="7.42"/>
    <n v="8.15"/>
    <n v="44"/>
    <n v="91"/>
    <x v="3"/>
    <s v="2347167796|2016-04-14"/>
  </r>
  <r>
    <n v="2347167796"/>
    <d v="2016-04-15T00:00:00"/>
    <n v="1"/>
    <n v="452"/>
    <n v="504"/>
    <x v="2"/>
    <n v="7.53"/>
    <n v="8.4"/>
    <n v="52"/>
    <n v="89.68"/>
    <x v="3"/>
    <s v="2347167796|2016-04-15"/>
  </r>
  <r>
    <n v="2347167796"/>
    <d v="2016-04-17T00:00:00"/>
    <n v="1"/>
    <n v="556"/>
    <n v="602"/>
    <x v="4"/>
    <n v="9.27"/>
    <n v="10.029999999999999"/>
    <n v="46"/>
    <n v="92.36"/>
    <x v="2"/>
    <s v="2347167796|2016-04-17"/>
  </r>
  <r>
    <n v="2347167796"/>
    <d v="2016-04-18T00:00:00"/>
    <n v="1"/>
    <n v="500"/>
    <n v="557"/>
    <x v="6"/>
    <n v="8.33"/>
    <n v="9.2799999999999994"/>
    <n v="57"/>
    <n v="89.77"/>
    <x v="3"/>
    <s v="2347167796|2016-04-18"/>
  </r>
  <r>
    <n v="2347167796"/>
    <d v="2016-04-19T00:00:00"/>
    <n v="1"/>
    <n v="465"/>
    <n v="514"/>
    <x v="0"/>
    <n v="7.75"/>
    <n v="8.57"/>
    <n v="49"/>
    <n v="90.47"/>
    <x v="3"/>
    <s v="2347167796|2016-04-19"/>
  </r>
  <r>
    <n v="2347167796"/>
    <d v="2016-04-21T00:00:00"/>
    <n v="1"/>
    <n v="460"/>
    <n v="484"/>
    <x v="5"/>
    <n v="7.67"/>
    <n v="8.07"/>
    <n v="24"/>
    <n v="95.04"/>
    <x v="3"/>
    <s v="2347167796|2016-04-21"/>
  </r>
  <r>
    <n v="2347167796"/>
    <d v="2016-04-22T00:00:00"/>
    <n v="1"/>
    <n v="405"/>
    <n v="461"/>
    <x v="2"/>
    <n v="6.75"/>
    <n v="7.68"/>
    <n v="56"/>
    <n v="87.85"/>
    <x v="1"/>
    <s v="2347167796|2016-04-22"/>
  </r>
  <r>
    <n v="2347167796"/>
    <d v="2016-04-23T00:00:00"/>
    <n v="1"/>
    <n v="374"/>
    <n v="386"/>
    <x v="3"/>
    <n v="6.23"/>
    <n v="6.43"/>
    <n v="12"/>
    <n v="96.89"/>
    <x v="1"/>
    <s v="2347167796|2016-04-23"/>
  </r>
  <r>
    <n v="2347167796"/>
    <d v="2016-04-24T00:00:00"/>
    <n v="1"/>
    <n v="442"/>
    <n v="459"/>
    <x v="4"/>
    <n v="7.37"/>
    <n v="7.65"/>
    <n v="17"/>
    <n v="96.3"/>
    <x v="3"/>
    <s v="2347167796|2016-04-24"/>
  </r>
  <r>
    <n v="2347167796"/>
    <d v="2016-04-25T00:00:00"/>
    <n v="1"/>
    <n v="433"/>
    <n v="471"/>
    <x v="6"/>
    <n v="7.22"/>
    <n v="7.85"/>
    <n v="38"/>
    <n v="91.93"/>
    <x v="3"/>
    <s v="2347167796|2016-04-25"/>
  </r>
  <r>
    <n v="2347167796"/>
    <d v="2016-04-26T00:00:00"/>
    <n v="1"/>
    <n v="436"/>
    <n v="490"/>
    <x v="0"/>
    <n v="7.27"/>
    <n v="8.17"/>
    <n v="54"/>
    <n v="88.98"/>
    <x v="3"/>
    <s v="2347167796|2016-04-26"/>
  </r>
  <r>
    <n v="2347167796"/>
    <d v="2016-04-27T00:00:00"/>
    <n v="1"/>
    <n v="448"/>
    <n v="499"/>
    <x v="1"/>
    <n v="7.47"/>
    <n v="8.32"/>
    <n v="51"/>
    <n v="89.78"/>
    <x v="3"/>
    <s v="2347167796|2016-04-27"/>
  </r>
  <r>
    <n v="2347167796"/>
    <d v="2016-04-28T00:00:00"/>
    <n v="1"/>
    <n v="408"/>
    <n v="450"/>
    <x v="5"/>
    <n v="6.8"/>
    <n v="7.5"/>
    <n v="42"/>
    <n v="90.67"/>
    <x v="1"/>
    <s v="2347167796|2016-04-28"/>
  </r>
  <r>
    <n v="2347167796"/>
    <d v="2016-04-29T00:00:00"/>
    <n v="1"/>
    <n v="411"/>
    <n v="473"/>
    <x v="2"/>
    <n v="6.85"/>
    <n v="7.88"/>
    <n v="62"/>
    <n v="86.89"/>
    <x v="1"/>
    <s v="2347167796|2016-04-29"/>
  </r>
  <r>
    <n v="3977333714"/>
    <d v="2016-04-12T00:00:00"/>
    <n v="1"/>
    <n v="274"/>
    <n v="469"/>
    <x v="0"/>
    <n v="4.57"/>
    <n v="7.82"/>
    <n v="195"/>
    <n v="58.42"/>
    <x v="0"/>
    <s v="3977333714|2016-04-12"/>
  </r>
  <r>
    <n v="3977333714"/>
    <d v="2016-04-13T00:00:00"/>
    <n v="2"/>
    <n v="295"/>
    <n v="456"/>
    <x v="1"/>
    <n v="4.92"/>
    <n v="7.6"/>
    <n v="161"/>
    <n v="64.69"/>
    <x v="0"/>
    <s v="3977333714|2016-04-13"/>
  </r>
  <r>
    <n v="3977333714"/>
    <d v="2016-04-14T00:00:00"/>
    <n v="1"/>
    <n v="291"/>
    <n v="397"/>
    <x v="5"/>
    <n v="4.8499999999999996"/>
    <n v="6.62"/>
    <n v="106"/>
    <n v="73.3"/>
    <x v="0"/>
    <s v="3977333714|2016-04-14"/>
  </r>
  <r>
    <n v="3977333714"/>
    <d v="2016-04-15T00:00:00"/>
    <n v="1"/>
    <n v="424"/>
    <n v="556"/>
    <x v="2"/>
    <n v="7.07"/>
    <n v="9.27"/>
    <n v="132"/>
    <n v="76.260000000000005"/>
    <x v="3"/>
    <s v="3977333714|2016-04-15"/>
  </r>
  <r>
    <n v="3977333714"/>
    <d v="2016-04-16T00:00:00"/>
    <n v="1"/>
    <n v="283"/>
    <n v="510"/>
    <x v="3"/>
    <n v="4.72"/>
    <n v="8.5"/>
    <n v="227"/>
    <n v="55.49"/>
    <x v="0"/>
    <s v="3977333714|2016-04-16"/>
  </r>
  <r>
    <n v="3977333714"/>
    <d v="2016-04-17T00:00:00"/>
    <n v="1"/>
    <n v="381"/>
    <n v="566"/>
    <x v="4"/>
    <n v="6.35"/>
    <n v="9.43"/>
    <n v="185"/>
    <n v="67.31"/>
    <x v="1"/>
    <s v="3977333714|2016-04-17"/>
  </r>
  <r>
    <n v="3977333714"/>
    <d v="2016-04-18T00:00:00"/>
    <n v="2"/>
    <n v="412"/>
    <n v="522"/>
    <x v="6"/>
    <n v="6.87"/>
    <n v="8.6999999999999993"/>
    <n v="110"/>
    <n v="78.930000000000007"/>
    <x v="1"/>
    <s v="3977333714|2016-04-18"/>
  </r>
  <r>
    <n v="3977333714"/>
    <d v="2016-04-19T00:00:00"/>
    <n v="1"/>
    <n v="219"/>
    <n v="395"/>
    <x v="0"/>
    <n v="3.65"/>
    <n v="6.58"/>
    <n v="176"/>
    <n v="55.44"/>
    <x v="0"/>
    <s v="3977333714|2016-04-19"/>
  </r>
  <r>
    <n v="3977333714"/>
    <d v="2016-04-20T00:00:00"/>
    <n v="2"/>
    <n v="152"/>
    <n v="305"/>
    <x v="1"/>
    <n v="2.5299999999999998"/>
    <n v="5.08"/>
    <n v="153"/>
    <n v="49.84"/>
    <x v="0"/>
    <s v="3977333714|2016-04-20"/>
  </r>
  <r>
    <n v="3977333714"/>
    <d v="2016-04-21T00:00:00"/>
    <n v="1"/>
    <n v="332"/>
    <n v="512"/>
    <x v="5"/>
    <n v="5.53"/>
    <n v="8.5299999999999994"/>
    <n v="180"/>
    <n v="64.84"/>
    <x v="0"/>
    <s v="3977333714|2016-04-21"/>
  </r>
  <r>
    <n v="3977333714"/>
    <d v="2016-04-22T00:00:00"/>
    <n v="1"/>
    <n v="355"/>
    <n v="476"/>
    <x v="2"/>
    <n v="5.92"/>
    <n v="7.93"/>
    <n v="121"/>
    <n v="74.58"/>
    <x v="0"/>
    <s v="3977333714|2016-04-22"/>
  </r>
  <r>
    <n v="3977333714"/>
    <d v="2016-04-23T00:00:00"/>
    <n v="1"/>
    <n v="235"/>
    <n v="372"/>
    <x v="3"/>
    <n v="3.92"/>
    <n v="6.2"/>
    <n v="137"/>
    <n v="63.17"/>
    <x v="0"/>
    <s v="3977333714|2016-04-23"/>
  </r>
  <r>
    <n v="3977333714"/>
    <d v="2016-04-24T00:00:00"/>
    <n v="1"/>
    <n v="310"/>
    <n v="526"/>
    <x v="4"/>
    <n v="5.17"/>
    <n v="8.77"/>
    <n v="216"/>
    <n v="58.94"/>
    <x v="0"/>
    <s v="3977333714|2016-04-24"/>
  </r>
  <r>
    <n v="3977333714"/>
    <d v="2016-04-25T00:00:00"/>
    <n v="1"/>
    <n v="262"/>
    <n v="467"/>
    <x v="6"/>
    <n v="4.37"/>
    <n v="7.78"/>
    <n v="205"/>
    <n v="56.1"/>
    <x v="0"/>
    <s v="3977333714|2016-04-25"/>
  </r>
  <r>
    <n v="3977333714"/>
    <d v="2016-04-26T00:00:00"/>
    <n v="1"/>
    <n v="250"/>
    <n v="371"/>
    <x v="0"/>
    <n v="4.17"/>
    <n v="6.18"/>
    <n v="121"/>
    <n v="67.39"/>
    <x v="0"/>
    <s v="3977333714|2016-04-26"/>
  </r>
  <r>
    <n v="3977333714"/>
    <d v="2016-04-27T00:00:00"/>
    <n v="1"/>
    <n v="349"/>
    <n v="540"/>
    <x v="1"/>
    <n v="5.82"/>
    <n v="9"/>
    <n v="191"/>
    <n v="64.63"/>
    <x v="0"/>
    <s v="3977333714|2016-04-27"/>
  </r>
  <r>
    <n v="3977333714"/>
    <d v="2016-04-28T00:00:00"/>
    <n v="1"/>
    <n v="261"/>
    <n v="423"/>
    <x v="5"/>
    <n v="4.3499999999999996"/>
    <n v="7.05"/>
    <n v="162"/>
    <n v="61.7"/>
    <x v="0"/>
    <s v="3977333714|2016-04-28"/>
  </r>
  <r>
    <n v="3977333714"/>
    <d v="2016-04-29T00:00:00"/>
    <n v="1"/>
    <n v="333"/>
    <n v="478"/>
    <x v="2"/>
    <n v="5.55"/>
    <n v="7.97"/>
    <n v="145"/>
    <n v="69.67"/>
    <x v="0"/>
    <s v="3977333714|2016-04-29"/>
  </r>
  <r>
    <n v="3977333714"/>
    <d v="2016-04-30T00:00:00"/>
    <n v="1"/>
    <n v="237"/>
    <n v="382"/>
    <x v="3"/>
    <n v="3.95"/>
    <n v="6.37"/>
    <n v="145"/>
    <n v="62.04"/>
    <x v="0"/>
    <s v="3977333714|2016-04-30"/>
  </r>
  <r>
    <n v="3977333714"/>
    <d v="2016-05-01T00:00:00"/>
    <n v="1"/>
    <n v="383"/>
    <n v="626"/>
    <x v="4"/>
    <n v="6.38"/>
    <n v="10.43"/>
    <n v="243"/>
    <n v="61.18"/>
    <x v="1"/>
    <s v="3977333714|2016-05-01"/>
  </r>
  <r>
    <n v="3977333714"/>
    <d v="2016-05-02T00:00:00"/>
    <n v="1"/>
    <n v="230"/>
    <n v="384"/>
    <x v="6"/>
    <n v="3.83"/>
    <n v="6.4"/>
    <n v="154"/>
    <n v="59.9"/>
    <x v="0"/>
    <s v="3977333714|2016-05-02"/>
  </r>
  <r>
    <n v="3977333714"/>
    <d v="2016-05-03T00:00:00"/>
    <n v="1"/>
    <n v="292"/>
    <n v="500"/>
    <x v="0"/>
    <n v="4.87"/>
    <n v="8.33"/>
    <n v="208"/>
    <n v="58.4"/>
    <x v="0"/>
    <s v="3977333714|2016-05-03"/>
  </r>
  <r>
    <n v="3977333714"/>
    <d v="2016-05-04T00:00:00"/>
    <n v="1"/>
    <n v="213"/>
    <n v="336"/>
    <x v="1"/>
    <n v="3.55"/>
    <n v="5.6"/>
    <n v="123"/>
    <n v="63.39"/>
    <x v="0"/>
    <s v="3977333714|2016-05-04"/>
  </r>
  <r>
    <n v="3977333714"/>
    <d v="2016-05-05T00:00:00"/>
    <n v="1"/>
    <n v="318"/>
    <n v="480"/>
    <x v="5"/>
    <n v="5.3"/>
    <n v="8"/>
    <n v="162"/>
    <n v="66.25"/>
    <x v="0"/>
    <s v="3977333714|2016-05-05"/>
  </r>
  <r>
    <n v="3977333714"/>
    <d v="2016-05-06T00:00:00"/>
    <n v="1"/>
    <n v="323"/>
    <n v="512"/>
    <x v="2"/>
    <n v="5.38"/>
    <n v="8.5299999999999994"/>
    <n v="189"/>
    <n v="63.09"/>
    <x v="0"/>
    <s v="3977333714|2016-05-06"/>
  </r>
  <r>
    <n v="3977333714"/>
    <d v="2016-05-07T00:00:00"/>
    <n v="1"/>
    <n v="237"/>
    <n v="443"/>
    <x v="3"/>
    <n v="3.95"/>
    <n v="7.38"/>
    <n v="206"/>
    <n v="53.5"/>
    <x v="0"/>
    <s v="3977333714|2016-05-07"/>
  </r>
  <r>
    <n v="3977333714"/>
    <d v="2016-05-08T00:00:00"/>
    <n v="2"/>
    <n v="259"/>
    <n v="456"/>
    <x v="4"/>
    <n v="4.32"/>
    <n v="7.6"/>
    <n v="197"/>
    <n v="56.8"/>
    <x v="0"/>
    <s v="3977333714|2016-05-08"/>
  </r>
  <r>
    <n v="3977333714"/>
    <d v="2016-05-10T00:00:00"/>
    <n v="1"/>
    <n v="312"/>
    <n v="452"/>
    <x v="0"/>
    <n v="5.2"/>
    <n v="7.53"/>
    <n v="140"/>
    <n v="69.03"/>
    <x v="0"/>
    <s v="3977333714|2016-05-10"/>
  </r>
  <r>
    <n v="4020332650"/>
    <d v="2016-04-12T00:00:00"/>
    <n v="1"/>
    <n v="501"/>
    <n v="541"/>
    <x v="0"/>
    <n v="8.35"/>
    <n v="9.02"/>
    <n v="40"/>
    <n v="92.61"/>
    <x v="3"/>
    <s v="4020332650|2016-04-12"/>
  </r>
  <r>
    <n v="4020332650"/>
    <d v="2016-04-16T00:00:00"/>
    <n v="1"/>
    <n v="77"/>
    <n v="77"/>
    <x v="3"/>
    <n v="1.28"/>
    <n v="1.28"/>
    <n v="0"/>
    <n v="100"/>
    <x v="0"/>
    <s v="4020332650|2016-04-16"/>
  </r>
  <r>
    <n v="4020332650"/>
    <d v="2016-05-03T00:00:00"/>
    <n v="1"/>
    <n v="322"/>
    <n v="332"/>
    <x v="0"/>
    <n v="5.37"/>
    <n v="5.53"/>
    <n v="10"/>
    <n v="96.99"/>
    <x v="0"/>
    <s v="4020332650|2016-05-03"/>
  </r>
  <r>
    <n v="4020332650"/>
    <d v="2016-05-04T00:00:00"/>
    <n v="1"/>
    <n v="478"/>
    <n v="536"/>
    <x v="1"/>
    <n v="7.97"/>
    <n v="8.93"/>
    <n v="58"/>
    <n v="89.18"/>
    <x v="3"/>
    <s v="4020332650|2016-05-04"/>
  </r>
  <r>
    <n v="4020332650"/>
    <d v="2016-05-05T00:00:00"/>
    <n v="1"/>
    <n v="226"/>
    <n v="248"/>
    <x v="5"/>
    <n v="3.77"/>
    <n v="4.13"/>
    <n v="22"/>
    <n v="91.13"/>
    <x v="0"/>
    <s v="4020332650|2016-05-05"/>
  </r>
  <r>
    <n v="4020332650"/>
    <d v="2016-05-06T00:00:00"/>
    <n v="1"/>
    <n v="385"/>
    <n v="408"/>
    <x v="2"/>
    <n v="6.42"/>
    <n v="6.8"/>
    <n v="23"/>
    <n v="94.36"/>
    <x v="1"/>
    <s v="4020332650|2016-05-06"/>
  </r>
  <r>
    <n v="4020332650"/>
    <d v="2016-05-08T00:00:00"/>
    <n v="1"/>
    <n v="364"/>
    <n v="402"/>
    <x v="4"/>
    <n v="6.07"/>
    <n v="6.7"/>
    <n v="38"/>
    <n v="90.55"/>
    <x v="1"/>
    <s v="4020332650|2016-05-08"/>
  </r>
  <r>
    <n v="4020332650"/>
    <d v="2016-05-10T00:00:00"/>
    <n v="1"/>
    <n v="442"/>
    <n v="494"/>
    <x v="0"/>
    <n v="7.37"/>
    <n v="8.23"/>
    <n v="52"/>
    <n v="89.47"/>
    <x v="3"/>
    <s v="4020332650|2016-05-10"/>
  </r>
  <r>
    <n v="4319703577"/>
    <d v="2016-04-14T00:00:00"/>
    <n v="1"/>
    <n v="535"/>
    <n v="557"/>
    <x v="5"/>
    <n v="8.92"/>
    <n v="9.2799999999999994"/>
    <n v="22"/>
    <n v="96.05"/>
    <x v="3"/>
    <s v="4319703577|2016-04-14"/>
  </r>
  <r>
    <n v="4319703577"/>
    <d v="2016-04-15T00:00:00"/>
    <n v="1"/>
    <n v="465"/>
    <n v="491"/>
    <x v="2"/>
    <n v="7.75"/>
    <n v="8.18"/>
    <n v="26"/>
    <n v="94.7"/>
    <x v="3"/>
    <s v="4319703577|2016-04-15"/>
  </r>
  <r>
    <n v="4319703577"/>
    <d v="2016-04-16T00:00:00"/>
    <n v="1"/>
    <n v="506"/>
    <n v="522"/>
    <x v="3"/>
    <n v="8.43"/>
    <n v="8.6999999999999993"/>
    <n v="16"/>
    <n v="96.93"/>
    <x v="3"/>
    <s v="4319703577|2016-04-16"/>
  </r>
  <r>
    <n v="4319703577"/>
    <d v="2016-04-18T00:00:00"/>
    <n v="1"/>
    <n v="515"/>
    <n v="551"/>
    <x v="6"/>
    <n v="8.58"/>
    <n v="9.18"/>
    <n v="36"/>
    <n v="93.47"/>
    <x v="3"/>
    <s v="4319703577|2016-04-18"/>
  </r>
  <r>
    <n v="4319703577"/>
    <d v="2016-04-19T00:00:00"/>
    <n v="2"/>
    <n v="461"/>
    <n v="498"/>
    <x v="0"/>
    <n v="7.68"/>
    <n v="8.3000000000000007"/>
    <n v="37"/>
    <n v="92.57"/>
    <x v="3"/>
    <s v="4319703577|2016-04-19"/>
  </r>
  <r>
    <n v="4319703577"/>
    <d v="2016-04-20T00:00:00"/>
    <n v="1"/>
    <n v="523"/>
    <n v="543"/>
    <x v="1"/>
    <n v="8.7200000000000006"/>
    <n v="9.0500000000000007"/>
    <n v="20"/>
    <n v="96.32"/>
    <x v="3"/>
    <s v="4319703577|2016-04-20"/>
  </r>
  <r>
    <n v="4319703577"/>
    <d v="2016-04-21T00:00:00"/>
    <n v="1"/>
    <n v="59"/>
    <n v="65"/>
    <x v="5"/>
    <n v="0.98"/>
    <n v="1.08"/>
    <n v="6"/>
    <n v="90.77"/>
    <x v="0"/>
    <s v="4319703577|2016-04-21"/>
  </r>
  <r>
    <n v="4319703577"/>
    <d v="2016-04-22T00:00:00"/>
    <n v="1"/>
    <n v="533"/>
    <n v="550"/>
    <x v="2"/>
    <n v="8.8800000000000008"/>
    <n v="9.17"/>
    <n v="17"/>
    <n v="96.91"/>
    <x v="3"/>
    <s v="4319703577|2016-04-22"/>
  </r>
  <r>
    <n v="4319703577"/>
    <d v="2016-04-23T00:00:00"/>
    <n v="1"/>
    <n v="692"/>
    <n v="722"/>
    <x v="3"/>
    <n v="11.53"/>
    <n v="12.03"/>
    <n v="30"/>
    <n v="95.84"/>
    <x v="2"/>
    <s v="4319703577|2016-04-23"/>
  </r>
  <r>
    <n v="4319703577"/>
    <d v="2016-04-24T00:00:00"/>
    <n v="1"/>
    <n v="467"/>
    <n v="501"/>
    <x v="4"/>
    <n v="7.78"/>
    <n v="8.35"/>
    <n v="34"/>
    <n v="93.21"/>
    <x v="3"/>
    <s v="4319703577|2016-04-24"/>
  </r>
  <r>
    <n v="4319703577"/>
    <d v="2016-04-25T00:00:00"/>
    <n v="1"/>
    <n v="488"/>
    <n v="506"/>
    <x v="6"/>
    <n v="8.1300000000000008"/>
    <n v="8.43"/>
    <n v="18"/>
    <n v="96.44"/>
    <x v="3"/>
    <s v="4319703577|2016-04-25"/>
  </r>
  <r>
    <n v="4319703577"/>
    <d v="2016-04-26T00:00:00"/>
    <n v="1"/>
    <n v="505"/>
    <n v="516"/>
    <x v="0"/>
    <n v="8.42"/>
    <n v="8.6"/>
    <n v="11"/>
    <n v="97.87"/>
    <x v="3"/>
    <s v="4319703577|2016-04-26"/>
  </r>
  <r>
    <n v="4319703577"/>
    <d v="2016-04-27T00:00:00"/>
    <n v="1"/>
    <n v="286"/>
    <n v="307"/>
    <x v="1"/>
    <n v="4.7699999999999996"/>
    <n v="5.12"/>
    <n v="21"/>
    <n v="93.16"/>
    <x v="0"/>
    <s v="4319703577|2016-04-27"/>
  </r>
  <r>
    <n v="4319703577"/>
    <d v="2016-04-28T00:00:00"/>
    <n v="1"/>
    <n v="497"/>
    <n v="522"/>
    <x v="5"/>
    <n v="8.2799999999999994"/>
    <n v="8.6999999999999993"/>
    <n v="25"/>
    <n v="95.21"/>
    <x v="3"/>
    <s v="4319703577|2016-04-28"/>
  </r>
  <r>
    <n v="4319703577"/>
    <d v="2016-04-29T00:00:00"/>
    <n v="1"/>
    <n v="523"/>
    <n v="546"/>
    <x v="2"/>
    <n v="8.7200000000000006"/>
    <n v="9.1"/>
    <n v="23"/>
    <n v="95.79"/>
    <x v="3"/>
    <s v="4319703577|2016-04-29"/>
  </r>
  <r>
    <n v="4319703577"/>
    <d v="2016-04-30T00:00:00"/>
    <n v="1"/>
    <n v="490"/>
    <n v="516"/>
    <x v="3"/>
    <n v="8.17"/>
    <n v="8.6"/>
    <n v="26"/>
    <n v="94.96"/>
    <x v="3"/>
    <s v="4319703577|2016-04-30"/>
  </r>
  <r>
    <n v="4319703577"/>
    <d v="2016-05-01T00:00:00"/>
    <n v="1"/>
    <n v="484"/>
    <n v="500"/>
    <x v="4"/>
    <n v="8.07"/>
    <n v="8.33"/>
    <n v="16"/>
    <n v="96.8"/>
    <x v="3"/>
    <s v="4319703577|2016-05-01"/>
  </r>
  <r>
    <n v="4319703577"/>
    <d v="2016-05-02T00:00:00"/>
    <n v="1"/>
    <n v="478"/>
    <n v="506"/>
    <x v="6"/>
    <n v="7.97"/>
    <n v="8.43"/>
    <n v="28"/>
    <n v="94.47"/>
    <x v="3"/>
    <s v="4319703577|2016-05-02"/>
  </r>
  <r>
    <n v="4319703577"/>
    <d v="2016-05-03T00:00:00"/>
    <n v="1"/>
    <n v="474"/>
    <n v="512"/>
    <x v="0"/>
    <n v="7.9"/>
    <n v="8.5299999999999994"/>
    <n v="38"/>
    <n v="92.58"/>
    <x v="3"/>
    <s v="4319703577|2016-05-03"/>
  </r>
  <r>
    <n v="4319703577"/>
    <d v="2016-05-06T00:00:00"/>
    <n v="1"/>
    <n v="450"/>
    <n v="491"/>
    <x v="2"/>
    <n v="7.5"/>
    <n v="8.18"/>
    <n v="41"/>
    <n v="91.65"/>
    <x v="3"/>
    <s v="4319703577|2016-05-06"/>
  </r>
  <r>
    <n v="4319703577"/>
    <d v="2016-05-07T00:00:00"/>
    <n v="1"/>
    <n v="507"/>
    <n v="530"/>
    <x v="3"/>
    <n v="8.4499999999999993"/>
    <n v="8.83"/>
    <n v="23"/>
    <n v="95.66"/>
    <x v="3"/>
    <s v="4319703577|2016-05-07"/>
  </r>
  <r>
    <n v="4319703577"/>
    <d v="2016-05-08T00:00:00"/>
    <n v="1"/>
    <n v="602"/>
    <n v="638"/>
    <x v="4"/>
    <n v="10.029999999999999"/>
    <n v="10.63"/>
    <n v="36"/>
    <n v="94.36"/>
    <x v="2"/>
    <s v="4319703577|2016-05-08"/>
  </r>
  <r>
    <n v="4319703577"/>
    <d v="2016-05-09T00:00:00"/>
    <n v="1"/>
    <n v="535"/>
    <n v="565"/>
    <x v="6"/>
    <n v="8.92"/>
    <n v="9.42"/>
    <n v="30"/>
    <n v="94.69"/>
    <x v="3"/>
    <s v="4319703577|2016-05-09"/>
  </r>
  <r>
    <n v="4319703577"/>
    <d v="2016-05-10T00:00:00"/>
    <n v="1"/>
    <n v="487"/>
    <n v="517"/>
    <x v="0"/>
    <n v="8.1199999999999992"/>
    <n v="8.6199999999999992"/>
    <n v="30"/>
    <n v="94.2"/>
    <x v="3"/>
    <s v="4319703577|2016-05-10"/>
  </r>
  <r>
    <n v="4319703577"/>
    <d v="2016-05-11T00:00:00"/>
    <n v="1"/>
    <n v="529"/>
    <n v="558"/>
    <x v="1"/>
    <n v="8.82"/>
    <n v="9.3000000000000007"/>
    <n v="29"/>
    <n v="94.8"/>
    <x v="3"/>
    <s v="4319703577|2016-05-11"/>
  </r>
  <r>
    <n v="4319703577"/>
    <d v="2016-05-12T00:00:00"/>
    <n v="1"/>
    <n v="302"/>
    <n v="321"/>
    <x v="5"/>
    <n v="5.03"/>
    <n v="5.35"/>
    <n v="19"/>
    <n v="94.08"/>
    <x v="0"/>
    <s v="4319703577|2016-05-12"/>
  </r>
  <r>
    <n v="4388161847"/>
    <d v="2016-04-15T00:00:00"/>
    <n v="1"/>
    <n v="499"/>
    <n v="526"/>
    <x v="2"/>
    <n v="8.32"/>
    <n v="8.77"/>
    <n v="27"/>
    <n v="94.87"/>
    <x v="3"/>
    <s v="4388161847|2016-04-15"/>
  </r>
  <r>
    <n v="4388161847"/>
    <d v="2016-04-16T00:00:00"/>
    <n v="2"/>
    <n v="426"/>
    <n v="448"/>
    <x v="3"/>
    <n v="7.1"/>
    <n v="7.47"/>
    <n v="22"/>
    <n v="95.09"/>
    <x v="3"/>
    <s v="4388161847|2016-04-16"/>
  </r>
  <r>
    <n v="4388161847"/>
    <d v="2016-04-17T00:00:00"/>
    <n v="2"/>
    <n v="619"/>
    <n v="641"/>
    <x v="4"/>
    <n v="10.32"/>
    <n v="10.68"/>
    <n v="22"/>
    <n v="96.57"/>
    <x v="2"/>
    <s v="4388161847|2016-04-17"/>
  </r>
  <r>
    <n v="4388161847"/>
    <d v="2016-04-18T00:00:00"/>
    <n v="1"/>
    <n v="99"/>
    <n v="104"/>
    <x v="6"/>
    <n v="1.65"/>
    <n v="1.73"/>
    <n v="5"/>
    <n v="95.19"/>
    <x v="0"/>
    <s v="4388161847|2016-04-18"/>
  </r>
  <r>
    <n v="4388161847"/>
    <d v="2016-04-19T00:00:00"/>
    <n v="1"/>
    <n v="329"/>
    <n v="338"/>
    <x v="0"/>
    <n v="5.48"/>
    <n v="5.63"/>
    <n v="9"/>
    <n v="97.34"/>
    <x v="0"/>
    <s v="4388161847|2016-04-19"/>
  </r>
  <r>
    <n v="4388161847"/>
    <d v="2016-04-20T00:00:00"/>
    <n v="1"/>
    <n v="421"/>
    <n v="451"/>
    <x v="1"/>
    <n v="7.02"/>
    <n v="7.52"/>
    <n v="30"/>
    <n v="93.35"/>
    <x v="3"/>
    <s v="4388161847|2016-04-20"/>
  </r>
  <r>
    <n v="4388161847"/>
    <d v="2016-04-21T00:00:00"/>
    <n v="1"/>
    <n v="442"/>
    <n v="458"/>
    <x v="5"/>
    <n v="7.37"/>
    <n v="7.63"/>
    <n v="16"/>
    <n v="96.51"/>
    <x v="3"/>
    <s v="4388161847|2016-04-21"/>
  </r>
  <r>
    <n v="4388161847"/>
    <d v="2016-04-22T00:00:00"/>
    <n v="1"/>
    <n v="82"/>
    <n v="85"/>
    <x v="2"/>
    <n v="1.37"/>
    <n v="1.42"/>
    <n v="3"/>
    <n v="96.47"/>
    <x v="0"/>
    <s v="4388161847|2016-04-22"/>
  </r>
  <r>
    <n v="4388161847"/>
    <d v="2016-04-23T00:00:00"/>
    <n v="1"/>
    <n v="478"/>
    <n v="501"/>
    <x v="3"/>
    <n v="7.97"/>
    <n v="8.35"/>
    <n v="23"/>
    <n v="95.41"/>
    <x v="3"/>
    <s v="4388161847|2016-04-23"/>
  </r>
  <r>
    <n v="4388161847"/>
    <d v="2016-04-24T00:00:00"/>
    <n v="3"/>
    <n v="552"/>
    <n v="595"/>
    <x v="4"/>
    <n v="9.1999999999999993"/>
    <n v="9.92"/>
    <n v="43"/>
    <n v="92.77"/>
    <x v="2"/>
    <s v="4388161847|2016-04-24"/>
  </r>
  <r>
    <n v="4388161847"/>
    <d v="2016-04-26T00:00:00"/>
    <n v="1"/>
    <n v="319"/>
    <n v="346"/>
    <x v="0"/>
    <n v="5.32"/>
    <n v="5.77"/>
    <n v="27"/>
    <n v="92.2"/>
    <x v="0"/>
    <s v="4388161847|2016-04-26"/>
  </r>
  <r>
    <n v="4388161847"/>
    <d v="2016-04-27T00:00:00"/>
    <n v="1"/>
    <n v="439"/>
    <n v="500"/>
    <x v="1"/>
    <n v="7.32"/>
    <n v="8.33"/>
    <n v="61"/>
    <n v="87.8"/>
    <x v="3"/>
    <s v="4388161847|2016-04-27"/>
  </r>
  <r>
    <n v="4388161847"/>
    <d v="2016-04-28T00:00:00"/>
    <n v="1"/>
    <n v="428"/>
    <n v="458"/>
    <x v="5"/>
    <n v="7.13"/>
    <n v="7.63"/>
    <n v="30"/>
    <n v="93.45"/>
    <x v="3"/>
    <s v="4388161847|2016-04-28"/>
  </r>
  <r>
    <n v="4388161847"/>
    <d v="2016-04-30T00:00:00"/>
    <n v="2"/>
    <n v="409"/>
    <n v="430"/>
    <x v="3"/>
    <n v="6.82"/>
    <n v="7.17"/>
    <n v="21"/>
    <n v="95.12"/>
    <x v="1"/>
    <s v="4388161847|2016-04-30"/>
  </r>
  <r>
    <n v="4388161847"/>
    <d v="2016-05-01T00:00:00"/>
    <n v="1"/>
    <n v="547"/>
    <n v="597"/>
    <x v="4"/>
    <n v="9.1199999999999992"/>
    <n v="9.9499999999999993"/>
    <n v="50"/>
    <n v="91.62"/>
    <x v="2"/>
    <s v="4388161847|2016-05-01"/>
  </r>
  <r>
    <n v="4388161847"/>
    <d v="2016-05-02T00:00:00"/>
    <n v="2"/>
    <n v="368"/>
    <n v="376"/>
    <x v="6"/>
    <n v="6.13"/>
    <n v="6.27"/>
    <n v="8"/>
    <n v="97.87"/>
    <x v="1"/>
    <s v="4388161847|2016-05-02"/>
  </r>
  <r>
    <n v="4388161847"/>
    <d v="2016-05-04T00:00:00"/>
    <n v="1"/>
    <n v="390"/>
    <n v="414"/>
    <x v="1"/>
    <n v="6.5"/>
    <n v="6.9"/>
    <n v="24"/>
    <n v="94.2"/>
    <x v="1"/>
    <s v="4388161847|2016-05-04"/>
  </r>
  <r>
    <n v="4388161847"/>
    <d v="2016-05-05T00:00:00"/>
    <n v="1"/>
    <n v="471"/>
    <n v="495"/>
    <x v="5"/>
    <n v="7.85"/>
    <n v="8.25"/>
    <n v="24"/>
    <n v="95.15"/>
    <x v="3"/>
    <s v="4388161847|2016-05-05"/>
  </r>
  <r>
    <n v="4388161847"/>
    <d v="2016-05-07T00:00:00"/>
    <n v="1"/>
    <n v="472"/>
    <n v="496"/>
    <x v="3"/>
    <n v="7.87"/>
    <n v="8.27"/>
    <n v="24"/>
    <n v="95.16"/>
    <x v="3"/>
    <s v="4388161847|2016-05-07"/>
  </r>
  <r>
    <n v="4388161847"/>
    <d v="2016-05-08T00:00:00"/>
    <n v="2"/>
    <n v="529"/>
    <n v="541"/>
    <x v="4"/>
    <n v="8.82"/>
    <n v="9.02"/>
    <n v="12"/>
    <n v="97.78"/>
    <x v="3"/>
    <s v="4388161847|2016-05-08"/>
  </r>
  <r>
    <n v="4388161847"/>
    <d v="2016-05-09T00:00:00"/>
    <n v="1"/>
    <n v="62"/>
    <n v="65"/>
    <x v="6"/>
    <n v="1.03"/>
    <n v="1.08"/>
    <n v="3"/>
    <n v="95.38"/>
    <x v="0"/>
    <s v="4388161847|2016-05-09"/>
  </r>
  <r>
    <n v="4388161847"/>
    <d v="2016-05-10T00:00:00"/>
    <n v="1"/>
    <n v="354"/>
    <n v="375"/>
    <x v="0"/>
    <n v="5.9"/>
    <n v="6.25"/>
    <n v="21"/>
    <n v="94.4"/>
    <x v="0"/>
    <s v="4388161847|2016-05-10"/>
  </r>
  <r>
    <n v="4388161847"/>
    <d v="2016-05-11T00:00:00"/>
    <n v="1"/>
    <n v="469"/>
    <n v="494"/>
    <x v="1"/>
    <n v="7.82"/>
    <n v="8.23"/>
    <n v="25"/>
    <n v="94.94"/>
    <x v="3"/>
    <s v="4388161847|2016-05-11"/>
  </r>
  <r>
    <n v="4445114986"/>
    <d v="2016-04-12T00:00:00"/>
    <n v="2"/>
    <n v="429"/>
    <n v="457"/>
    <x v="0"/>
    <n v="7.15"/>
    <n v="7.62"/>
    <n v="28"/>
    <n v="93.87"/>
    <x v="3"/>
    <s v="4445114986|2016-04-12"/>
  </r>
  <r>
    <n v="4445114986"/>
    <d v="2016-04-13T00:00:00"/>
    <n v="2"/>
    <n v="370"/>
    <n v="406"/>
    <x v="1"/>
    <n v="6.17"/>
    <n v="6.77"/>
    <n v="36"/>
    <n v="91.13"/>
    <x v="1"/>
    <s v="4445114986|2016-04-13"/>
  </r>
  <r>
    <n v="4445114986"/>
    <d v="2016-04-14T00:00:00"/>
    <n v="1"/>
    <n v="441"/>
    <n v="492"/>
    <x v="5"/>
    <n v="7.35"/>
    <n v="8.1999999999999993"/>
    <n v="51"/>
    <n v="89.63"/>
    <x v="3"/>
    <s v="4445114986|2016-04-14"/>
  </r>
  <r>
    <n v="4445114986"/>
    <d v="2016-04-15T00:00:00"/>
    <n v="2"/>
    <n v="337"/>
    <n v="379"/>
    <x v="2"/>
    <n v="5.62"/>
    <n v="6.32"/>
    <n v="42"/>
    <n v="88.92"/>
    <x v="0"/>
    <s v="4445114986|2016-04-15"/>
  </r>
  <r>
    <n v="4445114986"/>
    <d v="2016-04-16T00:00:00"/>
    <n v="1"/>
    <n v="462"/>
    <n v="499"/>
    <x v="3"/>
    <n v="7.7"/>
    <n v="8.32"/>
    <n v="37"/>
    <n v="92.59"/>
    <x v="3"/>
    <s v="4445114986|2016-04-16"/>
  </r>
  <r>
    <n v="4445114986"/>
    <d v="2016-04-17T00:00:00"/>
    <n v="1"/>
    <n v="98"/>
    <n v="107"/>
    <x v="4"/>
    <n v="1.63"/>
    <n v="1.78"/>
    <n v="9"/>
    <n v="91.59"/>
    <x v="0"/>
    <s v="4445114986|2016-04-17"/>
  </r>
  <r>
    <n v="4445114986"/>
    <d v="2016-04-19T00:00:00"/>
    <n v="2"/>
    <n v="388"/>
    <n v="424"/>
    <x v="0"/>
    <n v="6.47"/>
    <n v="7.07"/>
    <n v="36"/>
    <n v="91.51"/>
    <x v="1"/>
    <s v="4445114986|2016-04-19"/>
  </r>
  <r>
    <n v="4445114986"/>
    <d v="2016-04-20T00:00:00"/>
    <n v="1"/>
    <n v="439"/>
    <n v="462"/>
    <x v="1"/>
    <n v="7.32"/>
    <n v="7.7"/>
    <n v="23"/>
    <n v="95.02"/>
    <x v="3"/>
    <s v="4445114986|2016-04-20"/>
  </r>
  <r>
    <n v="4445114986"/>
    <d v="2016-04-21T00:00:00"/>
    <n v="1"/>
    <n v="436"/>
    <n v="469"/>
    <x v="5"/>
    <n v="7.27"/>
    <n v="7.82"/>
    <n v="33"/>
    <n v="92.96"/>
    <x v="3"/>
    <s v="4445114986|2016-04-21"/>
  </r>
  <r>
    <n v="4445114986"/>
    <d v="2016-04-22T00:00:00"/>
    <n v="1"/>
    <n v="388"/>
    <n v="417"/>
    <x v="2"/>
    <n v="6.47"/>
    <n v="6.95"/>
    <n v="29"/>
    <n v="93.05"/>
    <x v="1"/>
    <s v="4445114986|2016-04-22"/>
  </r>
  <r>
    <n v="4445114986"/>
    <d v="2016-04-25T00:00:00"/>
    <n v="1"/>
    <n v="328"/>
    <n v="345"/>
    <x v="6"/>
    <n v="5.47"/>
    <n v="5.75"/>
    <n v="17"/>
    <n v="95.07"/>
    <x v="0"/>
    <s v="4445114986|2016-04-25"/>
  </r>
  <r>
    <n v="4445114986"/>
    <d v="2016-04-26T00:00:00"/>
    <n v="2"/>
    <n v="353"/>
    <n v="391"/>
    <x v="0"/>
    <n v="5.88"/>
    <n v="6.52"/>
    <n v="38"/>
    <n v="90.28"/>
    <x v="0"/>
    <s v="4445114986|2016-04-26"/>
  </r>
  <r>
    <n v="4445114986"/>
    <d v="2016-04-27T00:00:00"/>
    <n v="1"/>
    <n v="332"/>
    <n v="374"/>
    <x v="1"/>
    <n v="5.53"/>
    <n v="6.23"/>
    <n v="42"/>
    <n v="88.77"/>
    <x v="0"/>
    <s v="4445114986|2016-04-27"/>
  </r>
  <r>
    <n v="4445114986"/>
    <d v="2016-04-28T00:00:00"/>
    <n v="1"/>
    <n v="419"/>
    <n v="442"/>
    <x v="5"/>
    <n v="6.98"/>
    <n v="7.37"/>
    <n v="23"/>
    <n v="94.8"/>
    <x v="1"/>
    <s v="4445114986|2016-04-28"/>
  </r>
  <r>
    <n v="4445114986"/>
    <d v="2016-04-29T00:00:00"/>
    <n v="1"/>
    <n v="106"/>
    <n v="108"/>
    <x v="2"/>
    <n v="1.77"/>
    <n v="1.8"/>
    <n v="2"/>
    <n v="98.15"/>
    <x v="0"/>
    <s v="4445114986|2016-04-29"/>
  </r>
  <r>
    <n v="4445114986"/>
    <d v="2016-04-30T00:00:00"/>
    <n v="1"/>
    <n v="322"/>
    <n v="353"/>
    <x v="3"/>
    <n v="5.37"/>
    <n v="5.88"/>
    <n v="31"/>
    <n v="91.22"/>
    <x v="0"/>
    <s v="4445114986|2016-04-30"/>
  </r>
  <r>
    <n v="4445114986"/>
    <d v="2016-05-01T00:00:00"/>
    <n v="2"/>
    <n v="439"/>
    <n v="459"/>
    <x v="4"/>
    <n v="7.32"/>
    <n v="7.65"/>
    <n v="20"/>
    <n v="95.64"/>
    <x v="3"/>
    <s v="4445114986|2016-05-01"/>
  </r>
  <r>
    <n v="4445114986"/>
    <d v="2016-05-02T00:00:00"/>
    <n v="1"/>
    <n v="502"/>
    <n v="542"/>
    <x v="6"/>
    <n v="8.3699999999999992"/>
    <n v="9.0299999999999994"/>
    <n v="40"/>
    <n v="92.62"/>
    <x v="3"/>
    <s v="4445114986|2016-05-02"/>
  </r>
  <r>
    <n v="4445114986"/>
    <d v="2016-05-03T00:00:00"/>
    <n v="2"/>
    <n v="417"/>
    <n v="450"/>
    <x v="0"/>
    <n v="6.95"/>
    <n v="7.5"/>
    <n v="33"/>
    <n v="92.67"/>
    <x v="1"/>
    <s v="4445114986|2016-05-03"/>
  </r>
  <r>
    <n v="4445114986"/>
    <d v="2016-05-04T00:00:00"/>
    <n v="2"/>
    <n v="337"/>
    <n v="363"/>
    <x v="1"/>
    <n v="5.62"/>
    <n v="6.05"/>
    <n v="26"/>
    <n v="92.84"/>
    <x v="0"/>
    <s v="4445114986|2016-05-04"/>
  </r>
  <r>
    <n v="4445114986"/>
    <d v="2016-05-05T00:00:00"/>
    <n v="2"/>
    <n v="462"/>
    <n v="513"/>
    <x v="5"/>
    <n v="7.7"/>
    <n v="8.5500000000000007"/>
    <n v="51"/>
    <n v="90.06"/>
    <x v="3"/>
    <s v="4445114986|2016-05-05"/>
  </r>
  <r>
    <n v="4445114986"/>
    <d v="2016-05-06T00:00:00"/>
    <n v="2"/>
    <n v="374"/>
    <n v="402"/>
    <x v="2"/>
    <n v="6.23"/>
    <n v="6.7"/>
    <n v="28"/>
    <n v="93.03"/>
    <x v="1"/>
    <s v="4445114986|2016-05-06"/>
  </r>
  <r>
    <n v="4445114986"/>
    <d v="2016-05-07T00:00:00"/>
    <n v="2"/>
    <n v="401"/>
    <n v="436"/>
    <x v="3"/>
    <n v="6.68"/>
    <n v="7.27"/>
    <n v="35"/>
    <n v="91.97"/>
    <x v="1"/>
    <s v="4445114986|2016-05-07"/>
  </r>
  <r>
    <n v="4445114986"/>
    <d v="2016-05-08T00:00:00"/>
    <n v="1"/>
    <n v="361"/>
    <n v="391"/>
    <x v="4"/>
    <n v="6.02"/>
    <n v="6.52"/>
    <n v="30"/>
    <n v="92.33"/>
    <x v="1"/>
    <s v="4445114986|2016-05-08"/>
  </r>
  <r>
    <n v="4445114986"/>
    <d v="2016-05-09T00:00:00"/>
    <n v="1"/>
    <n v="457"/>
    <n v="533"/>
    <x v="6"/>
    <n v="7.62"/>
    <n v="8.8800000000000008"/>
    <n v="76"/>
    <n v="85.74"/>
    <x v="3"/>
    <s v="4445114986|2016-05-09"/>
  </r>
  <r>
    <n v="4445114986"/>
    <d v="2016-05-10T00:00:00"/>
    <n v="1"/>
    <n v="405"/>
    <n v="426"/>
    <x v="0"/>
    <n v="6.75"/>
    <n v="7.1"/>
    <n v="21"/>
    <n v="95.07"/>
    <x v="1"/>
    <s v="4445114986|2016-05-10"/>
  </r>
  <r>
    <n v="4445114986"/>
    <d v="2016-05-11T00:00:00"/>
    <n v="1"/>
    <n v="499"/>
    <n v="530"/>
    <x v="1"/>
    <n v="8.32"/>
    <n v="8.83"/>
    <n v="31"/>
    <n v="94.15"/>
    <x v="3"/>
    <s v="4445114986|2016-05-11"/>
  </r>
  <r>
    <n v="4445114986"/>
    <d v="2016-05-12T00:00:00"/>
    <n v="1"/>
    <n v="483"/>
    <n v="501"/>
    <x v="5"/>
    <n v="8.0500000000000007"/>
    <n v="8.35"/>
    <n v="18"/>
    <n v="96.41"/>
    <x v="3"/>
    <s v="4445114986|2016-05-12"/>
  </r>
  <r>
    <n v="4558609924"/>
    <d v="2016-04-21T00:00:00"/>
    <n v="1"/>
    <n v="126"/>
    <n v="137"/>
    <x v="5"/>
    <n v="2.1"/>
    <n v="2.2799999999999998"/>
    <n v="11"/>
    <n v="91.97"/>
    <x v="0"/>
    <s v="4558609924|2016-04-21"/>
  </r>
  <r>
    <n v="4558609924"/>
    <d v="2016-04-26T00:00:00"/>
    <n v="1"/>
    <n v="103"/>
    <n v="121"/>
    <x v="0"/>
    <n v="1.72"/>
    <n v="2.02"/>
    <n v="18"/>
    <n v="85.12"/>
    <x v="0"/>
    <s v="4558609924|2016-04-26"/>
  </r>
  <r>
    <n v="4558609924"/>
    <d v="2016-04-29T00:00:00"/>
    <n v="1"/>
    <n v="171"/>
    <n v="179"/>
    <x v="2"/>
    <n v="2.85"/>
    <n v="2.98"/>
    <n v="8"/>
    <n v="95.53"/>
    <x v="0"/>
    <s v="4558609924|2016-04-29"/>
  </r>
  <r>
    <n v="4558609924"/>
    <d v="2016-05-01T00:00:00"/>
    <n v="1"/>
    <n v="115"/>
    <n v="129"/>
    <x v="4"/>
    <n v="1.92"/>
    <n v="2.15"/>
    <n v="14"/>
    <n v="89.15"/>
    <x v="0"/>
    <s v="4558609924|2016-05-01"/>
  </r>
  <r>
    <n v="4558609924"/>
    <d v="2016-05-08T00:00:00"/>
    <n v="1"/>
    <n v="123"/>
    <n v="134"/>
    <x v="4"/>
    <n v="2.0499999999999998"/>
    <n v="2.23"/>
    <n v="11"/>
    <n v="91.79"/>
    <x v="0"/>
    <s v="4558609924|2016-05-08"/>
  </r>
  <r>
    <n v="4702921684"/>
    <d v="2016-04-12T00:00:00"/>
    <n v="1"/>
    <n v="425"/>
    <n v="439"/>
    <x v="0"/>
    <n v="7.08"/>
    <n v="7.32"/>
    <n v="14"/>
    <n v="96.81"/>
    <x v="3"/>
    <s v="4702921684|2016-04-12"/>
  </r>
  <r>
    <n v="4702921684"/>
    <d v="2016-04-13T00:00:00"/>
    <n v="2"/>
    <n v="400"/>
    <n v="430"/>
    <x v="1"/>
    <n v="6.67"/>
    <n v="7.17"/>
    <n v="30"/>
    <n v="93.02"/>
    <x v="1"/>
    <s v="4702921684|2016-04-13"/>
  </r>
  <r>
    <n v="4702921684"/>
    <d v="2016-04-14T00:00:00"/>
    <n v="1"/>
    <n v="384"/>
    <n v="415"/>
    <x v="5"/>
    <n v="6.4"/>
    <n v="6.92"/>
    <n v="31"/>
    <n v="92.53"/>
    <x v="1"/>
    <s v="4702921684|2016-04-14"/>
  </r>
  <r>
    <n v="4702921684"/>
    <d v="2016-04-15T00:00:00"/>
    <n v="1"/>
    <n v="253"/>
    <n v="257"/>
    <x v="2"/>
    <n v="4.22"/>
    <n v="4.28"/>
    <n v="4"/>
    <n v="98.44"/>
    <x v="0"/>
    <s v="4702921684|2016-04-15"/>
  </r>
  <r>
    <n v="4702921684"/>
    <d v="2016-04-16T00:00:00"/>
    <n v="2"/>
    <n v="382"/>
    <n v="406"/>
    <x v="3"/>
    <n v="6.37"/>
    <n v="6.77"/>
    <n v="24"/>
    <n v="94.09"/>
    <x v="1"/>
    <s v="4702921684|2016-04-16"/>
  </r>
  <r>
    <n v="4702921684"/>
    <d v="2016-04-17T00:00:00"/>
    <n v="1"/>
    <n v="591"/>
    <n v="612"/>
    <x v="4"/>
    <n v="9.85"/>
    <n v="10.199999999999999"/>
    <n v="21"/>
    <n v="96.57"/>
    <x v="2"/>
    <s v="4702921684|2016-04-17"/>
  </r>
  <r>
    <n v="4702921684"/>
    <d v="2016-04-18T00:00:00"/>
    <n v="1"/>
    <n v="293"/>
    <n v="312"/>
    <x v="6"/>
    <n v="4.88"/>
    <n v="5.2"/>
    <n v="19"/>
    <n v="93.91"/>
    <x v="0"/>
    <s v="4702921684|2016-04-18"/>
  </r>
  <r>
    <n v="4702921684"/>
    <d v="2016-04-19T00:00:00"/>
    <n v="1"/>
    <n v="457"/>
    <n v="487"/>
    <x v="0"/>
    <n v="7.62"/>
    <n v="8.1199999999999992"/>
    <n v="30"/>
    <n v="93.84"/>
    <x v="3"/>
    <s v="4702921684|2016-04-19"/>
  </r>
  <r>
    <n v="4702921684"/>
    <d v="2016-04-20T00:00:00"/>
    <n v="1"/>
    <n v="454"/>
    <n v="468"/>
    <x v="1"/>
    <n v="7.57"/>
    <n v="7.8"/>
    <n v="14"/>
    <n v="97.01"/>
    <x v="3"/>
    <s v="4702921684|2016-04-20"/>
  </r>
  <r>
    <n v="4702921684"/>
    <d v="2016-04-21T00:00:00"/>
    <n v="1"/>
    <n v="425"/>
    <n v="434"/>
    <x v="5"/>
    <n v="7.08"/>
    <n v="7.23"/>
    <n v="9"/>
    <n v="97.93"/>
    <x v="3"/>
    <s v="4702921684|2016-04-21"/>
  </r>
  <r>
    <n v="4702921684"/>
    <d v="2016-04-23T00:00:00"/>
    <n v="1"/>
    <n v="465"/>
    <n v="475"/>
    <x v="3"/>
    <n v="7.75"/>
    <n v="7.92"/>
    <n v="10"/>
    <n v="97.89"/>
    <x v="3"/>
    <s v="4702921684|2016-04-23"/>
  </r>
  <r>
    <n v="4702921684"/>
    <d v="2016-04-24T00:00:00"/>
    <n v="1"/>
    <n v="480"/>
    <n v="506"/>
    <x v="4"/>
    <n v="8"/>
    <n v="8.43"/>
    <n v="26"/>
    <n v="94.86"/>
    <x v="3"/>
    <s v="4702921684|2016-04-24"/>
  </r>
  <r>
    <n v="4702921684"/>
    <d v="2016-04-25T00:00:00"/>
    <n v="1"/>
    <n v="370"/>
    <n v="380"/>
    <x v="6"/>
    <n v="6.17"/>
    <n v="6.33"/>
    <n v="10"/>
    <n v="97.37"/>
    <x v="1"/>
    <s v="4702921684|2016-04-25"/>
  </r>
  <r>
    <n v="4702921684"/>
    <d v="2016-04-26T00:00:00"/>
    <n v="1"/>
    <n v="421"/>
    <n v="429"/>
    <x v="0"/>
    <n v="7.02"/>
    <n v="7.15"/>
    <n v="8"/>
    <n v="98.14"/>
    <x v="3"/>
    <s v="4702921684|2016-04-26"/>
  </r>
  <r>
    <n v="4702921684"/>
    <d v="2016-04-27T00:00:00"/>
    <n v="1"/>
    <n v="432"/>
    <n v="449"/>
    <x v="1"/>
    <n v="7.2"/>
    <n v="7.48"/>
    <n v="17"/>
    <n v="96.21"/>
    <x v="3"/>
    <s v="4702921684|2016-04-27"/>
  </r>
  <r>
    <n v="4702921684"/>
    <d v="2016-04-28T00:00:00"/>
    <n v="1"/>
    <n v="442"/>
    <n v="461"/>
    <x v="5"/>
    <n v="7.37"/>
    <n v="7.68"/>
    <n v="19"/>
    <n v="95.88"/>
    <x v="3"/>
    <s v="4702921684|2016-04-28"/>
  </r>
  <r>
    <n v="4702921684"/>
    <d v="2016-04-29T00:00:00"/>
    <n v="1"/>
    <n v="433"/>
    <n v="447"/>
    <x v="2"/>
    <n v="7.22"/>
    <n v="7.45"/>
    <n v="14"/>
    <n v="96.87"/>
    <x v="3"/>
    <s v="4702921684|2016-04-29"/>
  </r>
  <r>
    <n v="4702921684"/>
    <d v="2016-04-30T00:00:00"/>
    <n v="1"/>
    <n v="479"/>
    <n v="501"/>
    <x v="3"/>
    <n v="7.98"/>
    <n v="8.35"/>
    <n v="22"/>
    <n v="95.61"/>
    <x v="3"/>
    <s v="4702921684|2016-04-30"/>
  </r>
  <r>
    <n v="4702921684"/>
    <d v="2016-05-03T00:00:00"/>
    <n v="1"/>
    <n v="327"/>
    <n v="373"/>
    <x v="0"/>
    <n v="5.45"/>
    <n v="6.22"/>
    <n v="46"/>
    <n v="87.67"/>
    <x v="0"/>
    <s v="4702921684|2016-05-03"/>
  </r>
  <r>
    <n v="4702921684"/>
    <d v="2016-05-04T00:00:00"/>
    <n v="1"/>
    <n v="412"/>
    <n v="434"/>
    <x v="1"/>
    <n v="6.87"/>
    <n v="7.23"/>
    <n v="22"/>
    <n v="94.93"/>
    <x v="1"/>
    <s v="4702921684|2016-05-04"/>
  </r>
  <r>
    <n v="4702921684"/>
    <d v="2016-05-05T00:00:00"/>
    <n v="1"/>
    <n v="414"/>
    <n v="428"/>
    <x v="5"/>
    <n v="6.9"/>
    <n v="7.13"/>
    <n v="14"/>
    <n v="96.73"/>
    <x v="1"/>
    <s v="4702921684|2016-05-05"/>
  </r>
  <r>
    <n v="4702921684"/>
    <d v="2016-05-06T00:00:00"/>
    <n v="1"/>
    <n v="404"/>
    <n v="449"/>
    <x v="2"/>
    <n v="6.73"/>
    <n v="7.48"/>
    <n v="45"/>
    <n v="89.98"/>
    <x v="1"/>
    <s v="4702921684|2016-05-06"/>
  </r>
  <r>
    <n v="4702921684"/>
    <d v="2016-05-07T00:00:00"/>
    <n v="1"/>
    <n v="520"/>
    <n v="543"/>
    <x v="3"/>
    <n v="8.67"/>
    <n v="9.0500000000000007"/>
    <n v="23"/>
    <n v="95.76"/>
    <x v="3"/>
    <s v="4702921684|2016-05-07"/>
  </r>
  <r>
    <n v="4702921684"/>
    <d v="2016-05-09T00:00:00"/>
    <n v="1"/>
    <n v="435"/>
    <n v="458"/>
    <x v="6"/>
    <n v="7.25"/>
    <n v="7.63"/>
    <n v="23"/>
    <n v="94.98"/>
    <x v="3"/>
    <s v="4702921684|2016-05-09"/>
  </r>
  <r>
    <n v="4702921684"/>
    <d v="2016-05-10T00:00:00"/>
    <n v="1"/>
    <n v="416"/>
    <n v="431"/>
    <x v="0"/>
    <n v="6.93"/>
    <n v="7.18"/>
    <n v="15"/>
    <n v="96.52"/>
    <x v="1"/>
    <s v="4702921684|2016-05-10"/>
  </r>
  <r>
    <n v="4702921684"/>
    <d v="2016-05-11T00:00:00"/>
    <n v="1"/>
    <n v="354"/>
    <n v="366"/>
    <x v="1"/>
    <n v="5.9"/>
    <n v="6.1"/>
    <n v="12"/>
    <n v="96.72"/>
    <x v="0"/>
    <s v="4702921684|2016-05-11"/>
  </r>
  <r>
    <n v="4702921684"/>
    <d v="2016-05-12T00:00:00"/>
    <n v="1"/>
    <n v="404"/>
    <n v="442"/>
    <x v="5"/>
    <n v="6.73"/>
    <n v="7.37"/>
    <n v="38"/>
    <n v="91.4"/>
    <x v="1"/>
    <s v="4702921684|2016-05-12"/>
  </r>
  <r>
    <n v="5553957443"/>
    <d v="2016-04-12T00:00:00"/>
    <n v="1"/>
    <n v="441"/>
    <n v="464"/>
    <x v="0"/>
    <n v="7.35"/>
    <n v="7.73"/>
    <n v="23"/>
    <n v="95.04"/>
    <x v="3"/>
    <s v="5553957443|2016-04-12"/>
  </r>
  <r>
    <n v="5553957443"/>
    <d v="2016-04-13T00:00:00"/>
    <n v="2"/>
    <n v="455"/>
    <n v="488"/>
    <x v="1"/>
    <n v="7.58"/>
    <n v="8.1300000000000008"/>
    <n v="33"/>
    <n v="93.24"/>
    <x v="3"/>
    <s v="5553957443|2016-04-13"/>
  </r>
  <r>
    <n v="5553957443"/>
    <d v="2016-04-14T00:00:00"/>
    <n v="1"/>
    <n v="357"/>
    <n v="418"/>
    <x v="5"/>
    <n v="5.95"/>
    <n v="6.97"/>
    <n v="61"/>
    <n v="85.41"/>
    <x v="0"/>
    <s v="5553957443|2016-04-14"/>
  </r>
  <r>
    <n v="5553957443"/>
    <d v="2016-04-15T00:00:00"/>
    <n v="1"/>
    <n v="377"/>
    <n v="409"/>
    <x v="2"/>
    <n v="6.28"/>
    <n v="6.82"/>
    <n v="32"/>
    <n v="92.18"/>
    <x v="1"/>
    <s v="5553957443|2016-04-15"/>
  </r>
  <r>
    <n v="5553957443"/>
    <d v="2016-04-16T00:00:00"/>
    <n v="2"/>
    <n v="651"/>
    <n v="686"/>
    <x v="3"/>
    <n v="10.85"/>
    <n v="11.43"/>
    <n v="35"/>
    <n v="94.9"/>
    <x v="2"/>
    <s v="5553957443|2016-04-16"/>
  </r>
  <r>
    <n v="5553957443"/>
    <d v="2016-04-17T00:00:00"/>
    <n v="1"/>
    <n v="350"/>
    <n v="402"/>
    <x v="4"/>
    <n v="5.83"/>
    <n v="6.7"/>
    <n v="52"/>
    <n v="87.06"/>
    <x v="0"/>
    <s v="5553957443|2016-04-17"/>
  </r>
  <r>
    <n v="5553957443"/>
    <d v="2016-04-18T00:00:00"/>
    <n v="2"/>
    <n v="520"/>
    <n v="541"/>
    <x v="6"/>
    <n v="8.67"/>
    <n v="9.02"/>
    <n v="21"/>
    <n v="96.12"/>
    <x v="3"/>
    <s v="5553957443|2016-04-18"/>
  </r>
  <r>
    <n v="5553957443"/>
    <d v="2016-04-19T00:00:00"/>
    <n v="1"/>
    <n v="357"/>
    <n v="410"/>
    <x v="0"/>
    <n v="5.95"/>
    <n v="6.83"/>
    <n v="53"/>
    <n v="87.07"/>
    <x v="0"/>
    <s v="5553957443|2016-04-19"/>
  </r>
  <r>
    <n v="5553957443"/>
    <d v="2016-04-20T00:00:00"/>
    <n v="1"/>
    <n v="658"/>
    <n v="678"/>
    <x v="1"/>
    <n v="10.97"/>
    <n v="11.3"/>
    <n v="20"/>
    <n v="97.05"/>
    <x v="2"/>
    <s v="5553957443|2016-04-20"/>
  </r>
  <r>
    <n v="5553957443"/>
    <d v="2016-04-21T00:00:00"/>
    <n v="1"/>
    <n v="399"/>
    <n v="431"/>
    <x v="5"/>
    <n v="6.65"/>
    <n v="7.18"/>
    <n v="32"/>
    <n v="92.58"/>
    <x v="1"/>
    <s v="5553957443|2016-04-21"/>
  </r>
  <r>
    <n v="5553957443"/>
    <d v="2016-04-22T00:00:00"/>
    <n v="1"/>
    <n v="322"/>
    <n v="353"/>
    <x v="2"/>
    <n v="5.37"/>
    <n v="5.88"/>
    <n v="31"/>
    <n v="91.22"/>
    <x v="0"/>
    <s v="5553957443|2016-04-22"/>
  </r>
  <r>
    <n v="5553957443"/>
    <d v="2016-04-23T00:00:00"/>
    <n v="2"/>
    <n v="631"/>
    <n v="725"/>
    <x v="3"/>
    <n v="10.52"/>
    <n v="12.08"/>
    <n v="94"/>
    <n v="87.03"/>
    <x v="2"/>
    <s v="5553957443|2016-04-23"/>
  </r>
  <r>
    <n v="5553957443"/>
    <d v="2016-04-24T00:00:00"/>
    <n v="2"/>
    <n v="553"/>
    <n v="640"/>
    <x v="4"/>
    <n v="9.2200000000000006"/>
    <n v="10.67"/>
    <n v="87"/>
    <n v="86.41"/>
    <x v="2"/>
    <s v="5553957443|2016-04-24"/>
  </r>
  <r>
    <n v="5553957443"/>
    <d v="2016-04-25T00:00:00"/>
    <n v="1"/>
    <n v="433"/>
    <n v="468"/>
    <x v="6"/>
    <n v="7.22"/>
    <n v="7.8"/>
    <n v="35"/>
    <n v="92.52"/>
    <x v="3"/>
    <s v="5553957443|2016-04-25"/>
  </r>
  <r>
    <n v="5553957443"/>
    <d v="2016-04-26T00:00:00"/>
    <n v="1"/>
    <n v="412"/>
    <n v="453"/>
    <x v="0"/>
    <n v="6.87"/>
    <n v="7.55"/>
    <n v="41"/>
    <n v="90.95"/>
    <x v="1"/>
    <s v="5553957443|2016-04-26"/>
  </r>
  <r>
    <n v="5553957443"/>
    <d v="2016-04-27T00:00:00"/>
    <n v="1"/>
    <n v="347"/>
    <n v="391"/>
    <x v="1"/>
    <n v="5.78"/>
    <n v="6.52"/>
    <n v="44"/>
    <n v="88.75"/>
    <x v="0"/>
    <s v="5553957443|2016-04-27"/>
  </r>
  <r>
    <n v="5553957443"/>
    <d v="2016-04-28T00:00:00"/>
    <n v="1"/>
    <n v="421"/>
    <n v="457"/>
    <x v="5"/>
    <n v="7.02"/>
    <n v="7.62"/>
    <n v="36"/>
    <n v="92.12"/>
    <x v="3"/>
    <s v="5553957443|2016-04-28"/>
  </r>
  <r>
    <n v="5553957443"/>
    <d v="2016-04-29T00:00:00"/>
    <n v="1"/>
    <n v="450"/>
    <n v="495"/>
    <x v="2"/>
    <n v="7.5"/>
    <n v="8.25"/>
    <n v="45"/>
    <n v="90.91"/>
    <x v="3"/>
    <s v="5553957443|2016-04-29"/>
  </r>
  <r>
    <n v="5553957443"/>
    <d v="2016-04-30T00:00:00"/>
    <n v="2"/>
    <n v="775"/>
    <n v="843"/>
    <x v="3"/>
    <n v="12.92"/>
    <n v="14.05"/>
    <n v="68"/>
    <n v="91.93"/>
    <x v="2"/>
    <s v="5553957443|2016-04-30"/>
  </r>
  <r>
    <n v="5553957443"/>
    <d v="2016-05-01T00:00:00"/>
    <n v="2"/>
    <n v="622"/>
    <n v="686"/>
    <x v="4"/>
    <n v="10.37"/>
    <n v="11.43"/>
    <n v="64"/>
    <n v="90.67"/>
    <x v="2"/>
    <s v="5553957443|2016-05-01"/>
  </r>
  <r>
    <n v="5553957443"/>
    <d v="2016-05-02T00:00:00"/>
    <n v="1"/>
    <n v="409"/>
    <n v="471"/>
    <x v="6"/>
    <n v="6.82"/>
    <n v="7.85"/>
    <n v="62"/>
    <n v="86.84"/>
    <x v="1"/>
    <s v="5553957443|2016-05-02"/>
  </r>
  <r>
    <n v="5553957443"/>
    <d v="2016-05-03T00:00:00"/>
    <n v="1"/>
    <n v="380"/>
    <n v="429"/>
    <x v="0"/>
    <n v="6.33"/>
    <n v="7.15"/>
    <n v="49"/>
    <n v="88.58"/>
    <x v="1"/>
    <s v="5553957443|2016-05-03"/>
  </r>
  <r>
    <n v="5553957443"/>
    <d v="2016-05-04T00:00:00"/>
    <n v="1"/>
    <n v="447"/>
    <n v="470"/>
    <x v="1"/>
    <n v="7.45"/>
    <n v="7.83"/>
    <n v="23"/>
    <n v="95.11"/>
    <x v="3"/>
    <s v="5553957443|2016-05-04"/>
  </r>
  <r>
    <n v="5553957443"/>
    <d v="2016-05-05T00:00:00"/>
    <n v="1"/>
    <n v="419"/>
    <n v="464"/>
    <x v="5"/>
    <n v="6.98"/>
    <n v="7.73"/>
    <n v="45"/>
    <n v="90.3"/>
    <x v="1"/>
    <s v="5553957443|2016-05-05"/>
  </r>
  <r>
    <n v="5553957443"/>
    <d v="2016-05-06T00:00:00"/>
    <n v="1"/>
    <n v="400"/>
    <n v="434"/>
    <x v="2"/>
    <n v="6.67"/>
    <n v="7.23"/>
    <n v="34"/>
    <n v="92.17"/>
    <x v="1"/>
    <s v="5553957443|2016-05-06"/>
  </r>
  <r>
    <n v="5553957443"/>
    <d v="2016-05-07T00:00:00"/>
    <n v="1"/>
    <n v="442"/>
    <n v="470"/>
    <x v="3"/>
    <n v="7.37"/>
    <n v="7.83"/>
    <n v="28"/>
    <n v="94.04"/>
    <x v="3"/>
    <s v="5553957443|2016-05-07"/>
  </r>
  <r>
    <n v="5553957443"/>
    <d v="2016-05-08T00:00:00"/>
    <n v="1"/>
    <n v="568"/>
    <n v="608"/>
    <x v="4"/>
    <n v="9.4700000000000006"/>
    <n v="10.130000000000001"/>
    <n v="40"/>
    <n v="93.42"/>
    <x v="2"/>
    <s v="5553957443|2016-05-08"/>
  </r>
  <r>
    <n v="5553957443"/>
    <d v="2016-05-09T00:00:00"/>
    <n v="1"/>
    <n v="453"/>
    <n v="494"/>
    <x v="6"/>
    <n v="7.55"/>
    <n v="8.23"/>
    <n v="41"/>
    <n v="91.7"/>
    <x v="3"/>
    <s v="5553957443|2016-05-09"/>
  </r>
  <r>
    <n v="5553957443"/>
    <d v="2016-05-10T00:00:00"/>
    <n v="1"/>
    <n v="418"/>
    <n v="443"/>
    <x v="0"/>
    <n v="6.97"/>
    <n v="7.38"/>
    <n v="25"/>
    <n v="94.36"/>
    <x v="1"/>
    <s v="5553957443|2016-05-10"/>
  </r>
  <r>
    <n v="5553957443"/>
    <d v="2016-05-11T00:00:00"/>
    <n v="1"/>
    <n v="463"/>
    <n v="486"/>
    <x v="1"/>
    <n v="7.72"/>
    <n v="8.1"/>
    <n v="23"/>
    <n v="95.27"/>
    <x v="3"/>
    <s v="5553957443|2016-05-11"/>
  </r>
  <r>
    <n v="5553957443"/>
    <d v="2016-05-12T00:00:00"/>
    <n v="1"/>
    <n v="438"/>
    <n v="475"/>
    <x v="5"/>
    <n v="7.3"/>
    <n v="7.92"/>
    <n v="37"/>
    <n v="92.21"/>
    <x v="3"/>
    <s v="5553957443|2016-05-12"/>
  </r>
  <r>
    <n v="5577150313"/>
    <d v="2016-04-12T00:00:00"/>
    <n v="1"/>
    <n v="419"/>
    <n v="438"/>
    <x v="0"/>
    <n v="6.98"/>
    <n v="7.3"/>
    <n v="19"/>
    <n v="95.66"/>
    <x v="1"/>
    <s v="5577150313|2016-04-12"/>
  </r>
  <r>
    <n v="5577150313"/>
    <d v="2016-04-13T00:00:00"/>
    <n v="1"/>
    <n v="432"/>
    <n v="458"/>
    <x v="1"/>
    <n v="7.2"/>
    <n v="7.63"/>
    <n v="26"/>
    <n v="94.32"/>
    <x v="3"/>
    <s v="5577150313|2016-04-13"/>
  </r>
  <r>
    <n v="5577150313"/>
    <d v="2016-04-14T00:00:00"/>
    <n v="1"/>
    <n v="477"/>
    <n v="497"/>
    <x v="5"/>
    <n v="7.95"/>
    <n v="8.2799999999999994"/>
    <n v="20"/>
    <n v="95.98"/>
    <x v="3"/>
    <s v="5577150313|2016-04-14"/>
  </r>
  <r>
    <n v="5577150313"/>
    <d v="2016-04-15T00:00:00"/>
    <n v="1"/>
    <n v="392"/>
    <n v="413"/>
    <x v="2"/>
    <n v="6.53"/>
    <n v="6.88"/>
    <n v="21"/>
    <n v="94.92"/>
    <x v="1"/>
    <s v="5577150313|2016-04-15"/>
  </r>
  <r>
    <n v="5577150313"/>
    <d v="2016-04-16T00:00:00"/>
    <n v="1"/>
    <n v="406"/>
    <n v="445"/>
    <x v="3"/>
    <n v="6.77"/>
    <n v="7.42"/>
    <n v="39"/>
    <n v="91.24"/>
    <x v="1"/>
    <s v="5577150313|2016-04-16"/>
  </r>
  <r>
    <n v="5577150313"/>
    <d v="2016-04-17T00:00:00"/>
    <n v="1"/>
    <n v="549"/>
    <n v="583"/>
    <x v="4"/>
    <n v="9.15"/>
    <n v="9.7200000000000006"/>
    <n v="34"/>
    <n v="94.17"/>
    <x v="2"/>
    <s v="5577150313|2016-04-17"/>
  </r>
  <r>
    <n v="5577150313"/>
    <d v="2016-04-18T00:00:00"/>
    <n v="1"/>
    <n v="527"/>
    <n v="553"/>
    <x v="6"/>
    <n v="8.7799999999999994"/>
    <n v="9.2200000000000006"/>
    <n v="26"/>
    <n v="95.3"/>
    <x v="3"/>
    <s v="5577150313|2016-04-18"/>
  </r>
  <r>
    <n v="5577150313"/>
    <d v="2016-04-19T00:00:00"/>
    <n v="1"/>
    <n v="449"/>
    <n v="465"/>
    <x v="0"/>
    <n v="7.48"/>
    <n v="7.75"/>
    <n v="16"/>
    <n v="96.56"/>
    <x v="3"/>
    <s v="5577150313|2016-04-19"/>
  </r>
  <r>
    <n v="5577150313"/>
    <d v="2016-04-20T00:00:00"/>
    <n v="1"/>
    <n v="447"/>
    <n v="480"/>
    <x v="1"/>
    <n v="7.45"/>
    <n v="8"/>
    <n v="33"/>
    <n v="93.13"/>
    <x v="3"/>
    <s v="5577150313|2016-04-20"/>
  </r>
  <r>
    <n v="5577150313"/>
    <d v="2016-04-21T00:00:00"/>
    <n v="1"/>
    <n v="414"/>
    <n v="437"/>
    <x v="5"/>
    <n v="6.9"/>
    <n v="7.28"/>
    <n v="23"/>
    <n v="94.74"/>
    <x v="1"/>
    <s v="5577150313|2016-04-21"/>
  </r>
  <r>
    <n v="5577150313"/>
    <d v="2016-04-22T00:00:00"/>
    <n v="1"/>
    <n v="338"/>
    <n v="366"/>
    <x v="2"/>
    <n v="5.63"/>
    <n v="6.1"/>
    <n v="28"/>
    <n v="92.35"/>
    <x v="0"/>
    <s v="5577150313|2016-04-22"/>
  </r>
  <r>
    <n v="5577150313"/>
    <d v="2016-04-23T00:00:00"/>
    <n v="1"/>
    <n v="384"/>
    <n v="402"/>
    <x v="3"/>
    <n v="6.4"/>
    <n v="6.7"/>
    <n v="18"/>
    <n v="95.52"/>
    <x v="1"/>
    <s v="5577150313|2016-04-23"/>
  </r>
  <r>
    <n v="5577150313"/>
    <d v="2016-04-24T00:00:00"/>
    <n v="1"/>
    <n v="543"/>
    <n v="615"/>
    <x v="4"/>
    <n v="9.0500000000000007"/>
    <n v="10.25"/>
    <n v="72"/>
    <n v="88.29"/>
    <x v="2"/>
    <s v="5577150313|2016-04-24"/>
  </r>
  <r>
    <n v="5577150313"/>
    <d v="2016-04-25T00:00:00"/>
    <n v="1"/>
    <n v="421"/>
    <n v="461"/>
    <x v="6"/>
    <n v="7.02"/>
    <n v="7.68"/>
    <n v="40"/>
    <n v="91.32"/>
    <x v="3"/>
    <s v="5577150313|2016-04-25"/>
  </r>
  <r>
    <n v="5577150313"/>
    <d v="2016-04-26T00:00:00"/>
    <n v="1"/>
    <n v="354"/>
    <n v="377"/>
    <x v="0"/>
    <n v="5.9"/>
    <n v="6.28"/>
    <n v="23"/>
    <n v="93.9"/>
    <x v="0"/>
    <s v="5577150313|2016-04-26"/>
  </r>
  <r>
    <n v="5577150313"/>
    <d v="2016-04-27T00:00:00"/>
    <n v="1"/>
    <n v="424"/>
    <n v="452"/>
    <x v="1"/>
    <n v="7.07"/>
    <n v="7.53"/>
    <n v="28"/>
    <n v="93.81"/>
    <x v="3"/>
    <s v="5577150313|2016-04-27"/>
  </r>
  <r>
    <n v="5577150313"/>
    <d v="2016-04-28T00:00:00"/>
    <n v="1"/>
    <n v="361"/>
    <n v="372"/>
    <x v="5"/>
    <n v="6.02"/>
    <n v="6.2"/>
    <n v="11"/>
    <n v="97.04"/>
    <x v="1"/>
    <s v="5577150313|2016-04-28"/>
  </r>
  <r>
    <n v="5577150313"/>
    <d v="2016-04-29T00:00:00"/>
    <n v="1"/>
    <n v="459"/>
    <n v="485"/>
    <x v="2"/>
    <n v="7.65"/>
    <n v="8.08"/>
    <n v="26"/>
    <n v="94.64"/>
    <x v="3"/>
    <s v="5577150313|2016-04-29"/>
  </r>
  <r>
    <n v="5577150313"/>
    <d v="2016-04-30T00:00:00"/>
    <n v="1"/>
    <n v="412"/>
    <n v="433"/>
    <x v="3"/>
    <n v="6.87"/>
    <n v="7.22"/>
    <n v="21"/>
    <n v="95.15"/>
    <x v="1"/>
    <s v="5577150313|2016-04-30"/>
  </r>
  <r>
    <n v="5577150313"/>
    <d v="2016-05-01T00:00:00"/>
    <n v="1"/>
    <n v="379"/>
    <n v="398"/>
    <x v="4"/>
    <n v="6.32"/>
    <n v="6.63"/>
    <n v="19"/>
    <n v="95.23"/>
    <x v="1"/>
    <s v="5577150313|2016-05-01"/>
  </r>
  <r>
    <n v="5577150313"/>
    <d v="2016-05-02T00:00:00"/>
    <n v="2"/>
    <n v="525"/>
    <n v="553"/>
    <x v="6"/>
    <n v="8.75"/>
    <n v="9.2200000000000006"/>
    <n v="28"/>
    <n v="94.94"/>
    <x v="3"/>
    <s v="5577150313|2016-05-02"/>
  </r>
  <r>
    <n v="5577150313"/>
    <d v="2016-05-03T00:00:00"/>
    <n v="1"/>
    <n v="508"/>
    <n v="543"/>
    <x v="0"/>
    <n v="8.4700000000000006"/>
    <n v="9.0500000000000007"/>
    <n v="35"/>
    <n v="93.55"/>
    <x v="3"/>
    <s v="5577150313|2016-05-03"/>
  </r>
  <r>
    <n v="5577150313"/>
    <d v="2016-05-04T00:00:00"/>
    <n v="1"/>
    <n v="603"/>
    <n v="634"/>
    <x v="1"/>
    <n v="10.050000000000001"/>
    <n v="10.57"/>
    <n v="31"/>
    <n v="95.11"/>
    <x v="2"/>
    <s v="5577150313|2016-05-04"/>
  </r>
  <r>
    <n v="5577150313"/>
    <d v="2016-05-05T00:00:00"/>
    <n v="1"/>
    <n v="74"/>
    <n v="78"/>
    <x v="5"/>
    <n v="1.23"/>
    <n v="1.3"/>
    <n v="4"/>
    <n v="94.87"/>
    <x v="0"/>
    <s v="5577150313|2016-05-05"/>
  </r>
  <r>
    <n v="5577150313"/>
    <d v="2016-05-10T00:00:00"/>
    <n v="1"/>
    <n v="504"/>
    <n v="562"/>
    <x v="0"/>
    <n v="8.4"/>
    <n v="9.3699999999999992"/>
    <n v="58"/>
    <n v="89.68"/>
    <x v="3"/>
    <s v="5577150313|2016-05-10"/>
  </r>
  <r>
    <n v="5577150313"/>
    <d v="2016-05-11T00:00:00"/>
    <n v="1"/>
    <n v="431"/>
    <n v="476"/>
    <x v="1"/>
    <n v="7.18"/>
    <n v="7.93"/>
    <n v="45"/>
    <n v="90.55"/>
    <x v="3"/>
    <s v="5577150313|2016-05-11"/>
  </r>
  <r>
    <n v="6117666160"/>
    <d v="2016-04-16T00:00:00"/>
    <n v="1"/>
    <n v="380"/>
    <n v="398"/>
    <x v="3"/>
    <n v="6.33"/>
    <n v="6.63"/>
    <n v="18"/>
    <n v="95.48"/>
    <x v="1"/>
    <s v="6117666160|2016-04-16"/>
  </r>
  <r>
    <n v="6117666160"/>
    <d v="2016-04-17T00:00:00"/>
    <n v="2"/>
    <n v="336"/>
    <n v="350"/>
    <x v="4"/>
    <n v="5.6"/>
    <n v="5.83"/>
    <n v="14"/>
    <n v="96"/>
    <x v="0"/>
    <s v="6117666160|2016-04-17"/>
  </r>
  <r>
    <n v="6117666160"/>
    <d v="2016-04-18T00:00:00"/>
    <n v="2"/>
    <n v="493"/>
    <n v="510"/>
    <x v="6"/>
    <n v="8.2200000000000006"/>
    <n v="8.5"/>
    <n v="17"/>
    <n v="96.67"/>
    <x v="3"/>
    <s v="6117666160|2016-04-18"/>
  </r>
  <r>
    <n v="6117666160"/>
    <d v="2016-04-19T00:00:00"/>
    <n v="1"/>
    <n v="465"/>
    <n v="492"/>
    <x v="0"/>
    <n v="7.75"/>
    <n v="8.1999999999999993"/>
    <n v="27"/>
    <n v="94.51"/>
    <x v="3"/>
    <s v="6117666160|2016-04-19"/>
  </r>
  <r>
    <n v="6117666160"/>
    <d v="2016-04-20T00:00:00"/>
    <n v="1"/>
    <n v="474"/>
    <n v="502"/>
    <x v="1"/>
    <n v="7.9"/>
    <n v="8.3699999999999992"/>
    <n v="28"/>
    <n v="94.42"/>
    <x v="3"/>
    <s v="6117666160|2016-04-20"/>
  </r>
  <r>
    <n v="6117666160"/>
    <d v="2016-04-21T00:00:00"/>
    <n v="1"/>
    <n v="508"/>
    <n v="550"/>
    <x v="5"/>
    <n v="8.4700000000000006"/>
    <n v="9.17"/>
    <n v="42"/>
    <n v="92.36"/>
    <x v="3"/>
    <s v="6117666160|2016-04-21"/>
  </r>
  <r>
    <n v="6117666160"/>
    <d v="2016-04-22T00:00:00"/>
    <n v="1"/>
    <n v="480"/>
    <n v="546"/>
    <x v="2"/>
    <n v="8"/>
    <n v="9.1"/>
    <n v="66"/>
    <n v="87.91"/>
    <x v="3"/>
    <s v="6117666160|2016-04-22"/>
  </r>
  <r>
    <n v="6117666160"/>
    <d v="2016-04-23T00:00:00"/>
    <n v="1"/>
    <n v="492"/>
    <n v="539"/>
    <x v="3"/>
    <n v="8.1999999999999993"/>
    <n v="8.98"/>
    <n v="47"/>
    <n v="91.28"/>
    <x v="3"/>
    <s v="6117666160|2016-04-23"/>
  </r>
  <r>
    <n v="6117666160"/>
    <d v="2016-04-24T00:00:00"/>
    <n v="1"/>
    <n v="353"/>
    <n v="367"/>
    <x v="4"/>
    <n v="5.88"/>
    <n v="6.12"/>
    <n v="14"/>
    <n v="96.19"/>
    <x v="0"/>
    <s v="6117666160|2016-04-24"/>
  </r>
  <r>
    <n v="6117666160"/>
    <d v="2016-04-27T00:00:00"/>
    <n v="1"/>
    <n v="542"/>
    <n v="557"/>
    <x v="1"/>
    <n v="9.0299999999999994"/>
    <n v="9.2799999999999994"/>
    <n v="15"/>
    <n v="97.31"/>
    <x v="2"/>
    <s v="6117666160|2016-04-27"/>
  </r>
  <r>
    <n v="6117666160"/>
    <d v="2016-04-28T00:00:00"/>
    <n v="1"/>
    <n v="393"/>
    <n v="416"/>
    <x v="5"/>
    <n v="6.55"/>
    <n v="6.93"/>
    <n v="23"/>
    <n v="94.47"/>
    <x v="1"/>
    <s v="6117666160|2016-04-28"/>
  </r>
  <r>
    <n v="6117666160"/>
    <d v="2016-04-29T00:00:00"/>
    <n v="1"/>
    <n v="600"/>
    <n v="636"/>
    <x v="2"/>
    <n v="10"/>
    <n v="10.6"/>
    <n v="36"/>
    <n v="94.34"/>
    <x v="2"/>
    <s v="6117666160|2016-04-29"/>
  </r>
  <r>
    <n v="6117666160"/>
    <d v="2016-05-01T00:00:00"/>
    <n v="1"/>
    <n v="507"/>
    <n v="575"/>
    <x v="4"/>
    <n v="8.4499999999999993"/>
    <n v="9.58"/>
    <n v="68"/>
    <n v="88.17"/>
    <x v="3"/>
    <s v="6117666160|2016-05-01"/>
  </r>
  <r>
    <n v="6117666160"/>
    <d v="2016-05-05T00:00:00"/>
    <n v="1"/>
    <n v="392"/>
    <n v="415"/>
    <x v="5"/>
    <n v="6.53"/>
    <n v="6.92"/>
    <n v="23"/>
    <n v="94.46"/>
    <x v="1"/>
    <s v="6117666160|2016-05-05"/>
  </r>
  <r>
    <n v="6117666160"/>
    <d v="2016-05-06T00:00:00"/>
    <n v="2"/>
    <n v="658"/>
    <n v="698"/>
    <x v="2"/>
    <n v="10.97"/>
    <n v="11.63"/>
    <n v="40"/>
    <n v="94.27"/>
    <x v="2"/>
    <s v="6117666160|2016-05-06"/>
  </r>
  <r>
    <n v="6117666160"/>
    <d v="2016-05-07T00:00:00"/>
    <n v="2"/>
    <n v="498"/>
    <n v="507"/>
    <x v="3"/>
    <n v="8.3000000000000007"/>
    <n v="8.4499999999999993"/>
    <n v="9"/>
    <n v="98.22"/>
    <x v="3"/>
    <s v="6117666160|2016-05-07"/>
  </r>
  <r>
    <n v="6117666160"/>
    <d v="2016-05-08T00:00:00"/>
    <n v="1"/>
    <n v="555"/>
    <n v="603"/>
    <x v="4"/>
    <n v="9.25"/>
    <n v="10.050000000000001"/>
    <n v="48"/>
    <n v="92.04"/>
    <x v="2"/>
    <s v="6117666160|2016-05-08"/>
  </r>
  <r>
    <n v="6117666160"/>
    <d v="2016-05-09T00:00:00"/>
    <n v="1"/>
    <n v="492"/>
    <n v="522"/>
    <x v="6"/>
    <n v="8.1999999999999993"/>
    <n v="8.6999999999999993"/>
    <n v="30"/>
    <n v="94.25"/>
    <x v="3"/>
    <s v="6117666160|2016-05-09"/>
  </r>
  <r>
    <n v="6775888955"/>
    <d v="2016-04-13T00:00:00"/>
    <n v="1"/>
    <n v="235"/>
    <n v="260"/>
    <x v="1"/>
    <n v="3.92"/>
    <n v="4.33"/>
    <n v="25"/>
    <n v="90.38"/>
    <x v="0"/>
    <s v="6775888955|2016-04-13"/>
  </r>
  <r>
    <n v="6775888955"/>
    <d v="2016-04-14T00:00:00"/>
    <n v="1"/>
    <n v="423"/>
    <n v="441"/>
    <x v="5"/>
    <n v="7.05"/>
    <n v="7.35"/>
    <n v="18"/>
    <n v="95.92"/>
    <x v="3"/>
    <s v="6775888955|2016-04-14"/>
  </r>
  <r>
    <n v="6775888955"/>
    <d v="2016-04-15T00:00:00"/>
    <n v="1"/>
    <n v="391"/>
    <n v="406"/>
    <x v="2"/>
    <n v="6.52"/>
    <n v="6.77"/>
    <n v="15"/>
    <n v="96.31"/>
    <x v="1"/>
    <s v="6775888955|2016-04-15"/>
  </r>
  <r>
    <n v="6962181067"/>
    <d v="2016-04-12T00:00:00"/>
    <n v="1"/>
    <n v="366"/>
    <n v="387"/>
    <x v="0"/>
    <n v="6.1"/>
    <n v="6.45"/>
    <n v="21"/>
    <n v="94.57"/>
    <x v="1"/>
    <s v="6962181067|2016-04-12"/>
  </r>
  <r>
    <n v="6962181067"/>
    <d v="2016-04-13T00:00:00"/>
    <n v="3"/>
    <n v="630"/>
    <n v="679"/>
    <x v="1"/>
    <n v="10.5"/>
    <n v="11.32"/>
    <n v="49"/>
    <n v="92.78"/>
    <x v="2"/>
    <s v="6962181067|2016-04-13"/>
  </r>
  <r>
    <n v="6962181067"/>
    <d v="2016-04-14T00:00:00"/>
    <n v="2"/>
    <n v="508"/>
    <n v="535"/>
    <x v="5"/>
    <n v="8.4700000000000006"/>
    <n v="8.92"/>
    <n v="27"/>
    <n v="94.95"/>
    <x v="3"/>
    <s v="6962181067|2016-04-14"/>
  </r>
  <r>
    <n v="6962181067"/>
    <d v="2016-04-15T00:00:00"/>
    <n v="1"/>
    <n v="370"/>
    <n v="386"/>
    <x v="2"/>
    <n v="6.17"/>
    <n v="6.43"/>
    <n v="16"/>
    <n v="95.85"/>
    <x v="1"/>
    <s v="6962181067|2016-04-15"/>
  </r>
  <r>
    <n v="6962181067"/>
    <d v="2016-04-16T00:00:00"/>
    <n v="1"/>
    <n v="357"/>
    <n v="366"/>
    <x v="3"/>
    <n v="5.95"/>
    <n v="6.1"/>
    <n v="9"/>
    <n v="97.54"/>
    <x v="0"/>
    <s v="6962181067|2016-04-16"/>
  </r>
  <r>
    <n v="6962181067"/>
    <d v="2016-04-17T00:00:00"/>
    <n v="1"/>
    <n v="427"/>
    <n v="446"/>
    <x v="4"/>
    <n v="7.12"/>
    <n v="7.43"/>
    <n v="19"/>
    <n v="95.74"/>
    <x v="3"/>
    <s v="6962181067|2016-04-17"/>
  </r>
  <r>
    <n v="6962181067"/>
    <d v="2016-04-18T00:00:00"/>
    <n v="1"/>
    <n v="442"/>
    <n v="458"/>
    <x v="6"/>
    <n v="7.37"/>
    <n v="7.63"/>
    <n v="16"/>
    <n v="96.51"/>
    <x v="3"/>
    <s v="6962181067|2016-04-18"/>
  </r>
  <r>
    <n v="6962181067"/>
    <d v="2016-04-19T00:00:00"/>
    <n v="1"/>
    <n v="476"/>
    <n v="535"/>
    <x v="0"/>
    <n v="7.93"/>
    <n v="8.92"/>
    <n v="59"/>
    <n v="88.97"/>
    <x v="3"/>
    <s v="6962181067|2016-04-19"/>
  </r>
  <r>
    <n v="6962181067"/>
    <d v="2016-04-20T00:00:00"/>
    <n v="1"/>
    <n v="418"/>
    <n v="424"/>
    <x v="1"/>
    <n v="6.97"/>
    <n v="7.07"/>
    <n v="6"/>
    <n v="98.58"/>
    <x v="1"/>
    <s v="6962181067|2016-04-20"/>
  </r>
  <r>
    <n v="6962181067"/>
    <d v="2016-04-21T00:00:00"/>
    <n v="1"/>
    <n v="451"/>
    <n v="457"/>
    <x v="5"/>
    <n v="7.52"/>
    <n v="7.62"/>
    <n v="6"/>
    <n v="98.69"/>
    <x v="3"/>
    <s v="6962181067|2016-04-21"/>
  </r>
  <r>
    <n v="6962181067"/>
    <d v="2016-04-22T00:00:00"/>
    <n v="1"/>
    <n v="425"/>
    <n v="435"/>
    <x v="2"/>
    <n v="7.08"/>
    <n v="7.25"/>
    <n v="10"/>
    <n v="97.7"/>
    <x v="3"/>
    <s v="6962181067|2016-04-22"/>
  </r>
  <r>
    <n v="6962181067"/>
    <d v="2016-04-23T00:00:00"/>
    <n v="1"/>
    <n v="528"/>
    <n v="546"/>
    <x v="3"/>
    <n v="8.8000000000000007"/>
    <n v="9.1"/>
    <n v="18"/>
    <n v="96.7"/>
    <x v="3"/>
    <s v="6962181067|2016-04-23"/>
  </r>
  <r>
    <n v="6962181067"/>
    <d v="2016-04-24T00:00:00"/>
    <n v="1"/>
    <n v="511"/>
    <n v="514"/>
    <x v="4"/>
    <n v="8.52"/>
    <n v="8.57"/>
    <n v="3"/>
    <n v="99.42"/>
    <x v="3"/>
    <s v="6962181067|2016-04-24"/>
  </r>
  <r>
    <n v="6962181067"/>
    <d v="2016-04-25T00:00:00"/>
    <n v="1"/>
    <n v="400"/>
    <n v="415"/>
    <x v="6"/>
    <n v="6.67"/>
    <n v="6.92"/>
    <n v="15"/>
    <n v="96.39"/>
    <x v="1"/>
    <s v="6962181067|2016-04-25"/>
  </r>
  <r>
    <n v="6962181067"/>
    <d v="2016-04-26T00:00:00"/>
    <n v="1"/>
    <n v="441"/>
    <n v="446"/>
    <x v="0"/>
    <n v="7.35"/>
    <n v="7.43"/>
    <n v="5"/>
    <n v="98.88"/>
    <x v="3"/>
    <s v="6962181067|2016-04-26"/>
  </r>
  <r>
    <n v="6962181067"/>
    <d v="2016-04-27T00:00:00"/>
    <n v="1"/>
    <n v="455"/>
    <n v="467"/>
    <x v="1"/>
    <n v="7.58"/>
    <n v="7.78"/>
    <n v="12"/>
    <n v="97.43"/>
    <x v="3"/>
    <s v="6962181067|2016-04-27"/>
  </r>
  <r>
    <n v="6962181067"/>
    <d v="2016-04-28T00:00:00"/>
    <n v="1"/>
    <n v="440"/>
    <n v="453"/>
    <x v="5"/>
    <n v="7.33"/>
    <n v="7.55"/>
    <n v="13"/>
    <n v="97.13"/>
    <x v="3"/>
    <s v="6962181067|2016-04-28"/>
  </r>
  <r>
    <n v="6962181067"/>
    <d v="2016-04-29T00:00:00"/>
    <n v="1"/>
    <n v="433"/>
    <n v="447"/>
    <x v="2"/>
    <n v="7.22"/>
    <n v="7.45"/>
    <n v="14"/>
    <n v="96.87"/>
    <x v="3"/>
    <s v="6962181067|2016-04-29"/>
  </r>
  <r>
    <n v="6962181067"/>
    <d v="2016-04-30T00:00:00"/>
    <n v="1"/>
    <n v="422"/>
    <n v="424"/>
    <x v="3"/>
    <n v="7.03"/>
    <n v="7.07"/>
    <n v="2"/>
    <n v="99.53"/>
    <x v="3"/>
    <s v="6962181067|2016-04-30"/>
  </r>
  <r>
    <n v="6962181067"/>
    <d v="2016-05-01T00:00:00"/>
    <n v="1"/>
    <n v="411"/>
    <n v="426"/>
    <x v="4"/>
    <n v="6.85"/>
    <n v="7.1"/>
    <n v="15"/>
    <n v="96.48"/>
    <x v="1"/>
    <s v="6962181067|2016-05-01"/>
  </r>
  <r>
    <n v="6962181067"/>
    <d v="2016-05-02T00:00:00"/>
    <n v="1"/>
    <n v="466"/>
    <n v="482"/>
    <x v="6"/>
    <n v="7.77"/>
    <n v="8.0299999999999994"/>
    <n v="16"/>
    <n v="96.68"/>
    <x v="3"/>
    <s v="6962181067|2016-05-02"/>
  </r>
  <r>
    <n v="6962181067"/>
    <d v="2016-05-03T00:00:00"/>
    <n v="1"/>
    <n v="394"/>
    <n v="418"/>
    <x v="0"/>
    <n v="6.57"/>
    <n v="6.97"/>
    <n v="24"/>
    <n v="94.26"/>
    <x v="1"/>
    <s v="6962181067|2016-05-03"/>
  </r>
  <r>
    <n v="6962181067"/>
    <d v="2016-05-04T00:00:00"/>
    <n v="1"/>
    <n v="442"/>
    <n v="455"/>
    <x v="1"/>
    <n v="7.37"/>
    <n v="7.58"/>
    <n v="13"/>
    <n v="97.14"/>
    <x v="3"/>
    <s v="6962181067|2016-05-04"/>
  </r>
  <r>
    <n v="6962181067"/>
    <d v="2016-05-05T00:00:00"/>
    <n v="1"/>
    <n v="467"/>
    <n v="491"/>
    <x v="5"/>
    <n v="7.78"/>
    <n v="8.18"/>
    <n v="24"/>
    <n v="95.11"/>
    <x v="3"/>
    <s v="6962181067|2016-05-05"/>
  </r>
  <r>
    <n v="6962181067"/>
    <d v="2016-05-06T00:00:00"/>
    <n v="1"/>
    <n v="443"/>
    <n v="462"/>
    <x v="2"/>
    <n v="7.38"/>
    <n v="7.7"/>
    <n v="19"/>
    <n v="95.89"/>
    <x v="3"/>
    <s v="6962181067|2016-05-06"/>
  </r>
  <r>
    <n v="6962181067"/>
    <d v="2016-05-07T00:00:00"/>
    <n v="1"/>
    <n v="298"/>
    <n v="334"/>
    <x v="3"/>
    <n v="4.97"/>
    <n v="5.57"/>
    <n v="36"/>
    <n v="89.22"/>
    <x v="0"/>
    <s v="6962181067|2016-05-07"/>
  </r>
  <r>
    <n v="6962181067"/>
    <d v="2016-05-08T00:00:00"/>
    <n v="1"/>
    <n v="541"/>
    <n v="569"/>
    <x v="4"/>
    <n v="9.02"/>
    <n v="9.48"/>
    <n v="28"/>
    <n v="95.08"/>
    <x v="2"/>
    <s v="6962181067|2016-05-08"/>
  </r>
  <r>
    <n v="6962181067"/>
    <d v="2016-05-09T00:00:00"/>
    <n v="1"/>
    <n v="489"/>
    <n v="497"/>
    <x v="6"/>
    <n v="8.15"/>
    <n v="8.2799999999999994"/>
    <n v="8"/>
    <n v="98.39"/>
    <x v="3"/>
    <s v="6962181067|2016-05-09"/>
  </r>
  <r>
    <n v="6962181067"/>
    <d v="2016-05-10T00:00:00"/>
    <n v="1"/>
    <n v="469"/>
    <n v="481"/>
    <x v="0"/>
    <n v="7.82"/>
    <n v="8.02"/>
    <n v="12"/>
    <n v="97.51"/>
    <x v="3"/>
    <s v="6962181067|2016-05-10"/>
  </r>
  <r>
    <n v="6962181067"/>
    <d v="2016-05-11T00:00:00"/>
    <n v="1"/>
    <n v="452"/>
    <n v="480"/>
    <x v="1"/>
    <n v="7.53"/>
    <n v="8"/>
    <n v="28"/>
    <n v="94.17"/>
    <x v="3"/>
    <s v="6962181067|2016-05-11"/>
  </r>
  <r>
    <n v="6962181067"/>
    <d v="2016-05-12T00:00:00"/>
    <n v="1"/>
    <n v="516"/>
    <n v="535"/>
    <x v="5"/>
    <n v="8.6"/>
    <n v="8.92"/>
    <n v="19"/>
    <n v="96.45"/>
    <x v="3"/>
    <s v="6962181067|2016-05-12"/>
  </r>
  <r>
    <n v="7007744171"/>
    <d v="2016-04-16T00:00:00"/>
    <n v="1"/>
    <n v="79"/>
    <n v="82"/>
    <x v="3"/>
    <n v="1.32"/>
    <n v="1.37"/>
    <n v="3"/>
    <n v="96.34"/>
    <x v="0"/>
    <s v="7007744171|2016-04-16"/>
  </r>
  <r>
    <n v="7007744171"/>
    <d v="2016-05-01T00:00:00"/>
    <n v="1"/>
    <n v="58"/>
    <n v="61"/>
    <x v="4"/>
    <n v="0.97"/>
    <n v="1.02"/>
    <n v="3"/>
    <n v="95.08"/>
    <x v="0"/>
    <s v="7007744171|2016-05-01"/>
  </r>
  <r>
    <n v="7086361926"/>
    <d v="2016-04-12T00:00:00"/>
    <n v="1"/>
    <n v="514"/>
    <n v="525"/>
    <x v="0"/>
    <n v="8.57"/>
    <n v="8.75"/>
    <n v="11"/>
    <n v="97.9"/>
    <x v="3"/>
    <s v="7086361926|2016-04-12"/>
  </r>
  <r>
    <n v="7086361926"/>
    <d v="2016-04-13T00:00:00"/>
    <n v="1"/>
    <n v="451"/>
    <n v="465"/>
    <x v="1"/>
    <n v="7.52"/>
    <n v="7.75"/>
    <n v="14"/>
    <n v="96.99"/>
    <x v="3"/>
    <s v="7086361926|2016-04-13"/>
  </r>
  <r>
    <n v="7086361926"/>
    <d v="2016-04-14T00:00:00"/>
    <n v="1"/>
    <n v="472"/>
    <n v="476"/>
    <x v="5"/>
    <n v="7.87"/>
    <n v="7.93"/>
    <n v="4"/>
    <n v="99.16"/>
    <x v="3"/>
    <s v="7086361926|2016-04-14"/>
  </r>
  <r>
    <n v="7086361926"/>
    <d v="2016-04-15T00:00:00"/>
    <n v="1"/>
    <n v="377"/>
    <n v="386"/>
    <x v="2"/>
    <n v="6.28"/>
    <n v="6.43"/>
    <n v="9"/>
    <n v="97.67"/>
    <x v="1"/>
    <s v="7086361926|2016-04-15"/>
  </r>
  <r>
    <n v="7086361926"/>
    <d v="2016-04-19T00:00:00"/>
    <n v="1"/>
    <n v="472"/>
    <n v="483"/>
    <x v="0"/>
    <n v="7.87"/>
    <n v="8.0500000000000007"/>
    <n v="11"/>
    <n v="97.72"/>
    <x v="3"/>
    <s v="7086361926|2016-04-19"/>
  </r>
  <r>
    <n v="7086361926"/>
    <d v="2016-04-20T00:00:00"/>
    <n v="1"/>
    <n v="492"/>
    <n v="502"/>
    <x v="1"/>
    <n v="8.1999999999999993"/>
    <n v="8.3699999999999992"/>
    <n v="10"/>
    <n v="98.01"/>
    <x v="3"/>
    <s v="7086361926|2016-04-20"/>
  </r>
  <r>
    <n v="7086361926"/>
    <d v="2016-04-21T00:00:00"/>
    <n v="1"/>
    <n v="390"/>
    <n v="411"/>
    <x v="5"/>
    <n v="6.5"/>
    <n v="6.85"/>
    <n v="21"/>
    <n v="94.89"/>
    <x v="1"/>
    <s v="7086361926|2016-04-21"/>
  </r>
  <r>
    <n v="7086361926"/>
    <d v="2016-04-22T00:00:00"/>
    <n v="1"/>
    <n v="428"/>
    <n v="448"/>
    <x v="2"/>
    <n v="7.13"/>
    <n v="7.47"/>
    <n v="20"/>
    <n v="95.54"/>
    <x v="3"/>
    <s v="7086361926|2016-04-22"/>
  </r>
  <r>
    <n v="7086361926"/>
    <d v="2016-04-24T00:00:00"/>
    <n v="1"/>
    <n v="681"/>
    <n v="704"/>
    <x v="4"/>
    <n v="11.35"/>
    <n v="11.73"/>
    <n v="23"/>
    <n v="96.73"/>
    <x v="2"/>
    <s v="7086361926|2016-04-24"/>
  </r>
  <r>
    <n v="7086361926"/>
    <d v="2016-04-25T00:00:00"/>
    <n v="1"/>
    <n v="446"/>
    <n v="447"/>
    <x v="6"/>
    <n v="7.43"/>
    <n v="7.45"/>
    <n v="1"/>
    <n v="99.78"/>
    <x v="3"/>
    <s v="7086361926|2016-04-25"/>
  </r>
  <r>
    <n v="7086361926"/>
    <d v="2016-04-26T00:00:00"/>
    <n v="1"/>
    <n v="485"/>
    <n v="500"/>
    <x v="0"/>
    <n v="8.08"/>
    <n v="8.33"/>
    <n v="15"/>
    <n v="97"/>
    <x v="3"/>
    <s v="7086361926|2016-04-26"/>
  </r>
  <r>
    <n v="7086361926"/>
    <d v="2016-04-27T00:00:00"/>
    <n v="1"/>
    <n v="469"/>
    <n v="479"/>
    <x v="1"/>
    <n v="7.82"/>
    <n v="7.98"/>
    <n v="10"/>
    <n v="97.91"/>
    <x v="3"/>
    <s v="7086361926|2016-04-27"/>
  </r>
  <r>
    <n v="7086361926"/>
    <d v="2016-04-28T00:00:00"/>
    <n v="1"/>
    <n v="354"/>
    <n v="367"/>
    <x v="5"/>
    <n v="5.9"/>
    <n v="6.12"/>
    <n v="13"/>
    <n v="96.46"/>
    <x v="0"/>
    <s v="7086361926|2016-04-28"/>
  </r>
  <r>
    <n v="7086361926"/>
    <d v="2016-04-30T00:00:00"/>
    <n v="1"/>
    <n v="485"/>
    <n v="489"/>
    <x v="3"/>
    <n v="8.08"/>
    <n v="8.15"/>
    <n v="4"/>
    <n v="99.18"/>
    <x v="3"/>
    <s v="7086361926|2016-04-30"/>
  </r>
  <r>
    <n v="7086361926"/>
    <d v="2016-05-01T00:00:00"/>
    <n v="1"/>
    <n v="388"/>
    <n v="407"/>
    <x v="4"/>
    <n v="6.47"/>
    <n v="6.78"/>
    <n v="19"/>
    <n v="95.33"/>
    <x v="1"/>
    <s v="7086361926|2016-05-01"/>
  </r>
  <r>
    <n v="7086361926"/>
    <d v="2016-05-02T00:00:00"/>
    <n v="1"/>
    <n v="440"/>
    <n v="459"/>
    <x v="6"/>
    <n v="7.33"/>
    <n v="7.65"/>
    <n v="19"/>
    <n v="95.86"/>
    <x v="3"/>
    <s v="7086361926|2016-05-02"/>
  </r>
  <r>
    <n v="7086361926"/>
    <d v="2016-05-03T00:00:00"/>
    <n v="1"/>
    <n v="456"/>
    <n v="461"/>
    <x v="0"/>
    <n v="7.6"/>
    <n v="7.68"/>
    <n v="5"/>
    <n v="98.92"/>
    <x v="3"/>
    <s v="7086361926|2016-05-03"/>
  </r>
  <r>
    <n v="7086361926"/>
    <d v="2016-05-04T00:00:00"/>
    <n v="1"/>
    <n v="420"/>
    <n v="436"/>
    <x v="1"/>
    <n v="7"/>
    <n v="7.27"/>
    <n v="16"/>
    <n v="96.33"/>
    <x v="3"/>
    <s v="7086361926|2016-05-04"/>
  </r>
  <r>
    <n v="7086361926"/>
    <d v="2016-05-06T00:00:00"/>
    <n v="1"/>
    <n v="322"/>
    <n v="333"/>
    <x v="2"/>
    <n v="5.37"/>
    <n v="5.55"/>
    <n v="11"/>
    <n v="96.7"/>
    <x v="0"/>
    <s v="7086361926|2016-05-06"/>
  </r>
  <r>
    <n v="7086361926"/>
    <d v="2016-05-07T00:00:00"/>
    <n v="1"/>
    <n v="530"/>
    <n v="548"/>
    <x v="3"/>
    <n v="8.83"/>
    <n v="9.1300000000000008"/>
    <n v="18"/>
    <n v="96.72"/>
    <x v="3"/>
    <s v="7086361926|2016-05-07"/>
  </r>
  <r>
    <n v="7086361926"/>
    <d v="2016-05-08T00:00:00"/>
    <n v="1"/>
    <n v="481"/>
    <n v="510"/>
    <x v="4"/>
    <n v="8.02"/>
    <n v="8.5"/>
    <n v="29"/>
    <n v="94.31"/>
    <x v="3"/>
    <s v="7086361926|2016-05-08"/>
  </r>
  <r>
    <n v="7086361926"/>
    <d v="2016-05-09T00:00:00"/>
    <n v="1"/>
    <n v="427"/>
    <n v="438"/>
    <x v="6"/>
    <n v="7.12"/>
    <n v="7.3"/>
    <n v="11"/>
    <n v="97.49"/>
    <x v="3"/>
    <s v="7086361926|2016-05-09"/>
  </r>
  <r>
    <n v="7086361926"/>
    <d v="2016-05-11T00:00:00"/>
    <n v="1"/>
    <n v="451"/>
    <n v="463"/>
    <x v="1"/>
    <n v="7.52"/>
    <n v="7.72"/>
    <n v="12"/>
    <n v="97.41"/>
    <x v="3"/>
    <s v="7086361926|2016-05-11"/>
  </r>
  <r>
    <n v="7086361926"/>
    <d v="2016-05-12T00:00:00"/>
    <n v="1"/>
    <n v="444"/>
    <n v="457"/>
    <x v="5"/>
    <n v="7.4"/>
    <n v="7.62"/>
    <n v="13"/>
    <n v="97.16"/>
    <x v="3"/>
    <s v="7086361926|2016-05-12"/>
  </r>
  <r>
    <n v="8053475328"/>
    <d v="2016-04-20T00:00:00"/>
    <n v="1"/>
    <n v="486"/>
    <n v="493"/>
    <x v="1"/>
    <n v="8.1"/>
    <n v="8.2200000000000006"/>
    <n v="7"/>
    <n v="98.58"/>
    <x v="3"/>
    <s v="8053475328|2016-04-20"/>
  </r>
  <r>
    <n v="8053475328"/>
    <d v="2016-04-23T00:00:00"/>
    <n v="1"/>
    <n v="331"/>
    <n v="337"/>
    <x v="3"/>
    <n v="5.52"/>
    <n v="5.62"/>
    <n v="6"/>
    <n v="98.22"/>
    <x v="0"/>
    <s v="8053475328|2016-04-23"/>
  </r>
  <r>
    <n v="8053475328"/>
    <d v="2016-05-07T00:00:00"/>
    <n v="1"/>
    <n v="74"/>
    <n v="75"/>
    <x v="3"/>
    <n v="1.23"/>
    <n v="1.25"/>
    <n v="1"/>
    <n v="98.67"/>
    <x v="0"/>
    <s v="8053475328|2016-05-07"/>
  </r>
  <r>
    <n v="8378563200"/>
    <d v="2016-04-12T00:00:00"/>
    <n v="1"/>
    <n v="338"/>
    <n v="356"/>
    <x v="0"/>
    <n v="5.63"/>
    <n v="5.93"/>
    <n v="18"/>
    <n v="94.94"/>
    <x v="0"/>
    <s v="8378563200|2016-04-12"/>
  </r>
  <r>
    <n v="8378563200"/>
    <d v="2016-04-13T00:00:00"/>
    <n v="2"/>
    <n v="447"/>
    <n v="487"/>
    <x v="1"/>
    <n v="7.45"/>
    <n v="8.1199999999999992"/>
    <n v="40"/>
    <n v="91.79"/>
    <x v="3"/>
    <s v="8378563200|2016-04-13"/>
  </r>
  <r>
    <n v="8378563200"/>
    <d v="2016-04-14T00:00:00"/>
    <n v="1"/>
    <n v="424"/>
    <n v="455"/>
    <x v="5"/>
    <n v="7.07"/>
    <n v="7.58"/>
    <n v="31"/>
    <n v="93.19"/>
    <x v="3"/>
    <s v="8378563200|2016-04-14"/>
  </r>
  <r>
    <n v="8378563200"/>
    <d v="2016-04-15T00:00:00"/>
    <n v="1"/>
    <n v="513"/>
    <n v="533"/>
    <x v="2"/>
    <n v="8.5500000000000007"/>
    <n v="8.8800000000000008"/>
    <n v="20"/>
    <n v="96.25"/>
    <x v="3"/>
    <s v="8378563200|2016-04-15"/>
  </r>
  <r>
    <n v="8378563200"/>
    <d v="2016-04-16T00:00:00"/>
    <n v="2"/>
    <n v="611"/>
    <n v="689"/>
    <x v="3"/>
    <n v="10.18"/>
    <n v="11.48"/>
    <n v="78"/>
    <n v="88.68"/>
    <x v="2"/>
    <s v="8378563200|2016-04-16"/>
  </r>
  <r>
    <n v="8378563200"/>
    <d v="2016-04-17T00:00:00"/>
    <n v="2"/>
    <n v="525"/>
    <n v="591"/>
    <x v="4"/>
    <n v="8.75"/>
    <n v="9.85"/>
    <n v="66"/>
    <n v="88.83"/>
    <x v="3"/>
    <s v="8378563200|2016-04-17"/>
  </r>
  <r>
    <n v="8378563200"/>
    <d v="2016-04-18T00:00:00"/>
    <n v="1"/>
    <n v="398"/>
    <n v="451"/>
    <x v="6"/>
    <n v="6.63"/>
    <n v="7.52"/>
    <n v="53"/>
    <n v="88.25"/>
    <x v="1"/>
    <s v="8378563200|2016-04-18"/>
  </r>
  <r>
    <n v="8378563200"/>
    <d v="2016-04-19T00:00:00"/>
    <n v="1"/>
    <n v="387"/>
    <n v="421"/>
    <x v="0"/>
    <n v="6.45"/>
    <n v="7.02"/>
    <n v="34"/>
    <n v="91.92"/>
    <x v="1"/>
    <s v="8378563200|2016-04-19"/>
  </r>
  <r>
    <n v="8378563200"/>
    <d v="2016-04-20T00:00:00"/>
    <n v="1"/>
    <n v="381"/>
    <n v="409"/>
    <x v="1"/>
    <n v="6.35"/>
    <n v="6.82"/>
    <n v="28"/>
    <n v="93.15"/>
    <x v="1"/>
    <s v="8378563200|2016-04-20"/>
  </r>
  <r>
    <n v="8378563200"/>
    <d v="2016-04-21T00:00:00"/>
    <n v="1"/>
    <n v="396"/>
    <n v="417"/>
    <x v="5"/>
    <n v="6.6"/>
    <n v="6.95"/>
    <n v="21"/>
    <n v="94.96"/>
    <x v="1"/>
    <s v="8378563200|2016-04-21"/>
  </r>
  <r>
    <n v="8378563200"/>
    <d v="2016-04-22T00:00:00"/>
    <n v="1"/>
    <n v="441"/>
    <n v="469"/>
    <x v="2"/>
    <n v="7.35"/>
    <n v="7.82"/>
    <n v="28"/>
    <n v="94.03"/>
    <x v="3"/>
    <s v="8378563200|2016-04-22"/>
  </r>
  <r>
    <n v="8378563200"/>
    <d v="2016-04-23T00:00:00"/>
    <n v="1"/>
    <n v="565"/>
    <n v="591"/>
    <x v="3"/>
    <n v="9.42"/>
    <n v="9.85"/>
    <n v="26"/>
    <n v="95.6"/>
    <x v="2"/>
    <s v="8378563200|2016-04-23"/>
  </r>
  <r>
    <n v="8378563200"/>
    <d v="2016-04-24T00:00:00"/>
    <n v="1"/>
    <n v="458"/>
    <n v="492"/>
    <x v="4"/>
    <n v="7.63"/>
    <n v="8.1999999999999993"/>
    <n v="34"/>
    <n v="93.09"/>
    <x v="3"/>
    <s v="8378563200|2016-04-24"/>
  </r>
  <r>
    <n v="8378563200"/>
    <d v="2016-04-25T00:00:00"/>
    <n v="1"/>
    <n v="388"/>
    <n v="402"/>
    <x v="6"/>
    <n v="6.47"/>
    <n v="6.7"/>
    <n v="14"/>
    <n v="96.52"/>
    <x v="1"/>
    <s v="8378563200|2016-04-25"/>
  </r>
  <r>
    <n v="8378563200"/>
    <d v="2016-04-26T00:00:00"/>
    <n v="1"/>
    <n v="550"/>
    <n v="584"/>
    <x v="0"/>
    <n v="9.17"/>
    <n v="9.73"/>
    <n v="34"/>
    <n v="94.18"/>
    <x v="2"/>
    <s v="8378563200|2016-04-26"/>
  </r>
  <r>
    <n v="8378563200"/>
    <d v="2016-04-27T00:00:00"/>
    <n v="1"/>
    <n v="531"/>
    <n v="600"/>
    <x v="1"/>
    <n v="8.85"/>
    <n v="10"/>
    <n v="69"/>
    <n v="88.5"/>
    <x v="3"/>
    <s v="8378563200|2016-04-27"/>
  </r>
  <r>
    <n v="8378563200"/>
    <d v="2016-04-28T00:00:00"/>
    <n v="1"/>
    <n v="506"/>
    <n v="556"/>
    <x v="5"/>
    <n v="8.43"/>
    <n v="9.27"/>
    <n v="50"/>
    <n v="91.01"/>
    <x v="3"/>
    <s v="8378563200|2016-04-28"/>
  </r>
  <r>
    <n v="8378563200"/>
    <d v="2016-04-29T00:00:00"/>
    <n v="1"/>
    <n v="527"/>
    <n v="562"/>
    <x v="2"/>
    <n v="8.7799999999999994"/>
    <n v="9.3699999999999992"/>
    <n v="35"/>
    <n v="93.77"/>
    <x v="3"/>
    <s v="8378563200|2016-04-29"/>
  </r>
  <r>
    <n v="8378563200"/>
    <d v="2016-04-30T00:00:00"/>
    <n v="1"/>
    <n v="468"/>
    <n v="555"/>
    <x v="3"/>
    <n v="7.8"/>
    <n v="9.25"/>
    <n v="87"/>
    <n v="84.32"/>
    <x v="3"/>
    <s v="8378563200|2016-04-30"/>
  </r>
  <r>
    <n v="8378563200"/>
    <d v="2016-05-01T00:00:00"/>
    <n v="1"/>
    <n v="475"/>
    <n v="539"/>
    <x v="4"/>
    <n v="7.92"/>
    <n v="8.98"/>
    <n v="64"/>
    <n v="88.13"/>
    <x v="3"/>
    <s v="8378563200|2016-05-01"/>
  </r>
  <r>
    <n v="8378563200"/>
    <d v="2016-05-02T00:00:00"/>
    <n v="1"/>
    <n v="351"/>
    <n v="385"/>
    <x v="6"/>
    <n v="5.85"/>
    <n v="6.42"/>
    <n v="34"/>
    <n v="91.17"/>
    <x v="0"/>
    <s v="8378563200|2016-05-02"/>
  </r>
  <r>
    <n v="8378563200"/>
    <d v="2016-05-03T00:00:00"/>
    <n v="1"/>
    <n v="405"/>
    <n v="429"/>
    <x v="0"/>
    <n v="6.75"/>
    <n v="7.15"/>
    <n v="24"/>
    <n v="94.41"/>
    <x v="1"/>
    <s v="8378563200|2016-05-03"/>
  </r>
  <r>
    <n v="8378563200"/>
    <d v="2016-05-04T00:00:00"/>
    <n v="1"/>
    <n v="441"/>
    <n v="477"/>
    <x v="1"/>
    <n v="7.35"/>
    <n v="7.95"/>
    <n v="36"/>
    <n v="92.45"/>
    <x v="3"/>
    <s v="8378563200|2016-05-04"/>
  </r>
  <r>
    <n v="8378563200"/>
    <d v="2016-05-05T00:00:00"/>
    <n v="1"/>
    <n v="381"/>
    <n v="417"/>
    <x v="5"/>
    <n v="6.35"/>
    <n v="6.95"/>
    <n v="36"/>
    <n v="91.37"/>
    <x v="1"/>
    <s v="8378563200|2016-05-05"/>
  </r>
  <r>
    <n v="8378563200"/>
    <d v="2016-05-06T00:00:00"/>
    <n v="1"/>
    <n v="323"/>
    <n v="355"/>
    <x v="2"/>
    <n v="5.38"/>
    <n v="5.92"/>
    <n v="32"/>
    <n v="90.99"/>
    <x v="0"/>
    <s v="8378563200|2016-05-06"/>
  </r>
  <r>
    <n v="8378563200"/>
    <d v="2016-05-07T00:00:00"/>
    <n v="2"/>
    <n v="459"/>
    <n v="513"/>
    <x v="3"/>
    <n v="7.65"/>
    <n v="8.5500000000000007"/>
    <n v="54"/>
    <n v="89.47"/>
    <x v="3"/>
    <s v="8378563200|2016-05-07"/>
  </r>
  <r>
    <n v="8378563200"/>
    <d v="2016-05-08T00:00:00"/>
    <n v="1"/>
    <n v="545"/>
    <n v="606"/>
    <x v="4"/>
    <n v="9.08"/>
    <n v="10.1"/>
    <n v="61"/>
    <n v="89.93"/>
    <x v="2"/>
    <s v="8378563200|2016-05-08"/>
  </r>
  <r>
    <n v="8378563200"/>
    <d v="2016-05-09T00:00:00"/>
    <n v="1"/>
    <n v="359"/>
    <n v="399"/>
    <x v="6"/>
    <n v="5.98"/>
    <n v="6.65"/>
    <n v="40"/>
    <n v="89.97"/>
    <x v="0"/>
    <s v="8378563200|2016-05-09"/>
  </r>
  <r>
    <n v="8378563200"/>
    <d v="2016-05-10T00:00:00"/>
    <n v="1"/>
    <n v="342"/>
    <n v="391"/>
    <x v="0"/>
    <n v="5.7"/>
    <n v="6.52"/>
    <n v="49"/>
    <n v="87.47"/>
    <x v="0"/>
    <s v="8378563200|2016-05-10"/>
  </r>
  <r>
    <n v="8378563200"/>
    <d v="2016-05-11T00:00:00"/>
    <n v="1"/>
    <n v="368"/>
    <n v="387"/>
    <x v="1"/>
    <n v="6.13"/>
    <n v="6.45"/>
    <n v="19"/>
    <n v="95.09"/>
    <x v="1"/>
    <s v="8378563200|2016-05-11"/>
  </r>
  <r>
    <n v="8378563200"/>
    <d v="2016-05-12T00:00:00"/>
    <n v="1"/>
    <n v="496"/>
    <n v="546"/>
    <x v="5"/>
    <n v="8.27"/>
    <n v="9.1"/>
    <n v="50"/>
    <n v="90.84"/>
    <x v="3"/>
    <s v="8378563200|2016-05-12"/>
  </r>
  <r>
    <n v="8792009665"/>
    <d v="2016-04-12T00:00:00"/>
    <n v="1"/>
    <n v="458"/>
    <n v="493"/>
    <x v="0"/>
    <n v="7.63"/>
    <n v="8.2200000000000006"/>
    <n v="35"/>
    <n v="92.9"/>
    <x v="3"/>
    <s v="8792009665|2016-04-12"/>
  </r>
  <r>
    <n v="8792009665"/>
    <d v="2016-04-13T00:00:00"/>
    <n v="1"/>
    <n v="531"/>
    <n v="552"/>
    <x v="1"/>
    <n v="8.85"/>
    <n v="9.1999999999999993"/>
    <n v="21"/>
    <n v="96.2"/>
    <x v="3"/>
    <s v="8792009665|2016-04-13"/>
  </r>
  <r>
    <n v="8792009665"/>
    <d v="2016-04-14T00:00:00"/>
    <n v="1"/>
    <n v="486"/>
    <n v="503"/>
    <x v="5"/>
    <n v="8.1"/>
    <n v="8.3800000000000008"/>
    <n v="17"/>
    <n v="96.62"/>
    <x v="3"/>
    <s v="8792009665|2016-04-14"/>
  </r>
  <r>
    <n v="8792009665"/>
    <d v="2016-04-15T00:00:00"/>
    <n v="1"/>
    <n v="363"/>
    <n v="377"/>
    <x v="2"/>
    <n v="6.05"/>
    <n v="6.28"/>
    <n v="14"/>
    <n v="96.29"/>
    <x v="1"/>
    <s v="8792009665|2016-04-15"/>
  </r>
  <r>
    <n v="8792009665"/>
    <d v="2016-04-20T00:00:00"/>
    <n v="1"/>
    <n v="528"/>
    <n v="547"/>
    <x v="1"/>
    <n v="8.8000000000000007"/>
    <n v="9.1199999999999992"/>
    <n v="19"/>
    <n v="96.53"/>
    <x v="3"/>
    <s v="8792009665|2016-04-20"/>
  </r>
  <r>
    <n v="8792009665"/>
    <d v="2016-04-22T00:00:00"/>
    <n v="1"/>
    <n v="391"/>
    <n v="407"/>
    <x v="2"/>
    <n v="6.52"/>
    <n v="6.78"/>
    <n v="16"/>
    <n v="96.07"/>
    <x v="1"/>
    <s v="8792009665|2016-04-22"/>
  </r>
  <r>
    <n v="8792009665"/>
    <d v="2016-04-23T00:00:00"/>
    <n v="1"/>
    <n v="339"/>
    <n v="360"/>
    <x v="3"/>
    <n v="5.65"/>
    <n v="6"/>
    <n v="21"/>
    <n v="94.17"/>
    <x v="0"/>
    <s v="8792009665|2016-04-23"/>
  </r>
  <r>
    <n v="8792009665"/>
    <d v="2016-04-27T00:00:00"/>
    <n v="1"/>
    <n v="423"/>
    <n v="428"/>
    <x v="1"/>
    <n v="7.05"/>
    <n v="7.13"/>
    <n v="5"/>
    <n v="98.83"/>
    <x v="3"/>
    <s v="8792009665|2016-04-27"/>
  </r>
  <r>
    <n v="8792009665"/>
    <d v="2016-04-28T00:00:00"/>
    <n v="1"/>
    <n v="402"/>
    <n v="416"/>
    <x v="5"/>
    <n v="6.7"/>
    <n v="6.93"/>
    <n v="14"/>
    <n v="96.63"/>
    <x v="1"/>
    <s v="8792009665|2016-04-28"/>
  </r>
  <r>
    <n v="8792009665"/>
    <d v="2016-04-29T00:00:00"/>
    <n v="1"/>
    <n v="398"/>
    <n v="406"/>
    <x v="2"/>
    <n v="6.63"/>
    <n v="6.77"/>
    <n v="8"/>
    <n v="98.03"/>
    <x v="1"/>
    <s v="8792009665|2016-04-29"/>
  </r>
  <r>
    <n v="8792009665"/>
    <d v="2016-04-30T00:00:00"/>
    <n v="1"/>
    <n v="343"/>
    <n v="360"/>
    <x v="3"/>
    <n v="5.72"/>
    <n v="6"/>
    <n v="17"/>
    <n v="95.28"/>
    <x v="0"/>
    <s v="8792009665|2016-04-30"/>
  </r>
  <r>
    <n v="8792009665"/>
    <d v="2016-05-01T00:00:00"/>
    <n v="1"/>
    <n v="503"/>
    <n v="527"/>
    <x v="4"/>
    <n v="8.3800000000000008"/>
    <n v="8.7799999999999994"/>
    <n v="24"/>
    <n v="95.45"/>
    <x v="3"/>
    <s v="8792009665|2016-05-01"/>
  </r>
  <r>
    <n v="8792009665"/>
    <d v="2016-05-02T00:00:00"/>
    <n v="1"/>
    <n v="415"/>
    <n v="423"/>
    <x v="6"/>
    <n v="6.92"/>
    <n v="7.05"/>
    <n v="8"/>
    <n v="98.11"/>
    <x v="1"/>
    <s v="8792009665|2016-05-02"/>
  </r>
  <r>
    <n v="8792009665"/>
    <d v="2016-05-03T00:00:00"/>
    <n v="1"/>
    <n v="516"/>
    <n v="545"/>
    <x v="0"/>
    <n v="8.6"/>
    <n v="9.08"/>
    <n v="29"/>
    <n v="94.68"/>
    <x v="3"/>
    <s v="8792009665|2016-05-03"/>
  </r>
  <r>
    <n v="8792009665"/>
    <d v="2016-05-04T00:00:00"/>
    <n v="1"/>
    <n v="439"/>
    <n v="463"/>
    <x v="1"/>
    <n v="7.32"/>
    <n v="7.72"/>
    <n v="24"/>
    <n v="94.82"/>
    <x v="3"/>
    <s v="8792009665|2016-05-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n v="1503960366"/>
    <d v="2016-04-12T00:00:00"/>
    <n v="224"/>
    <n v="0.140000000596046"/>
    <n v="0"/>
    <n v="0"/>
    <n v="9"/>
    <n v="32"/>
    <n v="50"/>
    <s v="Tuesday"/>
    <s v="April"/>
    <n v="9"/>
    <n v="41"/>
    <n v="0.53"/>
    <x v="0"/>
    <s v="Sedentary"/>
    <n v="1"/>
    <n v="327"/>
    <n v="346"/>
    <n v="5.45"/>
    <n v="5.77"/>
    <n v="19"/>
    <n v="94.51"/>
    <x v="0"/>
  </r>
  <r>
    <n v="1927972279"/>
    <d v="2016-04-12T00:00:00"/>
    <n v="24"/>
    <n v="1.9999999552965199E-2"/>
    <n v="0"/>
    <n v="0"/>
    <n v="3"/>
    <n v="161"/>
    <n v="942"/>
    <s v="Tuesday"/>
    <s v="April"/>
    <n v="3"/>
    <n v="164"/>
    <n v="2.68"/>
    <x v="0"/>
    <s v="Sedentary"/>
    <n v="3"/>
    <n v="750"/>
    <n v="775"/>
    <n v="12.5"/>
    <n v="12.92"/>
    <n v="25"/>
    <n v="96.77"/>
    <x v="1"/>
  </r>
  <r>
    <n v="2026352035"/>
    <d v="2016-04-12T00:00:00"/>
    <n v="1019"/>
    <n v="0.62999999523162797"/>
    <n v="0"/>
    <n v="0"/>
    <n v="64"/>
    <n v="223"/>
    <n v="600"/>
    <s v="Tuesday"/>
    <s v="April"/>
    <n v="64"/>
    <n v="287"/>
    <n v="3.72"/>
    <x v="0"/>
    <s v="Sedentary"/>
    <n v="1"/>
    <n v="503"/>
    <n v="546"/>
    <n v="8.3800000000000008"/>
    <n v="9.1"/>
    <n v="43"/>
    <n v="92.12"/>
    <x v="2"/>
  </r>
  <r>
    <n v="3977333714"/>
    <d v="2016-04-12T00:00:00"/>
    <n v="759"/>
    <n v="0.56999999284744296"/>
    <n v="0"/>
    <n v="0"/>
    <n v="17"/>
    <n v="187"/>
    <n v="182"/>
    <s v="Tuesday"/>
    <s v="April"/>
    <n v="17"/>
    <n v="204"/>
    <n v="3.12"/>
    <x v="0"/>
    <s v="Sedentary"/>
    <n v="1"/>
    <n v="274"/>
    <n v="469"/>
    <n v="4.57"/>
    <n v="7.82"/>
    <n v="195"/>
    <n v="58.42"/>
    <x v="0"/>
  </r>
  <r>
    <n v="4020332650"/>
    <d v="2016-04-12T00:00:00"/>
    <n v="8"/>
    <n v="9.9999997764825804E-3"/>
    <n v="0"/>
    <n v="0"/>
    <n v="1"/>
    <n v="321"/>
    <n v="446"/>
    <s v="Tuesday"/>
    <s v="April"/>
    <n v="1"/>
    <n v="322"/>
    <n v="5.35"/>
    <x v="0"/>
    <s v="Sedentary"/>
    <n v="1"/>
    <n v="501"/>
    <n v="541"/>
    <n v="8.35"/>
    <n v="9.02"/>
    <n v="40"/>
    <n v="92.61"/>
    <x v="2"/>
  </r>
  <r>
    <n v="4445114986"/>
    <d v="2016-04-12T00:00:00"/>
    <n v="278"/>
    <n v="0.18999999761581399"/>
    <n v="0"/>
    <n v="0"/>
    <n v="20"/>
    <n v="253"/>
    <n v="745"/>
    <s v="Tuesday"/>
    <s v="April"/>
    <n v="20"/>
    <n v="273"/>
    <n v="4.22"/>
    <x v="0"/>
    <s v="Sedentary"/>
    <n v="2"/>
    <n v="429"/>
    <n v="457"/>
    <n v="7.15"/>
    <n v="7.62"/>
    <n v="28"/>
    <n v="93.87"/>
    <x v="2"/>
  </r>
  <r>
    <n v="4702921684"/>
    <d v="2016-04-12T00:00:00"/>
    <n v="0"/>
    <n v="0"/>
    <n v="0"/>
    <n v="0"/>
    <n v="0"/>
    <n v="1440"/>
    <n v="0"/>
    <s v="Tuesday"/>
    <s v="April"/>
    <n v="0"/>
    <n v="1440"/>
    <n v="24"/>
    <x v="0"/>
    <s v="Sedentary"/>
    <n v="1"/>
    <n v="425"/>
    <n v="439"/>
    <n v="7.08"/>
    <n v="7.32"/>
    <n v="14"/>
    <n v="96.81"/>
    <x v="2"/>
  </r>
  <r>
    <n v="5553957443"/>
    <d v="2016-04-12T00:00:00"/>
    <n v="3436"/>
    <n v="2.2400000095367401"/>
    <n v="7"/>
    <n v="11"/>
    <n v="50"/>
    <n v="61"/>
    <n v="633"/>
    <s v="Tuesday"/>
    <s v="April"/>
    <n v="68"/>
    <n v="129"/>
    <n v="1.02"/>
    <x v="0"/>
    <s v="Lightly Active"/>
    <n v="1"/>
    <n v="441"/>
    <n v="464"/>
    <n v="7.35"/>
    <n v="7.73"/>
    <n v="23"/>
    <n v="95.04"/>
    <x v="2"/>
  </r>
  <r>
    <n v="6962181067"/>
    <d v="2016-04-12T00:00:00"/>
    <n v="5893"/>
    <n v="3.9000000953674299"/>
    <n v="43"/>
    <n v="9"/>
    <n v="48"/>
    <n v="146"/>
    <n v="917"/>
    <s v="Tuesday"/>
    <s v="April"/>
    <n v="100"/>
    <n v="246"/>
    <n v="2.4300000000000002"/>
    <x v="1"/>
    <s v="Very Active"/>
    <n v="1"/>
    <n v="366"/>
    <n v="387"/>
    <n v="6.1"/>
    <n v="6.45"/>
    <n v="21"/>
    <n v="94.57"/>
    <x v="3"/>
  </r>
  <r>
    <n v="7086361926"/>
    <d v="2016-04-12T00:00:00"/>
    <n v="430"/>
    <n v="0.259999990463257"/>
    <n v="0"/>
    <n v="0"/>
    <n v="14"/>
    <n v="75"/>
    <n v="625"/>
    <s v="Tuesday"/>
    <s v="April"/>
    <n v="14"/>
    <n v="89"/>
    <n v="1.25"/>
    <x v="0"/>
    <s v="Sedentary"/>
    <n v="1"/>
    <n v="514"/>
    <n v="525"/>
    <n v="8.57"/>
    <n v="8.75"/>
    <n v="11"/>
    <n v="97.9"/>
    <x v="2"/>
  </r>
  <r>
    <n v="8378563200"/>
    <d v="2016-04-12T00:00:00"/>
    <n v="3246"/>
    <n v="2.5699999332428001"/>
    <n v="65"/>
    <n v="15"/>
    <n v="49"/>
    <n v="243"/>
    <n v="1882"/>
    <s v="Tuesday"/>
    <s v="April"/>
    <n v="129"/>
    <n v="372"/>
    <n v="4.05"/>
    <x v="0"/>
    <s v="Very Active"/>
    <n v="1"/>
    <n v="338"/>
    <n v="356"/>
    <n v="5.63"/>
    <n v="5.93"/>
    <n v="18"/>
    <n v="94.94"/>
    <x v="0"/>
  </r>
  <r>
    <n v="8792009665"/>
    <d v="2016-04-12T00:00:00"/>
    <n v="20"/>
    <n v="9.9999997764825804E-3"/>
    <n v="0"/>
    <n v="0"/>
    <n v="6"/>
    <n v="598"/>
    <n v="728"/>
    <s v="Tuesday"/>
    <s v="April"/>
    <n v="6"/>
    <n v="604"/>
    <n v="9.9700000000000006"/>
    <x v="0"/>
    <s v="Sedentary"/>
    <n v="1"/>
    <n v="458"/>
    <n v="493"/>
    <n v="7.63"/>
    <n v="8.2200000000000006"/>
    <n v="35"/>
    <n v="92.9"/>
    <x v="2"/>
  </r>
  <r>
    <n v="1503960366"/>
    <d v="2016-04-13T00:00:00"/>
    <n v="10735"/>
    <n v="6.9699997901916504"/>
    <n v="21"/>
    <n v="19"/>
    <n v="217"/>
    <n v="776"/>
    <n v="1797"/>
    <s v="Wednesday"/>
    <s v="April"/>
    <n v="257"/>
    <n v="1033"/>
    <n v="12.93"/>
    <x v="2"/>
    <s v="Moderately Active"/>
    <n v="2"/>
    <n v="384"/>
    <n v="407"/>
    <n v="6.4"/>
    <n v="6.78"/>
    <n v="23"/>
    <n v="94.35"/>
    <x v="3"/>
  </r>
  <r>
    <n v="1503960366"/>
    <d v="2016-04-15T00:00:00"/>
    <n v="9762"/>
    <n v="6.2800002098083496"/>
    <n v="29"/>
    <n v="34"/>
    <n v="209"/>
    <n v="726"/>
    <n v="1745"/>
    <s v="Friday"/>
    <s v="April"/>
    <n v="272"/>
    <n v="998"/>
    <n v="12.1"/>
    <x v="3"/>
    <s v="Moderately Active"/>
    <n v="1"/>
    <n v="412"/>
    <n v="442"/>
    <n v="6.87"/>
    <n v="7.37"/>
    <n v="30"/>
    <n v="93.21"/>
    <x v="3"/>
  </r>
  <r>
    <n v="1503960366"/>
    <d v="2016-04-16T00:00:00"/>
    <n v="12669"/>
    <n v="8.1599998474121094"/>
    <n v="36"/>
    <n v="10"/>
    <n v="221"/>
    <n v="773"/>
    <n v="1863"/>
    <s v="Saturday"/>
    <s v="April"/>
    <n v="267"/>
    <n v="1040"/>
    <n v="12.88"/>
    <x v="4"/>
    <s v="Very Active"/>
    <n v="2"/>
    <n v="340"/>
    <n v="367"/>
    <n v="5.67"/>
    <n v="6.12"/>
    <n v="27"/>
    <n v="92.64"/>
    <x v="0"/>
  </r>
  <r>
    <n v="1503960366"/>
    <d v="2016-04-17T00:00:00"/>
    <n v="9705"/>
    <n v="6.4800000190734899"/>
    <n v="38"/>
    <n v="20"/>
    <n v="164"/>
    <n v="539"/>
    <n v="1728"/>
    <s v="Sunday"/>
    <s v="April"/>
    <n v="222"/>
    <n v="761"/>
    <n v="8.98"/>
    <x v="3"/>
    <s v="Very Active"/>
    <n v="1"/>
    <n v="700"/>
    <n v="712"/>
    <n v="11.67"/>
    <n v="11.87"/>
    <n v="12"/>
    <n v="98.31"/>
    <x v="1"/>
  </r>
  <r>
    <n v="1503960366"/>
    <d v="2016-04-19T00:00:00"/>
    <n v="15506"/>
    <n v="9.8800001144409197"/>
    <n v="50"/>
    <n v="31"/>
    <n v="264"/>
    <n v="775"/>
    <n v="2035"/>
    <s v="Tuesday"/>
    <s v="April"/>
    <n v="345"/>
    <n v="1120"/>
    <n v="12.92"/>
    <x v="4"/>
    <s v="Very Active"/>
    <n v="1"/>
    <n v="304"/>
    <n v="320"/>
    <n v="5.07"/>
    <n v="5.33"/>
    <n v="16"/>
    <n v="95"/>
    <x v="0"/>
  </r>
  <r>
    <n v="1503960366"/>
    <d v="2016-04-20T00:00:00"/>
    <n v="10544"/>
    <n v="6.6799998283386204"/>
    <n v="28"/>
    <n v="12"/>
    <n v="205"/>
    <n v="818"/>
    <n v="1786"/>
    <s v="Wednesday"/>
    <s v="April"/>
    <n v="245"/>
    <n v="1063"/>
    <n v="13.63"/>
    <x v="2"/>
    <s v="Moderately Active"/>
    <n v="1"/>
    <n v="360"/>
    <n v="377"/>
    <n v="6"/>
    <n v="6.28"/>
    <n v="17"/>
    <n v="95.49"/>
    <x v="3"/>
  </r>
  <r>
    <n v="1503960366"/>
    <d v="2016-04-21T00:00:00"/>
    <n v="9819"/>
    <n v="6.3400001525878897"/>
    <n v="19"/>
    <n v="8"/>
    <n v="211"/>
    <n v="838"/>
    <n v="1775"/>
    <s v="Thursday"/>
    <s v="April"/>
    <n v="238"/>
    <n v="1076"/>
    <n v="13.97"/>
    <x v="3"/>
    <s v="Moderately Active"/>
    <n v="1"/>
    <n v="325"/>
    <n v="364"/>
    <n v="5.42"/>
    <n v="6.07"/>
    <n v="39"/>
    <n v="89.29"/>
    <x v="0"/>
  </r>
  <r>
    <n v="1503960366"/>
    <d v="2016-04-23T00:00:00"/>
    <n v="14371"/>
    <n v="9.0399999618530291"/>
    <n v="41"/>
    <n v="21"/>
    <n v="262"/>
    <n v="732"/>
    <n v="1949"/>
    <s v="Saturday"/>
    <s v="April"/>
    <n v="324"/>
    <n v="1056"/>
    <n v="12.2"/>
    <x v="4"/>
    <s v="Very Active"/>
    <n v="1"/>
    <n v="361"/>
    <n v="384"/>
    <n v="6.02"/>
    <n v="6.4"/>
    <n v="23"/>
    <n v="94.01"/>
    <x v="3"/>
  </r>
  <r>
    <n v="1503960366"/>
    <d v="2016-04-24T00:00:00"/>
    <n v="10039"/>
    <n v="6.4099998474121103"/>
    <n v="39"/>
    <n v="5"/>
    <n v="238"/>
    <n v="709"/>
    <n v="1788"/>
    <s v="Sunday"/>
    <s v="April"/>
    <n v="282"/>
    <n v="991"/>
    <n v="11.82"/>
    <x v="2"/>
    <s v="Very Active"/>
    <n v="1"/>
    <n v="430"/>
    <n v="449"/>
    <n v="7.17"/>
    <n v="7.48"/>
    <n v="19"/>
    <n v="95.77"/>
    <x v="2"/>
  </r>
  <r>
    <n v="1503960366"/>
    <d v="2016-04-25T00:00:00"/>
    <n v="15355"/>
    <n v="9.8000001907348597"/>
    <n v="73"/>
    <n v="14"/>
    <n v="216"/>
    <n v="814"/>
    <n v="2013"/>
    <s v="Monday"/>
    <s v="April"/>
    <n v="303"/>
    <n v="1117"/>
    <n v="13.57"/>
    <x v="4"/>
    <s v="Very Active"/>
    <n v="1"/>
    <n v="277"/>
    <n v="323"/>
    <n v="4.62"/>
    <n v="5.38"/>
    <n v="46"/>
    <n v="85.76"/>
    <x v="0"/>
  </r>
  <r>
    <n v="1503960366"/>
    <d v="2016-04-26T00:00:00"/>
    <n v="13755"/>
    <n v="8.7899999618530291"/>
    <n v="31"/>
    <n v="23"/>
    <n v="279"/>
    <n v="833"/>
    <n v="1970"/>
    <s v="Tuesday"/>
    <s v="April"/>
    <n v="333"/>
    <n v="1166"/>
    <n v="13.88"/>
    <x v="4"/>
    <s v="Very Active"/>
    <n v="1"/>
    <n v="245"/>
    <n v="274"/>
    <n v="4.08"/>
    <n v="4.57"/>
    <n v="29"/>
    <n v="89.42"/>
    <x v="0"/>
  </r>
  <r>
    <n v="1503960366"/>
    <d v="2016-04-28T00:00:00"/>
    <n v="13154"/>
    <n v="8.5299997329711896"/>
    <n v="48"/>
    <n v="28"/>
    <n v="189"/>
    <n v="782"/>
    <n v="1898"/>
    <s v="Thursday"/>
    <s v="April"/>
    <n v="265"/>
    <n v="1047"/>
    <n v="13.03"/>
    <x v="4"/>
    <s v="Very Active"/>
    <n v="1"/>
    <n v="366"/>
    <n v="393"/>
    <n v="6.1"/>
    <n v="6.55"/>
    <n v="27"/>
    <n v="93.13"/>
    <x v="3"/>
  </r>
  <r>
    <n v="1503960366"/>
    <d v="2016-04-29T00:00:00"/>
    <n v="11181"/>
    <n v="7.1500000953674299"/>
    <n v="16"/>
    <n v="12"/>
    <n v="243"/>
    <n v="815"/>
    <n v="1837"/>
    <s v="Friday"/>
    <s v="April"/>
    <n v="271"/>
    <n v="1086"/>
    <n v="13.58"/>
    <x v="2"/>
    <s v="Moderately Active"/>
    <n v="1"/>
    <n v="341"/>
    <n v="354"/>
    <n v="5.68"/>
    <n v="5.9"/>
    <n v="13"/>
    <n v="96.33"/>
    <x v="0"/>
  </r>
  <r>
    <n v="1503960366"/>
    <d v="2016-04-30T00:00:00"/>
    <n v="14673"/>
    <n v="9.25"/>
    <n v="52"/>
    <n v="34"/>
    <n v="217"/>
    <n v="712"/>
    <n v="1947"/>
    <s v="Saturday"/>
    <s v="April"/>
    <n v="303"/>
    <n v="1015"/>
    <n v="11.87"/>
    <x v="4"/>
    <s v="Very Active"/>
    <n v="1"/>
    <n v="404"/>
    <n v="425"/>
    <n v="6.73"/>
    <n v="7.08"/>
    <n v="21"/>
    <n v="95.06"/>
    <x v="3"/>
  </r>
  <r>
    <n v="1503960366"/>
    <d v="2016-05-01T00:00:00"/>
    <n v="10602"/>
    <n v="6.8099999427795401"/>
    <n v="33"/>
    <n v="35"/>
    <n v="246"/>
    <n v="730"/>
    <n v="1820"/>
    <s v="Sunday"/>
    <s v="May"/>
    <n v="314"/>
    <n v="1044"/>
    <n v="12.17"/>
    <x v="2"/>
    <s v="Very Active"/>
    <n v="1"/>
    <n v="369"/>
    <n v="396"/>
    <n v="6.15"/>
    <n v="6.6"/>
    <n v="27"/>
    <n v="93.18"/>
    <x v="3"/>
  </r>
  <r>
    <n v="1503960366"/>
    <d v="2016-05-02T00:00:00"/>
    <n v="14727"/>
    <n v="9.7100000381469709"/>
    <n v="41"/>
    <n v="15"/>
    <n v="277"/>
    <n v="798"/>
    <n v="2004"/>
    <s v="Monday"/>
    <s v="May"/>
    <n v="333"/>
    <n v="1131"/>
    <n v="13.3"/>
    <x v="4"/>
    <s v="Very Active"/>
    <n v="1"/>
    <n v="277"/>
    <n v="309"/>
    <n v="4.62"/>
    <n v="5.15"/>
    <n v="32"/>
    <n v="89.64"/>
    <x v="0"/>
  </r>
  <r>
    <n v="1503960366"/>
    <d v="2016-05-03T00:00:00"/>
    <n v="15103"/>
    <n v="9.6599998474121094"/>
    <n v="50"/>
    <n v="24"/>
    <n v="254"/>
    <n v="816"/>
    <n v="1990"/>
    <s v="Tuesday"/>
    <s v="May"/>
    <n v="328"/>
    <n v="1144"/>
    <n v="13.6"/>
    <x v="4"/>
    <s v="Very Active"/>
    <n v="1"/>
    <n v="273"/>
    <n v="296"/>
    <n v="4.55"/>
    <n v="4.93"/>
    <n v="23"/>
    <n v="92.23"/>
    <x v="0"/>
  </r>
  <r>
    <n v="1503960366"/>
    <d v="2016-05-05T00:00:00"/>
    <n v="14070"/>
    <n v="8.8999996185302699"/>
    <n v="45"/>
    <n v="24"/>
    <n v="250"/>
    <n v="857"/>
    <n v="1959"/>
    <s v="Thursday"/>
    <s v="May"/>
    <n v="319"/>
    <n v="1176"/>
    <n v="14.28"/>
    <x v="4"/>
    <s v="Very Active"/>
    <n v="1"/>
    <n v="247"/>
    <n v="264"/>
    <n v="4.12"/>
    <n v="4.4000000000000004"/>
    <n v="17"/>
    <n v="93.56"/>
    <x v="0"/>
  </r>
  <r>
    <n v="1503960366"/>
    <d v="2016-05-06T00:00:00"/>
    <n v="12159"/>
    <n v="8.0299997329711896"/>
    <n v="24"/>
    <n v="6"/>
    <n v="289"/>
    <n v="754"/>
    <n v="1896"/>
    <s v="Friday"/>
    <s v="May"/>
    <n v="319"/>
    <n v="1073"/>
    <n v="12.57"/>
    <x v="2"/>
    <s v="Moderately Active"/>
    <n v="1"/>
    <n v="334"/>
    <n v="367"/>
    <n v="5.57"/>
    <n v="6.12"/>
    <n v="33"/>
    <n v="91.01"/>
    <x v="0"/>
  </r>
  <r>
    <n v="1503960366"/>
    <d v="2016-05-07T00:00:00"/>
    <n v="11992"/>
    <n v="7.71000003814697"/>
    <n v="37"/>
    <n v="46"/>
    <n v="175"/>
    <n v="833"/>
    <n v="1821"/>
    <s v="Saturday"/>
    <s v="May"/>
    <n v="258"/>
    <n v="1091"/>
    <n v="13.88"/>
    <x v="2"/>
    <s v="Very Active"/>
    <n v="1"/>
    <n v="331"/>
    <n v="349"/>
    <n v="5.52"/>
    <n v="5.82"/>
    <n v="18"/>
    <n v="94.84"/>
    <x v="0"/>
  </r>
  <r>
    <n v="1503960366"/>
    <d v="2016-05-08T00:00:00"/>
    <n v="10060"/>
    <n v="6.5799999237060502"/>
    <n v="44"/>
    <n v="8"/>
    <n v="203"/>
    <n v="574"/>
    <n v="1740"/>
    <s v="Sunday"/>
    <s v="May"/>
    <n v="255"/>
    <n v="829"/>
    <n v="9.57"/>
    <x v="2"/>
    <s v="Very Active"/>
    <n v="1"/>
    <n v="594"/>
    <n v="611"/>
    <n v="9.9"/>
    <n v="10.18"/>
    <n v="17"/>
    <n v="97.22"/>
    <x v="1"/>
  </r>
  <r>
    <n v="1503960366"/>
    <d v="2016-05-09T00:00:00"/>
    <n v="12022"/>
    <n v="7.7199997901916504"/>
    <n v="46"/>
    <n v="11"/>
    <n v="206"/>
    <n v="835"/>
    <n v="1819"/>
    <s v="Monday"/>
    <s v="May"/>
    <n v="263"/>
    <n v="1098"/>
    <n v="13.92"/>
    <x v="2"/>
    <s v="Very Active"/>
    <n v="1"/>
    <n v="338"/>
    <n v="342"/>
    <n v="5.63"/>
    <n v="5.7"/>
    <n v="4"/>
    <n v="98.83"/>
    <x v="0"/>
  </r>
  <r>
    <n v="1503960366"/>
    <d v="2016-05-10T00:00:00"/>
    <n v="12207"/>
    <n v="7.7699999809265101"/>
    <n v="46"/>
    <n v="31"/>
    <n v="214"/>
    <n v="746"/>
    <n v="1859"/>
    <s v="Tuesday"/>
    <s v="May"/>
    <n v="291"/>
    <n v="1037"/>
    <n v="12.43"/>
    <x v="2"/>
    <s v="Very Active"/>
    <n v="1"/>
    <n v="383"/>
    <n v="403"/>
    <n v="6.38"/>
    <n v="6.72"/>
    <n v="20"/>
    <n v="95.04"/>
    <x v="3"/>
  </r>
  <r>
    <n v="1503960366"/>
    <d v="2016-05-11T00:00:00"/>
    <n v="12770"/>
    <n v="8.1300001144409197"/>
    <n v="36"/>
    <n v="23"/>
    <n v="251"/>
    <n v="669"/>
    <n v="1783"/>
    <s v="Wednesday"/>
    <s v="May"/>
    <n v="310"/>
    <n v="979"/>
    <n v="11.15"/>
    <x v="4"/>
    <s v="Very Active"/>
    <n v="1"/>
    <n v="285"/>
    <n v="306"/>
    <n v="4.75"/>
    <n v="5.0999999999999996"/>
    <n v="21"/>
    <n v="93.14"/>
    <x v="0"/>
  </r>
  <r>
    <n v="1644430081"/>
    <d v="2016-04-29T00:00:00"/>
    <n v="3176"/>
    <n v="2.3099999427795401"/>
    <n v="0"/>
    <n v="0"/>
    <n v="120"/>
    <n v="1193"/>
    <n v="2498"/>
    <s v="Friday"/>
    <s v="April"/>
    <n v="120"/>
    <n v="1313"/>
    <n v="19.88"/>
    <x v="0"/>
    <s v="Sedentary"/>
    <n v="1"/>
    <n v="119"/>
    <n v="127"/>
    <n v="1.98"/>
    <n v="2.12"/>
    <n v="8"/>
    <n v="93.7"/>
    <x v="0"/>
  </r>
  <r>
    <n v="1644430081"/>
    <d v="2016-04-30T00:00:00"/>
    <n v="18213"/>
    <n v="13.2399997711182"/>
    <n v="9"/>
    <n v="71"/>
    <n v="402"/>
    <n v="816"/>
    <n v="3846"/>
    <s v="Saturday"/>
    <s v="April"/>
    <n v="482"/>
    <n v="1298"/>
    <n v="13.6"/>
    <x v="4"/>
    <s v="Lightly Active"/>
    <n v="1"/>
    <n v="124"/>
    <n v="142"/>
    <n v="2.0699999999999998"/>
    <n v="2.37"/>
    <n v="18"/>
    <n v="87.32"/>
    <x v="0"/>
  </r>
  <r>
    <n v="1644430081"/>
    <d v="2016-05-02T00:00:00"/>
    <n v="3758"/>
    <n v="2.7300000190734899"/>
    <n v="1"/>
    <n v="7"/>
    <n v="148"/>
    <n v="682"/>
    <n v="2580"/>
    <s v="Monday"/>
    <s v="May"/>
    <n v="156"/>
    <n v="838"/>
    <n v="11.37"/>
    <x v="0"/>
    <s v="Lightly Active"/>
    <n v="1"/>
    <n v="796"/>
    <n v="961"/>
    <n v="13.27"/>
    <n v="16.02"/>
    <n v="165"/>
    <n v="82.83"/>
    <x v="1"/>
  </r>
  <r>
    <n v="1644430081"/>
    <d v="2016-05-08T00:00:00"/>
    <n v="6724"/>
    <n v="4.8899998664856001"/>
    <n v="0"/>
    <n v="0"/>
    <n v="295"/>
    <n v="991"/>
    <n v="2987"/>
    <s v="Sunday"/>
    <s v="May"/>
    <n v="295"/>
    <n v="1286"/>
    <n v="16.52"/>
    <x v="1"/>
    <s v="Sedentary"/>
    <n v="1"/>
    <n v="137"/>
    <n v="154"/>
    <n v="2.2799999999999998"/>
    <n v="2.57"/>
    <n v="17"/>
    <n v="88.96"/>
    <x v="0"/>
  </r>
  <r>
    <n v="1844505072"/>
    <d v="2016-04-15T00:00:00"/>
    <n v="3844"/>
    <n v="2.53999996185303"/>
    <n v="0"/>
    <n v="0"/>
    <n v="176"/>
    <n v="527"/>
    <n v="1725"/>
    <s v="Friday"/>
    <s v="April"/>
    <n v="176"/>
    <n v="703"/>
    <n v="8.7799999999999994"/>
    <x v="0"/>
    <s v="Sedentary"/>
    <n v="1"/>
    <n v="644"/>
    <n v="961"/>
    <n v="10.73"/>
    <n v="16.02"/>
    <n v="317"/>
    <n v="67.010000000000005"/>
    <x v="1"/>
  </r>
  <r>
    <n v="1844505072"/>
    <d v="2016-04-30T00:00:00"/>
    <n v="4014"/>
    <n v="2.6700000762939502"/>
    <n v="0"/>
    <n v="0"/>
    <n v="184"/>
    <n v="218"/>
    <n v="1763"/>
    <s v="Saturday"/>
    <s v="April"/>
    <n v="184"/>
    <n v="402"/>
    <n v="3.63"/>
    <x v="0"/>
    <s v="Sedentary"/>
    <n v="1"/>
    <n v="722"/>
    <n v="961"/>
    <n v="12.03"/>
    <n v="16.02"/>
    <n v="239"/>
    <n v="75.13"/>
    <x v="1"/>
  </r>
  <r>
    <n v="1844505072"/>
    <d v="2016-05-01T00:00:00"/>
    <n v="2573"/>
    <n v="1.70000004768372"/>
    <n v="0"/>
    <n v="7"/>
    <n v="75"/>
    <n v="585"/>
    <n v="1541"/>
    <s v="Sunday"/>
    <s v="May"/>
    <n v="82"/>
    <n v="667"/>
    <n v="9.75"/>
    <x v="0"/>
    <s v="Sedentary"/>
    <n v="1"/>
    <n v="590"/>
    <n v="961"/>
    <n v="9.83"/>
    <n v="16.02"/>
    <n v="371"/>
    <n v="61.39"/>
    <x v="1"/>
  </r>
  <r>
    <n v="1927972279"/>
    <d v="2016-04-13T00:00:00"/>
    <n v="356"/>
    <n v="0.25"/>
    <n v="0"/>
    <n v="0"/>
    <n v="32"/>
    <n v="986"/>
    <n v="2151"/>
    <s v="Wednesday"/>
    <s v="April"/>
    <n v="32"/>
    <n v="1018"/>
    <n v="16.43"/>
    <x v="0"/>
    <s v="Sedentary"/>
    <n v="1"/>
    <n v="398"/>
    <n v="422"/>
    <n v="6.63"/>
    <n v="7.03"/>
    <n v="24"/>
    <n v="94.31"/>
    <x v="3"/>
  </r>
  <r>
    <n v="1927972279"/>
    <d v="2016-04-15T00:00:00"/>
    <n v="980"/>
    <n v="0.68000000715255704"/>
    <n v="0"/>
    <n v="0"/>
    <n v="51"/>
    <n v="941"/>
    <n v="2221"/>
    <s v="Friday"/>
    <s v="April"/>
    <n v="51"/>
    <n v="992"/>
    <n v="15.68"/>
    <x v="0"/>
    <s v="Sedentary"/>
    <n v="2"/>
    <n v="475"/>
    <n v="499"/>
    <n v="7.92"/>
    <n v="8.32"/>
    <n v="24"/>
    <n v="95.19"/>
    <x v="2"/>
  </r>
  <r>
    <n v="1927972279"/>
    <d v="2016-04-26T00:00:00"/>
    <n v="3761"/>
    <n v="2.5999999046325701"/>
    <n v="0"/>
    <n v="0"/>
    <n v="192"/>
    <n v="1058"/>
    <n v="2638"/>
    <s v="Tuesday"/>
    <s v="April"/>
    <n v="192"/>
    <n v="1250"/>
    <n v="17.63"/>
    <x v="0"/>
    <s v="Sedentary"/>
    <n v="1"/>
    <n v="296"/>
    <n v="315"/>
    <n v="4.93"/>
    <n v="5.25"/>
    <n v="19"/>
    <n v="93.97"/>
    <x v="0"/>
  </r>
  <r>
    <n v="1927972279"/>
    <d v="2016-04-28T00:00:00"/>
    <n v="1675"/>
    <n v="1.1599999666214"/>
    <n v="0"/>
    <n v="0"/>
    <n v="95"/>
    <n v="1167"/>
    <n v="2351"/>
    <s v="Thursday"/>
    <s v="April"/>
    <n v="95"/>
    <n v="1262"/>
    <n v="19.45"/>
    <x v="0"/>
    <s v="Sedentary"/>
    <n v="1"/>
    <n v="166"/>
    <n v="178"/>
    <n v="2.77"/>
    <n v="2.97"/>
    <n v="12"/>
    <n v="93.26"/>
    <x v="0"/>
  </r>
  <r>
    <n v="2026352035"/>
    <d v="2016-04-13T00:00:00"/>
    <n v="4993"/>
    <n v="3.0999999046325701"/>
    <n v="0"/>
    <n v="0"/>
    <n v="238"/>
    <n v="663"/>
    <n v="1521"/>
    <s v="Wednesday"/>
    <s v="April"/>
    <n v="238"/>
    <n v="901"/>
    <n v="11.05"/>
    <x v="0"/>
    <s v="Sedentary"/>
    <n v="1"/>
    <n v="531"/>
    <n v="565"/>
    <n v="8.85"/>
    <n v="9.42"/>
    <n v="34"/>
    <n v="93.98"/>
    <x v="2"/>
  </r>
  <r>
    <n v="2026352035"/>
    <d v="2016-04-14T00:00:00"/>
    <n v="3335"/>
    <n v="2.0699999332428001"/>
    <n v="0"/>
    <n v="0"/>
    <n v="197"/>
    <n v="653"/>
    <n v="1431"/>
    <s v="Thursday"/>
    <s v="April"/>
    <n v="197"/>
    <n v="850"/>
    <n v="10.88"/>
    <x v="0"/>
    <s v="Sedentary"/>
    <n v="1"/>
    <n v="545"/>
    <n v="568"/>
    <n v="9.08"/>
    <n v="9.4700000000000006"/>
    <n v="23"/>
    <n v="95.95"/>
    <x v="1"/>
  </r>
  <r>
    <n v="2026352035"/>
    <d v="2016-04-15T00:00:00"/>
    <n v="3821"/>
    <n v="2.3699998855590798"/>
    <n v="0"/>
    <n v="0"/>
    <n v="188"/>
    <n v="687"/>
    <n v="1444"/>
    <s v="Friday"/>
    <s v="April"/>
    <n v="188"/>
    <n v="875"/>
    <n v="11.45"/>
    <x v="0"/>
    <s v="Sedentary"/>
    <n v="1"/>
    <n v="523"/>
    <n v="573"/>
    <n v="8.7200000000000006"/>
    <n v="9.5500000000000007"/>
    <n v="50"/>
    <n v="91.27"/>
    <x v="2"/>
  </r>
  <r>
    <n v="2026352035"/>
    <d v="2016-04-16T00:00:00"/>
    <n v="2547"/>
    <n v="1.58000004291534"/>
    <n v="0"/>
    <n v="0"/>
    <n v="150"/>
    <n v="728"/>
    <n v="1373"/>
    <s v="Saturday"/>
    <s v="April"/>
    <n v="150"/>
    <n v="878"/>
    <n v="12.13"/>
    <x v="0"/>
    <s v="Sedentary"/>
    <n v="1"/>
    <n v="524"/>
    <n v="567"/>
    <n v="8.73"/>
    <n v="9.4499999999999993"/>
    <n v="43"/>
    <n v="92.42"/>
    <x v="2"/>
  </r>
  <r>
    <n v="2026352035"/>
    <d v="2016-04-17T00:00:00"/>
    <n v="838"/>
    <n v="0.519999980926514"/>
    <n v="0"/>
    <n v="0"/>
    <n v="60"/>
    <n v="1053"/>
    <n v="1214"/>
    <s v="Sunday"/>
    <s v="April"/>
    <n v="60"/>
    <n v="1113"/>
    <n v="17.55"/>
    <x v="0"/>
    <s v="Sedentary"/>
    <n v="1"/>
    <n v="437"/>
    <n v="498"/>
    <n v="7.28"/>
    <n v="8.3000000000000007"/>
    <n v="61"/>
    <n v="87.75"/>
    <x v="2"/>
  </r>
  <r>
    <n v="2026352035"/>
    <d v="2016-04-19T00:00:00"/>
    <n v="2424"/>
    <n v="1.5"/>
    <n v="0"/>
    <n v="0"/>
    <n v="141"/>
    <n v="785"/>
    <n v="1356"/>
    <s v="Tuesday"/>
    <s v="April"/>
    <n v="141"/>
    <n v="926"/>
    <n v="13.08"/>
    <x v="0"/>
    <s v="Sedentary"/>
    <n v="1"/>
    <n v="498"/>
    <n v="540"/>
    <n v="8.3000000000000007"/>
    <n v="9"/>
    <n v="42"/>
    <n v="92.22"/>
    <x v="2"/>
  </r>
  <r>
    <n v="2026352035"/>
    <d v="2016-04-20T00:00:00"/>
    <n v="7222"/>
    <n v="4.4800000190734899"/>
    <n v="0"/>
    <n v="0"/>
    <n v="327"/>
    <n v="623"/>
    <n v="1667"/>
    <s v="Wednesday"/>
    <s v="April"/>
    <n v="327"/>
    <n v="950"/>
    <n v="10.38"/>
    <x v="1"/>
    <s v="Sedentary"/>
    <n v="1"/>
    <n v="461"/>
    <n v="510"/>
    <n v="7.68"/>
    <n v="8.5"/>
    <n v="49"/>
    <n v="90.39"/>
    <x v="2"/>
  </r>
  <r>
    <n v="2026352035"/>
    <d v="2016-04-21T00:00:00"/>
    <n v="2467"/>
    <n v="1.5299999713897701"/>
    <n v="0"/>
    <n v="0"/>
    <n v="153"/>
    <n v="749"/>
    <n v="1370"/>
    <s v="Thursday"/>
    <s v="April"/>
    <n v="153"/>
    <n v="902"/>
    <n v="12.48"/>
    <x v="0"/>
    <s v="Sedentary"/>
    <n v="1"/>
    <n v="477"/>
    <n v="514"/>
    <n v="7.95"/>
    <n v="8.57"/>
    <n v="37"/>
    <n v="92.8"/>
    <x v="2"/>
  </r>
  <r>
    <n v="2026352035"/>
    <d v="2016-04-22T00:00:00"/>
    <n v="2915"/>
    <n v="1.8099999427795399"/>
    <n v="0"/>
    <n v="0"/>
    <n v="162"/>
    <n v="712"/>
    <n v="1399"/>
    <s v="Friday"/>
    <s v="April"/>
    <n v="162"/>
    <n v="874"/>
    <n v="11.87"/>
    <x v="0"/>
    <s v="Sedentary"/>
    <n v="1"/>
    <n v="520"/>
    <n v="545"/>
    <n v="8.67"/>
    <n v="9.08"/>
    <n v="25"/>
    <n v="95.41"/>
    <x v="2"/>
  </r>
  <r>
    <n v="2026352035"/>
    <d v="2016-04-23T00:00:00"/>
    <n v="12357"/>
    <n v="7.71000003814697"/>
    <n v="0"/>
    <n v="0"/>
    <n v="432"/>
    <n v="458"/>
    <n v="1916"/>
    <s v="Saturday"/>
    <s v="April"/>
    <n v="432"/>
    <n v="890"/>
    <n v="7.63"/>
    <x v="2"/>
    <s v="Sedentary"/>
    <n v="1"/>
    <n v="522"/>
    <n v="554"/>
    <n v="8.6999999999999993"/>
    <n v="9.23"/>
    <n v="32"/>
    <n v="94.22"/>
    <x v="2"/>
  </r>
  <r>
    <n v="2026352035"/>
    <d v="2016-04-24T00:00:00"/>
    <n v="3490"/>
    <n v="2.1600000858306898"/>
    <n v="0"/>
    <n v="0"/>
    <n v="164"/>
    <n v="704"/>
    <n v="1401"/>
    <s v="Sunday"/>
    <s v="April"/>
    <n v="164"/>
    <n v="868"/>
    <n v="11.73"/>
    <x v="0"/>
    <s v="Sedentary"/>
    <n v="1"/>
    <n v="555"/>
    <n v="591"/>
    <n v="9.25"/>
    <n v="9.85"/>
    <n v="36"/>
    <n v="93.91"/>
    <x v="1"/>
  </r>
  <r>
    <n v="2026352035"/>
    <d v="2016-04-25T00:00:00"/>
    <n v="6017"/>
    <n v="3.7300000190734899"/>
    <n v="0"/>
    <n v="0"/>
    <n v="260"/>
    <n v="821"/>
    <n v="1576"/>
    <s v="Monday"/>
    <s v="April"/>
    <n v="260"/>
    <n v="1081"/>
    <n v="13.68"/>
    <x v="1"/>
    <s v="Sedentary"/>
    <n v="1"/>
    <n v="506"/>
    <n v="531"/>
    <n v="8.43"/>
    <n v="8.85"/>
    <n v="25"/>
    <n v="95.29"/>
    <x v="2"/>
  </r>
  <r>
    <n v="2026352035"/>
    <d v="2016-04-27T00:00:00"/>
    <n v="6088"/>
    <n v="3.7699999809265101"/>
    <n v="0"/>
    <n v="0"/>
    <n v="286"/>
    <n v="586"/>
    <n v="1593"/>
    <s v="Wednesday"/>
    <s v="April"/>
    <n v="286"/>
    <n v="872"/>
    <n v="9.77"/>
    <x v="1"/>
    <s v="Sedentary"/>
    <n v="1"/>
    <n v="508"/>
    <n v="545"/>
    <n v="8.4700000000000006"/>
    <n v="9.08"/>
    <n v="37"/>
    <n v="93.21"/>
    <x v="2"/>
  </r>
  <r>
    <n v="2026352035"/>
    <d v="2016-04-28T00:00:00"/>
    <n v="6375"/>
    <n v="3.9500000476837198"/>
    <n v="0"/>
    <n v="0"/>
    <n v="331"/>
    <n v="626"/>
    <n v="1649"/>
    <s v="Thursday"/>
    <s v="April"/>
    <n v="331"/>
    <n v="957"/>
    <n v="10.43"/>
    <x v="1"/>
    <s v="Sedentary"/>
    <n v="1"/>
    <n v="513"/>
    <n v="545"/>
    <n v="8.5500000000000007"/>
    <n v="9.08"/>
    <n v="32"/>
    <n v="94.13"/>
    <x v="2"/>
  </r>
  <r>
    <n v="2026352035"/>
    <d v="2016-04-29T00:00:00"/>
    <n v="7604"/>
    <n v="4.71000003814697"/>
    <n v="0"/>
    <n v="0"/>
    <n v="352"/>
    <n v="492"/>
    <n v="1692"/>
    <s v="Friday"/>
    <s v="April"/>
    <n v="352"/>
    <n v="844"/>
    <n v="8.1999999999999993"/>
    <x v="3"/>
    <s v="Sedentary"/>
    <n v="1"/>
    <n v="490"/>
    <n v="510"/>
    <n v="8.17"/>
    <n v="8.5"/>
    <n v="20"/>
    <n v="96.08"/>
    <x v="2"/>
  </r>
  <r>
    <n v="2026352035"/>
    <d v="2016-04-30T00:00:00"/>
    <n v="4729"/>
    <n v="2.9300000667571999"/>
    <n v="0"/>
    <n v="0"/>
    <n v="233"/>
    <n v="594"/>
    <n v="1506"/>
    <s v="Saturday"/>
    <s v="April"/>
    <n v="233"/>
    <n v="827"/>
    <n v="9.9"/>
    <x v="0"/>
    <s v="Sedentary"/>
    <n v="1"/>
    <n v="573"/>
    <n v="607"/>
    <n v="9.5500000000000007"/>
    <n v="10.119999999999999"/>
    <n v="34"/>
    <n v="94.4"/>
    <x v="1"/>
  </r>
  <r>
    <n v="2026352035"/>
    <d v="2016-05-01T00:00:00"/>
    <n v="3609"/>
    <n v="2.2799999713897701"/>
    <n v="0"/>
    <n v="0"/>
    <n v="191"/>
    <n v="716"/>
    <n v="1447"/>
    <s v="Sunday"/>
    <s v="May"/>
    <n v="191"/>
    <n v="907"/>
    <n v="11.93"/>
    <x v="0"/>
    <s v="Sedentary"/>
    <n v="1"/>
    <n v="527"/>
    <n v="546"/>
    <n v="8.7799999999999994"/>
    <n v="9.1"/>
    <n v="19"/>
    <n v="96.52"/>
    <x v="2"/>
  </r>
  <r>
    <n v="2026352035"/>
    <d v="2016-05-02T00:00:00"/>
    <n v="7018"/>
    <n v="4.3499999046325701"/>
    <n v="0"/>
    <n v="0"/>
    <n v="355"/>
    <n v="716"/>
    <n v="1690"/>
    <s v="Monday"/>
    <s v="May"/>
    <n v="355"/>
    <n v="1071"/>
    <n v="11.93"/>
    <x v="1"/>
    <s v="Sedentary"/>
    <n v="1"/>
    <n v="511"/>
    <n v="543"/>
    <n v="8.52"/>
    <n v="9.0500000000000007"/>
    <n v="32"/>
    <n v="94.11"/>
    <x v="2"/>
  </r>
  <r>
    <n v="2026352035"/>
    <d v="2016-05-04T00:00:00"/>
    <n v="6564"/>
    <n v="4.0700001716613796"/>
    <n v="0"/>
    <n v="0"/>
    <n v="345"/>
    <n v="530"/>
    <n v="1658"/>
    <s v="Wednesday"/>
    <s v="May"/>
    <n v="345"/>
    <n v="875"/>
    <n v="8.83"/>
    <x v="1"/>
    <s v="Sedentary"/>
    <n v="1"/>
    <n v="538"/>
    <n v="560"/>
    <n v="8.9700000000000006"/>
    <n v="9.33"/>
    <n v="22"/>
    <n v="96.07"/>
    <x v="2"/>
  </r>
  <r>
    <n v="2026352035"/>
    <d v="2016-05-05T00:00:00"/>
    <n v="12167"/>
    <n v="7.53999996185303"/>
    <n v="0"/>
    <n v="0"/>
    <n v="475"/>
    <n v="479"/>
    <n v="1926"/>
    <s v="Thursday"/>
    <s v="May"/>
    <n v="475"/>
    <n v="954"/>
    <n v="7.98"/>
    <x v="2"/>
    <s v="Sedentary"/>
    <n v="1"/>
    <n v="468"/>
    <n v="485"/>
    <n v="7.8"/>
    <n v="8.08"/>
    <n v="17"/>
    <n v="96.49"/>
    <x v="2"/>
  </r>
  <r>
    <n v="2026352035"/>
    <d v="2016-05-06T00:00:00"/>
    <n v="8198"/>
    <n v="5.0799999237060502"/>
    <n v="0"/>
    <n v="0"/>
    <n v="383"/>
    <n v="511"/>
    <n v="1736"/>
    <s v="Friday"/>
    <s v="May"/>
    <n v="383"/>
    <n v="894"/>
    <n v="8.52"/>
    <x v="3"/>
    <s v="Sedentary"/>
    <n v="1"/>
    <n v="524"/>
    <n v="548"/>
    <n v="8.73"/>
    <n v="9.1300000000000008"/>
    <n v="24"/>
    <n v="95.62"/>
    <x v="2"/>
  </r>
  <r>
    <n v="2026352035"/>
    <d v="2016-05-07T00:00:00"/>
    <n v="4193"/>
    <n v="2.5999999046325701"/>
    <n v="0"/>
    <n v="0"/>
    <n v="229"/>
    <n v="665"/>
    <n v="1491"/>
    <s v="Saturday"/>
    <s v="May"/>
    <n v="229"/>
    <n v="894"/>
    <n v="11.08"/>
    <x v="0"/>
    <s v="Sedentary"/>
    <n v="1"/>
    <n v="511"/>
    <n v="521"/>
    <n v="8.52"/>
    <n v="8.68"/>
    <n v="10"/>
    <n v="98.08"/>
    <x v="2"/>
  </r>
  <r>
    <n v="2026352035"/>
    <d v="2016-05-08T00:00:00"/>
    <n v="5528"/>
    <n v="3.4500000476837198"/>
    <n v="0"/>
    <n v="0"/>
    <n v="258"/>
    <n v="610"/>
    <n v="1555"/>
    <s v="Sunday"/>
    <s v="May"/>
    <n v="258"/>
    <n v="868"/>
    <n v="10.17"/>
    <x v="1"/>
    <s v="Sedentary"/>
    <n v="1"/>
    <n v="541"/>
    <n v="568"/>
    <n v="9.02"/>
    <n v="9.4700000000000006"/>
    <n v="27"/>
    <n v="95.25"/>
    <x v="1"/>
  </r>
  <r>
    <n v="2026352035"/>
    <d v="2016-05-09T00:00:00"/>
    <n v="10685"/>
    <n v="6.6199998855590803"/>
    <n v="0"/>
    <n v="0"/>
    <n v="401"/>
    <n v="543"/>
    <n v="1869"/>
    <s v="Monday"/>
    <s v="May"/>
    <n v="401"/>
    <n v="944"/>
    <n v="9.0500000000000007"/>
    <x v="2"/>
    <s v="Sedentary"/>
    <n v="1"/>
    <n v="531"/>
    <n v="556"/>
    <n v="8.85"/>
    <n v="9.27"/>
    <n v="25"/>
    <n v="95.5"/>
    <x v="2"/>
  </r>
  <r>
    <n v="2026352035"/>
    <d v="2016-05-10T00:00:00"/>
    <n v="254"/>
    <n v="0.15999999642372101"/>
    <n v="0"/>
    <n v="0"/>
    <n v="17"/>
    <n v="1002"/>
    <n v="1141"/>
    <s v="Tuesday"/>
    <s v="May"/>
    <n v="17"/>
    <n v="1019"/>
    <n v="16.7"/>
    <x v="0"/>
    <s v="Sedentary"/>
    <n v="1"/>
    <n v="357"/>
    <n v="380"/>
    <n v="5.95"/>
    <n v="6.33"/>
    <n v="23"/>
    <n v="93.95"/>
    <x v="0"/>
  </r>
  <r>
    <n v="2026352035"/>
    <d v="2016-05-11T00:00:00"/>
    <n v="8580"/>
    <n v="5.3200001716613796"/>
    <n v="0"/>
    <n v="0"/>
    <n v="330"/>
    <n v="569"/>
    <n v="1698"/>
    <s v="Wednesday"/>
    <s v="May"/>
    <n v="330"/>
    <n v="899"/>
    <n v="9.48"/>
    <x v="3"/>
    <s v="Sedentary"/>
    <n v="1"/>
    <n v="523"/>
    <n v="553"/>
    <n v="8.7200000000000006"/>
    <n v="9.2200000000000006"/>
    <n v="30"/>
    <n v="94.58"/>
    <x v="2"/>
  </r>
  <r>
    <n v="2026352035"/>
    <d v="2016-05-12T00:00:00"/>
    <n v="8891"/>
    <n v="5.5100002288818404"/>
    <n v="0"/>
    <n v="0"/>
    <n v="343"/>
    <n v="330"/>
    <n v="1364"/>
    <s v="Thursday"/>
    <s v="May"/>
    <n v="343"/>
    <n v="673"/>
    <n v="5.5"/>
    <x v="3"/>
    <s v="Sedentary"/>
    <n v="1"/>
    <n v="456"/>
    <n v="485"/>
    <n v="7.6"/>
    <n v="8.08"/>
    <n v="29"/>
    <n v="94.02"/>
    <x v="2"/>
  </r>
  <r>
    <n v="2320127002"/>
    <d v="2016-04-23T00:00:00"/>
    <n v="5079"/>
    <n v="3.4200000762939502"/>
    <n v="0"/>
    <n v="0"/>
    <n v="242"/>
    <n v="1129"/>
    <n v="1804"/>
    <s v="Saturday"/>
    <s v="April"/>
    <n v="242"/>
    <n v="1371"/>
    <n v="18.82"/>
    <x v="1"/>
    <s v="Sedentary"/>
    <n v="1"/>
    <n v="61"/>
    <n v="69"/>
    <n v="1.02"/>
    <n v="1.1499999999999999"/>
    <n v="8"/>
    <n v="88.41"/>
    <x v="0"/>
  </r>
  <r>
    <n v="2347167796"/>
    <d v="2016-04-13T00:00:00"/>
    <n v="10352"/>
    <n v="7.0100002288818404"/>
    <n v="19"/>
    <n v="32"/>
    <n v="195"/>
    <n v="676"/>
    <n v="2038"/>
    <s v="Wednesday"/>
    <s v="April"/>
    <n v="246"/>
    <n v="922"/>
    <n v="11.27"/>
    <x v="2"/>
    <s v="Moderately Active"/>
    <n v="1"/>
    <n v="467"/>
    <n v="531"/>
    <n v="7.78"/>
    <n v="8.85"/>
    <n v="64"/>
    <n v="87.95"/>
    <x v="2"/>
  </r>
  <r>
    <n v="2347167796"/>
    <d v="2016-04-14T00:00:00"/>
    <n v="10129"/>
    <n v="6.6999998092651403"/>
    <n v="1"/>
    <n v="48"/>
    <n v="206"/>
    <n v="705"/>
    <n v="2010"/>
    <s v="Thursday"/>
    <s v="April"/>
    <n v="255"/>
    <n v="960"/>
    <n v="11.75"/>
    <x v="2"/>
    <s v="Lightly Active"/>
    <n v="1"/>
    <n v="445"/>
    <n v="489"/>
    <n v="7.42"/>
    <n v="8.15"/>
    <n v="44"/>
    <n v="91"/>
    <x v="2"/>
  </r>
  <r>
    <n v="2347167796"/>
    <d v="2016-04-15T00:00:00"/>
    <n v="10465"/>
    <n v="6.9200000762939498"/>
    <n v="1"/>
    <n v="24"/>
    <n v="284"/>
    <n v="720"/>
    <n v="2133"/>
    <s v="Friday"/>
    <s v="April"/>
    <n v="309"/>
    <n v="1029"/>
    <n v="12"/>
    <x v="2"/>
    <s v="Lightly Active"/>
    <n v="1"/>
    <n v="452"/>
    <n v="504"/>
    <n v="7.53"/>
    <n v="8.4"/>
    <n v="52"/>
    <n v="89.68"/>
    <x v="2"/>
  </r>
  <r>
    <n v="2347167796"/>
    <d v="2016-04-17T00:00:00"/>
    <n v="5472"/>
    <n v="3.6199998855590798"/>
    <n v="1"/>
    <n v="7"/>
    <n v="249"/>
    <n v="508"/>
    <n v="1882"/>
    <s v="Sunday"/>
    <s v="April"/>
    <n v="257"/>
    <n v="765"/>
    <n v="8.4700000000000006"/>
    <x v="1"/>
    <s v="Lightly Active"/>
    <n v="1"/>
    <n v="556"/>
    <n v="602"/>
    <n v="9.27"/>
    <n v="10.029999999999999"/>
    <n v="46"/>
    <n v="92.36"/>
    <x v="1"/>
  </r>
  <r>
    <n v="2347167796"/>
    <d v="2016-04-18T00:00:00"/>
    <n v="8247"/>
    <n v="5.4499998092651403"/>
    <n v="11"/>
    <n v="16"/>
    <n v="206"/>
    <n v="678"/>
    <n v="1944"/>
    <s v="Monday"/>
    <s v="April"/>
    <n v="233"/>
    <n v="911"/>
    <n v="11.3"/>
    <x v="3"/>
    <s v="Lightly Active"/>
    <n v="1"/>
    <n v="500"/>
    <n v="557"/>
    <n v="8.33"/>
    <n v="9.2799999999999994"/>
    <n v="57"/>
    <n v="89.77"/>
    <x v="2"/>
  </r>
  <r>
    <n v="2347167796"/>
    <d v="2016-04-19T00:00:00"/>
    <n v="6711"/>
    <n v="4.4400000572204599"/>
    <n v="0"/>
    <n v="7"/>
    <n v="382"/>
    <n v="648"/>
    <n v="2346"/>
    <s v="Tuesday"/>
    <s v="April"/>
    <n v="389"/>
    <n v="1037"/>
    <n v="10.8"/>
    <x v="1"/>
    <s v="Sedentary"/>
    <n v="1"/>
    <n v="465"/>
    <n v="514"/>
    <n v="7.75"/>
    <n v="8.57"/>
    <n v="49"/>
    <n v="90.47"/>
    <x v="2"/>
  </r>
  <r>
    <n v="2347167796"/>
    <d v="2016-04-21T00:00:00"/>
    <n v="10080"/>
    <n v="6.75"/>
    <n v="23"/>
    <n v="26"/>
    <n v="208"/>
    <n v="761"/>
    <n v="2048"/>
    <s v="Thursday"/>
    <s v="April"/>
    <n v="257"/>
    <n v="1018"/>
    <n v="12.68"/>
    <x v="2"/>
    <s v="Moderately Active"/>
    <n v="1"/>
    <n v="460"/>
    <n v="484"/>
    <n v="7.67"/>
    <n v="8.07"/>
    <n v="24"/>
    <n v="95.04"/>
    <x v="2"/>
  </r>
  <r>
    <n v="2347167796"/>
    <d v="2016-04-22T00:00:00"/>
    <n v="7804"/>
    <n v="5.1599998474121103"/>
    <n v="9"/>
    <n v="27"/>
    <n v="206"/>
    <n v="781"/>
    <n v="1946"/>
    <s v="Friday"/>
    <s v="April"/>
    <n v="242"/>
    <n v="1023"/>
    <n v="13.02"/>
    <x v="3"/>
    <s v="Lightly Active"/>
    <n v="1"/>
    <n v="405"/>
    <n v="461"/>
    <n v="6.75"/>
    <n v="7.68"/>
    <n v="56"/>
    <n v="87.85"/>
    <x v="3"/>
  </r>
  <r>
    <n v="2347167796"/>
    <d v="2016-04-23T00:00:00"/>
    <n v="16901"/>
    <n v="11.3699998855591"/>
    <n v="32"/>
    <n v="35"/>
    <n v="360"/>
    <n v="591"/>
    <n v="2629"/>
    <s v="Saturday"/>
    <s v="April"/>
    <n v="427"/>
    <n v="1018"/>
    <n v="9.85"/>
    <x v="4"/>
    <s v="Very Active"/>
    <n v="1"/>
    <n v="374"/>
    <n v="386"/>
    <n v="6.23"/>
    <n v="6.43"/>
    <n v="12"/>
    <n v="96.89"/>
    <x v="3"/>
  </r>
  <r>
    <n v="2347167796"/>
    <d v="2016-04-24T00:00:00"/>
    <n v="9471"/>
    <n v="6.2600002288818404"/>
    <n v="0"/>
    <n v="0"/>
    <n v="360"/>
    <n v="584"/>
    <n v="2187"/>
    <s v="Sunday"/>
    <s v="April"/>
    <n v="360"/>
    <n v="944"/>
    <n v="9.73"/>
    <x v="3"/>
    <s v="Sedentary"/>
    <n v="1"/>
    <n v="442"/>
    <n v="459"/>
    <n v="7.37"/>
    <n v="7.65"/>
    <n v="17"/>
    <n v="96.3"/>
    <x v="2"/>
  </r>
  <r>
    <n v="2347167796"/>
    <d v="2016-04-25T00:00:00"/>
    <n v="9482"/>
    <n v="6.3800001144409197"/>
    <n v="15"/>
    <n v="11"/>
    <n v="277"/>
    <n v="653"/>
    <n v="2095"/>
    <s v="Monday"/>
    <s v="April"/>
    <n v="303"/>
    <n v="956"/>
    <n v="10.88"/>
    <x v="3"/>
    <s v="Moderately Active"/>
    <n v="1"/>
    <n v="433"/>
    <n v="471"/>
    <n v="7.22"/>
    <n v="7.85"/>
    <n v="38"/>
    <n v="91.93"/>
    <x v="2"/>
  </r>
  <r>
    <n v="2347167796"/>
    <d v="2016-04-26T00:00:00"/>
    <n v="5980"/>
    <n v="3.9500000476837198"/>
    <n v="0"/>
    <n v="0"/>
    <n v="227"/>
    <n v="732"/>
    <n v="1861"/>
    <s v="Tuesday"/>
    <s v="April"/>
    <n v="227"/>
    <n v="959"/>
    <n v="12.2"/>
    <x v="1"/>
    <s v="Sedentary"/>
    <n v="1"/>
    <n v="436"/>
    <n v="490"/>
    <n v="7.27"/>
    <n v="8.17"/>
    <n v="54"/>
    <n v="88.98"/>
    <x v="2"/>
  </r>
  <r>
    <n v="2347167796"/>
    <d v="2016-04-27T00:00:00"/>
    <n v="11423"/>
    <n v="7.5799999237060502"/>
    <n v="26"/>
    <n v="9"/>
    <n v="295"/>
    <n v="623"/>
    <n v="2194"/>
    <s v="Wednesday"/>
    <s v="April"/>
    <n v="330"/>
    <n v="953"/>
    <n v="10.38"/>
    <x v="2"/>
    <s v="Moderately Active"/>
    <n v="1"/>
    <n v="448"/>
    <n v="499"/>
    <n v="7.47"/>
    <n v="8.32"/>
    <n v="51"/>
    <n v="89.78"/>
    <x v="2"/>
  </r>
  <r>
    <n v="2347167796"/>
    <d v="2016-04-28T00:00:00"/>
    <n v="5439"/>
    <n v="3.5999999046325701"/>
    <n v="0"/>
    <n v="0"/>
    <n v="229"/>
    <n v="764"/>
    <n v="1854"/>
    <s v="Thursday"/>
    <s v="April"/>
    <n v="229"/>
    <n v="993"/>
    <n v="12.73"/>
    <x v="1"/>
    <s v="Sedentary"/>
    <n v="1"/>
    <n v="408"/>
    <n v="450"/>
    <n v="6.8"/>
    <n v="7.5"/>
    <n v="42"/>
    <n v="90.67"/>
    <x v="3"/>
  </r>
  <r>
    <n v="2347167796"/>
    <d v="2016-04-29T00:00:00"/>
    <n v="42"/>
    <n v="2.9999999329447701E-2"/>
    <n v="0"/>
    <n v="0"/>
    <n v="4"/>
    <n v="2"/>
    <n v="403"/>
    <s v="Friday"/>
    <s v="April"/>
    <n v="4"/>
    <n v="6"/>
    <n v="0.03"/>
    <x v="0"/>
    <s v="Sedentary"/>
    <n v="1"/>
    <n v="411"/>
    <n v="473"/>
    <n v="6.85"/>
    <n v="7.88"/>
    <n v="62"/>
    <n v="86.89"/>
    <x v="3"/>
  </r>
  <r>
    <n v="3977333714"/>
    <d v="2016-04-13T00:00:00"/>
    <n v="10035"/>
    <n v="6.71000003814697"/>
    <n v="31"/>
    <n v="46"/>
    <n v="153"/>
    <n v="754"/>
    <n v="1495"/>
    <s v="Wednesday"/>
    <s v="April"/>
    <n v="230"/>
    <n v="984"/>
    <n v="12.57"/>
    <x v="2"/>
    <s v="Very Active"/>
    <n v="2"/>
    <n v="295"/>
    <n v="456"/>
    <n v="4.92"/>
    <n v="7.6"/>
    <n v="161"/>
    <n v="64.69"/>
    <x v="0"/>
  </r>
  <r>
    <n v="3977333714"/>
    <d v="2016-04-14T00:00:00"/>
    <n v="7641"/>
    <n v="5.1100001335143999"/>
    <n v="5"/>
    <n v="23"/>
    <n v="214"/>
    <n v="801"/>
    <n v="1433"/>
    <s v="Thursday"/>
    <s v="April"/>
    <n v="242"/>
    <n v="1043"/>
    <n v="13.35"/>
    <x v="3"/>
    <s v="Lightly Active"/>
    <n v="1"/>
    <n v="291"/>
    <n v="397"/>
    <n v="4.8499999999999996"/>
    <n v="6.62"/>
    <n v="106"/>
    <n v="73.3"/>
    <x v="0"/>
  </r>
  <r>
    <n v="3977333714"/>
    <d v="2016-04-15T00:00:00"/>
    <n v="9010"/>
    <n v="6.0599999427795401"/>
    <n v="15"/>
    <n v="42"/>
    <n v="183"/>
    <n v="644"/>
    <n v="1468"/>
    <s v="Friday"/>
    <s v="April"/>
    <n v="240"/>
    <n v="884"/>
    <n v="10.73"/>
    <x v="3"/>
    <s v="Moderately Active"/>
    <n v="1"/>
    <n v="424"/>
    <n v="556"/>
    <n v="7.07"/>
    <n v="9.27"/>
    <n v="132"/>
    <n v="76.260000000000005"/>
    <x v="2"/>
  </r>
  <r>
    <n v="3977333714"/>
    <d v="2016-04-16T00:00:00"/>
    <n v="13459"/>
    <n v="9"/>
    <n v="31"/>
    <n v="83"/>
    <n v="153"/>
    <n v="663"/>
    <n v="1625"/>
    <s v="Saturday"/>
    <s v="April"/>
    <n v="267"/>
    <n v="930"/>
    <n v="11.05"/>
    <x v="4"/>
    <s v="Very Active"/>
    <n v="1"/>
    <n v="283"/>
    <n v="510"/>
    <n v="4.72"/>
    <n v="8.5"/>
    <n v="227"/>
    <n v="55.49"/>
    <x v="0"/>
  </r>
  <r>
    <n v="3977333714"/>
    <d v="2016-04-17T00:00:00"/>
    <n v="10415"/>
    <n v="6.9699997901916504"/>
    <n v="11"/>
    <n v="58"/>
    <n v="205"/>
    <n v="600"/>
    <n v="1529"/>
    <s v="Sunday"/>
    <s v="April"/>
    <n v="274"/>
    <n v="874"/>
    <n v="10"/>
    <x v="2"/>
    <s v="Lightly Active"/>
    <n v="1"/>
    <n v="381"/>
    <n v="566"/>
    <n v="6.35"/>
    <n v="9.43"/>
    <n v="185"/>
    <n v="67.31"/>
    <x v="3"/>
  </r>
  <r>
    <n v="3977333714"/>
    <d v="2016-04-18T00:00:00"/>
    <n v="11663"/>
    <n v="7.8000001907348597"/>
    <n v="4"/>
    <n v="95"/>
    <n v="214"/>
    <n v="605"/>
    <n v="1584"/>
    <s v="Monday"/>
    <s v="April"/>
    <n v="313"/>
    <n v="918"/>
    <n v="10.08"/>
    <x v="2"/>
    <s v="Lightly Active"/>
    <n v="2"/>
    <n v="412"/>
    <n v="522"/>
    <n v="6.87"/>
    <n v="8.6999999999999993"/>
    <n v="110"/>
    <n v="78.930000000000007"/>
    <x v="3"/>
  </r>
  <r>
    <n v="3977333714"/>
    <d v="2016-04-19T00:00:00"/>
    <n v="12414"/>
    <n v="8.7799997329711896"/>
    <n v="19"/>
    <n v="67"/>
    <n v="221"/>
    <n v="738"/>
    <n v="1638"/>
    <s v="Tuesday"/>
    <s v="April"/>
    <n v="307"/>
    <n v="1045"/>
    <n v="12.3"/>
    <x v="2"/>
    <s v="Moderately Active"/>
    <n v="1"/>
    <n v="219"/>
    <n v="395"/>
    <n v="3.65"/>
    <n v="6.58"/>
    <n v="176"/>
    <n v="55.44"/>
    <x v="0"/>
  </r>
  <r>
    <n v="3977333714"/>
    <d v="2016-04-20T00:00:00"/>
    <n v="11658"/>
    <n v="7.8299999237060502"/>
    <n v="2"/>
    <n v="98"/>
    <n v="164"/>
    <n v="845"/>
    <n v="1554"/>
    <s v="Wednesday"/>
    <s v="April"/>
    <n v="264"/>
    <n v="1109"/>
    <n v="14.08"/>
    <x v="2"/>
    <s v="Lightly Active"/>
    <n v="2"/>
    <n v="152"/>
    <n v="305"/>
    <n v="2.5299999999999998"/>
    <n v="5.08"/>
    <n v="153"/>
    <n v="49.84"/>
    <x v="0"/>
  </r>
  <r>
    <n v="3977333714"/>
    <d v="2016-04-21T00:00:00"/>
    <n v="6093"/>
    <n v="4.0799999237060502"/>
    <n v="0"/>
    <n v="0"/>
    <n v="242"/>
    <n v="712"/>
    <n v="1397"/>
    <s v="Thursday"/>
    <s v="April"/>
    <n v="242"/>
    <n v="954"/>
    <n v="11.87"/>
    <x v="1"/>
    <s v="Sedentary"/>
    <n v="1"/>
    <n v="332"/>
    <n v="512"/>
    <n v="5.53"/>
    <n v="8.5299999999999994"/>
    <n v="180"/>
    <n v="64.84"/>
    <x v="0"/>
  </r>
  <r>
    <n v="3977333714"/>
    <d v="2016-04-22T00:00:00"/>
    <n v="8911"/>
    <n v="5.96000003814697"/>
    <n v="33"/>
    <n v="12"/>
    <n v="188"/>
    <n v="731"/>
    <n v="1481"/>
    <s v="Friday"/>
    <s v="April"/>
    <n v="233"/>
    <n v="964"/>
    <n v="12.18"/>
    <x v="3"/>
    <s v="Very Active"/>
    <n v="1"/>
    <n v="355"/>
    <n v="476"/>
    <n v="5.92"/>
    <n v="7.93"/>
    <n v="121"/>
    <n v="74.58"/>
    <x v="0"/>
  </r>
  <r>
    <n v="3977333714"/>
    <d v="2016-04-23T00:00:00"/>
    <n v="12058"/>
    <n v="8.0699996948242205"/>
    <n v="0"/>
    <n v="92"/>
    <n v="252"/>
    <n v="724"/>
    <n v="1638"/>
    <s v="Saturday"/>
    <s v="April"/>
    <n v="344"/>
    <n v="1068"/>
    <n v="12.07"/>
    <x v="2"/>
    <s v="Sedentary"/>
    <n v="1"/>
    <n v="235"/>
    <n v="372"/>
    <n v="3.92"/>
    <n v="6.2"/>
    <n v="137"/>
    <n v="63.17"/>
    <x v="0"/>
  </r>
  <r>
    <n v="3977333714"/>
    <d v="2016-04-24T00:00:00"/>
    <n v="14112"/>
    <n v="10"/>
    <n v="30"/>
    <n v="95"/>
    <n v="129"/>
    <n v="660"/>
    <n v="1655"/>
    <s v="Sunday"/>
    <s v="April"/>
    <n v="254"/>
    <n v="914"/>
    <n v="11"/>
    <x v="4"/>
    <s v="Very Active"/>
    <n v="1"/>
    <n v="310"/>
    <n v="526"/>
    <n v="5.17"/>
    <n v="8.77"/>
    <n v="216"/>
    <n v="58.94"/>
    <x v="0"/>
  </r>
  <r>
    <n v="3977333714"/>
    <d v="2016-04-25T00:00:00"/>
    <n v="11177"/>
    <n v="8.4799995422363299"/>
    <n v="50"/>
    <n v="9"/>
    <n v="133"/>
    <n v="781"/>
    <n v="1570"/>
    <s v="Monday"/>
    <s v="April"/>
    <n v="192"/>
    <n v="973"/>
    <n v="13.02"/>
    <x v="2"/>
    <s v="Very Active"/>
    <n v="1"/>
    <n v="262"/>
    <n v="467"/>
    <n v="4.37"/>
    <n v="7.78"/>
    <n v="205"/>
    <n v="56.1"/>
    <x v="0"/>
  </r>
  <r>
    <n v="3977333714"/>
    <d v="2016-04-26T00:00:00"/>
    <n v="11388"/>
    <n v="7.6199998855590803"/>
    <n v="7"/>
    <n v="95"/>
    <n v="170"/>
    <n v="797"/>
    <n v="1551"/>
    <s v="Tuesday"/>
    <s v="April"/>
    <n v="272"/>
    <n v="1069"/>
    <n v="13.28"/>
    <x v="2"/>
    <s v="Lightly Active"/>
    <n v="1"/>
    <n v="250"/>
    <n v="371"/>
    <n v="4.17"/>
    <n v="6.18"/>
    <n v="121"/>
    <n v="67.39"/>
    <x v="0"/>
  </r>
  <r>
    <n v="3977333714"/>
    <d v="2016-04-27T00:00:00"/>
    <n v="7193"/>
    <n v="5.03999996185303"/>
    <n v="0"/>
    <n v="10"/>
    <n v="176"/>
    <n v="714"/>
    <n v="1377"/>
    <s v="Wednesday"/>
    <s v="April"/>
    <n v="186"/>
    <n v="900"/>
    <n v="11.9"/>
    <x v="1"/>
    <s v="Sedentary"/>
    <n v="1"/>
    <n v="349"/>
    <n v="540"/>
    <n v="5.82"/>
    <n v="9"/>
    <n v="191"/>
    <n v="64.63"/>
    <x v="0"/>
  </r>
  <r>
    <n v="3977333714"/>
    <d v="2016-04-28T00:00:00"/>
    <n v="7114"/>
    <n v="4.8800001144409197"/>
    <n v="15"/>
    <n v="8"/>
    <n v="190"/>
    <n v="804"/>
    <n v="1407"/>
    <s v="Thursday"/>
    <s v="April"/>
    <n v="213"/>
    <n v="1017"/>
    <n v="13.4"/>
    <x v="1"/>
    <s v="Moderately Active"/>
    <n v="1"/>
    <n v="261"/>
    <n v="423"/>
    <n v="4.3499999999999996"/>
    <n v="7.05"/>
    <n v="162"/>
    <n v="61.7"/>
    <x v="0"/>
  </r>
  <r>
    <n v="3977333714"/>
    <d v="2016-04-29T00:00:00"/>
    <n v="10645"/>
    <n v="7.75"/>
    <n v="36"/>
    <n v="32"/>
    <n v="150"/>
    <n v="744"/>
    <n v="1545"/>
    <s v="Friday"/>
    <s v="April"/>
    <n v="218"/>
    <n v="962"/>
    <n v="12.4"/>
    <x v="2"/>
    <s v="Very Active"/>
    <n v="1"/>
    <n v="333"/>
    <n v="478"/>
    <n v="5.55"/>
    <n v="7.97"/>
    <n v="145"/>
    <n v="69.67"/>
    <x v="0"/>
  </r>
  <r>
    <n v="3977333714"/>
    <d v="2016-04-30T00:00:00"/>
    <n v="13238"/>
    <n v="9.1999998092651403"/>
    <n v="43"/>
    <n v="52"/>
    <n v="194"/>
    <n v="687"/>
    <n v="1650"/>
    <s v="Saturday"/>
    <s v="April"/>
    <n v="289"/>
    <n v="976"/>
    <n v="11.45"/>
    <x v="4"/>
    <s v="Very Active"/>
    <n v="1"/>
    <n v="237"/>
    <n v="382"/>
    <n v="3.95"/>
    <n v="6.37"/>
    <n v="145"/>
    <n v="62.04"/>
    <x v="0"/>
  </r>
  <r>
    <n v="3977333714"/>
    <d v="2016-05-01T00:00:00"/>
    <n v="10414"/>
    <n v="7.0700001716613796"/>
    <n v="41"/>
    <n v="40"/>
    <n v="124"/>
    <n v="691"/>
    <n v="1501"/>
    <s v="Sunday"/>
    <s v="May"/>
    <n v="205"/>
    <n v="896"/>
    <n v="11.52"/>
    <x v="2"/>
    <s v="Very Active"/>
    <n v="1"/>
    <n v="383"/>
    <n v="626"/>
    <n v="6.38"/>
    <n v="10.43"/>
    <n v="243"/>
    <n v="61.18"/>
    <x v="3"/>
  </r>
  <r>
    <n v="3977333714"/>
    <d v="2016-05-02T00:00:00"/>
    <n v="16520"/>
    <n v="11.050000190734901"/>
    <n v="24"/>
    <n v="143"/>
    <n v="176"/>
    <n v="713"/>
    <n v="1760"/>
    <s v="Monday"/>
    <s v="May"/>
    <n v="343"/>
    <n v="1056"/>
    <n v="11.88"/>
    <x v="4"/>
    <s v="Moderately Active"/>
    <n v="1"/>
    <n v="230"/>
    <n v="384"/>
    <n v="3.83"/>
    <n v="6.4"/>
    <n v="154"/>
    <n v="59.9"/>
    <x v="0"/>
  </r>
  <r>
    <n v="3977333714"/>
    <d v="2016-05-03T00:00:00"/>
    <n v="14335"/>
    <n v="9.5900001525878906"/>
    <n v="47"/>
    <n v="41"/>
    <n v="258"/>
    <n v="594"/>
    <n v="1710"/>
    <s v="Tuesday"/>
    <s v="May"/>
    <n v="346"/>
    <n v="940"/>
    <n v="9.9"/>
    <x v="4"/>
    <s v="Very Active"/>
    <n v="1"/>
    <n v="292"/>
    <n v="500"/>
    <n v="4.87"/>
    <n v="8.33"/>
    <n v="208"/>
    <n v="58.4"/>
    <x v="0"/>
  </r>
  <r>
    <n v="3977333714"/>
    <d v="2016-05-04T00:00:00"/>
    <n v="13559"/>
    <n v="9.4399995803833008"/>
    <n v="14"/>
    <n v="96"/>
    <n v="142"/>
    <n v="852"/>
    <n v="1628"/>
    <s v="Wednesday"/>
    <s v="May"/>
    <n v="252"/>
    <n v="1104"/>
    <n v="14.2"/>
    <x v="4"/>
    <s v="Lightly Active"/>
    <n v="1"/>
    <n v="213"/>
    <n v="336"/>
    <n v="3.55"/>
    <n v="5.6"/>
    <n v="123"/>
    <n v="63.39"/>
    <x v="0"/>
  </r>
  <r>
    <n v="3977333714"/>
    <d v="2016-05-05T00:00:00"/>
    <n v="12312"/>
    <n v="8.5799999237060494"/>
    <n v="14"/>
    <n v="88"/>
    <n v="178"/>
    <n v="680"/>
    <n v="1618"/>
    <s v="Thursday"/>
    <s v="May"/>
    <n v="280"/>
    <n v="960"/>
    <n v="11.33"/>
    <x v="2"/>
    <s v="Lightly Active"/>
    <n v="1"/>
    <n v="318"/>
    <n v="480"/>
    <n v="5.3"/>
    <n v="8"/>
    <n v="162"/>
    <n v="66.25"/>
    <x v="0"/>
  </r>
  <r>
    <n v="3977333714"/>
    <d v="2016-05-06T00:00:00"/>
    <n v="11677"/>
    <n v="8.2799997329711896"/>
    <n v="29"/>
    <n v="55"/>
    <n v="168"/>
    <n v="676"/>
    <n v="1590"/>
    <s v="Friday"/>
    <s v="May"/>
    <n v="252"/>
    <n v="928"/>
    <n v="11.27"/>
    <x v="2"/>
    <s v="Moderately Active"/>
    <n v="1"/>
    <n v="323"/>
    <n v="512"/>
    <n v="5.38"/>
    <n v="8.5299999999999994"/>
    <n v="189"/>
    <n v="63.09"/>
    <x v="0"/>
  </r>
  <r>
    <n v="3977333714"/>
    <d v="2016-05-07T00:00:00"/>
    <n v="11550"/>
    <n v="7.7300000190734899"/>
    <n v="0"/>
    <n v="86"/>
    <n v="208"/>
    <n v="703"/>
    <n v="1574"/>
    <s v="Saturday"/>
    <s v="May"/>
    <n v="294"/>
    <n v="997"/>
    <n v="11.72"/>
    <x v="2"/>
    <s v="Sedentary"/>
    <n v="1"/>
    <n v="237"/>
    <n v="443"/>
    <n v="3.95"/>
    <n v="7.38"/>
    <n v="206"/>
    <n v="53.5"/>
    <x v="0"/>
  </r>
  <r>
    <n v="3977333714"/>
    <d v="2016-05-08T00:00:00"/>
    <n v="13585"/>
    <n v="9.0900001525878906"/>
    <n v="9"/>
    <n v="116"/>
    <n v="171"/>
    <n v="688"/>
    <n v="1633"/>
    <s v="Sunday"/>
    <s v="May"/>
    <n v="296"/>
    <n v="984"/>
    <n v="11.47"/>
    <x v="4"/>
    <s v="Lightly Active"/>
    <n v="2"/>
    <n v="259"/>
    <n v="456"/>
    <n v="4.32"/>
    <n v="7.6"/>
    <n v="197"/>
    <n v="56.8"/>
    <x v="0"/>
  </r>
  <r>
    <n v="3977333714"/>
    <d v="2016-05-10T00:00:00"/>
    <n v="13072"/>
    <n v="8.7799997329711896"/>
    <n v="1"/>
    <n v="115"/>
    <n v="196"/>
    <n v="676"/>
    <n v="1630"/>
    <s v="Tuesday"/>
    <s v="May"/>
    <n v="312"/>
    <n v="988"/>
    <n v="11.27"/>
    <x v="4"/>
    <s v="Lightly Active"/>
    <n v="1"/>
    <n v="312"/>
    <n v="452"/>
    <n v="5.2"/>
    <n v="7.53"/>
    <n v="140"/>
    <n v="69.03"/>
    <x v="0"/>
  </r>
  <r>
    <n v="4020332650"/>
    <d v="2016-04-16T00:00:00"/>
    <n v="1982"/>
    <n v="1.41999995708466"/>
    <n v="65"/>
    <n v="21"/>
    <n v="55"/>
    <n v="1222"/>
    <n v="3051"/>
    <s v="Saturday"/>
    <s v="April"/>
    <n v="141"/>
    <n v="1363"/>
    <n v="20.37"/>
    <x v="0"/>
    <s v="Very Active"/>
    <n v="1"/>
    <n v="77"/>
    <n v="77"/>
    <n v="1.28"/>
    <n v="1.28"/>
    <n v="0"/>
    <n v="100"/>
    <x v="0"/>
  </r>
  <r>
    <n v="4020332650"/>
    <d v="2016-05-03T00:00:00"/>
    <n v="4496"/>
    <n v="3.2200000286102299"/>
    <n v="0"/>
    <n v="0"/>
    <n v="174"/>
    <n v="950"/>
    <n v="2828"/>
    <s v="Tuesday"/>
    <s v="May"/>
    <n v="174"/>
    <n v="1124"/>
    <n v="15.83"/>
    <x v="0"/>
    <s v="Sedentary"/>
    <n v="1"/>
    <n v="322"/>
    <n v="332"/>
    <n v="5.37"/>
    <n v="5.53"/>
    <n v="10"/>
    <n v="96.99"/>
    <x v="0"/>
  </r>
  <r>
    <n v="4020332650"/>
    <d v="2016-05-04T00:00:00"/>
    <n v="10252"/>
    <n v="7.3499999046325701"/>
    <n v="13"/>
    <n v="46"/>
    <n v="346"/>
    <n v="531"/>
    <n v="3879"/>
    <s v="Wednesday"/>
    <s v="May"/>
    <n v="405"/>
    <n v="936"/>
    <n v="8.85"/>
    <x v="2"/>
    <s v="Lightly Active"/>
    <n v="1"/>
    <n v="478"/>
    <n v="536"/>
    <n v="7.97"/>
    <n v="8.93"/>
    <n v="58"/>
    <n v="89.18"/>
    <x v="2"/>
  </r>
  <r>
    <n v="4020332650"/>
    <d v="2016-05-05T00:00:00"/>
    <n v="11728"/>
    <n v="8.4300003051757795"/>
    <n v="38"/>
    <n v="42"/>
    <n v="196"/>
    <n v="916"/>
    <n v="3429"/>
    <s v="Thursday"/>
    <s v="May"/>
    <n v="276"/>
    <n v="1192"/>
    <n v="15.27"/>
    <x v="2"/>
    <s v="Very Active"/>
    <n v="1"/>
    <n v="226"/>
    <n v="248"/>
    <n v="3.77"/>
    <n v="4.13"/>
    <n v="22"/>
    <n v="91.13"/>
    <x v="0"/>
  </r>
  <r>
    <n v="4020332650"/>
    <d v="2016-05-06T00:00:00"/>
    <n v="4369"/>
    <n v="3.1300001144409202"/>
    <n v="0"/>
    <n v="0"/>
    <n v="177"/>
    <n v="855"/>
    <n v="2704"/>
    <s v="Friday"/>
    <s v="May"/>
    <n v="177"/>
    <n v="1032"/>
    <n v="14.25"/>
    <x v="0"/>
    <s v="Sedentary"/>
    <n v="1"/>
    <n v="385"/>
    <n v="408"/>
    <n v="6.42"/>
    <n v="6.8"/>
    <n v="23"/>
    <n v="94.36"/>
    <x v="3"/>
  </r>
  <r>
    <n v="4020332650"/>
    <d v="2016-05-08T00:00:00"/>
    <n v="5862"/>
    <n v="4.1999998092651403"/>
    <n v="0"/>
    <n v="0"/>
    <n v="263"/>
    <n v="775"/>
    <n v="3089"/>
    <s v="Sunday"/>
    <s v="May"/>
    <n v="263"/>
    <n v="1038"/>
    <n v="12.92"/>
    <x v="1"/>
    <s v="Sedentary"/>
    <n v="1"/>
    <n v="364"/>
    <n v="402"/>
    <n v="6.07"/>
    <n v="6.7"/>
    <n v="38"/>
    <n v="90.55"/>
    <x v="3"/>
  </r>
  <r>
    <n v="4020332650"/>
    <d v="2016-05-10T00:00:00"/>
    <n v="5546"/>
    <n v="3.9800000190734899"/>
    <n v="0"/>
    <n v="0"/>
    <n v="206"/>
    <n v="774"/>
    <n v="2926"/>
    <s v="Tuesday"/>
    <s v="May"/>
    <n v="206"/>
    <n v="980"/>
    <n v="12.9"/>
    <x v="1"/>
    <s v="Sedentary"/>
    <n v="1"/>
    <n v="442"/>
    <n v="494"/>
    <n v="7.37"/>
    <n v="8.23"/>
    <n v="52"/>
    <n v="89.47"/>
    <x v="2"/>
  </r>
  <r>
    <n v="4319703577"/>
    <d v="2016-04-14T00:00:00"/>
    <n v="10210"/>
    <n v="6.8800001144409197"/>
    <n v="1"/>
    <n v="9"/>
    <n v="339"/>
    <n v="589"/>
    <n v="2302"/>
    <s v="Thursday"/>
    <s v="April"/>
    <n v="349"/>
    <n v="938"/>
    <n v="9.82"/>
    <x v="2"/>
    <s v="Lightly Active"/>
    <n v="1"/>
    <n v="535"/>
    <n v="557"/>
    <n v="8.92"/>
    <n v="9.2799999999999994"/>
    <n v="22"/>
    <n v="96.05"/>
    <x v="2"/>
  </r>
  <r>
    <n v="4319703577"/>
    <d v="2016-04-15T00:00:00"/>
    <n v="5664"/>
    <n v="3.7999999523162802"/>
    <n v="0"/>
    <n v="0"/>
    <n v="228"/>
    <n v="752"/>
    <n v="1985"/>
    <s v="Friday"/>
    <s v="April"/>
    <n v="228"/>
    <n v="980"/>
    <n v="12.53"/>
    <x v="1"/>
    <s v="Sedentary"/>
    <n v="1"/>
    <n v="465"/>
    <n v="491"/>
    <n v="7.75"/>
    <n v="8.18"/>
    <n v="26"/>
    <n v="94.7"/>
    <x v="2"/>
  </r>
  <r>
    <n v="4319703577"/>
    <d v="2016-04-16T00:00:00"/>
    <n v="4744"/>
    <n v="3.1800000667571999"/>
    <n v="0"/>
    <n v="0"/>
    <n v="194"/>
    <n v="724"/>
    <n v="1884"/>
    <s v="Saturday"/>
    <s v="April"/>
    <n v="194"/>
    <n v="918"/>
    <n v="12.07"/>
    <x v="0"/>
    <s v="Sedentary"/>
    <n v="1"/>
    <n v="506"/>
    <n v="522"/>
    <n v="8.43"/>
    <n v="8.6999999999999993"/>
    <n v="16"/>
    <n v="96.93"/>
    <x v="2"/>
  </r>
  <r>
    <n v="4319703577"/>
    <d v="2016-04-18T00:00:00"/>
    <n v="2276"/>
    <n v="1.54999995231628"/>
    <n v="1"/>
    <n v="9"/>
    <n v="58"/>
    <n v="824"/>
    <n v="1632"/>
    <s v="Monday"/>
    <s v="April"/>
    <n v="68"/>
    <n v="892"/>
    <n v="13.73"/>
    <x v="0"/>
    <s v="Lightly Active"/>
    <n v="1"/>
    <n v="515"/>
    <n v="551"/>
    <n v="8.58"/>
    <n v="9.18"/>
    <n v="36"/>
    <n v="93.47"/>
    <x v="2"/>
  </r>
  <r>
    <n v="4319703577"/>
    <d v="2016-04-19T00:00:00"/>
    <n v="8925"/>
    <n v="5.9899997711181596"/>
    <n v="0"/>
    <n v="0"/>
    <n v="311"/>
    <n v="604"/>
    <n v="2200"/>
    <s v="Tuesday"/>
    <s v="April"/>
    <n v="311"/>
    <n v="915"/>
    <n v="10.07"/>
    <x v="3"/>
    <s v="Sedentary"/>
    <n v="2"/>
    <n v="461"/>
    <n v="498"/>
    <n v="7.68"/>
    <n v="8.3000000000000007"/>
    <n v="37"/>
    <n v="92.57"/>
    <x v="2"/>
  </r>
  <r>
    <n v="4319703577"/>
    <d v="2016-04-20T00:00:00"/>
    <n v="8954"/>
    <n v="6.0100002288818404"/>
    <n v="0"/>
    <n v="18"/>
    <n v="306"/>
    <n v="671"/>
    <n v="2220"/>
    <s v="Wednesday"/>
    <s v="April"/>
    <n v="324"/>
    <n v="995"/>
    <n v="11.18"/>
    <x v="3"/>
    <s v="Sedentary"/>
    <n v="1"/>
    <n v="523"/>
    <n v="543"/>
    <n v="8.7200000000000006"/>
    <n v="9.0500000000000007"/>
    <n v="20"/>
    <n v="96.32"/>
    <x v="2"/>
  </r>
  <r>
    <n v="4319703577"/>
    <d v="2016-04-21T00:00:00"/>
    <n v="3702"/>
    <n v="2.4800000190734899"/>
    <n v="0"/>
    <n v="0"/>
    <n v="34"/>
    <n v="1265"/>
    <n v="1792"/>
    <s v="Thursday"/>
    <s v="April"/>
    <n v="34"/>
    <n v="1299"/>
    <n v="21.08"/>
    <x v="0"/>
    <s v="Sedentary"/>
    <n v="1"/>
    <n v="59"/>
    <n v="65"/>
    <n v="0.98"/>
    <n v="1.08"/>
    <n v="6"/>
    <n v="90.77"/>
    <x v="0"/>
  </r>
  <r>
    <n v="4319703577"/>
    <d v="2016-04-22T00:00:00"/>
    <n v="4500"/>
    <n v="3.0199999809265101"/>
    <n v="1"/>
    <n v="19"/>
    <n v="176"/>
    <n v="709"/>
    <n v="1886"/>
    <s v="Friday"/>
    <s v="April"/>
    <n v="196"/>
    <n v="905"/>
    <n v="11.82"/>
    <x v="0"/>
    <s v="Lightly Active"/>
    <n v="1"/>
    <n v="533"/>
    <n v="550"/>
    <n v="8.8800000000000008"/>
    <n v="9.17"/>
    <n v="17"/>
    <n v="96.91"/>
    <x v="2"/>
  </r>
  <r>
    <n v="4319703577"/>
    <d v="2016-04-23T00:00:00"/>
    <n v="4935"/>
    <n v="3.3099999427795401"/>
    <n v="0"/>
    <n v="0"/>
    <n v="233"/>
    <n v="546"/>
    <n v="1945"/>
    <s v="Saturday"/>
    <s v="April"/>
    <n v="233"/>
    <n v="779"/>
    <n v="9.1"/>
    <x v="0"/>
    <s v="Sedentary"/>
    <n v="1"/>
    <n v="692"/>
    <n v="722"/>
    <n v="11.53"/>
    <n v="12.03"/>
    <n v="30"/>
    <n v="95.84"/>
    <x v="1"/>
  </r>
  <r>
    <n v="4319703577"/>
    <d v="2016-04-24T00:00:00"/>
    <n v="4081"/>
    <n v="2.7400000095367401"/>
    <n v="1"/>
    <n v="5"/>
    <n v="191"/>
    <n v="692"/>
    <n v="1880"/>
    <s v="Sunday"/>
    <s v="April"/>
    <n v="197"/>
    <n v="889"/>
    <n v="11.53"/>
    <x v="0"/>
    <s v="Lightly Active"/>
    <n v="1"/>
    <n v="467"/>
    <n v="501"/>
    <n v="7.78"/>
    <n v="8.35"/>
    <n v="34"/>
    <n v="93.21"/>
    <x v="2"/>
  </r>
  <r>
    <n v="4319703577"/>
    <d v="2016-04-25T00:00:00"/>
    <n v="9259"/>
    <n v="6.21000003814697"/>
    <n v="0"/>
    <n v="8"/>
    <n v="390"/>
    <n v="544"/>
    <n v="2314"/>
    <s v="Monday"/>
    <s v="April"/>
    <n v="398"/>
    <n v="942"/>
    <n v="9.07"/>
    <x v="3"/>
    <s v="Sedentary"/>
    <n v="1"/>
    <n v="488"/>
    <n v="506"/>
    <n v="8.1300000000000008"/>
    <n v="8.43"/>
    <n v="18"/>
    <n v="96.44"/>
    <x v="2"/>
  </r>
  <r>
    <n v="4319703577"/>
    <d v="2016-04-26T00:00:00"/>
    <n v="9899"/>
    <n v="6.6399998664856001"/>
    <n v="8"/>
    <n v="21"/>
    <n v="288"/>
    <n v="649"/>
    <n v="2236"/>
    <s v="Tuesday"/>
    <s v="April"/>
    <n v="317"/>
    <n v="966"/>
    <n v="10.82"/>
    <x v="3"/>
    <s v="Lightly Active"/>
    <n v="1"/>
    <n v="505"/>
    <n v="516"/>
    <n v="8.42"/>
    <n v="8.6"/>
    <n v="11"/>
    <n v="97.87"/>
    <x v="2"/>
  </r>
  <r>
    <n v="4319703577"/>
    <d v="2016-04-27T00:00:00"/>
    <n v="10780"/>
    <n v="7.2300000190734899"/>
    <n v="6"/>
    <n v="47"/>
    <n v="300"/>
    <n v="680"/>
    <n v="2324"/>
    <s v="Wednesday"/>
    <s v="April"/>
    <n v="353"/>
    <n v="1033"/>
    <n v="11.33"/>
    <x v="2"/>
    <s v="Lightly Active"/>
    <n v="1"/>
    <n v="286"/>
    <n v="307"/>
    <n v="4.7699999999999996"/>
    <n v="5.12"/>
    <n v="21"/>
    <n v="93.16"/>
    <x v="0"/>
  </r>
  <r>
    <n v="4319703577"/>
    <d v="2016-04-28T00:00:00"/>
    <n v="10817"/>
    <n v="7.2800002098083496"/>
    <n v="13"/>
    <n v="8"/>
    <n v="359"/>
    <n v="552"/>
    <n v="2367"/>
    <s v="Thursday"/>
    <s v="April"/>
    <n v="380"/>
    <n v="932"/>
    <n v="9.1999999999999993"/>
    <x v="2"/>
    <s v="Lightly Active"/>
    <n v="1"/>
    <n v="497"/>
    <n v="522"/>
    <n v="8.2799999999999994"/>
    <n v="8.6999999999999993"/>
    <n v="25"/>
    <n v="95.21"/>
    <x v="2"/>
  </r>
  <r>
    <n v="4319703577"/>
    <d v="2016-04-29T00:00:00"/>
    <n v="7990"/>
    <n v="5.3600001335143999"/>
    <n v="6"/>
    <n v="18"/>
    <n v="289"/>
    <n v="624"/>
    <n v="2175"/>
    <s v="Friday"/>
    <s v="April"/>
    <n v="313"/>
    <n v="937"/>
    <n v="10.4"/>
    <x v="3"/>
    <s v="Lightly Active"/>
    <n v="1"/>
    <n v="523"/>
    <n v="546"/>
    <n v="8.7200000000000006"/>
    <n v="9.1"/>
    <n v="23"/>
    <n v="95.79"/>
    <x v="2"/>
  </r>
  <r>
    <n v="4319703577"/>
    <d v="2016-04-30T00:00:00"/>
    <n v="8221"/>
    <n v="5.5199999809265101"/>
    <n v="6"/>
    <n v="38"/>
    <n v="196"/>
    <n v="695"/>
    <n v="2092"/>
    <s v="Saturday"/>
    <s v="April"/>
    <n v="240"/>
    <n v="935"/>
    <n v="11.58"/>
    <x v="3"/>
    <s v="Lightly Active"/>
    <n v="1"/>
    <n v="490"/>
    <n v="516"/>
    <n v="8.17"/>
    <n v="8.6"/>
    <n v="26"/>
    <n v="94.96"/>
    <x v="2"/>
  </r>
  <r>
    <n v="4319703577"/>
    <d v="2016-05-01T00:00:00"/>
    <n v="1251"/>
    <n v="0.83999997377395597"/>
    <n v="0"/>
    <n v="0"/>
    <n v="67"/>
    <n v="836"/>
    <n v="1593"/>
    <s v="Sunday"/>
    <s v="May"/>
    <n v="67"/>
    <n v="903"/>
    <n v="13.93"/>
    <x v="0"/>
    <s v="Sedentary"/>
    <n v="1"/>
    <n v="484"/>
    <n v="500"/>
    <n v="8.07"/>
    <n v="8.33"/>
    <n v="16"/>
    <n v="96.8"/>
    <x v="2"/>
  </r>
  <r>
    <n v="4319703577"/>
    <d v="2016-05-02T00:00:00"/>
    <n v="9261"/>
    <n v="6.2399997711181596"/>
    <n v="0"/>
    <n v="11"/>
    <n v="344"/>
    <n v="585"/>
    <n v="2270"/>
    <s v="Monday"/>
    <s v="May"/>
    <n v="355"/>
    <n v="940"/>
    <n v="9.75"/>
    <x v="3"/>
    <s v="Sedentary"/>
    <n v="1"/>
    <n v="478"/>
    <n v="506"/>
    <n v="7.97"/>
    <n v="8.43"/>
    <n v="28"/>
    <n v="94.47"/>
    <x v="2"/>
  </r>
  <r>
    <n v="4319703577"/>
    <d v="2016-05-03T00:00:00"/>
    <n v="9648"/>
    <n v="6.4699997901916504"/>
    <n v="8"/>
    <n v="26"/>
    <n v="287"/>
    <n v="669"/>
    <n v="2235"/>
    <s v="Tuesday"/>
    <s v="May"/>
    <n v="321"/>
    <n v="990"/>
    <n v="11.15"/>
    <x v="3"/>
    <s v="Lightly Active"/>
    <n v="1"/>
    <n v="474"/>
    <n v="512"/>
    <n v="7.9"/>
    <n v="8.5299999999999994"/>
    <n v="38"/>
    <n v="92.58"/>
    <x v="2"/>
  </r>
  <r>
    <n v="4319703577"/>
    <d v="2016-05-06T00:00:00"/>
    <n v="9524"/>
    <n v="6.4200000762939498"/>
    <n v="6"/>
    <n v="11"/>
    <n v="314"/>
    <n v="692"/>
    <n v="2266"/>
    <s v="Friday"/>
    <s v="May"/>
    <n v="331"/>
    <n v="1023"/>
    <n v="11.53"/>
    <x v="3"/>
    <s v="Lightly Active"/>
    <n v="1"/>
    <n v="450"/>
    <n v="491"/>
    <n v="7.5"/>
    <n v="8.18"/>
    <n v="41"/>
    <n v="91.65"/>
    <x v="2"/>
  </r>
  <r>
    <n v="4319703577"/>
    <d v="2016-05-07T00:00:00"/>
    <n v="7937"/>
    <n v="5.3299999237060502"/>
    <n v="3"/>
    <n v="28"/>
    <n v="279"/>
    <n v="586"/>
    <n v="2158"/>
    <s v="Saturday"/>
    <s v="May"/>
    <n v="310"/>
    <n v="896"/>
    <n v="9.77"/>
    <x v="3"/>
    <s v="Lightly Active"/>
    <n v="1"/>
    <n v="507"/>
    <n v="530"/>
    <n v="8.4499999999999993"/>
    <n v="8.83"/>
    <n v="23"/>
    <n v="95.66"/>
    <x v="2"/>
  </r>
  <r>
    <n v="4319703577"/>
    <d v="2016-05-08T00:00:00"/>
    <n v="3672"/>
    <n v="2.46000003814697"/>
    <n v="0"/>
    <n v="0"/>
    <n v="153"/>
    <n v="603"/>
    <n v="1792"/>
    <s v="Sunday"/>
    <s v="May"/>
    <n v="153"/>
    <n v="756"/>
    <n v="10.050000000000001"/>
    <x v="0"/>
    <s v="Sedentary"/>
    <n v="1"/>
    <n v="602"/>
    <n v="638"/>
    <n v="10.029999999999999"/>
    <n v="10.63"/>
    <n v="36"/>
    <n v="94.36"/>
    <x v="1"/>
  </r>
  <r>
    <n v="4319703577"/>
    <d v="2016-05-09T00:00:00"/>
    <n v="10378"/>
    <n v="6.96000003814697"/>
    <n v="2"/>
    <n v="14"/>
    <n v="374"/>
    <n v="490"/>
    <n v="2345"/>
    <s v="Monday"/>
    <s v="May"/>
    <n v="390"/>
    <n v="880"/>
    <n v="8.17"/>
    <x v="2"/>
    <s v="Lightly Active"/>
    <n v="1"/>
    <n v="535"/>
    <n v="565"/>
    <n v="8.92"/>
    <n v="9.42"/>
    <n v="30"/>
    <n v="94.69"/>
    <x v="2"/>
  </r>
  <r>
    <n v="4319703577"/>
    <d v="2016-05-10T00:00:00"/>
    <n v="9487"/>
    <n v="6.3699998855590803"/>
    <n v="3"/>
    <n v="12"/>
    <n v="329"/>
    <n v="555"/>
    <n v="2260"/>
    <s v="Tuesday"/>
    <s v="May"/>
    <n v="344"/>
    <n v="899"/>
    <n v="9.25"/>
    <x v="3"/>
    <s v="Lightly Active"/>
    <n v="1"/>
    <n v="487"/>
    <n v="517"/>
    <n v="8.1199999999999992"/>
    <n v="8.6199999999999992"/>
    <n v="30"/>
    <n v="94.2"/>
    <x v="2"/>
  </r>
  <r>
    <n v="4319703577"/>
    <d v="2016-05-11T00:00:00"/>
    <n v="9129"/>
    <n v="6.1300001144409197"/>
    <n v="3"/>
    <n v="18"/>
    <n v="311"/>
    <n v="574"/>
    <n v="2232"/>
    <s v="Wednesday"/>
    <s v="May"/>
    <n v="332"/>
    <n v="906"/>
    <n v="9.57"/>
    <x v="3"/>
    <s v="Lightly Active"/>
    <n v="1"/>
    <n v="529"/>
    <n v="558"/>
    <n v="8.82"/>
    <n v="9.3000000000000007"/>
    <n v="29"/>
    <n v="94.8"/>
    <x v="2"/>
  </r>
  <r>
    <n v="4319703577"/>
    <d v="2016-05-12T00:00:00"/>
    <n v="17"/>
    <n v="9.9999997764825804E-3"/>
    <n v="0"/>
    <n v="0"/>
    <n v="2"/>
    <n v="0"/>
    <n v="257"/>
    <s v="Thursday"/>
    <s v="May"/>
    <n v="2"/>
    <n v="2"/>
    <n v="0"/>
    <x v="0"/>
    <s v="Sedentary"/>
    <n v="1"/>
    <n v="302"/>
    <n v="321"/>
    <n v="5.03"/>
    <n v="5.35"/>
    <n v="19"/>
    <n v="94.08"/>
    <x v="0"/>
  </r>
  <r>
    <n v="4388161847"/>
    <d v="2016-04-15T00:00:00"/>
    <n v="8758"/>
    <n v="6.7300000190734899"/>
    <n v="0"/>
    <n v="0"/>
    <n v="299"/>
    <n v="837"/>
    <n v="3066"/>
    <s v="Friday"/>
    <s v="April"/>
    <n v="299"/>
    <n v="1136"/>
    <n v="13.95"/>
    <x v="3"/>
    <s v="Sedentary"/>
    <n v="1"/>
    <n v="499"/>
    <n v="526"/>
    <n v="8.32"/>
    <n v="8.77"/>
    <n v="27"/>
    <n v="94.87"/>
    <x v="2"/>
  </r>
  <r>
    <n v="4388161847"/>
    <d v="2016-04-16T00:00:00"/>
    <n v="6580"/>
    <n v="5.0599999427795401"/>
    <n v="6"/>
    <n v="9"/>
    <n v="253"/>
    <n v="609"/>
    <n v="3073"/>
    <s v="Saturday"/>
    <s v="April"/>
    <n v="268"/>
    <n v="877"/>
    <n v="10.15"/>
    <x v="1"/>
    <s v="Lightly Active"/>
    <n v="2"/>
    <n v="426"/>
    <n v="448"/>
    <n v="7.1"/>
    <n v="7.47"/>
    <n v="22"/>
    <n v="95.09"/>
    <x v="2"/>
  </r>
  <r>
    <n v="4388161847"/>
    <d v="2016-04-17T00:00:00"/>
    <n v="4660"/>
    <n v="3.5799999237060498"/>
    <n v="0"/>
    <n v="0"/>
    <n v="201"/>
    <n v="721"/>
    <n v="2572"/>
    <s v="Sunday"/>
    <s v="April"/>
    <n v="201"/>
    <n v="922"/>
    <n v="12.02"/>
    <x v="0"/>
    <s v="Sedentary"/>
    <n v="2"/>
    <n v="619"/>
    <n v="641"/>
    <n v="10.32"/>
    <n v="10.68"/>
    <n v="22"/>
    <n v="96.57"/>
    <x v="1"/>
  </r>
  <r>
    <n v="4388161847"/>
    <d v="2016-04-18T00:00:00"/>
    <n v="11009"/>
    <n v="9.1000003814697301"/>
    <n v="27"/>
    <n v="8"/>
    <n v="239"/>
    <n v="1017"/>
    <n v="3274"/>
    <s v="Monday"/>
    <s v="April"/>
    <n v="274"/>
    <n v="1291"/>
    <n v="16.95"/>
    <x v="2"/>
    <s v="Moderately Active"/>
    <n v="1"/>
    <n v="99"/>
    <n v="104"/>
    <n v="1.65"/>
    <n v="1.73"/>
    <n v="5"/>
    <n v="95.19"/>
    <x v="0"/>
  </r>
  <r>
    <n v="4388161847"/>
    <d v="2016-04-19T00:00:00"/>
    <n v="10181"/>
    <n v="7.8299999237060502"/>
    <n v="20"/>
    <n v="16"/>
    <n v="249"/>
    <n v="704"/>
    <n v="3015"/>
    <s v="Tuesday"/>
    <s v="April"/>
    <n v="285"/>
    <n v="989"/>
    <n v="11.73"/>
    <x v="2"/>
    <s v="Moderately Active"/>
    <n v="1"/>
    <n v="329"/>
    <n v="338"/>
    <n v="5.48"/>
    <n v="5.63"/>
    <n v="9"/>
    <n v="97.34"/>
    <x v="0"/>
  </r>
  <r>
    <n v="4388161847"/>
    <d v="2016-04-20T00:00:00"/>
    <n v="10553"/>
    <n v="8.1199998855590803"/>
    <n v="19"/>
    <n v="42"/>
    <n v="228"/>
    <n v="696"/>
    <n v="3083"/>
    <s v="Wednesday"/>
    <s v="April"/>
    <n v="289"/>
    <n v="985"/>
    <n v="11.6"/>
    <x v="2"/>
    <s v="Moderately Active"/>
    <n v="1"/>
    <n v="421"/>
    <n v="451"/>
    <n v="7.02"/>
    <n v="7.52"/>
    <n v="30"/>
    <n v="93.35"/>
    <x v="2"/>
  </r>
  <r>
    <n v="4388161847"/>
    <d v="2016-04-21T00:00:00"/>
    <n v="10055"/>
    <n v="7.7300000190734899"/>
    <n v="7"/>
    <n v="12"/>
    <n v="272"/>
    <n v="853"/>
    <n v="3069"/>
    <s v="Thursday"/>
    <s v="April"/>
    <n v="291"/>
    <n v="1144"/>
    <n v="14.22"/>
    <x v="2"/>
    <s v="Lightly Active"/>
    <n v="1"/>
    <n v="442"/>
    <n v="458"/>
    <n v="7.37"/>
    <n v="7.63"/>
    <n v="16"/>
    <n v="96.51"/>
    <x v="2"/>
  </r>
  <r>
    <n v="4388161847"/>
    <d v="2016-04-22T00:00:00"/>
    <n v="12139"/>
    <n v="9.3400001525878906"/>
    <n v="77"/>
    <n v="25"/>
    <n v="220"/>
    <n v="945"/>
    <n v="3544"/>
    <s v="Friday"/>
    <s v="April"/>
    <n v="322"/>
    <n v="1267"/>
    <n v="15.75"/>
    <x v="2"/>
    <s v="Very Active"/>
    <n v="1"/>
    <n v="82"/>
    <n v="85"/>
    <n v="1.37"/>
    <n v="1.42"/>
    <n v="3"/>
    <n v="96.47"/>
    <x v="0"/>
  </r>
  <r>
    <n v="4388161847"/>
    <d v="2016-04-23T00:00:00"/>
    <n v="13236"/>
    <n v="10.180000305175801"/>
    <n v="58"/>
    <n v="5"/>
    <n v="215"/>
    <n v="749"/>
    <n v="3306"/>
    <s v="Saturday"/>
    <s v="April"/>
    <n v="278"/>
    <n v="1027"/>
    <n v="12.48"/>
    <x v="4"/>
    <s v="Very Active"/>
    <n v="1"/>
    <n v="478"/>
    <n v="501"/>
    <n v="7.97"/>
    <n v="8.35"/>
    <n v="23"/>
    <n v="95.41"/>
    <x v="2"/>
  </r>
  <r>
    <n v="4388161847"/>
    <d v="2016-04-24T00:00:00"/>
    <n v="10243"/>
    <n v="7.8800001144409197"/>
    <n v="14"/>
    <n v="8"/>
    <n v="239"/>
    <n v="584"/>
    <n v="2885"/>
    <s v="Sunday"/>
    <s v="April"/>
    <n v="261"/>
    <n v="845"/>
    <n v="9.73"/>
    <x v="2"/>
    <s v="Lightly Active"/>
    <n v="3"/>
    <n v="552"/>
    <n v="595"/>
    <n v="9.1999999999999993"/>
    <n v="9.92"/>
    <n v="43"/>
    <n v="92.77"/>
    <x v="1"/>
  </r>
  <r>
    <n v="4388161847"/>
    <d v="2016-04-26T00:00:00"/>
    <n v="9461"/>
    <n v="7.2800002098083496"/>
    <n v="14"/>
    <n v="23"/>
    <n v="224"/>
    <n v="673"/>
    <n v="2929"/>
    <s v="Tuesday"/>
    <s v="April"/>
    <n v="261"/>
    <n v="934"/>
    <n v="11.22"/>
    <x v="3"/>
    <s v="Lightly Active"/>
    <n v="1"/>
    <n v="319"/>
    <n v="346"/>
    <n v="5.32"/>
    <n v="5.77"/>
    <n v="27"/>
    <n v="92.2"/>
    <x v="0"/>
  </r>
  <r>
    <n v="4388161847"/>
    <d v="2016-04-27T00:00:00"/>
    <n v="11193"/>
    <n v="8.6099996566772496"/>
    <n v="11"/>
    <n v="48"/>
    <n v="241"/>
    <n v="684"/>
    <n v="3074"/>
    <s v="Wednesday"/>
    <s v="April"/>
    <n v="300"/>
    <n v="984"/>
    <n v="11.4"/>
    <x v="2"/>
    <s v="Lightly Active"/>
    <n v="1"/>
    <n v="439"/>
    <n v="500"/>
    <n v="7.32"/>
    <n v="8.33"/>
    <n v="61"/>
    <n v="87.8"/>
    <x v="2"/>
  </r>
  <r>
    <n v="4388161847"/>
    <d v="2016-04-28T00:00:00"/>
    <n v="10074"/>
    <n v="7.75"/>
    <n v="19"/>
    <n v="9"/>
    <n v="234"/>
    <n v="878"/>
    <n v="2969"/>
    <s v="Thursday"/>
    <s v="April"/>
    <n v="262"/>
    <n v="1140"/>
    <n v="14.63"/>
    <x v="2"/>
    <s v="Moderately Active"/>
    <n v="1"/>
    <n v="428"/>
    <n v="458"/>
    <n v="7.13"/>
    <n v="7.63"/>
    <n v="30"/>
    <n v="93.45"/>
    <x v="2"/>
  </r>
  <r>
    <n v="4388161847"/>
    <d v="2016-04-30T00:00:00"/>
    <n v="12533"/>
    <n v="9.6400003433227504"/>
    <n v="14"/>
    <n v="43"/>
    <n v="300"/>
    <n v="537"/>
    <n v="3283"/>
    <s v="Saturday"/>
    <s v="April"/>
    <n v="357"/>
    <n v="894"/>
    <n v="8.9499999999999993"/>
    <x v="4"/>
    <s v="Lightly Active"/>
    <n v="2"/>
    <n v="409"/>
    <n v="430"/>
    <n v="6.82"/>
    <n v="7.17"/>
    <n v="21"/>
    <n v="95.12"/>
    <x v="3"/>
  </r>
  <r>
    <n v="4388161847"/>
    <d v="2016-05-01T00:00:00"/>
    <n v="10255"/>
    <n v="7.8899998664856001"/>
    <n v="12"/>
    <n v="15"/>
    <n v="241"/>
    <n v="579"/>
    <n v="2926"/>
    <s v="Sunday"/>
    <s v="May"/>
    <n v="268"/>
    <n v="847"/>
    <n v="9.65"/>
    <x v="2"/>
    <s v="Lightly Active"/>
    <n v="1"/>
    <n v="547"/>
    <n v="597"/>
    <n v="9.1199999999999992"/>
    <n v="9.9499999999999993"/>
    <n v="50"/>
    <n v="91.62"/>
    <x v="1"/>
  </r>
  <r>
    <n v="4388161847"/>
    <d v="2016-05-02T00:00:00"/>
    <n v="10096"/>
    <n v="8.3999996185302699"/>
    <n v="33"/>
    <n v="4"/>
    <n v="204"/>
    <n v="935"/>
    <n v="3147"/>
    <s v="Monday"/>
    <s v="May"/>
    <n v="241"/>
    <n v="1176"/>
    <n v="15.58"/>
    <x v="2"/>
    <s v="Very Active"/>
    <n v="2"/>
    <n v="368"/>
    <n v="376"/>
    <n v="6.13"/>
    <n v="6.27"/>
    <n v="8"/>
    <n v="97.87"/>
    <x v="3"/>
  </r>
  <r>
    <n v="4388161847"/>
    <d v="2016-05-04T00:00:00"/>
    <n v="12375"/>
    <n v="9.5200004577636701"/>
    <n v="35"/>
    <n v="21"/>
    <n v="251"/>
    <n v="632"/>
    <n v="3162"/>
    <s v="Wednesday"/>
    <s v="May"/>
    <n v="307"/>
    <n v="939"/>
    <n v="10.53"/>
    <x v="2"/>
    <s v="Very Active"/>
    <n v="1"/>
    <n v="390"/>
    <n v="414"/>
    <n v="6.5"/>
    <n v="6.9"/>
    <n v="24"/>
    <n v="94.2"/>
    <x v="3"/>
  </r>
  <r>
    <n v="4388161847"/>
    <d v="2016-05-05T00:00:00"/>
    <n v="9603"/>
    <n v="7.3800001144409197"/>
    <n v="12"/>
    <n v="39"/>
    <n v="199"/>
    <n v="896"/>
    <n v="2899"/>
    <s v="Thursday"/>
    <s v="May"/>
    <n v="250"/>
    <n v="1146"/>
    <n v="14.93"/>
    <x v="3"/>
    <s v="Lightly Active"/>
    <n v="1"/>
    <n v="471"/>
    <n v="495"/>
    <n v="7.85"/>
    <n v="8.25"/>
    <n v="24"/>
    <n v="95.15"/>
    <x v="2"/>
  </r>
  <r>
    <n v="4388161847"/>
    <d v="2016-05-07T00:00:00"/>
    <n v="22770"/>
    <n v="17.540000915527301"/>
    <n v="120"/>
    <n v="56"/>
    <n v="260"/>
    <n v="508"/>
    <n v="4022"/>
    <s v="Saturday"/>
    <s v="May"/>
    <n v="436"/>
    <n v="944"/>
    <n v="8.4700000000000006"/>
    <x v="4"/>
    <s v="Very Active"/>
    <n v="1"/>
    <n v="472"/>
    <n v="496"/>
    <n v="7.87"/>
    <n v="8.27"/>
    <n v="24"/>
    <n v="95.16"/>
    <x v="2"/>
  </r>
  <r>
    <n v="4388161847"/>
    <d v="2016-05-08T00:00:00"/>
    <n v="17298"/>
    <n v="14.3800001144409"/>
    <n v="107"/>
    <n v="38"/>
    <n v="178"/>
    <n v="576"/>
    <n v="3934"/>
    <s v="Sunday"/>
    <s v="May"/>
    <n v="323"/>
    <n v="899"/>
    <n v="9.6"/>
    <x v="4"/>
    <s v="Very Active"/>
    <n v="2"/>
    <n v="529"/>
    <n v="541"/>
    <n v="8.82"/>
    <n v="9.02"/>
    <n v="12"/>
    <n v="97.78"/>
    <x v="2"/>
  </r>
  <r>
    <n v="4388161847"/>
    <d v="2016-05-09T00:00:00"/>
    <n v="10218"/>
    <n v="7.8600001335143999"/>
    <n v="6"/>
    <n v="19"/>
    <n v="258"/>
    <n v="1020"/>
    <n v="3013"/>
    <s v="Monday"/>
    <s v="May"/>
    <n v="283"/>
    <n v="1303"/>
    <n v="17"/>
    <x v="2"/>
    <s v="Lightly Active"/>
    <n v="1"/>
    <n v="62"/>
    <n v="65"/>
    <n v="1.03"/>
    <n v="1.08"/>
    <n v="3"/>
    <n v="95.38"/>
    <x v="0"/>
  </r>
  <r>
    <n v="4388161847"/>
    <d v="2016-05-10T00:00:00"/>
    <n v="10299"/>
    <n v="7.9200000762939498"/>
    <n v="13"/>
    <n v="14"/>
    <n v="267"/>
    <n v="648"/>
    <n v="3061"/>
    <s v="Tuesday"/>
    <s v="May"/>
    <n v="294"/>
    <n v="942"/>
    <n v="10.8"/>
    <x v="2"/>
    <s v="Lightly Active"/>
    <n v="1"/>
    <n v="354"/>
    <n v="375"/>
    <n v="5.9"/>
    <n v="6.25"/>
    <n v="21"/>
    <n v="94.4"/>
    <x v="0"/>
  </r>
  <r>
    <n v="4388161847"/>
    <d v="2016-05-11T00:00:00"/>
    <n v="10201"/>
    <n v="7.8400001525878897"/>
    <n v="8"/>
    <n v="18"/>
    <n v="256"/>
    <n v="858"/>
    <n v="2954"/>
    <s v="Wednesday"/>
    <s v="May"/>
    <n v="282"/>
    <n v="1140"/>
    <n v="14.3"/>
    <x v="2"/>
    <s v="Lightly Active"/>
    <n v="1"/>
    <n v="469"/>
    <n v="494"/>
    <n v="7.82"/>
    <n v="8.23"/>
    <n v="25"/>
    <n v="94.94"/>
    <x v="2"/>
  </r>
  <r>
    <n v="4445114986"/>
    <d v="2016-04-13T00:00:00"/>
    <n v="2961"/>
    <n v="1.9900000095367401"/>
    <n v="0"/>
    <n v="0"/>
    <n v="194"/>
    <n v="840"/>
    <n v="2095"/>
    <s v="Wednesday"/>
    <s v="April"/>
    <n v="194"/>
    <n v="1034"/>
    <n v="14"/>
    <x v="0"/>
    <s v="Sedentary"/>
    <n v="2"/>
    <n v="370"/>
    <n v="406"/>
    <n v="6.17"/>
    <n v="6.77"/>
    <n v="36"/>
    <n v="91.13"/>
    <x v="3"/>
  </r>
  <r>
    <n v="4445114986"/>
    <d v="2016-04-14T00:00:00"/>
    <n v="3974"/>
    <n v="2.6700000762939502"/>
    <n v="0"/>
    <n v="0"/>
    <n v="231"/>
    <n v="717"/>
    <n v="2194"/>
    <s v="Thursday"/>
    <s v="April"/>
    <n v="231"/>
    <n v="948"/>
    <n v="11.95"/>
    <x v="0"/>
    <s v="Sedentary"/>
    <n v="1"/>
    <n v="441"/>
    <n v="492"/>
    <n v="7.35"/>
    <n v="8.1999999999999993"/>
    <n v="51"/>
    <n v="89.63"/>
    <x v="2"/>
  </r>
  <r>
    <n v="4445114986"/>
    <d v="2016-04-15T00:00:00"/>
    <n v="7198"/>
    <n v="4.8299999237060502"/>
    <n v="0"/>
    <n v="0"/>
    <n v="350"/>
    <n v="711"/>
    <n v="2496"/>
    <s v="Friday"/>
    <s v="April"/>
    <n v="350"/>
    <n v="1061"/>
    <n v="11.85"/>
    <x v="1"/>
    <s v="Sedentary"/>
    <n v="2"/>
    <n v="337"/>
    <n v="379"/>
    <n v="5.62"/>
    <n v="6.32"/>
    <n v="42"/>
    <n v="88.92"/>
    <x v="0"/>
  </r>
  <r>
    <n v="4445114986"/>
    <d v="2016-04-16T00:00:00"/>
    <n v="3945"/>
    <n v="2.6500000953674299"/>
    <n v="0"/>
    <n v="0"/>
    <n v="225"/>
    <n v="716"/>
    <n v="2180"/>
    <s v="Saturday"/>
    <s v="April"/>
    <n v="225"/>
    <n v="941"/>
    <n v="11.93"/>
    <x v="0"/>
    <s v="Sedentary"/>
    <n v="1"/>
    <n v="462"/>
    <n v="499"/>
    <n v="7.7"/>
    <n v="8.32"/>
    <n v="37"/>
    <n v="92.59"/>
    <x v="2"/>
  </r>
  <r>
    <n v="4445114986"/>
    <d v="2016-04-17T00:00:00"/>
    <n v="2268"/>
    <n v="1.5199999809265099"/>
    <n v="0"/>
    <n v="0"/>
    <n v="114"/>
    <n v="1219"/>
    <n v="1933"/>
    <s v="Sunday"/>
    <s v="April"/>
    <n v="114"/>
    <n v="1333"/>
    <n v="20.32"/>
    <x v="0"/>
    <s v="Sedentary"/>
    <n v="1"/>
    <n v="98"/>
    <n v="107"/>
    <n v="1.63"/>
    <n v="1.78"/>
    <n v="9"/>
    <n v="91.59"/>
    <x v="0"/>
  </r>
  <r>
    <n v="4445114986"/>
    <d v="2016-04-19T00:00:00"/>
    <n v="2064"/>
    <n v="1.3899999856948899"/>
    <n v="0"/>
    <n v="0"/>
    <n v="121"/>
    <n v="895"/>
    <n v="1954"/>
    <s v="Tuesday"/>
    <s v="April"/>
    <n v="121"/>
    <n v="1016"/>
    <n v="14.92"/>
    <x v="0"/>
    <s v="Sedentary"/>
    <n v="2"/>
    <n v="388"/>
    <n v="424"/>
    <n v="6.47"/>
    <n v="7.07"/>
    <n v="36"/>
    <n v="91.51"/>
    <x v="3"/>
  </r>
  <r>
    <n v="4445114986"/>
    <d v="2016-04-20T00:00:00"/>
    <n v="2072"/>
    <n v="1.3899999856948899"/>
    <n v="0"/>
    <n v="0"/>
    <n v="137"/>
    <n v="841"/>
    <n v="1974"/>
    <s v="Wednesday"/>
    <s v="April"/>
    <n v="137"/>
    <n v="978"/>
    <n v="14.02"/>
    <x v="0"/>
    <s v="Sedentary"/>
    <n v="1"/>
    <n v="439"/>
    <n v="462"/>
    <n v="7.32"/>
    <n v="7.7"/>
    <n v="23"/>
    <n v="95.02"/>
    <x v="2"/>
  </r>
  <r>
    <n v="4445114986"/>
    <d v="2016-04-21T00:00:00"/>
    <n v="3809"/>
    <n v="2.5599999427795401"/>
    <n v="0"/>
    <n v="0"/>
    <n v="215"/>
    <n v="756"/>
    <n v="2150"/>
    <s v="Thursday"/>
    <s v="April"/>
    <n v="215"/>
    <n v="971"/>
    <n v="12.6"/>
    <x v="0"/>
    <s v="Sedentary"/>
    <n v="1"/>
    <n v="436"/>
    <n v="469"/>
    <n v="7.27"/>
    <n v="7.82"/>
    <n v="33"/>
    <n v="92.96"/>
    <x v="2"/>
  </r>
  <r>
    <n v="4445114986"/>
    <d v="2016-04-22T00:00:00"/>
    <n v="6831"/>
    <n v="4.5799999237060502"/>
    <n v="0"/>
    <n v="0"/>
    <n v="317"/>
    <n v="706"/>
    <n v="2432"/>
    <s v="Friday"/>
    <s v="April"/>
    <n v="317"/>
    <n v="1023"/>
    <n v="11.77"/>
    <x v="1"/>
    <s v="Sedentary"/>
    <n v="1"/>
    <n v="388"/>
    <n v="417"/>
    <n v="6.47"/>
    <n v="6.95"/>
    <n v="29"/>
    <n v="93.05"/>
    <x v="3"/>
  </r>
  <r>
    <n v="4445114986"/>
    <d v="2016-04-25T00:00:00"/>
    <n v="3385"/>
    <n v="2.2699999809265101"/>
    <n v="0"/>
    <n v="0"/>
    <n v="179"/>
    <n v="916"/>
    <n v="2070"/>
    <s v="Monday"/>
    <s v="April"/>
    <n v="179"/>
    <n v="1095"/>
    <n v="15.27"/>
    <x v="0"/>
    <s v="Sedentary"/>
    <n v="1"/>
    <n v="328"/>
    <n v="345"/>
    <n v="5.47"/>
    <n v="5.75"/>
    <n v="17"/>
    <n v="95.07"/>
    <x v="0"/>
  </r>
  <r>
    <n v="4445114986"/>
    <d v="2016-04-26T00:00:00"/>
    <n v="6326"/>
    <n v="4.4099998474121103"/>
    <n v="29"/>
    <n v="1"/>
    <n v="180"/>
    <n v="839"/>
    <n v="2291"/>
    <s v="Tuesday"/>
    <s v="April"/>
    <n v="210"/>
    <n v="1049"/>
    <n v="13.98"/>
    <x v="1"/>
    <s v="Moderately Active"/>
    <n v="2"/>
    <n v="353"/>
    <n v="391"/>
    <n v="5.88"/>
    <n v="6.52"/>
    <n v="38"/>
    <n v="90.28"/>
    <x v="0"/>
  </r>
  <r>
    <n v="4445114986"/>
    <d v="2016-04-27T00:00:00"/>
    <n v="7243"/>
    <n v="5.0300002098083496"/>
    <n v="32"/>
    <n v="1"/>
    <n v="194"/>
    <n v="839"/>
    <n v="2361"/>
    <s v="Wednesday"/>
    <s v="April"/>
    <n v="227"/>
    <n v="1066"/>
    <n v="13.98"/>
    <x v="1"/>
    <s v="Very Active"/>
    <n v="1"/>
    <n v="332"/>
    <n v="374"/>
    <n v="5.53"/>
    <n v="6.23"/>
    <n v="42"/>
    <n v="88.77"/>
    <x v="0"/>
  </r>
  <r>
    <n v="4445114986"/>
    <d v="2016-04-28T00:00:00"/>
    <n v="4493"/>
    <n v="3.0099999904632599"/>
    <n v="0"/>
    <n v="0"/>
    <n v="236"/>
    <n v="762"/>
    <n v="2203"/>
    <s v="Thursday"/>
    <s v="April"/>
    <n v="236"/>
    <n v="998"/>
    <n v="12.7"/>
    <x v="0"/>
    <s v="Sedentary"/>
    <n v="1"/>
    <n v="419"/>
    <n v="442"/>
    <n v="6.98"/>
    <n v="7.37"/>
    <n v="23"/>
    <n v="94.8"/>
    <x v="3"/>
  </r>
  <r>
    <n v="4445114986"/>
    <d v="2016-04-29T00:00:00"/>
    <n v="4676"/>
    <n v="3.1400001049041699"/>
    <n v="0"/>
    <n v="0"/>
    <n v="226"/>
    <n v="1106"/>
    <n v="2196"/>
    <s v="Friday"/>
    <s v="April"/>
    <n v="226"/>
    <n v="1332"/>
    <n v="18.43"/>
    <x v="0"/>
    <s v="Sedentary"/>
    <n v="1"/>
    <n v="106"/>
    <n v="108"/>
    <n v="1.77"/>
    <n v="1.8"/>
    <n v="2"/>
    <n v="98.15"/>
    <x v="0"/>
  </r>
  <r>
    <n v="4445114986"/>
    <d v="2016-04-30T00:00:00"/>
    <n v="6222"/>
    <n v="4.1799998283386204"/>
    <n v="0"/>
    <n v="0"/>
    <n v="290"/>
    <n v="797"/>
    <n v="2363"/>
    <s v="Saturday"/>
    <s v="April"/>
    <n v="290"/>
    <n v="1087"/>
    <n v="13.28"/>
    <x v="1"/>
    <s v="Sedentary"/>
    <n v="1"/>
    <n v="322"/>
    <n v="353"/>
    <n v="5.37"/>
    <n v="5.88"/>
    <n v="31"/>
    <n v="91.22"/>
    <x v="0"/>
  </r>
  <r>
    <n v="4445114986"/>
    <d v="2016-05-01T00:00:00"/>
    <n v="5232"/>
    <n v="3.5099999904632599"/>
    <n v="0"/>
    <n v="0"/>
    <n v="240"/>
    <n v="741"/>
    <n v="2246"/>
    <s v="Sunday"/>
    <s v="May"/>
    <n v="240"/>
    <n v="981"/>
    <n v="12.35"/>
    <x v="1"/>
    <s v="Sedentary"/>
    <n v="2"/>
    <n v="439"/>
    <n v="459"/>
    <n v="7.32"/>
    <n v="7.65"/>
    <n v="20"/>
    <n v="95.64"/>
    <x v="2"/>
  </r>
  <r>
    <n v="4445114986"/>
    <d v="2016-05-02T00:00:00"/>
    <n v="6910"/>
    <n v="4.75"/>
    <n v="27"/>
    <n v="4"/>
    <n v="200"/>
    <n v="667"/>
    <n v="2336"/>
    <s v="Monday"/>
    <s v="May"/>
    <n v="231"/>
    <n v="898"/>
    <n v="11.12"/>
    <x v="1"/>
    <s v="Moderately Active"/>
    <n v="1"/>
    <n v="502"/>
    <n v="542"/>
    <n v="8.3699999999999992"/>
    <n v="9.0299999999999994"/>
    <n v="40"/>
    <n v="92.62"/>
    <x v="2"/>
  </r>
  <r>
    <n v="4445114986"/>
    <d v="2016-05-03T00:00:00"/>
    <n v="7502"/>
    <n v="5.1799998283386204"/>
    <n v="30"/>
    <n v="2"/>
    <n v="233"/>
    <n v="725"/>
    <n v="2421"/>
    <s v="Tuesday"/>
    <s v="May"/>
    <n v="265"/>
    <n v="990"/>
    <n v="12.08"/>
    <x v="3"/>
    <s v="Very Active"/>
    <n v="2"/>
    <n v="417"/>
    <n v="450"/>
    <n v="6.95"/>
    <n v="7.5"/>
    <n v="33"/>
    <n v="92.67"/>
    <x v="3"/>
  </r>
  <r>
    <n v="4445114986"/>
    <d v="2016-05-04T00:00:00"/>
    <n v="2923"/>
    <n v="1.96000003814697"/>
    <n v="0"/>
    <n v="0"/>
    <n v="180"/>
    <n v="897"/>
    <n v="2070"/>
    <s v="Wednesday"/>
    <s v="May"/>
    <n v="180"/>
    <n v="1077"/>
    <n v="14.95"/>
    <x v="0"/>
    <s v="Sedentary"/>
    <n v="2"/>
    <n v="337"/>
    <n v="363"/>
    <n v="5.62"/>
    <n v="6.05"/>
    <n v="26"/>
    <n v="92.84"/>
    <x v="0"/>
  </r>
  <r>
    <n v="4445114986"/>
    <d v="2016-05-05T00:00:00"/>
    <n v="3800"/>
    <n v="2.5499999523162802"/>
    <n v="2"/>
    <n v="6"/>
    <n v="185"/>
    <n v="734"/>
    <n v="2120"/>
    <s v="Thursday"/>
    <s v="May"/>
    <n v="193"/>
    <n v="927"/>
    <n v="12.23"/>
    <x v="0"/>
    <s v="Lightly Active"/>
    <n v="2"/>
    <n v="462"/>
    <n v="513"/>
    <n v="7.7"/>
    <n v="8.5500000000000007"/>
    <n v="51"/>
    <n v="90.06"/>
    <x v="2"/>
  </r>
  <r>
    <n v="4445114986"/>
    <d v="2016-05-06T00:00:00"/>
    <n v="4514"/>
    <n v="3.0299999713897701"/>
    <n v="0"/>
    <n v="0"/>
    <n v="229"/>
    <n v="809"/>
    <n v="2211"/>
    <s v="Friday"/>
    <s v="May"/>
    <n v="229"/>
    <n v="1038"/>
    <n v="13.48"/>
    <x v="0"/>
    <s v="Sedentary"/>
    <n v="2"/>
    <n v="374"/>
    <n v="402"/>
    <n v="6.23"/>
    <n v="6.7"/>
    <n v="28"/>
    <n v="93.03"/>
    <x v="3"/>
  </r>
  <r>
    <n v="4445114986"/>
    <d v="2016-05-07T00:00:00"/>
    <n v="5183"/>
    <n v="3.5899999141693102"/>
    <n v="26"/>
    <n v="4"/>
    <n v="108"/>
    <n v="866"/>
    <n v="2123"/>
    <s v="Saturday"/>
    <s v="May"/>
    <n v="138"/>
    <n v="1004"/>
    <n v="14.43"/>
    <x v="1"/>
    <s v="Moderately Active"/>
    <n v="2"/>
    <n v="401"/>
    <n v="436"/>
    <n v="6.68"/>
    <n v="7.27"/>
    <n v="35"/>
    <n v="91.97"/>
    <x v="3"/>
  </r>
  <r>
    <n v="4445114986"/>
    <d v="2016-05-08T00:00:00"/>
    <n v="7303"/>
    <n v="4.9000000953674299"/>
    <n v="0"/>
    <n v="8"/>
    <n v="308"/>
    <n v="733"/>
    <n v="2423"/>
    <s v="Sunday"/>
    <s v="May"/>
    <n v="316"/>
    <n v="1049"/>
    <n v="12.22"/>
    <x v="1"/>
    <s v="Sedentary"/>
    <n v="1"/>
    <n v="361"/>
    <n v="391"/>
    <n v="6.02"/>
    <n v="6.52"/>
    <n v="30"/>
    <n v="92.33"/>
    <x v="3"/>
  </r>
  <r>
    <n v="4445114986"/>
    <d v="2016-05-09T00:00:00"/>
    <n v="5275"/>
    <n v="3.53999996185303"/>
    <n v="0"/>
    <n v="0"/>
    <n v="266"/>
    <n v="641"/>
    <n v="2281"/>
    <s v="Monday"/>
    <s v="May"/>
    <n v="266"/>
    <n v="907"/>
    <n v="10.68"/>
    <x v="1"/>
    <s v="Sedentary"/>
    <n v="1"/>
    <n v="457"/>
    <n v="533"/>
    <n v="7.62"/>
    <n v="8.8800000000000008"/>
    <n v="76"/>
    <n v="85.74"/>
    <x v="2"/>
  </r>
  <r>
    <n v="4445114986"/>
    <d v="2016-05-10T00:00:00"/>
    <n v="3915"/>
    <n v="2.6300001144409202"/>
    <n v="0"/>
    <n v="0"/>
    <n v="231"/>
    <n v="783"/>
    <n v="2181"/>
    <s v="Tuesday"/>
    <s v="May"/>
    <n v="231"/>
    <n v="1014"/>
    <n v="13.05"/>
    <x v="0"/>
    <s v="Sedentary"/>
    <n v="1"/>
    <n v="405"/>
    <n v="426"/>
    <n v="6.75"/>
    <n v="7.1"/>
    <n v="21"/>
    <n v="95.07"/>
    <x v="3"/>
  </r>
  <r>
    <n v="4445114986"/>
    <d v="2016-05-11T00:00:00"/>
    <n v="9105"/>
    <n v="6.1100001335143999"/>
    <n v="34"/>
    <n v="22"/>
    <n v="232"/>
    <n v="622"/>
    <n v="2499"/>
    <s v="Wednesday"/>
    <s v="May"/>
    <n v="288"/>
    <n v="910"/>
    <n v="10.37"/>
    <x v="3"/>
    <s v="Very Active"/>
    <n v="1"/>
    <n v="499"/>
    <n v="530"/>
    <n v="8.32"/>
    <n v="8.83"/>
    <n v="31"/>
    <n v="94.15"/>
    <x v="2"/>
  </r>
  <r>
    <n v="4445114986"/>
    <d v="2016-05-12T00:00:00"/>
    <n v="768"/>
    <n v="0.519999980926514"/>
    <n v="0"/>
    <n v="0"/>
    <n v="58"/>
    <n v="380"/>
    <n v="1212"/>
    <s v="Thursday"/>
    <s v="May"/>
    <n v="58"/>
    <n v="438"/>
    <n v="6.33"/>
    <x v="0"/>
    <s v="Sedentary"/>
    <n v="1"/>
    <n v="483"/>
    <n v="501"/>
    <n v="8.0500000000000007"/>
    <n v="8.35"/>
    <n v="18"/>
    <n v="96.41"/>
    <x v="2"/>
  </r>
  <r>
    <n v="4558609924"/>
    <d v="2016-04-21T00:00:00"/>
    <n v="13743"/>
    <n v="9.0799999237060494"/>
    <n v="6"/>
    <n v="21"/>
    <n v="432"/>
    <n v="844"/>
    <n v="2486"/>
    <s v="Thursday"/>
    <s v="April"/>
    <n v="459"/>
    <n v="1303"/>
    <n v="14.07"/>
    <x v="4"/>
    <s v="Lightly Active"/>
    <n v="1"/>
    <n v="126"/>
    <n v="137"/>
    <n v="2.1"/>
    <n v="2.2799999999999998"/>
    <n v="11"/>
    <n v="91.97"/>
    <x v="0"/>
  </r>
  <r>
    <n v="4558609924"/>
    <d v="2016-04-26T00:00:00"/>
    <n v="9148"/>
    <n v="6.0500001907348597"/>
    <n v="12"/>
    <n v="41"/>
    <n v="283"/>
    <n v="1062"/>
    <n v="2223"/>
    <s v="Tuesday"/>
    <s v="April"/>
    <n v="336"/>
    <n v="1398"/>
    <n v="17.7"/>
    <x v="3"/>
    <s v="Lightly Active"/>
    <n v="1"/>
    <n v="103"/>
    <n v="121"/>
    <n v="1.72"/>
    <n v="2.02"/>
    <n v="18"/>
    <n v="85.12"/>
    <x v="0"/>
  </r>
  <r>
    <n v="4558609924"/>
    <d v="2016-04-29T00:00:00"/>
    <n v="7833"/>
    <n v="5.1799998283386204"/>
    <n v="15"/>
    <n v="29"/>
    <n v="197"/>
    <n v="1096"/>
    <n v="1918"/>
    <s v="Friday"/>
    <s v="April"/>
    <n v="241"/>
    <n v="1337"/>
    <n v="18.27"/>
    <x v="3"/>
    <s v="Moderately Active"/>
    <n v="1"/>
    <n v="171"/>
    <n v="179"/>
    <n v="2.85"/>
    <n v="2.98"/>
    <n v="8"/>
    <n v="95.53"/>
    <x v="0"/>
  </r>
  <r>
    <n v="4558609924"/>
    <d v="2016-05-01T00:00:00"/>
    <n v="3428"/>
    <n v="2.2699999809265101"/>
    <n v="0"/>
    <n v="0"/>
    <n v="190"/>
    <n v="1121"/>
    <n v="1692"/>
    <s v="Sunday"/>
    <s v="May"/>
    <n v="190"/>
    <n v="1311"/>
    <n v="18.68"/>
    <x v="0"/>
    <s v="Sedentary"/>
    <n v="1"/>
    <n v="115"/>
    <n v="129"/>
    <n v="1.92"/>
    <n v="2.15"/>
    <n v="14"/>
    <n v="89.15"/>
    <x v="0"/>
  </r>
  <r>
    <n v="4558609924"/>
    <d v="2016-05-08T00:00:00"/>
    <n v="6543"/>
    <n v="4.3299999237060502"/>
    <n v="66"/>
    <n v="35"/>
    <n v="238"/>
    <n v="1019"/>
    <n v="2666"/>
    <s v="Sunday"/>
    <s v="May"/>
    <n v="339"/>
    <n v="1358"/>
    <n v="16.98"/>
    <x v="1"/>
    <s v="Very Active"/>
    <n v="1"/>
    <n v="123"/>
    <n v="134"/>
    <n v="2.0499999999999998"/>
    <n v="2.23"/>
    <n v="11"/>
    <n v="91.79"/>
    <x v="0"/>
  </r>
  <r>
    <n v="4702921684"/>
    <d v="2016-04-13T00:00:00"/>
    <n v="6877"/>
    <n v="5.5799999237060502"/>
    <n v="0"/>
    <n v="0"/>
    <n v="258"/>
    <n v="777"/>
    <n v="2898"/>
    <s v="Wednesday"/>
    <s v="April"/>
    <n v="258"/>
    <n v="1035"/>
    <n v="12.95"/>
    <x v="1"/>
    <s v="Sedentary"/>
    <n v="2"/>
    <n v="400"/>
    <n v="430"/>
    <n v="6.67"/>
    <n v="7.17"/>
    <n v="30"/>
    <n v="93.02"/>
    <x v="3"/>
  </r>
  <r>
    <n v="4702921684"/>
    <d v="2016-04-14T00:00:00"/>
    <n v="7860"/>
    <n v="6.3699998855590803"/>
    <n v="0"/>
    <n v="0"/>
    <n v="271"/>
    <n v="772"/>
    <n v="2984"/>
    <s v="Thursday"/>
    <s v="April"/>
    <n v="271"/>
    <n v="1043"/>
    <n v="12.87"/>
    <x v="3"/>
    <s v="Sedentary"/>
    <n v="1"/>
    <n v="384"/>
    <n v="415"/>
    <n v="6.4"/>
    <n v="6.92"/>
    <n v="31"/>
    <n v="92.53"/>
    <x v="3"/>
  </r>
  <r>
    <n v="4702921684"/>
    <d v="2016-04-15T00:00:00"/>
    <n v="6506"/>
    <n v="5.2800002098083496"/>
    <n v="1"/>
    <n v="8"/>
    <n v="256"/>
    <n v="944"/>
    <n v="2896"/>
    <s v="Friday"/>
    <s v="April"/>
    <n v="265"/>
    <n v="1209"/>
    <n v="15.73"/>
    <x v="1"/>
    <s v="Lightly Active"/>
    <n v="1"/>
    <n v="253"/>
    <n v="257"/>
    <n v="4.22"/>
    <n v="4.28"/>
    <n v="4"/>
    <n v="98.44"/>
    <x v="0"/>
  </r>
  <r>
    <n v="4702921684"/>
    <d v="2016-04-16T00:00:00"/>
    <n v="11140"/>
    <n v="9.0299997329711896"/>
    <n v="3"/>
    <n v="24"/>
    <n v="335"/>
    <n v="556"/>
    <n v="3328"/>
    <s v="Saturday"/>
    <s v="April"/>
    <n v="362"/>
    <n v="918"/>
    <n v="9.27"/>
    <x v="2"/>
    <s v="Lightly Active"/>
    <n v="2"/>
    <n v="382"/>
    <n v="406"/>
    <n v="6.37"/>
    <n v="6.77"/>
    <n v="24"/>
    <n v="94.09"/>
    <x v="3"/>
  </r>
  <r>
    <n v="4702921684"/>
    <d v="2016-04-17T00:00:00"/>
    <n v="12692"/>
    <n v="10.289999961853001"/>
    <n v="12"/>
    <n v="66"/>
    <n v="302"/>
    <n v="437"/>
    <n v="3394"/>
    <s v="Sunday"/>
    <s v="April"/>
    <n v="380"/>
    <n v="817"/>
    <n v="7.28"/>
    <x v="4"/>
    <s v="Lightly Active"/>
    <n v="1"/>
    <n v="591"/>
    <n v="612"/>
    <n v="9.85"/>
    <n v="10.199999999999999"/>
    <n v="21"/>
    <n v="96.57"/>
    <x v="1"/>
  </r>
  <r>
    <n v="4702921684"/>
    <d v="2016-04-18T00:00:00"/>
    <n v="9105"/>
    <n v="7.3800001144409197"/>
    <n v="22"/>
    <n v="30"/>
    <n v="191"/>
    <n v="890"/>
    <n v="3013"/>
    <s v="Monday"/>
    <s v="April"/>
    <n v="243"/>
    <n v="1133"/>
    <n v="14.83"/>
    <x v="3"/>
    <s v="Moderately Active"/>
    <n v="1"/>
    <n v="293"/>
    <n v="312"/>
    <n v="4.88"/>
    <n v="5.2"/>
    <n v="19"/>
    <n v="93.91"/>
    <x v="0"/>
  </r>
  <r>
    <n v="4702921684"/>
    <d v="2016-04-19T00:00:00"/>
    <n v="6708"/>
    <n v="5.4400000572204599"/>
    <n v="10"/>
    <n v="8"/>
    <n v="179"/>
    <n v="757"/>
    <n v="2812"/>
    <s v="Tuesday"/>
    <s v="April"/>
    <n v="197"/>
    <n v="954"/>
    <n v="12.62"/>
    <x v="1"/>
    <s v="Lightly Active"/>
    <n v="1"/>
    <n v="457"/>
    <n v="487"/>
    <n v="7.62"/>
    <n v="8.1199999999999992"/>
    <n v="30"/>
    <n v="93.84"/>
    <x v="2"/>
  </r>
  <r>
    <n v="4702921684"/>
    <d v="2016-04-20T00:00:00"/>
    <n v="8793"/>
    <n v="7.1300001144409197"/>
    <n v="2"/>
    <n v="29"/>
    <n v="260"/>
    <n v="717"/>
    <n v="3061"/>
    <s v="Wednesday"/>
    <s v="April"/>
    <n v="291"/>
    <n v="1008"/>
    <n v="11.95"/>
    <x v="3"/>
    <s v="Lightly Active"/>
    <n v="1"/>
    <n v="454"/>
    <n v="468"/>
    <n v="7.57"/>
    <n v="7.8"/>
    <n v="14"/>
    <n v="97.01"/>
    <x v="2"/>
  </r>
  <r>
    <n v="4702921684"/>
    <d v="2016-04-21T00:00:00"/>
    <n v="6530"/>
    <n v="5.3000001907348597"/>
    <n v="4"/>
    <n v="41"/>
    <n v="144"/>
    <n v="901"/>
    <n v="2729"/>
    <s v="Thursday"/>
    <s v="April"/>
    <n v="189"/>
    <n v="1090"/>
    <n v="15.02"/>
    <x v="1"/>
    <s v="Lightly Active"/>
    <n v="1"/>
    <n v="425"/>
    <n v="434"/>
    <n v="7.08"/>
    <n v="7.23"/>
    <n v="9"/>
    <n v="97.93"/>
    <x v="2"/>
  </r>
  <r>
    <n v="4702921684"/>
    <d v="2016-04-23T00:00:00"/>
    <n v="15126"/>
    <n v="12.2700004577637"/>
    <n v="9"/>
    <n v="66"/>
    <n v="408"/>
    <n v="469"/>
    <n v="3691"/>
    <s v="Saturday"/>
    <s v="April"/>
    <n v="483"/>
    <n v="952"/>
    <n v="7.82"/>
    <x v="4"/>
    <s v="Lightly Active"/>
    <n v="1"/>
    <n v="465"/>
    <n v="475"/>
    <n v="7.75"/>
    <n v="7.92"/>
    <n v="10"/>
    <n v="97.89"/>
    <x v="2"/>
  </r>
  <r>
    <n v="4702921684"/>
    <d v="2016-04-24T00:00:00"/>
    <n v="15050"/>
    <n v="12.2200002670288"/>
    <n v="15"/>
    <n v="95"/>
    <n v="281"/>
    <n v="542"/>
    <n v="3538"/>
    <s v="Sunday"/>
    <s v="April"/>
    <n v="391"/>
    <n v="933"/>
    <n v="9.0299999999999994"/>
    <x v="4"/>
    <s v="Moderately Active"/>
    <n v="1"/>
    <n v="480"/>
    <n v="506"/>
    <n v="8"/>
    <n v="8.43"/>
    <n v="26"/>
    <n v="94.86"/>
    <x v="2"/>
  </r>
  <r>
    <n v="4702921684"/>
    <d v="2016-04-25T00:00:00"/>
    <n v="9167"/>
    <n v="7.4299998283386204"/>
    <n v="6"/>
    <n v="15"/>
    <n v="270"/>
    <n v="730"/>
    <n v="3064"/>
    <s v="Monday"/>
    <s v="April"/>
    <n v="291"/>
    <n v="1021"/>
    <n v="12.17"/>
    <x v="3"/>
    <s v="Lightly Active"/>
    <n v="1"/>
    <n v="370"/>
    <n v="380"/>
    <n v="6.17"/>
    <n v="6.33"/>
    <n v="10"/>
    <n v="97.37"/>
    <x v="3"/>
  </r>
  <r>
    <n v="4702921684"/>
    <d v="2016-04-26T00:00:00"/>
    <n v="6108"/>
    <n v="4.9499998092651403"/>
    <n v="1"/>
    <n v="8"/>
    <n v="216"/>
    <n v="765"/>
    <n v="2784"/>
    <s v="Tuesday"/>
    <s v="April"/>
    <n v="225"/>
    <n v="990"/>
    <n v="12.75"/>
    <x v="1"/>
    <s v="Lightly Active"/>
    <n v="1"/>
    <n v="421"/>
    <n v="429"/>
    <n v="7.02"/>
    <n v="7.15"/>
    <n v="8"/>
    <n v="98.14"/>
    <x v="2"/>
  </r>
  <r>
    <n v="4702921684"/>
    <d v="2016-04-27T00:00:00"/>
    <n v="7047"/>
    <n v="5.7199997901916504"/>
    <n v="1"/>
    <n v="16"/>
    <n v="238"/>
    <n v="733"/>
    <n v="2908"/>
    <s v="Wednesday"/>
    <s v="April"/>
    <n v="255"/>
    <n v="988"/>
    <n v="12.22"/>
    <x v="1"/>
    <s v="Lightly Active"/>
    <n v="1"/>
    <n v="432"/>
    <n v="449"/>
    <n v="7.2"/>
    <n v="7.48"/>
    <n v="17"/>
    <n v="96.21"/>
    <x v="2"/>
  </r>
  <r>
    <n v="4702921684"/>
    <d v="2016-04-28T00:00:00"/>
    <n v="9023"/>
    <n v="7.3200001716613796"/>
    <n v="14"/>
    <n v="9"/>
    <n v="232"/>
    <n v="738"/>
    <n v="3033"/>
    <s v="Thursday"/>
    <s v="April"/>
    <n v="255"/>
    <n v="993"/>
    <n v="12.3"/>
    <x v="3"/>
    <s v="Lightly Active"/>
    <n v="1"/>
    <n v="442"/>
    <n v="461"/>
    <n v="7.37"/>
    <n v="7.68"/>
    <n v="19"/>
    <n v="95.88"/>
    <x v="2"/>
  </r>
  <r>
    <n v="4702921684"/>
    <d v="2016-04-29T00:00:00"/>
    <n v="9930"/>
    <n v="8.0500001907348597"/>
    <n v="12"/>
    <n v="19"/>
    <n v="267"/>
    <n v="692"/>
    <n v="3165"/>
    <s v="Friday"/>
    <s v="April"/>
    <n v="298"/>
    <n v="990"/>
    <n v="11.53"/>
    <x v="3"/>
    <s v="Lightly Active"/>
    <n v="1"/>
    <n v="433"/>
    <n v="447"/>
    <n v="7.22"/>
    <n v="7.45"/>
    <n v="14"/>
    <n v="96.87"/>
    <x v="2"/>
  </r>
  <r>
    <n v="4702921684"/>
    <d v="2016-04-30T00:00:00"/>
    <n v="10144"/>
    <n v="8.2299995422363299"/>
    <n v="4"/>
    <n v="36"/>
    <n v="263"/>
    <n v="728"/>
    <n v="3115"/>
    <s v="Saturday"/>
    <s v="April"/>
    <n v="303"/>
    <n v="1031"/>
    <n v="12.13"/>
    <x v="2"/>
    <s v="Lightly Active"/>
    <n v="1"/>
    <n v="479"/>
    <n v="501"/>
    <n v="7.98"/>
    <n v="8.35"/>
    <n v="22"/>
    <n v="95.61"/>
    <x v="2"/>
  </r>
  <r>
    <n v="4702921684"/>
    <d v="2016-05-03T00:00:00"/>
    <n v="9454"/>
    <n v="7.6700000762939498"/>
    <n v="0"/>
    <n v="0"/>
    <n v="313"/>
    <n v="729"/>
    <n v="3145"/>
    <s v="Tuesday"/>
    <s v="May"/>
    <n v="313"/>
    <n v="1042"/>
    <n v="12.15"/>
    <x v="3"/>
    <s v="Sedentary"/>
    <n v="1"/>
    <n v="327"/>
    <n v="373"/>
    <n v="5.45"/>
    <n v="6.22"/>
    <n v="46"/>
    <n v="87.67"/>
    <x v="0"/>
  </r>
  <r>
    <n v="4702921684"/>
    <d v="2016-05-04T00:00:00"/>
    <n v="8161"/>
    <n v="6.6199998855590803"/>
    <n v="4"/>
    <n v="15"/>
    <n v="251"/>
    <n v="757"/>
    <n v="3004"/>
    <s v="Wednesday"/>
    <s v="May"/>
    <n v="270"/>
    <n v="1027"/>
    <n v="12.62"/>
    <x v="3"/>
    <s v="Lightly Active"/>
    <n v="1"/>
    <n v="412"/>
    <n v="434"/>
    <n v="6.87"/>
    <n v="7.23"/>
    <n v="22"/>
    <n v="94.93"/>
    <x v="3"/>
  </r>
  <r>
    <n v="4702921684"/>
    <d v="2016-05-05T00:00:00"/>
    <n v="8614"/>
    <n v="6.9899997711181596"/>
    <n v="8"/>
    <n v="5"/>
    <n v="241"/>
    <n v="745"/>
    <n v="3006"/>
    <s v="Thursday"/>
    <s v="May"/>
    <n v="254"/>
    <n v="999"/>
    <n v="12.42"/>
    <x v="3"/>
    <s v="Lightly Active"/>
    <n v="1"/>
    <n v="414"/>
    <n v="428"/>
    <n v="6.9"/>
    <n v="7.13"/>
    <n v="14"/>
    <n v="96.73"/>
    <x v="3"/>
  </r>
  <r>
    <n v="4702921684"/>
    <d v="2016-05-06T00:00:00"/>
    <n v="6943"/>
    <n v="5.6300001144409197"/>
    <n v="1"/>
    <n v="16"/>
    <n v="207"/>
    <n v="682"/>
    <n v="2859"/>
    <s v="Friday"/>
    <s v="May"/>
    <n v="224"/>
    <n v="906"/>
    <n v="11.37"/>
    <x v="1"/>
    <s v="Lightly Active"/>
    <n v="1"/>
    <n v="404"/>
    <n v="449"/>
    <n v="6.73"/>
    <n v="7.48"/>
    <n v="45"/>
    <n v="89.98"/>
    <x v="3"/>
  </r>
  <r>
    <n v="4702921684"/>
    <d v="2016-05-07T00:00:00"/>
    <n v="14370"/>
    <n v="11.6499996185303"/>
    <n v="5"/>
    <n v="46"/>
    <n v="439"/>
    <n v="577"/>
    <n v="3683"/>
    <s v="Saturday"/>
    <s v="May"/>
    <n v="490"/>
    <n v="1067"/>
    <n v="9.6199999999999992"/>
    <x v="4"/>
    <s v="Lightly Active"/>
    <n v="1"/>
    <n v="520"/>
    <n v="543"/>
    <n v="8.67"/>
    <n v="9.0500000000000007"/>
    <n v="23"/>
    <n v="95.76"/>
    <x v="2"/>
  </r>
  <r>
    <n v="4702921684"/>
    <d v="2016-05-09T00:00:00"/>
    <n v="8232"/>
    <n v="6.6799998283386204"/>
    <n v="0"/>
    <n v="12"/>
    <n v="253"/>
    <n v="746"/>
    <n v="2990"/>
    <s v="Monday"/>
    <s v="May"/>
    <n v="265"/>
    <n v="1011"/>
    <n v="12.43"/>
    <x v="3"/>
    <s v="Sedentary"/>
    <n v="1"/>
    <n v="435"/>
    <n v="458"/>
    <n v="7.25"/>
    <n v="7.63"/>
    <n v="23"/>
    <n v="94.98"/>
    <x v="2"/>
  </r>
  <r>
    <n v="4702921684"/>
    <d v="2016-05-10T00:00:00"/>
    <n v="10613"/>
    <n v="8.6099996566772496"/>
    <n v="1"/>
    <n v="37"/>
    <n v="262"/>
    <n v="701"/>
    <n v="3172"/>
    <s v="Tuesday"/>
    <s v="May"/>
    <n v="300"/>
    <n v="1001"/>
    <n v="11.68"/>
    <x v="2"/>
    <s v="Lightly Active"/>
    <n v="1"/>
    <n v="416"/>
    <n v="431"/>
    <n v="6.93"/>
    <n v="7.18"/>
    <n v="15"/>
    <n v="96.52"/>
    <x v="3"/>
  </r>
  <r>
    <n v="4702921684"/>
    <d v="2016-05-11T00:00:00"/>
    <n v="9810"/>
    <n v="7.96000003814697"/>
    <n v="10"/>
    <n v="41"/>
    <n v="235"/>
    <n v="784"/>
    <n v="3069"/>
    <s v="Wednesday"/>
    <s v="May"/>
    <n v="286"/>
    <n v="1070"/>
    <n v="13.07"/>
    <x v="3"/>
    <s v="Lightly Active"/>
    <n v="1"/>
    <n v="354"/>
    <n v="366"/>
    <n v="5.9"/>
    <n v="6.1"/>
    <n v="12"/>
    <n v="96.72"/>
    <x v="0"/>
  </r>
  <r>
    <n v="4702921684"/>
    <d v="2016-05-12T00:00:00"/>
    <n v="2752"/>
    <n v="2.2300000190734899"/>
    <n v="0"/>
    <n v="0"/>
    <n v="68"/>
    <n v="241"/>
    <n v="1240"/>
    <s v="Thursday"/>
    <s v="May"/>
    <n v="68"/>
    <n v="309"/>
    <n v="4.0199999999999996"/>
    <x v="0"/>
    <s v="Sedentary"/>
    <n v="1"/>
    <n v="404"/>
    <n v="442"/>
    <n v="6.73"/>
    <n v="7.37"/>
    <n v="38"/>
    <n v="91.4"/>
    <x v="3"/>
  </r>
  <r>
    <n v="5553957443"/>
    <d v="2016-04-13T00:00:00"/>
    <n v="4832"/>
    <n v="3.1600000858306898"/>
    <n v="0"/>
    <n v="0"/>
    <n v="226"/>
    <n v="647"/>
    <n v="1718"/>
    <s v="Wednesday"/>
    <s v="April"/>
    <n v="226"/>
    <n v="873"/>
    <n v="10.78"/>
    <x v="0"/>
    <s v="Sedentary"/>
    <n v="2"/>
    <n v="455"/>
    <n v="488"/>
    <n v="7.58"/>
    <n v="8.1300000000000008"/>
    <n v="33"/>
    <n v="93.24"/>
    <x v="2"/>
  </r>
  <r>
    <n v="5553957443"/>
    <d v="2016-04-14T00:00:00"/>
    <n v="17022"/>
    <n v="11.1199998855591"/>
    <n v="61"/>
    <n v="41"/>
    <n v="256"/>
    <n v="693"/>
    <n v="2324"/>
    <s v="Thursday"/>
    <s v="April"/>
    <n v="358"/>
    <n v="1051"/>
    <n v="11.55"/>
    <x v="4"/>
    <s v="Very Active"/>
    <n v="1"/>
    <n v="357"/>
    <n v="418"/>
    <n v="5.95"/>
    <n v="6.97"/>
    <n v="61"/>
    <n v="85.41"/>
    <x v="0"/>
  </r>
  <r>
    <n v="5553957443"/>
    <d v="2016-04-15T00:00:00"/>
    <n v="16556"/>
    <n v="10.8599996566772"/>
    <n v="58"/>
    <n v="38"/>
    <n v="239"/>
    <n v="689"/>
    <n v="2254"/>
    <s v="Friday"/>
    <s v="April"/>
    <n v="335"/>
    <n v="1024"/>
    <n v="11.48"/>
    <x v="4"/>
    <s v="Very Active"/>
    <n v="1"/>
    <n v="377"/>
    <n v="409"/>
    <n v="6.28"/>
    <n v="6.82"/>
    <n v="32"/>
    <n v="92.18"/>
    <x v="3"/>
  </r>
  <r>
    <n v="5553957443"/>
    <d v="2016-04-16T00:00:00"/>
    <n v="5771"/>
    <n v="3.7699999809265101"/>
    <n v="0"/>
    <n v="0"/>
    <n v="288"/>
    <n v="521"/>
    <n v="1831"/>
    <s v="Saturday"/>
    <s v="April"/>
    <n v="288"/>
    <n v="809"/>
    <n v="8.68"/>
    <x v="1"/>
    <s v="Sedentary"/>
    <n v="2"/>
    <n v="651"/>
    <n v="686"/>
    <n v="10.85"/>
    <n v="11.43"/>
    <n v="35"/>
    <n v="94.9"/>
    <x v="1"/>
  </r>
  <r>
    <n v="5553957443"/>
    <d v="2016-04-17T00:00:00"/>
    <n v="655"/>
    <n v="0.43000000715255698"/>
    <n v="0"/>
    <n v="0"/>
    <n v="46"/>
    <n v="943"/>
    <n v="1397"/>
    <s v="Sunday"/>
    <s v="April"/>
    <n v="46"/>
    <n v="989"/>
    <n v="15.72"/>
    <x v="0"/>
    <s v="Sedentary"/>
    <n v="1"/>
    <n v="350"/>
    <n v="402"/>
    <n v="5.83"/>
    <n v="6.7"/>
    <n v="52"/>
    <n v="87.06"/>
    <x v="0"/>
  </r>
  <r>
    <n v="5553957443"/>
    <d v="2016-04-18T00:00:00"/>
    <n v="3727"/>
    <n v="2.4300000667571999"/>
    <n v="0"/>
    <n v="0"/>
    <n v="206"/>
    <n v="622"/>
    <n v="1683"/>
    <s v="Monday"/>
    <s v="April"/>
    <n v="206"/>
    <n v="828"/>
    <n v="10.37"/>
    <x v="0"/>
    <s v="Sedentary"/>
    <n v="2"/>
    <n v="520"/>
    <n v="541"/>
    <n v="8.67"/>
    <n v="9.02"/>
    <n v="21"/>
    <n v="96.12"/>
    <x v="2"/>
  </r>
  <r>
    <n v="5553957443"/>
    <d v="2016-04-19T00:00:00"/>
    <n v="15482"/>
    <n v="10.1099996566772"/>
    <n v="69"/>
    <n v="28"/>
    <n v="249"/>
    <n v="756"/>
    <n v="2284"/>
    <s v="Tuesday"/>
    <s v="April"/>
    <n v="346"/>
    <n v="1102"/>
    <n v="12.6"/>
    <x v="4"/>
    <s v="Very Active"/>
    <n v="1"/>
    <n v="357"/>
    <n v="410"/>
    <n v="5.95"/>
    <n v="6.83"/>
    <n v="53"/>
    <n v="87.07"/>
    <x v="0"/>
  </r>
  <r>
    <n v="5553957443"/>
    <d v="2016-04-20T00:00:00"/>
    <n v="2713"/>
    <n v="1.7699999809265099"/>
    <n v="0"/>
    <n v="0"/>
    <n v="148"/>
    <n v="598"/>
    <n v="1570"/>
    <s v="Wednesday"/>
    <s v="April"/>
    <n v="148"/>
    <n v="746"/>
    <n v="9.9700000000000006"/>
    <x v="0"/>
    <s v="Sedentary"/>
    <n v="1"/>
    <n v="658"/>
    <n v="678"/>
    <n v="10.97"/>
    <n v="11.3"/>
    <n v="20"/>
    <n v="97.05"/>
    <x v="1"/>
  </r>
  <r>
    <n v="5553957443"/>
    <d v="2016-04-21T00:00:00"/>
    <n v="12346"/>
    <n v="8.0600004196166992"/>
    <n v="47"/>
    <n v="42"/>
    <n v="177"/>
    <n v="801"/>
    <n v="2066"/>
    <s v="Thursday"/>
    <s v="April"/>
    <n v="266"/>
    <n v="1067"/>
    <n v="13.35"/>
    <x v="2"/>
    <s v="Very Active"/>
    <n v="1"/>
    <n v="399"/>
    <n v="431"/>
    <n v="6.65"/>
    <n v="7.18"/>
    <n v="32"/>
    <n v="92.58"/>
    <x v="3"/>
  </r>
  <r>
    <n v="5553957443"/>
    <d v="2016-04-22T00:00:00"/>
    <n v="11682"/>
    <n v="7.6300001144409197"/>
    <n v="25"/>
    <n v="16"/>
    <n v="270"/>
    <n v="781"/>
    <n v="2105"/>
    <s v="Friday"/>
    <s v="April"/>
    <n v="311"/>
    <n v="1092"/>
    <n v="13.02"/>
    <x v="2"/>
    <s v="Moderately Active"/>
    <n v="1"/>
    <n v="322"/>
    <n v="353"/>
    <n v="5.37"/>
    <n v="5.88"/>
    <n v="31"/>
    <n v="91.22"/>
    <x v="0"/>
  </r>
  <r>
    <n v="5553957443"/>
    <d v="2016-04-23T00:00:00"/>
    <n v="4112"/>
    <n v="2.6900000572204599"/>
    <n v="0"/>
    <n v="0"/>
    <n v="272"/>
    <n v="443"/>
    <n v="1776"/>
    <s v="Saturday"/>
    <s v="April"/>
    <n v="272"/>
    <n v="715"/>
    <n v="7.38"/>
    <x v="0"/>
    <s v="Sedentary"/>
    <n v="2"/>
    <n v="631"/>
    <n v="725"/>
    <n v="10.52"/>
    <n v="12.08"/>
    <n v="94"/>
    <n v="87.03"/>
    <x v="1"/>
  </r>
  <r>
    <n v="5553957443"/>
    <d v="2016-04-24T00:00:00"/>
    <n v="1807"/>
    <n v="1.1799999475479099"/>
    <n v="0"/>
    <n v="0"/>
    <n v="104"/>
    <n v="582"/>
    <n v="1507"/>
    <s v="Sunday"/>
    <s v="April"/>
    <n v="104"/>
    <n v="686"/>
    <n v="9.6999999999999993"/>
    <x v="0"/>
    <s v="Sedentary"/>
    <n v="2"/>
    <n v="553"/>
    <n v="640"/>
    <n v="9.2200000000000006"/>
    <n v="10.67"/>
    <n v="87"/>
    <n v="86.41"/>
    <x v="1"/>
  </r>
  <r>
    <n v="5553957443"/>
    <d v="2016-04-25T00:00:00"/>
    <n v="10946"/>
    <n v="7.1900000572204599"/>
    <n v="51"/>
    <n v="11"/>
    <n v="201"/>
    <n v="732"/>
    <n v="2033"/>
    <s v="Monday"/>
    <s v="April"/>
    <n v="263"/>
    <n v="995"/>
    <n v="12.2"/>
    <x v="2"/>
    <s v="Very Active"/>
    <n v="1"/>
    <n v="433"/>
    <n v="468"/>
    <n v="7.22"/>
    <n v="7.8"/>
    <n v="35"/>
    <n v="92.52"/>
    <x v="2"/>
  </r>
  <r>
    <n v="5553957443"/>
    <d v="2016-04-26T00:00:00"/>
    <n v="11886"/>
    <n v="7.7600002288818404"/>
    <n v="40"/>
    <n v="18"/>
    <n v="238"/>
    <n v="750"/>
    <n v="2093"/>
    <s v="Tuesday"/>
    <s v="April"/>
    <n v="296"/>
    <n v="1046"/>
    <n v="12.5"/>
    <x v="2"/>
    <s v="Very Active"/>
    <n v="1"/>
    <n v="412"/>
    <n v="453"/>
    <n v="6.87"/>
    <n v="7.55"/>
    <n v="41"/>
    <n v="90.95"/>
    <x v="3"/>
  </r>
  <r>
    <n v="5553957443"/>
    <d v="2016-04-27T00:00:00"/>
    <n v="10538"/>
    <n v="6.8800001144409197"/>
    <n v="16"/>
    <n v="16"/>
    <n v="206"/>
    <n v="745"/>
    <n v="1922"/>
    <s v="Wednesday"/>
    <s v="April"/>
    <n v="238"/>
    <n v="983"/>
    <n v="12.42"/>
    <x v="2"/>
    <s v="Moderately Active"/>
    <n v="1"/>
    <n v="347"/>
    <n v="391"/>
    <n v="5.78"/>
    <n v="6.52"/>
    <n v="44"/>
    <n v="88.75"/>
    <x v="0"/>
  </r>
  <r>
    <n v="5553957443"/>
    <d v="2016-04-28T00:00:00"/>
    <n v="11393"/>
    <n v="7.6300001144409197"/>
    <n v="49"/>
    <n v="13"/>
    <n v="165"/>
    <n v="727"/>
    <n v="1999"/>
    <s v="Thursday"/>
    <s v="April"/>
    <n v="227"/>
    <n v="954"/>
    <n v="12.12"/>
    <x v="2"/>
    <s v="Very Active"/>
    <n v="1"/>
    <n v="421"/>
    <n v="457"/>
    <n v="7.02"/>
    <n v="7.62"/>
    <n v="36"/>
    <n v="92.12"/>
    <x v="2"/>
  </r>
  <r>
    <n v="5553957443"/>
    <d v="2016-04-29T00:00:00"/>
    <n v="12764"/>
    <n v="8.3299999237060494"/>
    <n v="46"/>
    <n v="15"/>
    <n v="270"/>
    <n v="709"/>
    <n v="2169"/>
    <s v="Friday"/>
    <s v="April"/>
    <n v="331"/>
    <n v="1040"/>
    <n v="11.82"/>
    <x v="4"/>
    <s v="Very Active"/>
    <n v="1"/>
    <n v="450"/>
    <n v="495"/>
    <n v="7.5"/>
    <n v="8.25"/>
    <n v="45"/>
    <n v="90.91"/>
    <x v="2"/>
  </r>
  <r>
    <n v="5553957443"/>
    <d v="2016-04-30T00:00:00"/>
    <n v="1202"/>
    <n v="0.77999997138977095"/>
    <n v="0"/>
    <n v="0"/>
    <n v="84"/>
    <n v="506"/>
    <n v="1463"/>
    <s v="Saturday"/>
    <s v="April"/>
    <n v="84"/>
    <n v="590"/>
    <n v="8.43"/>
    <x v="0"/>
    <s v="Sedentary"/>
    <n v="2"/>
    <n v="775"/>
    <n v="843"/>
    <n v="12.92"/>
    <n v="14.05"/>
    <n v="68"/>
    <n v="91.93"/>
    <x v="1"/>
  </r>
  <r>
    <n v="5553957443"/>
    <d v="2016-05-01T00:00:00"/>
    <n v="5164"/>
    <n v="3.3699998855590798"/>
    <n v="0"/>
    <n v="0"/>
    <n v="237"/>
    <n v="436"/>
    <n v="1747"/>
    <s v="Sunday"/>
    <s v="May"/>
    <n v="237"/>
    <n v="673"/>
    <n v="7.27"/>
    <x v="1"/>
    <s v="Sedentary"/>
    <n v="2"/>
    <n v="622"/>
    <n v="686"/>
    <n v="10.37"/>
    <n v="11.43"/>
    <n v="64"/>
    <n v="90.67"/>
    <x v="1"/>
  </r>
  <r>
    <n v="5553957443"/>
    <d v="2016-05-02T00:00:00"/>
    <n v="9769"/>
    <n v="6.3800001144409197"/>
    <n v="23"/>
    <n v="9"/>
    <n v="227"/>
    <n v="724"/>
    <n v="1996"/>
    <s v="Monday"/>
    <s v="May"/>
    <n v="259"/>
    <n v="983"/>
    <n v="12.07"/>
    <x v="3"/>
    <s v="Moderately Active"/>
    <n v="1"/>
    <n v="409"/>
    <n v="471"/>
    <n v="6.82"/>
    <n v="7.85"/>
    <n v="62"/>
    <n v="86.84"/>
    <x v="3"/>
  </r>
  <r>
    <n v="5553957443"/>
    <d v="2016-05-03T00:00:00"/>
    <n v="12848"/>
    <n v="8.3900003433227504"/>
    <n v="26"/>
    <n v="29"/>
    <n v="247"/>
    <n v="812"/>
    <n v="2116"/>
    <s v="Tuesday"/>
    <s v="May"/>
    <n v="302"/>
    <n v="1114"/>
    <n v="13.53"/>
    <x v="4"/>
    <s v="Moderately Active"/>
    <n v="1"/>
    <n v="380"/>
    <n v="429"/>
    <n v="6.33"/>
    <n v="7.15"/>
    <n v="49"/>
    <n v="88.58"/>
    <x v="3"/>
  </r>
  <r>
    <n v="5553957443"/>
    <d v="2016-05-04T00:00:00"/>
    <n v="4249"/>
    <n v="2.7699999809265101"/>
    <n v="0"/>
    <n v="0"/>
    <n v="224"/>
    <n v="651"/>
    <n v="1698"/>
    <s v="Wednesday"/>
    <s v="May"/>
    <n v="224"/>
    <n v="875"/>
    <n v="10.85"/>
    <x v="0"/>
    <s v="Sedentary"/>
    <n v="1"/>
    <n v="447"/>
    <n v="470"/>
    <n v="7.45"/>
    <n v="7.83"/>
    <n v="23"/>
    <n v="95.11"/>
    <x v="2"/>
  </r>
  <r>
    <n v="5553957443"/>
    <d v="2016-05-05T00:00:00"/>
    <n v="14331"/>
    <n v="9.5100002288818395"/>
    <n v="44"/>
    <n v="29"/>
    <n v="241"/>
    <n v="692"/>
    <n v="2156"/>
    <s v="Thursday"/>
    <s v="May"/>
    <n v="314"/>
    <n v="1006"/>
    <n v="11.53"/>
    <x v="4"/>
    <s v="Very Active"/>
    <n v="1"/>
    <n v="419"/>
    <n v="464"/>
    <n v="6.98"/>
    <n v="7.73"/>
    <n v="45"/>
    <n v="90.3"/>
    <x v="3"/>
  </r>
  <r>
    <n v="5553957443"/>
    <d v="2016-05-06T00:00:00"/>
    <n v="9632"/>
    <n v="6.28999996185303"/>
    <n v="21"/>
    <n v="9"/>
    <n v="229"/>
    <n v="761"/>
    <n v="1916"/>
    <s v="Friday"/>
    <s v="May"/>
    <n v="259"/>
    <n v="1020"/>
    <n v="12.68"/>
    <x v="3"/>
    <s v="Moderately Active"/>
    <n v="1"/>
    <n v="400"/>
    <n v="434"/>
    <n v="6.67"/>
    <n v="7.23"/>
    <n v="34"/>
    <n v="92.17"/>
    <x v="3"/>
  </r>
  <r>
    <n v="5553957443"/>
    <d v="2016-05-07T00:00:00"/>
    <n v="1868"/>
    <n v="1.2200000286102299"/>
    <n v="0"/>
    <n v="0"/>
    <n v="96"/>
    <n v="902"/>
    <n v="1494"/>
    <s v="Saturday"/>
    <s v="May"/>
    <n v="96"/>
    <n v="998"/>
    <n v="15.03"/>
    <x v="0"/>
    <s v="Sedentary"/>
    <n v="1"/>
    <n v="442"/>
    <n v="470"/>
    <n v="7.37"/>
    <n v="7.83"/>
    <n v="28"/>
    <n v="94.04"/>
    <x v="2"/>
  </r>
  <r>
    <n v="5553957443"/>
    <d v="2016-05-08T00:00:00"/>
    <n v="6083"/>
    <n v="4"/>
    <n v="3"/>
    <n v="8"/>
    <n v="210"/>
    <n v="505"/>
    <n v="1762"/>
    <s v="Sunday"/>
    <s v="May"/>
    <n v="221"/>
    <n v="726"/>
    <n v="8.42"/>
    <x v="1"/>
    <s v="Lightly Active"/>
    <n v="1"/>
    <n v="568"/>
    <n v="608"/>
    <n v="9.4700000000000006"/>
    <n v="10.130000000000001"/>
    <n v="40"/>
    <n v="93.42"/>
    <x v="1"/>
  </r>
  <r>
    <n v="5553957443"/>
    <d v="2016-05-09T00:00:00"/>
    <n v="11611"/>
    <n v="7.5799999237060502"/>
    <n v="59"/>
    <n v="22"/>
    <n v="251"/>
    <n v="667"/>
    <n v="2272"/>
    <s v="Monday"/>
    <s v="May"/>
    <n v="332"/>
    <n v="999"/>
    <n v="11.12"/>
    <x v="2"/>
    <s v="Very Active"/>
    <n v="1"/>
    <n v="453"/>
    <n v="494"/>
    <n v="7.55"/>
    <n v="8.23"/>
    <n v="41"/>
    <n v="91.7"/>
    <x v="2"/>
  </r>
  <r>
    <n v="5553957443"/>
    <d v="2016-05-10T00:00:00"/>
    <n v="16358"/>
    <n v="10.710000038146999"/>
    <n v="61"/>
    <n v="40"/>
    <n v="265"/>
    <n v="707"/>
    <n v="2335"/>
    <s v="Tuesday"/>
    <s v="May"/>
    <n v="366"/>
    <n v="1073"/>
    <n v="11.78"/>
    <x v="4"/>
    <s v="Very Active"/>
    <n v="1"/>
    <n v="418"/>
    <n v="443"/>
    <n v="6.97"/>
    <n v="7.38"/>
    <n v="25"/>
    <n v="94.36"/>
    <x v="3"/>
  </r>
  <r>
    <n v="5553957443"/>
    <d v="2016-05-11T00:00:00"/>
    <n v="4926"/>
    <n v="3.2200000286102299"/>
    <n v="0"/>
    <n v="0"/>
    <n v="195"/>
    <n v="628"/>
    <n v="1693"/>
    <s v="Wednesday"/>
    <s v="May"/>
    <n v="195"/>
    <n v="823"/>
    <n v="10.47"/>
    <x v="0"/>
    <s v="Sedentary"/>
    <n v="1"/>
    <n v="463"/>
    <n v="486"/>
    <n v="7.72"/>
    <n v="8.1"/>
    <n v="23"/>
    <n v="95.27"/>
    <x v="2"/>
  </r>
  <r>
    <n v="5553957443"/>
    <d v="2016-05-12T00:00:00"/>
    <n v="3121"/>
    <n v="2.03999996185303"/>
    <n v="8"/>
    <n v="6"/>
    <n v="48"/>
    <n v="222"/>
    <n v="741"/>
    <s v="Thursday"/>
    <s v="May"/>
    <n v="62"/>
    <n v="284"/>
    <n v="3.7"/>
    <x v="0"/>
    <s v="Lightly Active"/>
    <n v="1"/>
    <n v="438"/>
    <n v="475"/>
    <n v="7.3"/>
    <n v="7.92"/>
    <n v="37"/>
    <n v="92.21"/>
    <x v="2"/>
  </r>
  <r>
    <n v="5577150313"/>
    <d v="2016-04-12T00:00:00"/>
    <n v="8135"/>
    <n v="6.0799999237060502"/>
    <n v="86"/>
    <n v="16"/>
    <n v="140"/>
    <n v="728"/>
    <n v="3405"/>
    <s v="Tuesday"/>
    <s v="April"/>
    <n v="242"/>
    <n v="970"/>
    <n v="12.13"/>
    <x v="3"/>
    <s v="Very Active"/>
    <n v="1"/>
    <n v="419"/>
    <n v="438"/>
    <n v="6.98"/>
    <n v="7.3"/>
    <n v="19"/>
    <n v="95.66"/>
    <x v="3"/>
  </r>
  <r>
    <n v="5577150313"/>
    <d v="2016-04-13T00:00:00"/>
    <n v="5077"/>
    <n v="3.78999996185303"/>
    <n v="15"/>
    <n v="11"/>
    <n v="144"/>
    <n v="776"/>
    <n v="2551"/>
    <s v="Wednesday"/>
    <s v="April"/>
    <n v="170"/>
    <n v="946"/>
    <n v="12.93"/>
    <x v="1"/>
    <s v="Moderately Active"/>
    <n v="1"/>
    <n v="432"/>
    <n v="458"/>
    <n v="7.2"/>
    <n v="7.63"/>
    <n v="26"/>
    <n v="94.32"/>
    <x v="2"/>
  </r>
  <r>
    <n v="5577150313"/>
    <d v="2016-04-14T00:00:00"/>
    <n v="8596"/>
    <n v="6.4200000762939498"/>
    <n v="118"/>
    <n v="30"/>
    <n v="176"/>
    <n v="662"/>
    <n v="4022"/>
    <s v="Thursday"/>
    <s v="April"/>
    <n v="324"/>
    <n v="986"/>
    <n v="11.03"/>
    <x v="3"/>
    <s v="Very Active"/>
    <n v="1"/>
    <n v="477"/>
    <n v="497"/>
    <n v="7.95"/>
    <n v="8.2799999999999994"/>
    <n v="20"/>
    <n v="95.98"/>
    <x v="2"/>
  </r>
  <r>
    <n v="5577150313"/>
    <d v="2016-04-15T00:00:00"/>
    <n v="12087"/>
    <n v="9.0799999237060494"/>
    <n v="115"/>
    <n v="54"/>
    <n v="199"/>
    <n v="695"/>
    <n v="4005"/>
    <s v="Friday"/>
    <s v="April"/>
    <n v="368"/>
    <n v="1063"/>
    <n v="11.58"/>
    <x v="2"/>
    <s v="Very Active"/>
    <n v="1"/>
    <n v="392"/>
    <n v="413"/>
    <n v="6.53"/>
    <n v="6.88"/>
    <n v="21"/>
    <n v="94.92"/>
    <x v="3"/>
  </r>
  <r>
    <n v="5577150313"/>
    <d v="2016-04-16T00:00:00"/>
    <n v="14269"/>
    <n v="10.6599998474121"/>
    <n v="184"/>
    <n v="56"/>
    <n v="158"/>
    <n v="472"/>
    <n v="4274"/>
    <s v="Saturday"/>
    <s v="April"/>
    <n v="398"/>
    <n v="870"/>
    <n v="7.87"/>
    <x v="4"/>
    <s v="Very Active"/>
    <n v="1"/>
    <n v="406"/>
    <n v="445"/>
    <n v="6.77"/>
    <n v="7.42"/>
    <n v="39"/>
    <n v="91.24"/>
    <x v="3"/>
  </r>
  <r>
    <n v="5577150313"/>
    <d v="2016-04-17T00:00:00"/>
    <n v="12231"/>
    <n v="9.1400003433227504"/>
    <n v="200"/>
    <n v="37"/>
    <n v="159"/>
    <n v="525"/>
    <n v="4552"/>
    <s v="Sunday"/>
    <s v="April"/>
    <n v="396"/>
    <n v="921"/>
    <n v="8.75"/>
    <x v="2"/>
    <s v="Very Active"/>
    <n v="1"/>
    <n v="549"/>
    <n v="583"/>
    <n v="9.15"/>
    <n v="9.7200000000000006"/>
    <n v="34"/>
    <n v="94.17"/>
    <x v="1"/>
  </r>
  <r>
    <n v="5577150313"/>
    <d v="2016-04-18T00:00:00"/>
    <n v="9893"/>
    <n v="7.3899998664856001"/>
    <n v="114"/>
    <n v="32"/>
    <n v="130"/>
    <n v="623"/>
    <n v="3625"/>
    <s v="Monday"/>
    <s v="April"/>
    <n v="276"/>
    <n v="899"/>
    <n v="10.38"/>
    <x v="3"/>
    <s v="Very Active"/>
    <n v="1"/>
    <n v="527"/>
    <n v="553"/>
    <n v="8.7799999999999994"/>
    <n v="9.2200000000000006"/>
    <n v="26"/>
    <n v="95.3"/>
    <x v="2"/>
  </r>
  <r>
    <n v="5577150313"/>
    <d v="2016-04-19T00:00:00"/>
    <n v="12574"/>
    <n v="9.4200000762939506"/>
    <n v="108"/>
    <n v="23"/>
    <n v="111"/>
    <n v="733"/>
    <n v="3501"/>
    <s v="Tuesday"/>
    <s v="April"/>
    <n v="242"/>
    <n v="975"/>
    <n v="12.22"/>
    <x v="4"/>
    <s v="Very Active"/>
    <n v="1"/>
    <n v="449"/>
    <n v="465"/>
    <n v="7.48"/>
    <n v="7.75"/>
    <n v="16"/>
    <n v="96.56"/>
    <x v="2"/>
  </r>
  <r>
    <n v="5577150313"/>
    <d v="2016-04-20T00:00:00"/>
    <n v="8330"/>
    <n v="6.2199997901916504"/>
    <n v="87"/>
    <n v="16"/>
    <n v="113"/>
    <n v="773"/>
    <n v="3192"/>
    <s v="Wednesday"/>
    <s v="April"/>
    <n v="216"/>
    <n v="989"/>
    <n v="12.88"/>
    <x v="3"/>
    <s v="Very Active"/>
    <n v="1"/>
    <n v="447"/>
    <n v="480"/>
    <n v="7.45"/>
    <n v="8"/>
    <n v="33"/>
    <n v="93.13"/>
    <x v="2"/>
  </r>
  <r>
    <n v="5577150313"/>
    <d v="2016-04-21T00:00:00"/>
    <n v="10830"/>
    <n v="8.0900001525878906"/>
    <n v="110"/>
    <n v="74"/>
    <n v="175"/>
    <n v="670"/>
    <n v="4018"/>
    <s v="Thursday"/>
    <s v="April"/>
    <n v="359"/>
    <n v="1029"/>
    <n v="11.17"/>
    <x v="2"/>
    <s v="Very Active"/>
    <n v="1"/>
    <n v="414"/>
    <n v="437"/>
    <n v="6.9"/>
    <n v="7.28"/>
    <n v="23"/>
    <n v="94.74"/>
    <x v="3"/>
  </r>
  <r>
    <n v="5577150313"/>
    <d v="2016-04-22T00:00:00"/>
    <n v="9172"/>
    <n v="6.8499999046325701"/>
    <n v="62"/>
    <n v="30"/>
    <n v="200"/>
    <n v="823"/>
    <n v="3329"/>
    <s v="Friday"/>
    <s v="April"/>
    <n v="292"/>
    <n v="1115"/>
    <n v="13.72"/>
    <x v="3"/>
    <s v="Very Active"/>
    <n v="1"/>
    <n v="338"/>
    <n v="366"/>
    <n v="5.63"/>
    <n v="6.1"/>
    <n v="28"/>
    <n v="92.35"/>
    <x v="0"/>
  </r>
  <r>
    <n v="5577150313"/>
    <d v="2016-04-23T00:00:00"/>
    <n v="7638"/>
    <n v="5.71000003814697"/>
    <n v="24"/>
    <n v="24"/>
    <n v="223"/>
    <n v="627"/>
    <n v="3152"/>
    <s v="Saturday"/>
    <s v="April"/>
    <n v="271"/>
    <n v="898"/>
    <n v="10.45"/>
    <x v="3"/>
    <s v="Moderately Active"/>
    <n v="1"/>
    <n v="384"/>
    <n v="402"/>
    <n v="6.4"/>
    <n v="6.7"/>
    <n v="18"/>
    <n v="95.52"/>
    <x v="3"/>
  </r>
  <r>
    <n v="5577150313"/>
    <d v="2016-04-24T00:00:00"/>
    <n v="15764"/>
    <n v="11.7799997329712"/>
    <n v="210"/>
    <n v="65"/>
    <n v="141"/>
    <n v="425"/>
    <n v="4392"/>
    <s v="Sunday"/>
    <s v="April"/>
    <n v="416"/>
    <n v="841"/>
    <n v="7.08"/>
    <x v="4"/>
    <s v="Very Active"/>
    <n v="1"/>
    <n v="543"/>
    <n v="615"/>
    <n v="9.0500000000000007"/>
    <n v="10.25"/>
    <n v="72"/>
    <n v="88.29"/>
    <x v="1"/>
  </r>
  <r>
    <n v="5577150313"/>
    <d v="2016-04-25T00:00:00"/>
    <n v="6393"/>
    <n v="4.7800002098083496"/>
    <n v="61"/>
    <n v="38"/>
    <n v="214"/>
    <n v="743"/>
    <n v="3374"/>
    <s v="Monday"/>
    <s v="April"/>
    <n v="313"/>
    <n v="1056"/>
    <n v="12.38"/>
    <x v="1"/>
    <s v="Very Active"/>
    <n v="1"/>
    <n v="421"/>
    <n v="461"/>
    <n v="7.02"/>
    <n v="7.68"/>
    <n v="40"/>
    <n v="91.32"/>
    <x v="2"/>
  </r>
  <r>
    <n v="5577150313"/>
    <d v="2016-04-26T00:00:00"/>
    <n v="5325"/>
    <n v="3.9800000190734899"/>
    <n v="38"/>
    <n v="32"/>
    <n v="181"/>
    <n v="759"/>
    <n v="3088"/>
    <s v="Tuesday"/>
    <s v="April"/>
    <n v="251"/>
    <n v="1010"/>
    <n v="12.65"/>
    <x v="1"/>
    <s v="Very Active"/>
    <n v="1"/>
    <n v="354"/>
    <n v="377"/>
    <n v="5.9"/>
    <n v="6.28"/>
    <n v="23"/>
    <n v="93.9"/>
    <x v="0"/>
  </r>
  <r>
    <n v="5577150313"/>
    <d v="2016-04-27T00:00:00"/>
    <n v="6805"/>
    <n v="5.1399998664856001"/>
    <n v="63"/>
    <n v="16"/>
    <n v="190"/>
    <n v="773"/>
    <n v="3294"/>
    <s v="Wednesday"/>
    <s v="April"/>
    <n v="269"/>
    <n v="1042"/>
    <n v="12.88"/>
    <x v="1"/>
    <s v="Very Active"/>
    <n v="1"/>
    <n v="424"/>
    <n v="452"/>
    <n v="7.07"/>
    <n v="7.53"/>
    <n v="28"/>
    <n v="93.81"/>
    <x v="2"/>
  </r>
  <r>
    <n v="5577150313"/>
    <d v="2016-04-28T00:00:00"/>
    <n v="9841"/>
    <n v="7.4299998283386204"/>
    <n v="99"/>
    <n v="51"/>
    <n v="141"/>
    <n v="692"/>
    <n v="3580"/>
    <s v="Thursday"/>
    <s v="April"/>
    <n v="291"/>
    <n v="983"/>
    <n v="11.53"/>
    <x v="3"/>
    <s v="Very Active"/>
    <n v="1"/>
    <n v="361"/>
    <n v="372"/>
    <n v="6.02"/>
    <n v="6.2"/>
    <n v="11"/>
    <n v="97.04"/>
    <x v="3"/>
  </r>
  <r>
    <n v="5577150313"/>
    <d v="2016-04-29T00:00:00"/>
    <n v="7924"/>
    <n v="5.9200000762939498"/>
    <n v="97"/>
    <n v="36"/>
    <n v="165"/>
    <n v="739"/>
    <n v="3544"/>
    <s v="Friday"/>
    <s v="April"/>
    <n v="298"/>
    <n v="1037"/>
    <n v="12.32"/>
    <x v="3"/>
    <s v="Very Active"/>
    <n v="1"/>
    <n v="459"/>
    <n v="485"/>
    <n v="7.65"/>
    <n v="8.08"/>
    <n v="26"/>
    <n v="94.64"/>
    <x v="2"/>
  </r>
  <r>
    <n v="5577150313"/>
    <d v="2016-04-30T00:00:00"/>
    <n v="12363"/>
    <n v="9.2399997711181605"/>
    <n v="207"/>
    <n v="45"/>
    <n v="163"/>
    <n v="621"/>
    <n v="4501"/>
    <s v="Saturday"/>
    <s v="April"/>
    <n v="415"/>
    <n v="1036"/>
    <n v="10.35"/>
    <x v="2"/>
    <s v="Very Active"/>
    <n v="1"/>
    <n v="412"/>
    <n v="433"/>
    <n v="6.87"/>
    <n v="7.22"/>
    <n v="21"/>
    <n v="95.15"/>
    <x v="3"/>
  </r>
  <r>
    <n v="5577150313"/>
    <d v="2016-05-01T00:00:00"/>
    <n v="13368"/>
    <n v="9.9899997711181605"/>
    <n v="194"/>
    <n v="72"/>
    <n v="178"/>
    <n v="499"/>
    <n v="4546"/>
    <s v="Sunday"/>
    <s v="May"/>
    <n v="444"/>
    <n v="943"/>
    <n v="8.32"/>
    <x v="4"/>
    <s v="Very Active"/>
    <n v="1"/>
    <n v="379"/>
    <n v="398"/>
    <n v="6.32"/>
    <n v="6.63"/>
    <n v="19"/>
    <n v="95.23"/>
    <x v="3"/>
  </r>
  <r>
    <n v="5577150313"/>
    <d v="2016-05-02T00:00:00"/>
    <n v="7439"/>
    <n v="5.5599999427795401"/>
    <n v="37"/>
    <n v="20"/>
    <n v="235"/>
    <n v="732"/>
    <n v="3014"/>
    <s v="Monday"/>
    <s v="May"/>
    <n v="292"/>
    <n v="1024"/>
    <n v="12.2"/>
    <x v="1"/>
    <s v="Very Active"/>
    <n v="2"/>
    <n v="525"/>
    <n v="553"/>
    <n v="8.75"/>
    <n v="9.2200000000000006"/>
    <n v="28"/>
    <n v="94.94"/>
    <x v="2"/>
  </r>
  <r>
    <n v="5577150313"/>
    <d v="2016-05-03T00:00:00"/>
    <n v="11045"/>
    <n v="8.25"/>
    <n v="97"/>
    <n v="8"/>
    <n v="212"/>
    <n v="580"/>
    <n v="3795"/>
    <s v="Tuesday"/>
    <s v="May"/>
    <n v="317"/>
    <n v="897"/>
    <n v="9.67"/>
    <x v="2"/>
    <s v="Very Active"/>
    <n v="1"/>
    <n v="508"/>
    <n v="543"/>
    <n v="8.4700000000000006"/>
    <n v="9.0500000000000007"/>
    <n v="35"/>
    <n v="93.55"/>
    <x v="2"/>
  </r>
  <r>
    <n v="5577150313"/>
    <d v="2016-05-04T00:00:00"/>
    <n v="5206"/>
    <n v="3.8900001049041699"/>
    <n v="25"/>
    <n v="9"/>
    <n v="141"/>
    <n v="631"/>
    <n v="2755"/>
    <s v="Wednesday"/>
    <s v="May"/>
    <n v="175"/>
    <n v="806"/>
    <n v="10.52"/>
    <x v="1"/>
    <s v="Moderately Active"/>
    <n v="1"/>
    <n v="603"/>
    <n v="634"/>
    <n v="10.050000000000001"/>
    <n v="10.57"/>
    <n v="31"/>
    <n v="95.11"/>
    <x v="1"/>
  </r>
  <r>
    <n v="5577150313"/>
    <d v="2016-05-05T00:00:00"/>
    <n v="7550"/>
    <n v="5.6399998664856001"/>
    <n v="45"/>
    <n v="21"/>
    <n v="143"/>
    <n v="1153"/>
    <n v="3004"/>
    <s v="Thursday"/>
    <s v="May"/>
    <n v="209"/>
    <n v="1362"/>
    <n v="19.22"/>
    <x v="3"/>
    <s v="Very Active"/>
    <n v="1"/>
    <n v="74"/>
    <n v="78"/>
    <n v="1.23"/>
    <n v="1.3"/>
    <n v="4"/>
    <n v="94.87"/>
    <x v="0"/>
  </r>
  <r>
    <n v="5577150313"/>
    <d v="2016-05-10T00:00:00"/>
    <n v="8869"/>
    <n v="6.6500000953674299"/>
    <n v="104"/>
    <n v="37"/>
    <n v="194"/>
    <n v="639"/>
    <n v="3841"/>
    <s v="Tuesday"/>
    <s v="May"/>
    <n v="335"/>
    <n v="974"/>
    <n v="10.65"/>
    <x v="3"/>
    <s v="Very Active"/>
    <n v="1"/>
    <n v="504"/>
    <n v="562"/>
    <n v="8.4"/>
    <n v="9.3699999999999992"/>
    <n v="58"/>
    <n v="89.68"/>
    <x v="2"/>
  </r>
  <r>
    <n v="5577150313"/>
    <d v="2016-05-11T00:00:00"/>
    <n v="4038"/>
    <n v="3.03999996185303"/>
    <n v="45"/>
    <n v="15"/>
    <n v="63"/>
    <n v="257"/>
    <n v="1665"/>
    <s v="Wednesday"/>
    <s v="May"/>
    <n v="123"/>
    <n v="380"/>
    <n v="4.28"/>
    <x v="0"/>
    <s v="Very Active"/>
    <n v="1"/>
    <n v="431"/>
    <n v="476"/>
    <n v="7.18"/>
    <n v="7.93"/>
    <n v="45"/>
    <n v="90.55"/>
    <x v="2"/>
  </r>
  <r>
    <n v="6117666160"/>
    <d v="2016-04-16T00:00:00"/>
    <n v="14450"/>
    <n v="10.9099998474121"/>
    <n v="7"/>
    <n v="15"/>
    <n v="518"/>
    <n v="502"/>
    <n v="2828"/>
    <s v="Saturday"/>
    <s v="April"/>
    <n v="540"/>
    <n v="1042"/>
    <n v="8.3699999999999992"/>
    <x v="4"/>
    <s v="Lightly Active"/>
    <n v="1"/>
    <n v="380"/>
    <n v="398"/>
    <n v="6.33"/>
    <n v="6.63"/>
    <n v="18"/>
    <n v="95.48"/>
    <x v="3"/>
  </r>
  <r>
    <n v="6117666160"/>
    <d v="2016-04-17T00:00:00"/>
    <n v="7150"/>
    <n v="5.4000000953674299"/>
    <n v="0"/>
    <n v="0"/>
    <n v="312"/>
    <n v="702"/>
    <n v="2225"/>
    <s v="Sunday"/>
    <s v="April"/>
    <n v="312"/>
    <n v="1014"/>
    <n v="11.7"/>
    <x v="1"/>
    <s v="Sedentary"/>
    <n v="2"/>
    <n v="336"/>
    <n v="350"/>
    <n v="5.6"/>
    <n v="5.83"/>
    <n v="14"/>
    <n v="96"/>
    <x v="0"/>
  </r>
  <r>
    <n v="6117666160"/>
    <d v="2016-04-18T00:00:00"/>
    <n v="5153"/>
    <n v="3.9100000858306898"/>
    <n v="0"/>
    <n v="0"/>
    <n v="241"/>
    <n v="759"/>
    <n v="2018"/>
    <s v="Monday"/>
    <s v="April"/>
    <n v="241"/>
    <n v="1000"/>
    <n v="12.65"/>
    <x v="1"/>
    <s v="Sedentary"/>
    <n v="2"/>
    <n v="493"/>
    <n v="510"/>
    <n v="8.2200000000000006"/>
    <n v="8.5"/>
    <n v="17"/>
    <n v="96.67"/>
    <x v="2"/>
  </r>
  <r>
    <n v="6117666160"/>
    <d v="2016-04-19T00:00:00"/>
    <n v="11135"/>
    <n v="8.4099998474121094"/>
    <n v="0"/>
    <n v="0"/>
    <n v="480"/>
    <n v="425"/>
    <n v="2606"/>
    <s v="Tuesday"/>
    <s v="April"/>
    <n v="480"/>
    <n v="905"/>
    <n v="7.08"/>
    <x v="2"/>
    <s v="Sedentary"/>
    <n v="1"/>
    <n v="465"/>
    <n v="492"/>
    <n v="7.75"/>
    <n v="8.1999999999999993"/>
    <n v="27"/>
    <n v="94.51"/>
    <x v="2"/>
  </r>
  <r>
    <n v="6117666160"/>
    <d v="2016-04-20T00:00:00"/>
    <n v="10449"/>
    <n v="8.0200004577636701"/>
    <n v="26"/>
    <n v="10"/>
    <n v="349"/>
    <n v="587"/>
    <n v="2536"/>
    <s v="Wednesday"/>
    <s v="April"/>
    <n v="385"/>
    <n v="972"/>
    <n v="9.7799999999999994"/>
    <x v="2"/>
    <s v="Moderately Active"/>
    <n v="1"/>
    <n v="474"/>
    <n v="502"/>
    <n v="7.9"/>
    <n v="8.3699999999999992"/>
    <n v="28"/>
    <n v="94.42"/>
    <x v="2"/>
  </r>
  <r>
    <n v="6117666160"/>
    <d v="2016-04-21T00:00:00"/>
    <n v="19542"/>
    <n v="15.0100002288818"/>
    <n v="11"/>
    <n v="19"/>
    <n v="294"/>
    <n v="579"/>
    <n v="4900"/>
    <s v="Thursday"/>
    <s v="April"/>
    <n v="324"/>
    <n v="903"/>
    <n v="9.65"/>
    <x v="4"/>
    <s v="Lightly Active"/>
    <n v="1"/>
    <n v="508"/>
    <n v="550"/>
    <n v="8.4700000000000006"/>
    <n v="9.17"/>
    <n v="42"/>
    <n v="92.36"/>
    <x v="2"/>
  </r>
  <r>
    <n v="6117666160"/>
    <d v="2016-04-22T00:00:00"/>
    <n v="8206"/>
    <n v="6.1999998092651403"/>
    <n v="0"/>
    <n v="0"/>
    <n v="402"/>
    <n v="413"/>
    <n v="2409"/>
    <s v="Friday"/>
    <s v="April"/>
    <n v="402"/>
    <n v="815"/>
    <n v="6.88"/>
    <x v="3"/>
    <s v="Sedentary"/>
    <n v="1"/>
    <n v="480"/>
    <n v="546"/>
    <n v="8"/>
    <n v="9.1"/>
    <n v="66"/>
    <n v="87.91"/>
    <x v="2"/>
  </r>
  <r>
    <n v="6117666160"/>
    <d v="2016-04-23T00:00:00"/>
    <n v="11495"/>
    <n v="8.6800003051757795"/>
    <n v="0"/>
    <n v="0"/>
    <n v="512"/>
    <n v="468"/>
    <n v="2651"/>
    <s v="Saturday"/>
    <s v="April"/>
    <n v="512"/>
    <n v="980"/>
    <n v="7.8"/>
    <x v="2"/>
    <s v="Sedentary"/>
    <n v="1"/>
    <n v="492"/>
    <n v="539"/>
    <n v="8.1999999999999993"/>
    <n v="8.98"/>
    <n v="47"/>
    <n v="91.28"/>
    <x v="2"/>
  </r>
  <r>
    <n v="6117666160"/>
    <d v="2016-04-24T00:00:00"/>
    <n v="7623"/>
    <n v="5.7600002288818404"/>
    <n v="0"/>
    <n v="0"/>
    <n v="362"/>
    <n v="711"/>
    <n v="2305"/>
    <s v="Sunday"/>
    <s v="April"/>
    <n v="362"/>
    <n v="1073"/>
    <n v="11.85"/>
    <x v="3"/>
    <s v="Sedentary"/>
    <n v="1"/>
    <n v="353"/>
    <n v="367"/>
    <n v="5.88"/>
    <n v="6.12"/>
    <n v="14"/>
    <n v="96.19"/>
    <x v="0"/>
  </r>
  <r>
    <n v="6117666160"/>
    <d v="2016-04-27T00:00:00"/>
    <n v="9411"/>
    <n v="7.1100001335143999"/>
    <n v="0"/>
    <n v="0"/>
    <n v="458"/>
    <n v="417"/>
    <n v="2576"/>
    <s v="Wednesday"/>
    <s v="April"/>
    <n v="458"/>
    <n v="875"/>
    <n v="6.95"/>
    <x v="3"/>
    <s v="Sedentary"/>
    <n v="1"/>
    <n v="542"/>
    <n v="557"/>
    <n v="9.0299999999999994"/>
    <n v="9.2799999999999994"/>
    <n v="15"/>
    <n v="97.31"/>
    <x v="1"/>
  </r>
  <r>
    <n v="6117666160"/>
    <d v="2016-04-28T00:00:00"/>
    <n v="3403"/>
    <n v="2.5999999046325701"/>
    <n v="0"/>
    <n v="0"/>
    <n v="141"/>
    <n v="758"/>
    <n v="1879"/>
    <s v="Thursday"/>
    <s v="April"/>
    <n v="141"/>
    <n v="899"/>
    <n v="12.63"/>
    <x v="0"/>
    <s v="Sedentary"/>
    <n v="1"/>
    <n v="393"/>
    <n v="416"/>
    <n v="6.55"/>
    <n v="6.93"/>
    <n v="23"/>
    <n v="94.47"/>
    <x v="3"/>
  </r>
  <r>
    <n v="6117666160"/>
    <d v="2016-04-29T00:00:00"/>
    <n v="9592"/>
    <n v="7.2399997711181596"/>
    <n v="0"/>
    <n v="0"/>
    <n v="461"/>
    <n v="479"/>
    <n v="2560"/>
    <s v="Friday"/>
    <s v="April"/>
    <n v="461"/>
    <n v="940"/>
    <n v="7.98"/>
    <x v="3"/>
    <s v="Sedentary"/>
    <n v="1"/>
    <n v="600"/>
    <n v="636"/>
    <n v="10"/>
    <n v="10.6"/>
    <n v="36"/>
    <n v="94.34"/>
    <x v="1"/>
  </r>
  <r>
    <n v="6117666160"/>
    <d v="2016-05-01T00:00:00"/>
    <n v="8915"/>
    <n v="6.7300000190734899"/>
    <n v="0"/>
    <n v="0"/>
    <n v="397"/>
    <n v="525"/>
    <n v="2361"/>
    <s v="Sunday"/>
    <s v="May"/>
    <n v="397"/>
    <n v="922"/>
    <n v="8.75"/>
    <x v="3"/>
    <s v="Sedentary"/>
    <n v="1"/>
    <n v="507"/>
    <n v="575"/>
    <n v="8.4499999999999993"/>
    <n v="9.58"/>
    <n v="68"/>
    <n v="88.17"/>
    <x v="2"/>
  </r>
  <r>
    <n v="6117666160"/>
    <d v="2016-05-05T00:00:00"/>
    <n v="9799"/>
    <n v="7.4000000953674299"/>
    <n v="0"/>
    <n v="0"/>
    <n v="487"/>
    <n v="479"/>
    <n v="2636"/>
    <s v="Thursday"/>
    <s v="May"/>
    <n v="487"/>
    <n v="966"/>
    <n v="7.98"/>
    <x v="3"/>
    <s v="Sedentary"/>
    <n v="1"/>
    <n v="392"/>
    <n v="415"/>
    <n v="6.53"/>
    <n v="6.92"/>
    <n v="23"/>
    <n v="94.46"/>
    <x v="3"/>
  </r>
  <r>
    <n v="6117666160"/>
    <d v="2016-05-06T00:00:00"/>
    <n v="3365"/>
    <n v="2.6800000667571999"/>
    <n v="0"/>
    <n v="0"/>
    <n v="133"/>
    <n v="673"/>
    <n v="1838"/>
    <s v="Friday"/>
    <s v="May"/>
    <n v="133"/>
    <n v="806"/>
    <n v="11.22"/>
    <x v="0"/>
    <s v="Sedentary"/>
    <n v="2"/>
    <n v="658"/>
    <n v="698"/>
    <n v="10.97"/>
    <n v="11.63"/>
    <n v="40"/>
    <n v="94.27"/>
    <x v="1"/>
  </r>
  <r>
    <n v="6117666160"/>
    <d v="2016-05-07T00:00:00"/>
    <n v="7336"/>
    <n v="5.53999996185303"/>
    <n v="0"/>
    <n v="0"/>
    <n v="412"/>
    <n v="456"/>
    <n v="2469"/>
    <s v="Saturday"/>
    <s v="May"/>
    <n v="412"/>
    <n v="868"/>
    <n v="7.6"/>
    <x v="1"/>
    <s v="Sedentary"/>
    <n v="2"/>
    <n v="498"/>
    <n v="507"/>
    <n v="8.3000000000000007"/>
    <n v="8.4499999999999993"/>
    <n v="9"/>
    <n v="98.22"/>
    <x v="2"/>
  </r>
  <r>
    <n v="6117666160"/>
    <d v="2016-05-08T00:00:00"/>
    <n v="7328"/>
    <n v="5.5300002098083496"/>
    <n v="0"/>
    <n v="0"/>
    <n v="318"/>
    <n v="517"/>
    <n v="2250"/>
    <s v="Sunday"/>
    <s v="May"/>
    <n v="318"/>
    <n v="835"/>
    <n v="8.6199999999999992"/>
    <x v="1"/>
    <s v="Sedentary"/>
    <n v="1"/>
    <n v="555"/>
    <n v="603"/>
    <n v="9.25"/>
    <n v="10.050000000000001"/>
    <n v="48"/>
    <n v="92.04"/>
    <x v="1"/>
  </r>
  <r>
    <n v="6117666160"/>
    <d v="2016-05-09T00:00:00"/>
    <n v="4477"/>
    <n v="3.3800001144409202"/>
    <n v="0"/>
    <n v="0"/>
    <n v="197"/>
    <n v="125"/>
    <n v="1248"/>
    <s v="Monday"/>
    <s v="May"/>
    <n v="197"/>
    <n v="322"/>
    <n v="2.08"/>
    <x v="0"/>
    <s v="Sedentary"/>
    <n v="1"/>
    <n v="492"/>
    <n v="522"/>
    <n v="8.1999999999999993"/>
    <n v="8.6999999999999993"/>
    <n v="30"/>
    <n v="94.25"/>
    <x v="2"/>
  </r>
  <r>
    <n v="6775888955"/>
    <d v="2016-04-13T00:00:00"/>
    <n v="4053"/>
    <n v="2.9100000858306898"/>
    <n v="17"/>
    <n v="18"/>
    <n v="85"/>
    <n v="1053"/>
    <n v="2400"/>
    <s v="Wednesday"/>
    <s v="April"/>
    <n v="120"/>
    <n v="1173"/>
    <n v="17.55"/>
    <x v="0"/>
    <s v="Moderately Active"/>
    <n v="1"/>
    <n v="235"/>
    <n v="260"/>
    <n v="3.92"/>
    <n v="4.33"/>
    <n v="25"/>
    <n v="90.38"/>
    <x v="0"/>
  </r>
  <r>
    <n v="6775888955"/>
    <d v="2016-04-14T00:00:00"/>
    <n v="5162"/>
    <n v="3.7000000476837198"/>
    <n v="14"/>
    <n v="24"/>
    <n v="105"/>
    <n v="863"/>
    <n v="2507"/>
    <s v="Thursday"/>
    <s v="April"/>
    <n v="143"/>
    <n v="1006"/>
    <n v="14.38"/>
    <x v="1"/>
    <s v="Lightly Active"/>
    <n v="1"/>
    <n v="423"/>
    <n v="441"/>
    <n v="7.05"/>
    <n v="7.35"/>
    <n v="18"/>
    <n v="95.92"/>
    <x v="2"/>
  </r>
  <r>
    <n v="6775888955"/>
    <d v="2016-04-15T00:00:00"/>
    <n v="1282"/>
    <n v="0.92000001668930098"/>
    <n v="0"/>
    <n v="0"/>
    <n v="58"/>
    <n v="976"/>
    <n v="2127"/>
    <s v="Friday"/>
    <s v="April"/>
    <n v="58"/>
    <n v="1034"/>
    <n v="16.27"/>
    <x v="0"/>
    <s v="Sedentary"/>
    <n v="1"/>
    <n v="391"/>
    <n v="406"/>
    <n v="6.52"/>
    <n v="6.77"/>
    <n v="15"/>
    <n v="96.31"/>
    <x v="3"/>
  </r>
  <r>
    <n v="6962181067"/>
    <d v="2016-04-13T00:00:00"/>
    <n v="5652"/>
    <n v="3.7400000095367401"/>
    <n v="8"/>
    <n v="24"/>
    <n v="142"/>
    <n v="548"/>
    <n v="1718"/>
    <s v="Wednesday"/>
    <s v="April"/>
    <n v="174"/>
    <n v="722"/>
    <n v="9.1300000000000008"/>
    <x v="1"/>
    <s v="Lightly Active"/>
    <n v="3"/>
    <n v="630"/>
    <n v="679"/>
    <n v="10.5"/>
    <n v="11.32"/>
    <n v="49"/>
    <n v="92.78"/>
    <x v="1"/>
  </r>
  <r>
    <n v="6962181067"/>
    <d v="2016-04-14T00:00:00"/>
    <n v="1551"/>
    <n v="1.0299999713897701"/>
    <n v="0"/>
    <n v="0"/>
    <n v="86"/>
    <n v="862"/>
    <n v="1466"/>
    <s v="Thursday"/>
    <s v="April"/>
    <n v="86"/>
    <n v="948"/>
    <n v="14.37"/>
    <x v="0"/>
    <s v="Sedentary"/>
    <n v="2"/>
    <n v="508"/>
    <n v="535"/>
    <n v="8.4700000000000006"/>
    <n v="8.92"/>
    <n v="27"/>
    <n v="94.95"/>
    <x v="2"/>
  </r>
  <r>
    <n v="6962181067"/>
    <d v="2016-04-15T00:00:00"/>
    <n v="5563"/>
    <n v="3.6800000667571999"/>
    <n v="0"/>
    <n v="0"/>
    <n v="217"/>
    <n v="837"/>
    <n v="1756"/>
    <s v="Friday"/>
    <s v="April"/>
    <n v="217"/>
    <n v="1054"/>
    <n v="13.95"/>
    <x v="1"/>
    <s v="Sedentary"/>
    <n v="1"/>
    <n v="370"/>
    <n v="386"/>
    <n v="6.17"/>
    <n v="6.43"/>
    <n v="16"/>
    <n v="95.85"/>
    <x v="3"/>
  </r>
  <r>
    <n v="6962181067"/>
    <d v="2016-04-16T00:00:00"/>
    <n v="13217"/>
    <n v="8.7399997711181605"/>
    <n v="50"/>
    <n v="3"/>
    <n v="280"/>
    <n v="741"/>
    <n v="2173"/>
    <s v="Saturday"/>
    <s v="April"/>
    <n v="333"/>
    <n v="1074"/>
    <n v="12.35"/>
    <x v="4"/>
    <s v="Very Active"/>
    <n v="1"/>
    <n v="357"/>
    <n v="366"/>
    <n v="5.95"/>
    <n v="6.1"/>
    <n v="9"/>
    <n v="97.54"/>
    <x v="0"/>
  </r>
  <r>
    <n v="6962181067"/>
    <d v="2016-04-17T00:00:00"/>
    <n v="10145"/>
    <n v="6.71000003814697"/>
    <n v="5"/>
    <n v="13"/>
    <n v="295"/>
    <n v="634"/>
    <n v="2027"/>
    <s v="Sunday"/>
    <s v="April"/>
    <n v="313"/>
    <n v="947"/>
    <n v="10.57"/>
    <x v="2"/>
    <s v="Lightly Active"/>
    <n v="1"/>
    <n v="427"/>
    <n v="446"/>
    <n v="7.12"/>
    <n v="7.43"/>
    <n v="19"/>
    <n v="95.74"/>
    <x v="2"/>
  </r>
  <r>
    <n v="6962181067"/>
    <d v="2016-04-18T00:00:00"/>
    <n v="11404"/>
    <n v="7.53999996185303"/>
    <n v="13"/>
    <n v="42"/>
    <n v="238"/>
    <n v="689"/>
    <n v="2039"/>
    <s v="Monday"/>
    <s v="April"/>
    <n v="293"/>
    <n v="982"/>
    <n v="11.48"/>
    <x v="2"/>
    <s v="Lightly Active"/>
    <n v="1"/>
    <n v="442"/>
    <n v="458"/>
    <n v="7.37"/>
    <n v="7.63"/>
    <n v="16"/>
    <n v="96.51"/>
    <x v="2"/>
  </r>
  <r>
    <n v="6962181067"/>
    <d v="2016-04-19T00:00:00"/>
    <n v="10742"/>
    <n v="7.0999999046325701"/>
    <n v="35"/>
    <n v="41"/>
    <n v="195"/>
    <n v="659"/>
    <n v="2046"/>
    <s v="Tuesday"/>
    <s v="April"/>
    <n v="271"/>
    <n v="930"/>
    <n v="10.98"/>
    <x v="2"/>
    <s v="Very Active"/>
    <n v="1"/>
    <n v="476"/>
    <n v="535"/>
    <n v="7.93"/>
    <n v="8.92"/>
    <n v="59"/>
    <n v="88.97"/>
    <x v="2"/>
  </r>
  <r>
    <n v="6962181067"/>
    <d v="2016-04-20T00:00:00"/>
    <n v="13928"/>
    <n v="9.5500001907348597"/>
    <n v="48"/>
    <n v="4"/>
    <n v="297"/>
    <n v="639"/>
    <n v="2174"/>
    <s v="Wednesday"/>
    <s v="April"/>
    <n v="349"/>
    <n v="988"/>
    <n v="10.65"/>
    <x v="4"/>
    <s v="Very Active"/>
    <n v="1"/>
    <n v="418"/>
    <n v="424"/>
    <n v="6.97"/>
    <n v="7.07"/>
    <n v="6"/>
    <n v="98.58"/>
    <x v="3"/>
  </r>
  <r>
    <n v="6962181067"/>
    <d v="2016-04-21T00:00:00"/>
    <n v="11835"/>
    <n v="9.7100000381469709"/>
    <n v="53"/>
    <n v="27"/>
    <n v="214"/>
    <n v="708"/>
    <n v="2179"/>
    <s v="Thursday"/>
    <s v="April"/>
    <n v="294"/>
    <n v="1002"/>
    <n v="11.8"/>
    <x v="2"/>
    <s v="Very Active"/>
    <n v="1"/>
    <n v="451"/>
    <n v="457"/>
    <n v="7.52"/>
    <n v="7.62"/>
    <n v="6"/>
    <n v="98.69"/>
    <x v="2"/>
  </r>
  <r>
    <n v="6962181067"/>
    <d v="2016-04-22T00:00:00"/>
    <n v="10725"/>
    <n v="7.0900001525878897"/>
    <n v="30"/>
    <n v="33"/>
    <n v="240"/>
    <n v="659"/>
    <n v="2086"/>
    <s v="Friday"/>
    <s v="April"/>
    <n v="303"/>
    <n v="962"/>
    <n v="10.98"/>
    <x v="2"/>
    <s v="Very Active"/>
    <n v="1"/>
    <n v="425"/>
    <n v="435"/>
    <n v="7.08"/>
    <n v="7.25"/>
    <n v="10"/>
    <n v="97.7"/>
    <x v="2"/>
  </r>
  <r>
    <n v="6962181067"/>
    <d v="2016-04-23T00:00:00"/>
    <n v="20031"/>
    <n v="13.2399997711182"/>
    <n v="58"/>
    <n v="41"/>
    <n v="347"/>
    <n v="484"/>
    <n v="2571"/>
    <s v="Saturday"/>
    <s v="April"/>
    <n v="446"/>
    <n v="930"/>
    <n v="8.07"/>
    <x v="4"/>
    <s v="Very Active"/>
    <n v="1"/>
    <n v="528"/>
    <n v="546"/>
    <n v="8.8000000000000007"/>
    <n v="9.1"/>
    <n v="18"/>
    <n v="96.7"/>
    <x v="2"/>
  </r>
  <r>
    <n v="6962181067"/>
    <d v="2016-04-24T00:00:00"/>
    <n v="5029"/>
    <n v="3.3199999332428001"/>
    <n v="0"/>
    <n v="0"/>
    <n v="199"/>
    <n v="720"/>
    <n v="1705"/>
    <s v="Sunday"/>
    <s v="April"/>
    <n v="199"/>
    <n v="919"/>
    <n v="12"/>
    <x v="1"/>
    <s v="Sedentary"/>
    <n v="1"/>
    <n v="511"/>
    <n v="514"/>
    <n v="8.52"/>
    <n v="8.57"/>
    <n v="3"/>
    <n v="99.42"/>
    <x v="2"/>
  </r>
  <r>
    <n v="6962181067"/>
    <d v="2016-04-25T00:00:00"/>
    <n v="13239"/>
    <n v="9.2700004577636701"/>
    <n v="35"/>
    <n v="31"/>
    <n v="282"/>
    <n v="637"/>
    <n v="2194"/>
    <s v="Monday"/>
    <s v="April"/>
    <n v="348"/>
    <n v="985"/>
    <n v="10.62"/>
    <x v="4"/>
    <s v="Very Active"/>
    <n v="1"/>
    <n v="400"/>
    <n v="415"/>
    <n v="6.67"/>
    <n v="6.92"/>
    <n v="15"/>
    <n v="96.39"/>
    <x v="3"/>
  </r>
  <r>
    <n v="6962181067"/>
    <d v="2016-04-26T00:00:00"/>
    <n v="10433"/>
    <n v="6.9000000953674299"/>
    <n v="36"/>
    <n v="7"/>
    <n v="254"/>
    <n v="680"/>
    <n v="2012"/>
    <s v="Tuesday"/>
    <s v="April"/>
    <n v="297"/>
    <n v="977"/>
    <n v="11.33"/>
    <x v="2"/>
    <s v="Very Active"/>
    <n v="1"/>
    <n v="441"/>
    <n v="446"/>
    <n v="7.35"/>
    <n v="7.43"/>
    <n v="5"/>
    <n v="98.88"/>
    <x v="2"/>
  </r>
  <r>
    <n v="6962181067"/>
    <d v="2016-04-27T00:00:00"/>
    <n v="10320"/>
    <n v="6.8200001716613796"/>
    <n v="7"/>
    <n v="38"/>
    <n v="279"/>
    <n v="697"/>
    <n v="2034"/>
    <s v="Wednesday"/>
    <s v="April"/>
    <n v="324"/>
    <n v="1021"/>
    <n v="11.62"/>
    <x v="2"/>
    <s v="Lightly Active"/>
    <n v="1"/>
    <n v="455"/>
    <n v="467"/>
    <n v="7.58"/>
    <n v="7.78"/>
    <n v="12"/>
    <n v="97.43"/>
    <x v="2"/>
  </r>
  <r>
    <n v="6962181067"/>
    <d v="2016-04-28T00:00:00"/>
    <n v="12627"/>
    <n v="8.3500003814697301"/>
    <n v="38"/>
    <n v="8"/>
    <n v="288"/>
    <n v="621"/>
    <n v="2182"/>
    <s v="Thursday"/>
    <s v="April"/>
    <n v="334"/>
    <n v="955"/>
    <n v="10.35"/>
    <x v="4"/>
    <s v="Very Active"/>
    <n v="1"/>
    <n v="440"/>
    <n v="453"/>
    <n v="7.33"/>
    <n v="7.55"/>
    <n v="13"/>
    <n v="97.13"/>
    <x v="2"/>
  </r>
  <r>
    <n v="6962181067"/>
    <d v="2016-04-29T00:00:00"/>
    <n v="10762"/>
    <n v="7.1100001335143999"/>
    <n v="12"/>
    <n v="15"/>
    <n v="369"/>
    <n v="645"/>
    <n v="2254"/>
    <s v="Friday"/>
    <s v="April"/>
    <n v="396"/>
    <n v="1041"/>
    <n v="10.75"/>
    <x v="2"/>
    <s v="Lightly Active"/>
    <n v="1"/>
    <n v="433"/>
    <n v="447"/>
    <n v="7.22"/>
    <n v="7.45"/>
    <n v="14"/>
    <n v="96.87"/>
    <x v="2"/>
  </r>
  <r>
    <n v="6962181067"/>
    <d v="2016-04-30T00:00:00"/>
    <n v="10081"/>
    <n v="6.6599998474121103"/>
    <n v="32"/>
    <n v="16"/>
    <n v="237"/>
    <n v="731"/>
    <n v="2002"/>
    <s v="Saturday"/>
    <s v="April"/>
    <n v="285"/>
    <n v="1016"/>
    <n v="12.18"/>
    <x v="2"/>
    <s v="Very Active"/>
    <n v="1"/>
    <n v="422"/>
    <n v="424"/>
    <n v="7.03"/>
    <n v="7.07"/>
    <n v="2"/>
    <n v="99.53"/>
    <x v="2"/>
  </r>
  <r>
    <n v="6962181067"/>
    <d v="2016-05-01T00:00:00"/>
    <n v="5454"/>
    <n v="3.6099998950958301"/>
    <n v="0"/>
    <n v="0"/>
    <n v="215"/>
    <n v="722"/>
    <n v="1740"/>
    <s v="Sunday"/>
    <s v="May"/>
    <n v="215"/>
    <n v="937"/>
    <n v="12.03"/>
    <x v="1"/>
    <s v="Sedentary"/>
    <n v="1"/>
    <n v="411"/>
    <n v="426"/>
    <n v="6.85"/>
    <n v="7.1"/>
    <n v="15"/>
    <n v="96.48"/>
    <x v="3"/>
  </r>
  <r>
    <n v="6962181067"/>
    <d v="2016-05-02T00:00:00"/>
    <n v="12912"/>
    <n v="8.5399999618530291"/>
    <n v="18"/>
    <n v="39"/>
    <n v="313"/>
    <n v="655"/>
    <n v="2162"/>
    <s v="Monday"/>
    <s v="May"/>
    <n v="370"/>
    <n v="1025"/>
    <n v="10.92"/>
    <x v="4"/>
    <s v="Moderately Active"/>
    <n v="1"/>
    <n v="466"/>
    <n v="482"/>
    <n v="7.77"/>
    <n v="8.0299999999999994"/>
    <n v="16"/>
    <n v="96.68"/>
    <x v="2"/>
  </r>
  <r>
    <n v="6962181067"/>
    <d v="2016-05-03T00:00:00"/>
    <n v="12109"/>
    <n v="8.1199998855590803"/>
    <n v="21"/>
    <n v="36"/>
    <n v="267"/>
    <n v="654"/>
    <n v="2072"/>
    <s v="Tuesday"/>
    <s v="May"/>
    <n v="324"/>
    <n v="978"/>
    <n v="10.9"/>
    <x v="2"/>
    <s v="Moderately Active"/>
    <n v="1"/>
    <n v="394"/>
    <n v="418"/>
    <n v="6.57"/>
    <n v="6.97"/>
    <n v="24"/>
    <n v="94.26"/>
    <x v="3"/>
  </r>
  <r>
    <n v="6962181067"/>
    <d v="2016-05-04T00:00:00"/>
    <n v="10147"/>
    <n v="6.71000003814697"/>
    <n v="15"/>
    <n v="36"/>
    <n v="284"/>
    <n v="683"/>
    <n v="2086"/>
    <s v="Wednesday"/>
    <s v="May"/>
    <n v="335"/>
    <n v="1018"/>
    <n v="11.38"/>
    <x v="2"/>
    <s v="Moderately Active"/>
    <n v="1"/>
    <n v="442"/>
    <n v="455"/>
    <n v="7.37"/>
    <n v="7.58"/>
    <n v="13"/>
    <n v="97.14"/>
    <x v="2"/>
  </r>
  <r>
    <n v="6962181067"/>
    <d v="2016-05-05T00:00:00"/>
    <n v="10524"/>
    <n v="6.96000003814697"/>
    <n v="14"/>
    <n v="22"/>
    <n v="305"/>
    <n v="591"/>
    <n v="2066"/>
    <s v="Thursday"/>
    <s v="May"/>
    <n v="341"/>
    <n v="932"/>
    <n v="9.85"/>
    <x v="2"/>
    <s v="Lightly Active"/>
    <n v="1"/>
    <n v="467"/>
    <n v="491"/>
    <n v="7.78"/>
    <n v="8.18"/>
    <n v="24"/>
    <n v="95.11"/>
    <x v="2"/>
  </r>
  <r>
    <n v="6962181067"/>
    <d v="2016-05-06T00:00:00"/>
    <n v="5908"/>
    <n v="3.9100000858306898"/>
    <n v="0"/>
    <n v="0"/>
    <n v="299"/>
    <n v="717"/>
    <n v="1850"/>
    <s v="Friday"/>
    <s v="May"/>
    <n v="299"/>
    <n v="1016"/>
    <n v="11.95"/>
    <x v="1"/>
    <s v="Sedentary"/>
    <n v="1"/>
    <n v="443"/>
    <n v="462"/>
    <n v="7.38"/>
    <n v="7.7"/>
    <n v="19"/>
    <n v="95.89"/>
    <x v="2"/>
  </r>
  <r>
    <n v="6962181067"/>
    <d v="2016-05-07T00:00:00"/>
    <n v="6815"/>
    <n v="4.5"/>
    <n v="0"/>
    <n v="0"/>
    <n v="328"/>
    <n v="745"/>
    <n v="1947"/>
    <s v="Saturday"/>
    <s v="May"/>
    <n v="328"/>
    <n v="1073"/>
    <n v="12.42"/>
    <x v="1"/>
    <s v="Sedentary"/>
    <n v="1"/>
    <n v="298"/>
    <n v="334"/>
    <n v="4.97"/>
    <n v="5.57"/>
    <n v="36"/>
    <n v="89.22"/>
    <x v="0"/>
  </r>
  <r>
    <n v="6962181067"/>
    <d v="2016-05-08T00:00:00"/>
    <n v="4188"/>
    <n v="2.7699999809265101"/>
    <n v="0"/>
    <n v="14"/>
    <n v="151"/>
    <n v="709"/>
    <n v="1659"/>
    <s v="Sunday"/>
    <s v="May"/>
    <n v="165"/>
    <n v="874"/>
    <n v="11.82"/>
    <x v="0"/>
    <s v="Sedentary"/>
    <n v="1"/>
    <n v="541"/>
    <n v="569"/>
    <n v="9.02"/>
    <n v="9.48"/>
    <n v="28"/>
    <n v="95.08"/>
    <x v="1"/>
  </r>
  <r>
    <n v="6962181067"/>
    <d v="2016-05-09T00:00:00"/>
    <n v="12342"/>
    <n v="8.7200002670288104"/>
    <n v="43"/>
    <n v="21"/>
    <n v="231"/>
    <n v="607"/>
    <n v="2105"/>
    <s v="Monday"/>
    <s v="May"/>
    <n v="295"/>
    <n v="902"/>
    <n v="10.119999999999999"/>
    <x v="2"/>
    <s v="Very Active"/>
    <n v="1"/>
    <n v="489"/>
    <n v="497"/>
    <n v="8.15"/>
    <n v="8.2799999999999994"/>
    <n v="8"/>
    <n v="98.39"/>
    <x v="2"/>
  </r>
  <r>
    <n v="6962181067"/>
    <d v="2016-05-10T00:00:00"/>
    <n v="15448"/>
    <n v="10.210000038146999"/>
    <n v="62"/>
    <n v="34"/>
    <n v="275"/>
    <n v="626"/>
    <n v="2361"/>
    <s v="Tuesday"/>
    <s v="May"/>
    <n v="371"/>
    <n v="997"/>
    <n v="10.43"/>
    <x v="4"/>
    <s v="Very Active"/>
    <n v="1"/>
    <n v="469"/>
    <n v="481"/>
    <n v="7.82"/>
    <n v="8.02"/>
    <n v="12"/>
    <n v="97.51"/>
    <x v="2"/>
  </r>
  <r>
    <n v="6962181067"/>
    <d v="2016-05-11T00:00:00"/>
    <n v="6722"/>
    <n v="4.4400000572204599"/>
    <n v="24"/>
    <n v="7"/>
    <n v="199"/>
    <n v="709"/>
    <n v="1855"/>
    <s v="Wednesday"/>
    <s v="May"/>
    <n v="230"/>
    <n v="939"/>
    <n v="11.82"/>
    <x v="1"/>
    <s v="Moderately Active"/>
    <n v="1"/>
    <n v="452"/>
    <n v="480"/>
    <n v="7.53"/>
    <n v="8"/>
    <n v="28"/>
    <n v="94.17"/>
    <x v="2"/>
  </r>
  <r>
    <n v="6962181067"/>
    <d v="2016-05-12T00:00:00"/>
    <n v="3587"/>
    <n v="2.3699998855590798"/>
    <n v="0"/>
    <n v="8"/>
    <n v="105"/>
    <n v="127"/>
    <n v="928"/>
    <s v="Thursday"/>
    <s v="May"/>
    <n v="113"/>
    <n v="240"/>
    <n v="2.12"/>
    <x v="0"/>
    <s v="Sedentary"/>
    <n v="1"/>
    <n v="516"/>
    <n v="535"/>
    <n v="8.6"/>
    <n v="8.92"/>
    <n v="19"/>
    <n v="96.45"/>
    <x v="2"/>
  </r>
  <r>
    <n v="7007744171"/>
    <d v="2016-04-16T00:00:00"/>
    <n v="4631"/>
    <n v="3.0999999046325701"/>
    <n v="0"/>
    <n v="0"/>
    <n v="203"/>
    <n v="1155"/>
    <n v="2076"/>
    <s v="Saturday"/>
    <s v="April"/>
    <n v="203"/>
    <n v="1358"/>
    <n v="19.25"/>
    <x v="0"/>
    <s v="Sedentary"/>
    <n v="1"/>
    <n v="79"/>
    <n v="82"/>
    <n v="1.32"/>
    <n v="1.37"/>
    <n v="3"/>
    <n v="96.34"/>
    <x v="0"/>
  </r>
  <r>
    <n v="7007744171"/>
    <d v="2016-05-01T00:00:00"/>
    <n v="5600"/>
    <n v="3.75"/>
    <n v="0"/>
    <n v="0"/>
    <n v="237"/>
    <n v="1142"/>
    <n v="2225"/>
    <s v="Sunday"/>
    <s v="May"/>
    <n v="237"/>
    <n v="1379"/>
    <n v="19.03"/>
    <x v="1"/>
    <s v="Sedentary"/>
    <n v="1"/>
    <n v="58"/>
    <n v="61"/>
    <n v="0.97"/>
    <n v="1.02"/>
    <n v="3"/>
    <n v="95.08"/>
    <x v="0"/>
  </r>
  <r>
    <n v="7086361926"/>
    <d v="2016-04-13T00:00:00"/>
    <n v="5813"/>
    <n v="3.6199998855590798"/>
    <n v="31"/>
    <n v="26"/>
    <n v="155"/>
    <n v="744"/>
    <n v="2516"/>
    <s v="Wednesday"/>
    <s v="April"/>
    <n v="212"/>
    <n v="956"/>
    <n v="12.4"/>
    <x v="1"/>
    <s v="Very Active"/>
    <n v="1"/>
    <n v="451"/>
    <n v="465"/>
    <n v="7.52"/>
    <n v="7.75"/>
    <n v="14"/>
    <n v="96.99"/>
    <x v="2"/>
  </r>
  <r>
    <n v="7086361926"/>
    <d v="2016-04-14T00:00:00"/>
    <n v="9123"/>
    <n v="6.1199998855590803"/>
    <n v="35"/>
    <n v="32"/>
    <n v="189"/>
    <n v="787"/>
    <n v="2734"/>
    <s v="Thursday"/>
    <s v="April"/>
    <n v="256"/>
    <n v="1043"/>
    <n v="13.12"/>
    <x v="3"/>
    <s v="Very Active"/>
    <n v="1"/>
    <n v="472"/>
    <n v="476"/>
    <n v="7.87"/>
    <n v="7.93"/>
    <n v="4"/>
    <n v="99.16"/>
    <x v="2"/>
  </r>
  <r>
    <n v="7086361926"/>
    <d v="2016-04-15T00:00:00"/>
    <n v="8585"/>
    <n v="5.6700000762939498"/>
    <n v="30"/>
    <n v="21"/>
    <n v="139"/>
    <n v="864"/>
    <n v="2395"/>
    <s v="Friday"/>
    <s v="April"/>
    <n v="190"/>
    <n v="1054"/>
    <n v="14.4"/>
    <x v="3"/>
    <s v="Very Active"/>
    <n v="1"/>
    <n v="377"/>
    <n v="386"/>
    <n v="6.28"/>
    <n v="6.43"/>
    <n v="9"/>
    <n v="97.67"/>
    <x v="3"/>
  </r>
  <r>
    <n v="7086361926"/>
    <d v="2016-04-19T00:00:00"/>
    <n v="10688"/>
    <n v="7.28999996185303"/>
    <n v="67"/>
    <n v="69"/>
    <n v="124"/>
    <n v="671"/>
    <n v="2944"/>
    <s v="Tuesday"/>
    <s v="April"/>
    <n v="260"/>
    <n v="931"/>
    <n v="11.18"/>
    <x v="2"/>
    <s v="Very Active"/>
    <n v="1"/>
    <n v="472"/>
    <n v="483"/>
    <n v="7.87"/>
    <n v="8.0500000000000007"/>
    <n v="11"/>
    <n v="97.72"/>
    <x v="2"/>
  </r>
  <r>
    <n v="7086361926"/>
    <d v="2016-04-20T00:00:00"/>
    <n v="14365"/>
    <n v="10.6400003433228"/>
    <n v="87"/>
    <n v="13"/>
    <n v="145"/>
    <n v="797"/>
    <n v="2997"/>
    <s v="Wednesday"/>
    <s v="April"/>
    <n v="245"/>
    <n v="1042"/>
    <n v="13.28"/>
    <x v="4"/>
    <s v="Very Active"/>
    <n v="1"/>
    <n v="492"/>
    <n v="502"/>
    <n v="8.1999999999999993"/>
    <n v="8.3699999999999992"/>
    <n v="10"/>
    <n v="98.01"/>
    <x v="2"/>
  </r>
  <r>
    <n v="7086361926"/>
    <d v="2016-04-21T00:00:00"/>
    <n v="9469"/>
    <n v="6.1799998283386204"/>
    <n v="19"/>
    <n v="6"/>
    <n v="206"/>
    <n v="758"/>
    <n v="2463"/>
    <s v="Thursday"/>
    <s v="April"/>
    <n v="231"/>
    <n v="989"/>
    <n v="12.63"/>
    <x v="3"/>
    <s v="Moderately Active"/>
    <n v="1"/>
    <n v="390"/>
    <n v="411"/>
    <n v="6.5"/>
    <n v="6.85"/>
    <n v="21"/>
    <n v="94.89"/>
    <x v="3"/>
  </r>
  <r>
    <n v="7086361926"/>
    <d v="2016-04-22T00:00:00"/>
    <n v="9753"/>
    <n v="6.5300002098083496"/>
    <n v="58"/>
    <n v="59"/>
    <n v="153"/>
    <n v="762"/>
    <n v="2846"/>
    <s v="Friday"/>
    <s v="April"/>
    <n v="270"/>
    <n v="1032"/>
    <n v="12.7"/>
    <x v="3"/>
    <s v="Very Active"/>
    <n v="1"/>
    <n v="428"/>
    <n v="448"/>
    <n v="7.13"/>
    <n v="7.47"/>
    <n v="20"/>
    <n v="95.54"/>
    <x v="2"/>
  </r>
  <r>
    <n v="7086361926"/>
    <d v="2016-04-24T00:00:00"/>
    <n v="3520"/>
    <n v="2.1600000858306898"/>
    <n v="0"/>
    <n v="0"/>
    <n v="125"/>
    <n v="566"/>
    <n v="2049"/>
    <s v="Sunday"/>
    <s v="April"/>
    <n v="125"/>
    <n v="691"/>
    <n v="9.43"/>
    <x v="0"/>
    <s v="Sedentary"/>
    <n v="1"/>
    <n v="681"/>
    <n v="704"/>
    <n v="11.35"/>
    <n v="11.73"/>
    <n v="23"/>
    <n v="96.73"/>
    <x v="1"/>
  </r>
  <r>
    <n v="7086361926"/>
    <d v="2016-04-25T00:00:00"/>
    <n v="10091"/>
    <n v="6.8200001716613796"/>
    <n v="69"/>
    <n v="39"/>
    <n v="129"/>
    <n v="706"/>
    <n v="2752"/>
    <s v="Monday"/>
    <s v="April"/>
    <n v="237"/>
    <n v="943"/>
    <n v="11.77"/>
    <x v="2"/>
    <s v="Very Active"/>
    <n v="1"/>
    <n v="446"/>
    <n v="447"/>
    <n v="7.43"/>
    <n v="7.45"/>
    <n v="1"/>
    <n v="99.78"/>
    <x v="2"/>
  </r>
  <r>
    <n v="7086361926"/>
    <d v="2016-04-26T00:00:00"/>
    <n v="10387"/>
    <n v="7.0700001716613796"/>
    <n v="70"/>
    <n v="33"/>
    <n v="132"/>
    <n v="726"/>
    <n v="2781"/>
    <s v="Tuesday"/>
    <s v="April"/>
    <n v="235"/>
    <n v="961"/>
    <n v="12.1"/>
    <x v="2"/>
    <s v="Very Active"/>
    <n v="1"/>
    <n v="485"/>
    <n v="500"/>
    <n v="8.08"/>
    <n v="8.33"/>
    <n v="15"/>
    <n v="97"/>
    <x v="2"/>
  </r>
  <r>
    <n v="7086361926"/>
    <d v="2016-04-27T00:00:00"/>
    <n v="11107"/>
    <n v="8.3400001525878906"/>
    <n v="55"/>
    <n v="6"/>
    <n v="145"/>
    <n v="829"/>
    <n v="2693"/>
    <s v="Wednesday"/>
    <s v="April"/>
    <n v="206"/>
    <n v="1035"/>
    <n v="13.82"/>
    <x v="2"/>
    <s v="Very Active"/>
    <n v="1"/>
    <n v="469"/>
    <n v="479"/>
    <n v="7.82"/>
    <n v="7.98"/>
    <n v="10"/>
    <n v="97.91"/>
    <x v="2"/>
  </r>
  <r>
    <n v="7086361926"/>
    <d v="2016-04-28T00:00:00"/>
    <n v="11584"/>
    <n v="7.8000001907348597"/>
    <n v="54"/>
    <n v="48"/>
    <n v="161"/>
    <n v="810"/>
    <n v="2862"/>
    <s v="Thursday"/>
    <s v="April"/>
    <n v="263"/>
    <n v="1073"/>
    <n v="13.5"/>
    <x v="2"/>
    <s v="Very Active"/>
    <n v="1"/>
    <n v="354"/>
    <n v="367"/>
    <n v="5.9"/>
    <n v="6.12"/>
    <n v="13"/>
    <n v="96.46"/>
    <x v="0"/>
  </r>
  <r>
    <n v="7086361926"/>
    <d v="2016-04-30T00:00:00"/>
    <n v="14560"/>
    <n v="9.4099998474121094"/>
    <n v="42"/>
    <n v="17"/>
    <n v="308"/>
    <n v="584"/>
    <n v="2995"/>
    <s v="Saturday"/>
    <s v="April"/>
    <n v="367"/>
    <n v="951"/>
    <n v="9.73"/>
    <x v="4"/>
    <s v="Very Active"/>
    <n v="1"/>
    <n v="485"/>
    <n v="489"/>
    <n v="8.08"/>
    <n v="8.15"/>
    <n v="4"/>
    <n v="99.18"/>
    <x v="2"/>
  </r>
  <r>
    <n v="7086361926"/>
    <d v="2016-05-01T00:00:00"/>
    <n v="12390"/>
    <n v="8.0699996948242205"/>
    <n v="30"/>
    <n v="15"/>
    <n v="258"/>
    <n v="685"/>
    <n v="2730"/>
    <s v="Sunday"/>
    <s v="May"/>
    <n v="303"/>
    <n v="988"/>
    <n v="11.42"/>
    <x v="2"/>
    <s v="Very Active"/>
    <n v="1"/>
    <n v="388"/>
    <n v="407"/>
    <n v="6.47"/>
    <n v="6.78"/>
    <n v="19"/>
    <n v="95.33"/>
    <x v="3"/>
  </r>
  <r>
    <n v="7086361926"/>
    <d v="2016-05-02T00:00:00"/>
    <n v="10052"/>
    <n v="6.8099999427795401"/>
    <n v="66"/>
    <n v="26"/>
    <n v="139"/>
    <n v="737"/>
    <n v="2754"/>
    <s v="Monday"/>
    <s v="May"/>
    <n v="231"/>
    <n v="968"/>
    <n v="12.28"/>
    <x v="2"/>
    <s v="Very Active"/>
    <n v="1"/>
    <n v="440"/>
    <n v="459"/>
    <n v="7.33"/>
    <n v="7.65"/>
    <n v="19"/>
    <n v="95.86"/>
    <x v="2"/>
  </r>
  <r>
    <n v="7086361926"/>
    <d v="2016-05-03T00:00:00"/>
    <n v="10288"/>
    <n v="6.7600002288818404"/>
    <n v="57"/>
    <n v="36"/>
    <n v="152"/>
    <n v="761"/>
    <n v="2754"/>
    <s v="Tuesday"/>
    <s v="May"/>
    <n v="245"/>
    <n v="1006"/>
    <n v="12.68"/>
    <x v="2"/>
    <s v="Very Active"/>
    <n v="1"/>
    <n v="456"/>
    <n v="461"/>
    <n v="7.6"/>
    <n v="7.68"/>
    <n v="5"/>
    <n v="98.92"/>
    <x v="2"/>
  </r>
  <r>
    <n v="7086361926"/>
    <d v="2016-05-04T00:00:00"/>
    <n v="10988"/>
    <n v="8.3100004196166992"/>
    <n v="45"/>
    <n v="12"/>
    <n v="135"/>
    <n v="843"/>
    <n v="2655"/>
    <s v="Wednesday"/>
    <s v="May"/>
    <n v="192"/>
    <n v="1035"/>
    <n v="14.05"/>
    <x v="2"/>
    <s v="Very Active"/>
    <n v="1"/>
    <n v="420"/>
    <n v="436"/>
    <n v="7"/>
    <n v="7.27"/>
    <n v="16"/>
    <n v="96.33"/>
    <x v="2"/>
  </r>
  <r>
    <n v="7086361926"/>
    <d v="2016-05-06T00:00:00"/>
    <n v="12461"/>
    <n v="8.3800001144409197"/>
    <n v="84"/>
    <n v="35"/>
    <n v="154"/>
    <n v="834"/>
    <n v="2924"/>
    <s v="Friday"/>
    <s v="May"/>
    <n v="273"/>
    <n v="1107"/>
    <n v="13.9"/>
    <x v="2"/>
    <s v="Very Active"/>
    <n v="1"/>
    <n v="322"/>
    <n v="333"/>
    <n v="5.37"/>
    <n v="5.55"/>
    <n v="11"/>
    <n v="96.7"/>
    <x v="0"/>
  </r>
  <r>
    <n v="7086361926"/>
    <d v="2016-05-07T00:00:00"/>
    <n v="12827"/>
    <n v="8.4799995422363299"/>
    <n v="20"/>
    <n v="42"/>
    <n v="209"/>
    <n v="621"/>
    <n v="2739"/>
    <s v="Saturday"/>
    <s v="May"/>
    <n v="271"/>
    <n v="892"/>
    <n v="10.35"/>
    <x v="4"/>
    <s v="Moderately Active"/>
    <n v="1"/>
    <n v="530"/>
    <n v="548"/>
    <n v="8.83"/>
    <n v="9.1300000000000008"/>
    <n v="18"/>
    <n v="96.72"/>
    <x v="2"/>
  </r>
  <r>
    <n v="7086361926"/>
    <d v="2016-05-08T00:00:00"/>
    <n v="10677"/>
    <n v="7.0999999046325701"/>
    <n v="32"/>
    <n v="27"/>
    <n v="147"/>
    <n v="695"/>
    <n v="2534"/>
    <s v="Sunday"/>
    <s v="May"/>
    <n v="206"/>
    <n v="901"/>
    <n v="11.58"/>
    <x v="2"/>
    <s v="Very Active"/>
    <n v="1"/>
    <n v="481"/>
    <n v="510"/>
    <n v="8.02"/>
    <n v="8.5"/>
    <n v="29"/>
    <n v="94.31"/>
    <x v="2"/>
  </r>
  <r>
    <n v="7086361926"/>
    <d v="2016-05-09T00:00:00"/>
    <n v="13566"/>
    <n v="9.1099996566772496"/>
    <n v="67"/>
    <n v="50"/>
    <n v="171"/>
    <n v="743"/>
    <n v="2960"/>
    <s v="Monday"/>
    <s v="May"/>
    <n v="288"/>
    <n v="1031"/>
    <n v="12.38"/>
    <x v="4"/>
    <s v="Very Active"/>
    <n v="1"/>
    <n v="427"/>
    <n v="438"/>
    <n v="7.12"/>
    <n v="7.3"/>
    <n v="11"/>
    <n v="97.49"/>
    <x v="2"/>
  </r>
  <r>
    <n v="7086361926"/>
    <d v="2016-05-11T00:00:00"/>
    <n v="9572"/>
    <n v="6.5199999809265101"/>
    <n v="57"/>
    <n v="40"/>
    <n v="128"/>
    <n v="757"/>
    <n v="2735"/>
    <s v="Wednesday"/>
    <s v="May"/>
    <n v="225"/>
    <n v="982"/>
    <n v="12.62"/>
    <x v="3"/>
    <s v="Very Active"/>
    <n v="1"/>
    <n v="451"/>
    <n v="463"/>
    <n v="7.52"/>
    <n v="7.72"/>
    <n v="12"/>
    <n v="97.41"/>
    <x v="2"/>
  </r>
  <r>
    <n v="7086361926"/>
    <d v="2016-05-12T00:00:00"/>
    <n v="3789"/>
    <n v="2.5599999427795401"/>
    <n v="5"/>
    <n v="4"/>
    <n v="58"/>
    <n v="343"/>
    <n v="1199"/>
    <s v="Thursday"/>
    <s v="May"/>
    <n v="67"/>
    <n v="410"/>
    <n v="5.72"/>
    <x v="0"/>
    <s v="Lightly Active"/>
    <n v="1"/>
    <n v="444"/>
    <n v="457"/>
    <n v="7.4"/>
    <n v="7.62"/>
    <n v="13"/>
    <n v="97.16"/>
    <x v="2"/>
  </r>
  <r>
    <n v="8053475328"/>
    <d v="2016-04-20T00:00:00"/>
    <n v="15108"/>
    <n v="12.189999580383301"/>
    <n v="89"/>
    <n v="5"/>
    <n v="158"/>
    <n v="695"/>
    <n v="3043"/>
    <s v="Wednesday"/>
    <s v="April"/>
    <n v="252"/>
    <n v="947"/>
    <n v="11.58"/>
    <x v="4"/>
    <s v="Very Active"/>
    <n v="1"/>
    <n v="486"/>
    <n v="493"/>
    <n v="8.1"/>
    <n v="8.2200000000000006"/>
    <n v="7"/>
    <n v="98.58"/>
    <x v="2"/>
  </r>
  <r>
    <n v="8053475328"/>
    <d v="2016-04-23T00:00:00"/>
    <n v="22359"/>
    <n v="17.190000534057599"/>
    <n v="125"/>
    <n v="14"/>
    <n v="223"/>
    <n v="741"/>
    <n v="3554"/>
    <s v="Saturday"/>
    <s v="April"/>
    <n v="362"/>
    <n v="1103"/>
    <n v="12.35"/>
    <x v="4"/>
    <s v="Very Active"/>
    <n v="1"/>
    <n v="331"/>
    <n v="337"/>
    <n v="5.52"/>
    <n v="5.62"/>
    <n v="6"/>
    <n v="98.22"/>
    <x v="0"/>
  </r>
  <r>
    <n v="8053475328"/>
    <d v="2016-05-07T00:00:00"/>
    <n v="19769"/>
    <n v="15.670000076293899"/>
    <n v="121"/>
    <n v="20"/>
    <n v="148"/>
    <n v="1076"/>
    <n v="3331"/>
    <s v="Saturday"/>
    <s v="May"/>
    <n v="289"/>
    <n v="1365"/>
    <n v="17.93"/>
    <x v="4"/>
    <s v="Very Active"/>
    <n v="1"/>
    <n v="74"/>
    <n v="75"/>
    <n v="1.23"/>
    <n v="1.25"/>
    <n v="1"/>
    <n v="98.67"/>
    <x v="0"/>
  </r>
  <r>
    <n v="8378563200"/>
    <d v="2016-04-13T00:00:00"/>
    <n v="12386"/>
    <n v="9.8199996948242205"/>
    <n v="116"/>
    <n v="14"/>
    <n v="169"/>
    <n v="680"/>
    <n v="4079"/>
    <s v="Wednesday"/>
    <s v="April"/>
    <n v="299"/>
    <n v="979"/>
    <n v="11.33"/>
    <x v="2"/>
    <s v="Very Active"/>
    <n v="2"/>
    <n v="447"/>
    <n v="487"/>
    <n v="7.45"/>
    <n v="8.1199999999999992"/>
    <n v="40"/>
    <n v="91.79"/>
    <x v="2"/>
  </r>
  <r>
    <n v="8378563200"/>
    <d v="2016-04-14T00:00:00"/>
    <n v="13318"/>
    <n v="10.560000419616699"/>
    <n v="123"/>
    <n v="21"/>
    <n v="174"/>
    <n v="699"/>
    <n v="4163"/>
    <s v="Thursday"/>
    <s v="April"/>
    <n v="318"/>
    <n v="1017"/>
    <n v="11.65"/>
    <x v="4"/>
    <s v="Very Active"/>
    <n v="1"/>
    <n v="424"/>
    <n v="455"/>
    <n v="7.07"/>
    <n v="7.58"/>
    <n v="31"/>
    <n v="93.19"/>
    <x v="2"/>
  </r>
  <r>
    <n v="8378563200"/>
    <d v="2016-04-15T00:00:00"/>
    <n v="14461"/>
    <n v="11.4700002670288"/>
    <n v="60"/>
    <n v="23"/>
    <n v="190"/>
    <n v="729"/>
    <n v="3666"/>
    <s v="Friday"/>
    <s v="April"/>
    <n v="273"/>
    <n v="1002"/>
    <n v="12.15"/>
    <x v="4"/>
    <s v="Very Active"/>
    <n v="1"/>
    <n v="513"/>
    <n v="533"/>
    <n v="8.5500000000000007"/>
    <n v="8.8800000000000008"/>
    <n v="20"/>
    <n v="96.25"/>
    <x v="2"/>
  </r>
  <r>
    <n v="8378563200"/>
    <d v="2016-04-16T00:00:00"/>
    <n v="11207"/>
    <n v="8.8900003433227504"/>
    <n v="64"/>
    <n v="21"/>
    <n v="142"/>
    <n v="563"/>
    <n v="3363"/>
    <s v="Saturday"/>
    <s v="April"/>
    <n v="227"/>
    <n v="790"/>
    <n v="9.3800000000000008"/>
    <x v="2"/>
    <s v="Very Active"/>
    <n v="2"/>
    <n v="611"/>
    <n v="689"/>
    <n v="10.18"/>
    <n v="11.48"/>
    <n v="78"/>
    <n v="88.68"/>
    <x v="1"/>
  </r>
  <r>
    <n v="8378563200"/>
    <d v="2016-04-17T00:00:00"/>
    <n v="2132"/>
    <n v="1.6900000572204601"/>
    <n v="0"/>
    <n v="0"/>
    <n v="93"/>
    <n v="599"/>
    <n v="2572"/>
    <s v="Sunday"/>
    <s v="April"/>
    <n v="93"/>
    <n v="692"/>
    <n v="9.98"/>
    <x v="0"/>
    <s v="Sedentary"/>
    <n v="2"/>
    <n v="525"/>
    <n v="591"/>
    <n v="8.75"/>
    <n v="9.85"/>
    <n v="66"/>
    <n v="88.83"/>
    <x v="2"/>
  </r>
  <r>
    <n v="8378563200"/>
    <d v="2016-04-18T00:00:00"/>
    <n v="13630"/>
    <n v="10.810000419616699"/>
    <n v="117"/>
    <n v="10"/>
    <n v="174"/>
    <n v="720"/>
    <n v="4157"/>
    <s v="Monday"/>
    <s v="April"/>
    <n v="301"/>
    <n v="1021"/>
    <n v="12"/>
    <x v="4"/>
    <s v="Very Active"/>
    <n v="1"/>
    <n v="398"/>
    <n v="451"/>
    <n v="6.63"/>
    <n v="7.52"/>
    <n v="53"/>
    <n v="88.25"/>
    <x v="3"/>
  </r>
  <r>
    <n v="8378563200"/>
    <d v="2016-04-19T00:00:00"/>
    <n v="13070"/>
    <n v="10.3599996566772"/>
    <n v="120"/>
    <n v="19"/>
    <n v="154"/>
    <n v="737"/>
    <n v="4092"/>
    <s v="Tuesday"/>
    <s v="April"/>
    <n v="293"/>
    <n v="1030"/>
    <n v="12.28"/>
    <x v="4"/>
    <s v="Very Active"/>
    <n v="1"/>
    <n v="387"/>
    <n v="421"/>
    <n v="6.45"/>
    <n v="7.02"/>
    <n v="34"/>
    <n v="91.92"/>
    <x v="3"/>
  </r>
  <r>
    <n v="8378563200"/>
    <d v="2016-04-20T00:00:00"/>
    <n v="9388"/>
    <n v="7.4400000572204599"/>
    <n v="82"/>
    <n v="8"/>
    <n v="169"/>
    <n v="763"/>
    <n v="3787"/>
    <s v="Wednesday"/>
    <s v="April"/>
    <n v="259"/>
    <n v="1022"/>
    <n v="12.72"/>
    <x v="3"/>
    <s v="Very Active"/>
    <n v="1"/>
    <n v="381"/>
    <n v="409"/>
    <n v="6.35"/>
    <n v="6.82"/>
    <n v="28"/>
    <n v="93.15"/>
    <x v="3"/>
  </r>
  <r>
    <n v="8378563200"/>
    <d v="2016-04-21T00:00:00"/>
    <n v="15148"/>
    <n v="12.0100002288818"/>
    <n v="137"/>
    <n v="16"/>
    <n v="145"/>
    <n v="677"/>
    <n v="4236"/>
    <s v="Thursday"/>
    <s v="April"/>
    <n v="298"/>
    <n v="975"/>
    <n v="11.28"/>
    <x v="4"/>
    <s v="Very Active"/>
    <n v="1"/>
    <n v="396"/>
    <n v="417"/>
    <n v="6.6"/>
    <n v="6.95"/>
    <n v="21"/>
    <n v="94.96"/>
    <x v="3"/>
  </r>
  <r>
    <n v="8378563200"/>
    <d v="2016-04-22T00:00:00"/>
    <n v="12200"/>
    <n v="9.6700000762939506"/>
    <n v="113"/>
    <n v="12"/>
    <n v="159"/>
    <n v="769"/>
    <n v="4044"/>
    <s v="Friday"/>
    <s v="April"/>
    <n v="284"/>
    <n v="1053"/>
    <n v="12.82"/>
    <x v="2"/>
    <s v="Very Active"/>
    <n v="1"/>
    <n v="441"/>
    <n v="469"/>
    <n v="7.35"/>
    <n v="7.82"/>
    <n v="28"/>
    <n v="94.03"/>
    <x v="2"/>
  </r>
  <r>
    <n v="8378563200"/>
    <d v="2016-04-23T00:00:00"/>
    <n v="5709"/>
    <n v="4.5300002098083496"/>
    <n v="19"/>
    <n v="10"/>
    <n v="136"/>
    <n v="740"/>
    <n v="2908"/>
    <s v="Saturday"/>
    <s v="April"/>
    <n v="165"/>
    <n v="905"/>
    <n v="12.33"/>
    <x v="1"/>
    <s v="Moderately Active"/>
    <n v="1"/>
    <n v="565"/>
    <n v="591"/>
    <n v="9.42"/>
    <n v="9.85"/>
    <n v="26"/>
    <n v="95.6"/>
    <x v="1"/>
  </r>
  <r>
    <n v="8378563200"/>
    <d v="2016-04-24T00:00:00"/>
    <n v="3703"/>
    <n v="2.9400000572204599"/>
    <n v="0"/>
    <n v="0"/>
    <n v="135"/>
    <n v="734"/>
    <n v="2741"/>
    <s v="Sunday"/>
    <s v="April"/>
    <n v="135"/>
    <n v="869"/>
    <n v="12.23"/>
    <x v="0"/>
    <s v="Sedentary"/>
    <n v="1"/>
    <n v="458"/>
    <n v="492"/>
    <n v="7.63"/>
    <n v="8.1999999999999993"/>
    <n v="34"/>
    <n v="93.09"/>
    <x v="2"/>
  </r>
  <r>
    <n v="8378563200"/>
    <d v="2016-04-25T00:00:00"/>
    <n v="12405"/>
    <n v="9.8400001525878906"/>
    <n v="117"/>
    <n v="16"/>
    <n v="141"/>
    <n v="692"/>
    <n v="4005"/>
    <s v="Monday"/>
    <s v="April"/>
    <n v="274"/>
    <n v="966"/>
    <n v="11.53"/>
    <x v="2"/>
    <s v="Very Active"/>
    <n v="1"/>
    <n v="388"/>
    <n v="402"/>
    <n v="6.47"/>
    <n v="6.7"/>
    <n v="14"/>
    <n v="96.52"/>
    <x v="3"/>
  </r>
  <r>
    <n v="8378563200"/>
    <d v="2016-04-26T00:00:00"/>
    <n v="16208"/>
    <n v="12.8500003814697"/>
    <n v="90"/>
    <n v="18"/>
    <n v="161"/>
    <n v="593"/>
    <n v="3763"/>
    <s v="Tuesday"/>
    <s v="April"/>
    <n v="269"/>
    <n v="862"/>
    <n v="9.8800000000000008"/>
    <x v="4"/>
    <s v="Very Active"/>
    <n v="1"/>
    <n v="550"/>
    <n v="584"/>
    <n v="9.17"/>
    <n v="9.73"/>
    <n v="34"/>
    <n v="94.18"/>
    <x v="1"/>
  </r>
  <r>
    <n v="8378563200"/>
    <d v="2016-04-27T00:00:00"/>
    <n v="7359"/>
    <n v="5.8400001525878897"/>
    <n v="4"/>
    <n v="4"/>
    <n v="192"/>
    <n v="676"/>
    <n v="3061"/>
    <s v="Wednesday"/>
    <s v="April"/>
    <n v="200"/>
    <n v="876"/>
    <n v="11.27"/>
    <x v="1"/>
    <s v="Lightly Active"/>
    <n v="1"/>
    <n v="531"/>
    <n v="600"/>
    <n v="8.85"/>
    <n v="10"/>
    <n v="69"/>
    <n v="88.5"/>
    <x v="2"/>
  </r>
  <r>
    <n v="8378563200"/>
    <d v="2016-04-28T00:00:00"/>
    <n v="5417"/>
    <n v="4.3000001907348597"/>
    <n v="11"/>
    <n v="10"/>
    <n v="139"/>
    <n v="711"/>
    <n v="2884"/>
    <s v="Thursday"/>
    <s v="April"/>
    <n v="160"/>
    <n v="871"/>
    <n v="11.85"/>
    <x v="1"/>
    <s v="Lightly Active"/>
    <n v="1"/>
    <n v="506"/>
    <n v="556"/>
    <n v="8.43"/>
    <n v="9.27"/>
    <n v="50"/>
    <n v="91.01"/>
    <x v="2"/>
  </r>
  <r>
    <n v="8378563200"/>
    <d v="2016-04-29T00:00:00"/>
    <n v="6175"/>
    <n v="4.9000000953674299"/>
    <n v="3"/>
    <n v="7"/>
    <n v="172"/>
    <n v="767"/>
    <n v="2982"/>
    <s v="Friday"/>
    <s v="April"/>
    <n v="182"/>
    <n v="949"/>
    <n v="12.78"/>
    <x v="1"/>
    <s v="Lightly Active"/>
    <n v="1"/>
    <n v="527"/>
    <n v="562"/>
    <n v="8.7799999999999994"/>
    <n v="9.3699999999999992"/>
    <n v="35"/>
    <n v="93.77"/>
    <x v="2"/>
  </r>
  <r>
    <n v="8378563200"/>
    <d v="2016-04-30T00:00:00"/>
    <n v="2946"/>
    <n v="2.3399999141693102"/>
    <n v="0"/>
    <n v="0"/>
    <n v="121"/>
    <n v="780"/>
    <n v="2660"/>
    <s v="Saturday"/>
    <s v="April"/>
    <n v="121"/>
    <n v="901"/>
    <n v="13"/>
    <x v="0"/>
    <s v="Sedentary"/>
    <n v="1"/>
    <n v="468"/>
    <n v="555"/>
    <n v="7.8"/>
    <n v="9.25"/>
    <n v="87"/>
    <n v="84.32"/>
    <x v="2"/>
  </r>
  <r>
    <n v="8378563200"/>
    <d v="2016-05-01T00:00:00"/>
    <n v="11419"/>
    <n v="9.0600004196166992"/>
    <n v="71"/>
    <n v="10"/>
    <n v="127"/>
    <n v="669"/>
    <n v="3369"/>
    <s v="Sunday"/>
    <s v="May"/>
    <n v="208"/>
    <n v="877"/>
    <n v="11.15"/>
    <x v="2"/>
    <s v="Very Active"/>
    <n v="1"/>
    <n v="475"/>
    <n v="539"/>
    <n v="7.92"/>
    <n v="8.98"/>
    <n v="64"/>
    <n v="88.13"/>
    <x v="2"/>
  </r>
  <r>
    <n v="8378563200"/>
    <d v="2016-05-02T00:00:00"/>
    <n v="6064"/>
    <n v="4.8099999427795401"/>
    <n v="63"/>
    <n v="4"/>
    <n v="142"/>
    <n v="802"/>
    <n v="3491"/>
    <s v="Monday"/>
    <s v="May"/>
    <n v="209"/>
    <n v="1011"/>
    <n v="13.37"/>
    <x v="1"/>
    <s v="Very Active"/>
    <n v="1"/>
    <n v="351"/>
    <n v="385"/>
    <n v="5.85"/>
    <n v="6.42"/>
    <n v="34"/>
    <n v="91.17"/>
    <x v="0"/>
  </r>
  <r>
    <n v="8378563200"/>
    <d v="2016-05-03T00:00:00"/>
    <n v="8712"/>
    <n v="6.9099998474121103"/>
    <n v="71"/>
    <n v="20"/>
    <n v="195"/>
    <n v="822"/>
    <n v="3784"/>
    <s v="Tuesday"/>
    <s v="May"/>
    <n v="286"/>
    <n v="1108"/>
    <n v="13.7"/>
    <x v="3"/>
    <s v="Very Active"/>
    <n v="1"/>
    <n v="405"/>
    <n v="429"/>
    <n v="6.75"/>
    <n v="7.15"/>
    <n v="24"/>
    <n v="94.41"/>
    <x v="3"/>
  </r>
  <r>
    <n v="8378563200"/>
    <d v="2016-05-04T00:00:00"/>
    <n v="7875"/>
    <n v="6.2399997711181596"/>
    <n v="19"/>
    <n v="10"/>
    <n v="167"/>
    <n v="680"/>
    <n v="3110"/>
    <s v="Wednesday"/>
    <s v="May"/>
    <n v="196"/>
    <n v="876"/>
    <n v="11.33"/>
    <x v="3"/>
    <s v="Moderately Active"/>
    <n v="1"/>
    <n v="441"/>
    <n v="477"/>
    <n v="7.35"/>
    <n v="7.95"/>
    <n v="36"/>
    <n v="92.45"/>
    <x v="2"/>
  </r>
  <r>
    <n v="8378563200"/>
    <d v="2016-05-05T00:00:00"/>
    <n v="8567"/>
    <n v="6.78999996185303"/>
    <n v="66"/>
    <n v="3"/>
    <n v="214"/>
    <n v="764"/>
    <n v="3783"/>
    <s v="Thursday"/>
    <s v="May"/>
    <n v="283"/>
    <n v="1047"/>
    <n v="12.73"/>
    <x v="3"/>
    <s v="Very Active"/>
    <n v="1"/>
    <n v="381"/>
    <n v="417"/>
    <n v="6.35"/>
    <n v="6.95"/>
    <n v="36"/>
    <n v="91.37"/>
    <x v="3"/>
  </r>
  <r>
    <n v="8378563200"/>
    <d v="2016-05-06T00:00:00"/>
    <n v="7045"/>
    <n v="5.5900001525878897"/>
    <n v="74"/>
    <n v="5"/>
    <n v="166"/>
    <n v="831"/>
    <n v="3644"/>
    <s v="Friday"/>
    <s v="May"/>
    <n v="245"/>
    <n v="1076"/>
    <n v="13.85"/>
    <x v="1"/>
    <s v="Very Active"/>
    <n v="1"/>
    <n v="323"/>
    <n v="355"/>
    <n v="5.38"/>
    <n v="5.92"/>
    <n v="32"/>
    <n v="90.99"/>
    <x v="0"/>
  </r>
  <r>
    <n v="8378563200"/>
    <d v="2016-05-07T00:00:00"/>
    <n v="4468"/>
    <n v="3.53999996185303"/>
    <n v="0"/>
    <n v="0"/>
    <n v="158"/>
    <n v="851"/>
    <n v="2799"/>
    <s v="Saturday"/>
    <s v="May"/>
    <n v="158"/>
    <n v="1009"/>
    <n v="14.18"/>
    <x v="0"/>
    <s v="Sedentary"/>
    <n v="2"/>
    <n v="459"/>
    <n v="513"/>
    <n v="7.65"/>
    <n v="8.5500000000000007"/>
    <n v="54"/>
    <n v="89.47"/>
    <x v="2"/>
  </r>
  <r>
    <n v="8378563200"/>
    <d v="2016-05-08T00:00:00"/>
    <n v="2943"/>
    <n v="2.3299999237060498"/>
    <n v="0"/>
    <n v="0"/>
    <n v="139"/>
    <n v="621"/>
    <n v="2685"/>
    <s v="Sunday"/>
    <s v="May"/>
    <n v="139"/>
    <n v="760"/>
    <n v="10.35"/>
    <x v="0"/>
    <s v="Sedentary"/>
    <n v="1"/>
    <n v="545"/>
    <n v="606"/>
    <n v="9.08"/>
    <n v="10.1"/>
    <n v="61"/>
    <n v="89.93"/>
    <x v="1"/>
  </r>
  <r>
    <n v="8378563200"/>
    <d v="2016-05-09T00:00:00"/>
    <n v="8382"/>
    <n v="6.6500000953674299"/>
    <n v="71"/>
    <n v="13"/>
    <n v="171"/>
    <n v="772"/>
    <n v="3721"/>
    <s v="Monday"/>
    <s v="May"/>
    <n v="255"/>
    <n v="1027"/>
    <n v="12.87"/>
    <x v="3"/>
    <s v="Very Active"/>
    <n v="1"/>
    <n v="359"/>
    <n v="399"/>
    <n v="5.98"/>
    <n v="6.65"/>
    <n v="40"/>
    <n v="89.97"/>
    <x v="0"/>
  </r>
  <r>
    <n v="8378563200"/>
    <d v="2016-05-10T00:00:00"/>
    <n v="6582"/>
    <n v="5.2199997901916504"/>
    <n v="63"/>
    <n v="13"/>
    <n v="152"/>
    <n v="840"/>
    <n v="3586"/>
    <s v="Tuesday"/>
    <s v="May"/>
    <n v="228"/>
    <n v="1068"/>
    <n v="14"/>
    <x v="1"/>
    <s v="Very Active"/>
    <n v="1"/>
    <n v="342"/>
    <n v="391"/>
    <n v="5.7"/>
    <n v="6.52"/>
    <n v="49"/>
    <n v="87.47"/>
    <x v="0"/>
  </r>
  <r>
    <n v="8378563200"/>
    <d v="2016-05-11T00:00:00"/>
    <n v="9143"/>
    <n v="7.25"/>
    <n v="72"/>
    <n v="10"/>
    <n v="184"/>
    <n v="763"/>
    <n v="3788"/>
    <s v="Wednesday"/>
    <s v="May"/>
    <n v="266"/>
    <n v="1029"/>
    <n v="12.72"/>
    <x v="3"/>
    <s v="Very Active"/>
    <n v="1"/>
    <n v="368"/>
    <n v="387"/>
    <n v="6.13"/>
    <n v="6.45"/>
    <n v="19"/>
    <n v="95.09"/>
    <x v="3"/>
  </r>
  <r>
    <n v="8378563200"/>
    <d v="2016-05-12T00:00:00"/>
    <n v="4561"/>
    <n v="3.6199998855590798"/>
    <n v="8"/>
    <n v="6"/>
    <n v="102"/>
    <n v="433"/>
    <n v="1976"/>
    <s v="Thursday"/>
    <s v="May"/>
    <n v="116"/>
    <n v="549"/>
    <n v="7.22"/>
    <x v="0"/>
    <s v="Lightly Active"/>
    <n v="1"/>
    <n v="496"/>
    <n v="546"/>
    <n v="8.27"/>
    <n v="9.1"/>
    <n v="50"/>
    <n v="90.84"/>
    <x v="2"/>
  </r>
  <r>
    <n v="8792009665"/>
    <d v="2016-04-13T00:00:00"/>
    <n v="1320"/>
    <n v="0.83999997377395597"/>
    <n v="0"/>
    <n v="0"/>
    <n v="82"/>
    <n v="806"/>
    <n v="1934"/>
    <s v="Wednesday"/>
    <s v="April"/>
    <n v="82"/>
    <n v="888"/>
    <n v="13.43"/>
    <x v="0"/>
    <s v="Sedentary"/>
    <n v="1"/>
    <n v="531"/>
    <n v="552"/>
    <n v="8.85"/>
    <n v="9.1999999999999993"/>
    <n v="21"/>
    <n v="96.2"/>
    <x v="2"/>
  </r>
  <r>
    <n v="8792009665"/>
    <d v="2016-04-14T00:00:00"/>
    <n v="1219"/>
    <n v="0.77999997138977095"/>
    <n v="0"/>
    <n v="0"/>
    <n v="84"/>
    <n v="853"/>
    <n v="1963"/>
    <s v="Thursday"/>
    <s v="April"/>
    <n v="84"/>
    <n v="937"/>
    <n v="14.22"/>
    <x v="0"/>
    <s v="Sedentary"/>
    <n v="1"/>
    <n v="486"/>
    <n v="503"/>
    <n v="8.1"/>
    <n v="8.3800000000000008"/>
    <n v="17"/>
    <n v="96.62"/>
    <x v="2"/>
  </r>
  <r>
    <n v="8792009665"/>
    <d v="2016-04-15T00:00:00"/>
    <n v="2483"/>
    <n v="1.5900000333786"/>
    <n v="0"/>
    <n v="0"/>
    <n v="126"/>
    <n v="937"/>
    <n v="2009"/>
    <s v="Friday"/>
    <s v="April"/>
    <n v="126"/>
    <n v="1063"/>
    <n v="15.62"/>
    <x v="0"/>
    <s v="Sedentary"/>
    <n v="1"/>
    <n v="363"/>
    <n v="377"/>
    <n v="6.05"/>
    <n v="6.28"/>
    <n v="14"/>
    <n v="96.29"/>
    <x v="3"/>
  </r>
  <r>
    <n v="8792009665"/>
    <d v="2016-04-20T00:00:00"/>
    <n v="3147"/>
    <n v="2.0099999904632599"/>
    <n v="0"/>
    <n v="10"/>
    <n v="139"/>
    <n v="744"/>
    <n v="2188"/>
    <s v="Wednesday"/>
    <s v="April"/>
    <n v="149"/>
    <n v="893"/>
    <n v="12.4"/>
    <x v="0"/>
    <s v="Sedentary"/>
    <n v="1"/>
    <n v="528"/>
    <n v="547"/>
    <n v="8.8000000000000007"/>
    <n v="9.1199999999999992"/>
    <n v="19"/>
    <n v="96.53"/>
    <x v="2"/>
  </r>
  <r>
    <n v="8792009665"/>
    <d v="2016-04-22T00:00:00"/>
    <n v="4068"/>
    <n v="2.5999999046325701"/>
    <n v="1"/>
    <n v="20"/>
    <n v="195"/>
    <n v="817"/>
    <n v="2419"/>
    <s v="Friday"/>
    <s v="April"/>
    <n v="216"/>
    <n v="1033"/>
    <n v="13.62"/>
    <x v="0"/>
    <s v="Lightly Active"/>
    <n v="1"/>
    <n v="391"/>
    <n v="407"/>
    <n v="6.52"/>
    <n v="6.78"/>
    <n v="16"/>
    <n v="96.07"/>
    <x v="3"/>
  </r>
  <r>
    <n v="8792009665"/>
    <d v="2016-04-23T00:00:00"/>
    <n v="5245"/>
    <n v="3.3599998950958301"/>
    <n v="8"/>
    <n v="45"/>
    <n v="232"/>
    <n v="795"/>
    <n v="2748"/>
    <s v="Saturday"/>
    <s v="April"/>
    <n v="285"/>
    <n v="1080"/>
    <n v="13.25"/>
    <x v="1"/>
    <s v="Lightly Active"/>
    <n v="1"/>
    <n v="339"/>
    <n v="360"/>
    <n v="5.65"/>
    <n v="6"/>
    <n v="21"/>
    <n v="94.17"/>
    <x v="0"/>
  </r>
  <r>
    <n v="8792009665"/>
    <d v="2016-04-27T00:00:00"/>
    <n v="1758"/>
    <n v="1.12999999523163"/>
    <n v="0"/>
    <n v="0"/>
    <n v="112"/>
    <n v="900"/>
    <n v="2067"/>
    <s v="Wednesday"/>
    <s v="April"/>
    <n v="112"/>
    <n v="1012"/>
    <n v="15"/>
    <x v="0"/>
    <s v="Sedentary"/>
    <n v="1"/>
    <n v="423"/>
    <n v="428"/>
    <n v="7.05"/>
    <n v="7.13"/>
    <n v="5"/>
    <n v="98.83"/>
    <x v="2"/>
  </r>
  <r>
    <n v="8792009665"/>
    <d v="2016-04-28T00:00:00"/>
    <n v="6157"/>
    <n v="3.9400000572204599"/>
    <n v="0"/>
    <n v="0"/>
    <n v="310"/>
    <n v="714"/>
    <n v="2780"/>
    <s v="Thursday"/>
    <s v="April"/>
    <n v="310"/>
    <n v="1024"/>
    <n v="11.9"/>
    <x v="1"/>
    <s v="Sedentary"/>
    <n v="1"/>
    <n v="402"/>
    <n v="416"/>
    <n v="6.7"/>
    <n v="6.93"/>
    <n v="14"/>
    <n v="96.63"/>
    <x v="3"/>
  </r>
  <r>
    <n v="8792009665"/>
    <d v="2016-04-29T00:00:00"/>
    <n v="8360"/>
    <n v="5.3499999046325701"/>
    <n v="6"/>
    <n v="14"/>
    <n v="380"/>
    <n v="634"/>
    <n v="3101"/>
    <s v="Friday"/>
    <s v="April"/>
    <n v="400"/>
    <n v="1034"/>
    <n v="10.57"/>
    <x v="3"/>
    <s v="Lightly Active"/>
    <n v="1"/>
    <n v="398"/>
    <n v="406"/>
    <n v="6.63"/>
    <n v="6.77"/>
    <n v="8"/>
    <n v="98.03"/>
    <x v="3"/>
  </r>
  <r>
    <n v="8792009665"/>
    <d v="2016-04-30T00:00:00"/>
    <n v="7174"/>
    <n v="4.5900001525878897"/>
    <n v="10"/>
    <n v="20"/>
    <n v="301"/>
    <n v="749"/>
    <n v="2896"/>
    <s v="Saturday"/>
    <s v="April"/>
    <n v="331"/>
    <n v="1080"/>
    <n v="12.48"/>
    <x v="1"/>
    <s v="Lightly Active"/>
    <n v="1"/>
    <n v="343"/>
    <n v="360"/>
    <n v="5.72"/>
    <n v="6"/>
    <n v="17"/>
    <n v="95.28"/>
    <x v="0"/>
  </r>
  <r>
    <n v="8792009665"/>
    <d v="2016-05-01T00:00:00"/>
    <n v="1619"/>
    <n v="1.03999996185303"/>
    <n v="0"/>
    <n v="0"/>
    <n v="79"/>
    <n v="834"/>
    <n v="1962"/>
    <s v="Sunday"/>
    <s v="May"/>
    <n v="79"/>
    <n v="913"/>
    <n v="13.9"/>
    <x v="0"/>
    <s v="Sedentary"/>
    <n v="1"/>
    <n v="503"/>
    <n v="527"/>
    <n v="8.3800000000000008"/>
    <n v="8.7799999999999994"/>
    <n v="24"/>
    <n v="95.45"/>
    <x v="2"/>
  </r>
  <r>
    <n v="8792009665"/>
    <d v="2016-05-02T00:00:00"/>
    <n v="1831"/>
    <n v="1.16999995708466"/>
    <n v="0"/>
    <n v="0"/>
    <n v="101"/>
    <n v="916"/>
    <n v="2015"/>
    <s v="Monday"/>
    <s v="May"/>
    <n v="101"/>
    <n v="1017"/>
    <n v="15.27"/>
    <x v="0"/>
    <s v="Sedentary"/>
    <n v="1"/>
    <n v="415"/>
    <n v="423"/>
    <n v="6.92"/>
    <n v="7.05"/>
    <n v="8"/>
    <n v="98.11"/>
    <x v="3"/>
  </r>
  <r>
    <n v="8792009665"/>
    <d v="2016-05-03T00:00:00"/>
    <n v="2421"/>
    <n v="1.54999995231628"/>
    <n v="0"/>
    <n v="0"/>
    <n v="156"/>
    <n v="739"/>
    <n v="2297"/>
    <s v="Tuesday"/>
    <s v="May"/>
    <n v="156"/>
    <n v="895"/>
    <n v="12.32"/>
    <x v="0"/>
    <s v="Sedentary"/>
    <n v="1"/>
    <n v="516"/>
    <n v="545"/>
    <n v="8.6"/>
    <n v="9.08"/>
    <n v="29"/>
    <n v="94.68"/>
    <x v="2"/>
  </r>
  <r>
    <n v="8792009665"/>
    <d v="2016-05-04T00:00:00"/>
    <n v="2283"/>
    <n v="1.46000003814697"/>
    <n v="0"/>
    <n v="0"/>
    <n v="129"/>
    <n v="848"/>
    <n v="2067"/>
    <s v="Wednesday"/>
    <s v="May"/>
    <n v="129"/>
    <n v="977"/>
    <n v="14.13"/>
    <x v="0"/>
    <s v="Sedentary"/>
    <n v="1"/>
    <n v="439"/>
    <n v="463"/>
    <n v="7.32"/>
    <n v="7.72"/>
    <n v="24"/>
    <n v="94.8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9699EF-7C3E-4352-8451-32C67A4F80E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1:G186" firstHeaderRow="0" firstDataRow="1" firstDataCol="1"/>
  <pivotFields count="24">
    <pivotField dataField="1" showAll="0"/>
    <pivotField numFmtId="14" showAll="0"/>
    <pivotField dataField="1"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 showAll="0"/>
    <pivotField dataField="1" showAll="0"/>
    <pivotField showAll="0"/>
    <pivotField showAll="0"/>
    <pivotField showAll="0"/>
    <pivotField axis="axisRow" showAll="0">
      <items count="5">
        <item x="0"/>
        <item x="3"/>
        <item x="2"/>
        <item x="1"/>
        <item t="default"/>
      </items>
    </pivotField>
  </pivotFields>
  <rowFields count="1">
    <field x="23"/>
  </rowFields>
  <rowItems count="5">
    <i>
      <x/>
    </i>
    <i>
      <x v="1"/>
    </i>
    <i>
      <x v="2"/>
    </i>
    <i>
      <x v="3"/>
    </i>
    <i t="grand">
      <x/>
    </i>
  </rowItems>
  <colFields count="1">
    <field x="-2"/>
  </colFields>
  <colItems count="6">
    <i>
      <x/>
    </i>
    <i i="1">
      <x v="1"/>
    </i>
    <i i="2">
      <x v="2"/>
    </i>
    <i i="3">
      <x v="3"/>
    </i>
    <i i="4">
      <x v="4"/>
    </i>
    <i i="5">
      <x v="5"/>
    </i>
  </colItems>
  <dataFields count="6">
    <dataField name="Record Count" fld="0" subtotal="count" baseField="23" baseItem="3" numFmtId="1"/>
    <dataField name="Avg Steps" fld="2" subtotal="average" baseField="23" baseItem="3" numFmtId="3"/>
    <dataField name="Avg Active Minutes" fld="11" subtotal="average" baseField="23" baseItem="3" numFmtId="2"/>
    <dataField name="Avg Sedentary Hours" fld="13" subtotal="average" baseField="23" baseItem="3" numFmtId="2"/>
    <dataField name="Avg Calories" fld="8" subtotal="average" baseField="23" baseItem="3" numFmtId="3"/>
    <dataField name="Avg Sleep Hours" fld="19" subtotal="average" baseField="23" baseItem="3" numFmtId="2"/>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379F4A-792D-4FC7-AEBD-B62A48010B4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1:C86" firstHeaderRow="0" firstDataRow="1" firstDataCol="1"/>
  <pivotFields count="12">
    <pivotField showAll="0"/>
    <pivotField numFmtId="22" showAll="0"/>
    <pivotField showAll="0"/>
    <pivotField showAll="0"/>
    <pivotField showAll="0"/>
    <pivotField showAll="0"/>
    <pivotField showAll="0"/>
    <pivotField showAll="0"/>
    <pivotField showAll="0"/>
    <pivotField showAll="0"/>
    <pivotField axis="axisRow" dataField="1" showAll="0">
      <items count="5">
        <item x="0"/>
        <item x="1"/>
        <item x="3"/>
        <item x="2"/>
        <item t="default"/>
      </items>
    </pivotField>
    <pivotField showAll="0"/>
  </pivotFields>
  <rowFields count="1">
    <field x="10"/>
  </rowFields>
  <rowItems count="5">
    <i>
      <x/>
    </i>
    <i>
      <x v="1"/>
    </i>
    <i>
      <x v="2"/>
    </i>
    <i>
      <x v="3"/>
    </i>
    <i t="grand">
      <x/>
    </i>
  </rowItems>
  <colFields count="1">
    <field x="-2"/>
  </colFields>
  <colItems count="2">
    <i>
      <x/>
    </i>
    <i i="1">
      <x v="1"/>
    </i>
  </colItems>
  <dataFields count="2">
    <dataField name="Count of Sleep Records" fld="10" subtotal="count" baseField="10" baseItem="0"/>
    <dataField name="% of Total" fld="10" subtotal="count" showDataAs="percentOfTotal" baseField="10" baseItem="0" numFmtId="1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B4114-ADA6-482D-9F2A-7BB107E62B0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9:F115" firstHeaderRow="0" firstDataRow="1" firstDataCol="1"/>
  <pivotFields count="24">
    <pivotField dataField="1"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0"/>
        <item x="1"/>
        <item x="3"/>
        <item x="2"/>
        <item x="4"/>
        <item t="default"/>
      </items>
    </pivotField>
    <pivotField showAll="0"/>
    <pivotField showAll="0"/>
    <pivotField showAll="0"/>
    <pivotField showAll="0"/>
    <pivotField dataField="1" showAll="0"/>
    <pivotField showAll="0"/>
    <pivotField showAll="0"/>
    <pivotField dataField="1" showAll="0"/>
    <pivotField showAll="0"/>
  </pivotFields>
  <rowFields count="1">
    <field x="14"/>
  </rowFields>
  <rowItems count="6">
    <i>
      <x/>
    </i>
    <i>
      <x v="1"/>
    </i>
    <i>
      <x v="2"/>
    </i>
    <i>
      <x v="3"/>
    </i>
    <i>
      <x v="4"/>
    </i>
    <i t="grand">
      <x/>
    </i>
  </rowItems>
  <colFields count="1">
    <field x="-2"/>
  </colFields>
  <colItems count="5">
    <i>
      <x/>
    </i>
    <i i="1">
      <x v="1"/>
    </i>
    <i i="2">
      <x v="2"/>
    </i>
    <i i="3">
      <x v="3"/>
    </i>
    <i i="4">
      <x v="4"/>
    </i>
  </colItems>
  <dataFields count="5">
    <dataField name="Record Count" fld="0" subtotal="count" baseField="14" baseItem="2"/>
    <dataField name="Avg Steps" fld="2" subtotal="average" baseField="14" baseItem="2" numFmtId="3"/>
    <dataField name="Avg Sleep Hours" fld="19" subtotal="average" baseField="14" baseItem="2" numFmtId="2"/>
    <dataField name="Avg Sleep Efficiency" fld="22" subtotal="average" baseField="14" baseItem="2" numFmtId="2"/>
    <dataField name="Avg Sedentary Hours" fld="13" subtotal="average" baseField="14" baseItem="2" numFmtId="2"/>
  </dataFields>
  <chartFormats count="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5DD09E-76D5-4B63-A7B4-CBCB9169F2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4:C70" firstHeaderRow="0" firstDataRow="1" firstDataCol="1"/>
  <pivotFields count="2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2"/>
        <item x="4"/>
        <item x="3"/>
        <item x="0"/>
        <item x="1"/>
        <item t="default"/>
      </items>
    </pivotField>
    <pivotField showAll="0"/>
    <pivotField showAll="0"/>
    <pivotField showAll="0"/>
  </pivotFields>
  <rowFields count="1">
    <field x="20"/>
  </rowFields>
  <rowItems count="6">
    <i>
      <x/>
    </i>
    <i>
      <x v="1"/>
    </i>
    <i>
      <x v="2"/>
    </i>
    <i>
      <x v="3"/>
    </i>
    <i>
      <x v="4"/>
    </i>
    <i t="grand">
      <x/>
    </i>
  </rowItems>
  <colFields count="1">
    <field x="-2"/>
  </colFields>
  <colItems count="2">
    <i>
      <x/>
    </i>
    <i i="1">
      <x v="1"/>
    </i>
  </colItems>
  <dataFields count="2">
    <dataField name="Count of Days" fld="20" subtotal="count" baseField="20" baseItem="0"/>
    <dataField name="% of Total" fld="20" subtotal="count" showDataAs="percentOfTotal" baseField="20" baseItem="0" numFmtId="10"/>
  </dataFields>
  <chartFormats count="7">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20" count="1" selected="0">
            <x v="0"/>
          </reference>
        </references>
      </pivotArea>
    </chartFormat>
    <chartFormat chart="18" format="3">
      <pivotArea type="data" outline="0" fieldPosition="0">
        <references count="2">
          <reference field="4294967294" count="1" selected="0">
            <x v="0"/>
          </reference>
          <reference field="20" count="1" selected="0">
            <x v="1"/>
          </reference>
        </references>
      </pivotArea>
    </chartFormat>
    <chartFormat chart="18" format="4">
      <pivotArea type="data" outline="0" fieldPosition="0">
        <references count="2">
          <reference field="4294967294" count="1" selected="0">
            <x v="0"/>
          </reference>
          <reference field="20" count="1" selected="0">
            <x v="2"/>
          </reference>
        </references>
      </pivotArea>
    </chartFormat>
    <chartFormat chart="18" format="5">
      <pivotArea type="data" outline="0" fieldPosition="0">
        <references count="2">
          <reference field="4294967294" count="1" selected="0">
            <x v="0"/>
          </reference>
          <reference field="20" count="1" selected="0">
            <x v="3"/>
          </reference>
        </references>
      </pivotArea>
    </chartFormat>
    <chartFormat chart="18" format="6">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F1D10-19EE-43DB-ABD6-D89BB9ACB84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E47" firstHeaderRow="0" firstDataRow="1" firstDataCol="1"/>
  <pivotFields count="12">
    <pivotField showAll="0"/>
    <pivotField numFmtId="22" showAll="0"/>
    <pivotField showAll="0"/>
    <pivotField showAll="0"/>
    <pivotField showAll="0"/>
    <pivotField axis="axisRow" showAll="0">
      <items count="8">
        <item x="6"/>
        <item x="0"/>
        <item x="1"/>
        <item x="5"/>
        <item x="2"/>
        <item x="3"/>
        <item x="4"/>
        <item t="default"/>
      </items>
    </pivotField>
    <pivotField dataField="1" showAll="0"/>
    <pivotField dataField="1" showAll="0"/>
    <pivotField dataField="1" showAll="0"/>
    <pivotField dataField="1" showAll="0"/>
    <pivotField showAll="0"/>
    <pivotField showAll="0"/>
  </pivotFields>
  <rowFields count="1">
    <field x="5"/>
  </rowFields>
  <rowItems count="8">
    <i>
      <x/>
    </i>
    <i>
      <x v="1"/>
    </i>
    <i>
      <x v="2"/>
    </i>
    <i>
      <x v="3"/>
    </i>
    <i>
      <x v="4"/>
    </i>
    <i>
      <x v="5"/>
    </i>
    <i>
      <x v="6"/>
    </i>
    <i t="grand">
      <x/>
    </i>
  </rowItems>
  <colFields count="1">
    <field x="-2"/>
  </colFields>
  <colItems count="4">
    <i>
      <x/>
    </i>
    <i i="1">
      <x v="1"/>
    </i>
    <i i="2">
      <x v="2"/>
    </i>
    <i i="3">
      <x v="3"/>
    </i>
  </colItems>
  <dataFields count="4">
    <dataField name="Avg Sleep Hours" fld="6" subtotal="average" baseField="5" baseItem="0" numFmtId="2"/>
    <dataField name="Avg Time In Bed Hours" fld="7" subtotal="average" baseField="5" baseItem="0" numFmtId="2"/>
    <dataField name="Avg Awake In Bed Minutes" fld="8" subtotal="average" baseField="5" baseItem="0" numFmtId="164"/>
    <dataField name="Avg Sleep Efficiency" fld="9" subtotal="average" baseField="5" baseItem="0" numFmtId="2"/>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271B9-9A6A-4705-B6D7-B394582CF2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1" firstHeaderRow="0" firstDataRow="1" firstDataCol="1"/>
  <pivotFields count="24">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3"/>
        <item x="4"/>
        <item x="5"/>
        <item x="6"/>
        <item x="0"/>
        <item x="1"/>
        <item x="2"/>
        <item t="default"/>
      </items>
    </pivotField>
    <pivotField showAll="0"/>
    <pivotField dataField="1" showAll="0"/>
    <pivotField showAll="0"/>
    <pivotField dataField="1" showAll="0"/>
    <pivotField showAll="0"/>
    <pivotField showAll="0"/>
    <pivotField showAll="0"/>
    <pivotField showAll="0"/>
  </pivotFields>
  <rowFields count="1">
    <field x="15"/>
  </rowFields>
  <rowItems count="8">
    <i>
      <x/>
    </i>
    <i>
      <x v="1"/>
    </i>
    <i>
      <x v="2"/>
    </i>
    <i>
      <x v="3"/>
    </i>
    <i>
      <x v="4"/>
    </i>
    <i>
      <x v="5"/>
    </i>
    <i>
      <x v="6"/>
    </i>
    <i t="grand">
      <x/>
    </i>
  </rowItems>
  <colFields count="1">
    <field x="-2"/>
  </colFields>
  <colItems count="4">
    <i>
      <x/>
    </i>
    <i i="1">
      <x v="1"/>
    </i>
    <i i="2">
      <x v="2"/>
    </i>
    <i i="3">
      <x v="3"/>
    </i>
  </colItems>
  <dataFields count="4">
    <dataField name="Avg Calories" fld="14" subtotal="average" baseField="15" baseItem="0" numFmtId="3"/>
    <dataField name="Avg Active Minutes" fld="17" subtotal="average" baseField="15" baseItem="0" numFmtId="4"/>
    <dataField name="Avg Sedentary Hours" fld="19" subtotal="average" baseField="15" baseItem="0" numFmtId="4"/>
    <dataField name="Avg Steps" fld="2" subtotal="average" baseField="15" baseItem="0" numFmtId="3"/>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4C104-C0D8-4594-8B89-100D47D8BB22}" name="tbl_raw_daily_1" displayName="tbl_raw_daily_1" ref="A1:O941" totalsRowShown="0">
  <autoFilter ref="A1:O941" xr:uid="{9D24C104-C0D8-4594-8B89-100D47D8BB22}"/>
  <tableColumns count="15">
    <tableColumn id="1" xr3:uid="{76841F7E-D467-464E-94EF-ABC5CCC62037}" name="Id"/>
    <tableColumn id="2" xr3:uid="{D8F7601C-D109-42DF-B29B-838245844990}" name="ActivityDate" dataDxfId="35"/>
    <tableColumn id="3" xr3:uid="{E6677A66-6810-4B5E-968A-6922761BB93B}" name="TotalSteps"/>
    <tableColumn id="4" xr3:uid="{0008F272-5873-415F-9C26-636C6007EEF5}" name="TotalDistance"/>
    <tableColumn id="5" xr3:uid="{4556E55F-3ACC-4371-88F8-E883F54CA93B}" name="TrackerDistance"/>
    <tableColumn id="6" xr3:uid="{AC8BABAE-8F4D-4301-9A90-1C24EE0DB9D0}" name="LoggedActivitiesDistance"/>
    <tableColumn id="7" xr3:uid="{2A36CADE-7A08-4B36-A004-0E358197882B}" name="VeryActiveDistance"/>
    <tableColumn id="8" xr3:uid="{C1F4E29E-4BF7-4378-95FC-881D8AEDD8B3}" name="ModeratelyActiveDistance"/>
    <tableColumn id="9" xr3:uid="{691D89B5-5D97-4CD4-825F-1DE88FA786D7}" name="LightActiveDistance"/>
    <tableColumn id="10" xr3:uid="{C7E2BEED-7065-454D-A15F-124E33559FA9}" name="SedentaryActiveDistance"/>
    <tableColumn id="11" xr3:uid="{D1B10B5A-FDCF-47FA-9C9E-05058853F60A}" name="VeryActiveMinutes"/>
    <tableColumn id="12" xr3:uid="{8FD41E2B-1647-441E-9DB2-9048B2E09085}" name="FairlyActiveMinutes"/>
    <tableColumn id="13" xr3:uid="{BC72535F-6D10-4440-82A5-B0C73FC17B1B}" name="LightlyActiveMinutes"/>
    <tableColumn id="14" xr3:uid="{2B06327F-A167-4A03-9F43-70EDC461B2BF}" name="SedentaryMinutes"/>
    <tableColumn id="15" xr3:uid="{7A2C56DA-5A77-4689-AF0E-3A0F51541EB0}" name="Calor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D4FA92-14C0-43F5-9C66-B4AB56102F81}" name="tbl_raw_daily_2" displayName="tbl_raw_daily_2" ref="A1:O458" totalsRowShown="0">
  <autoFilter ref="A1:O458" xr:uid="{DDD4FA92-14C0-43F5-9C66-B4AB56102F81}"/>
  <tableColumns count="15">
    <tableColumn id="1" xr3:uid="{5D4A5AB6-18EF-4DFD-A0FA-C9B4B0084DE9}" name="Id"/>
    <tableColumn id="2" xr3:uid="{62588B40-5CD1-4C94-BDF0-E19EDECBDF94}" name="ActivityDate" dataDxfId="34"/>
    <tableColumn id="3" xr3:uid="{8CAB9A28-898D-466B-957D-416CC7B8901D}" name="TotalSteps"/>
    <tableColumn id="4" xr3:uid="{BBF8EB7A-AA3C-443F-83C4-A0778F5CA0E0}" name="TotalDistance"/>
    <tableColumn id="5" xr3:uid="{1EF9A4EC-8405-4429-8B11-1BD53735F216}" name="TrackerDistance"/>
    <tableColumn id="6" xr3:uid="{E2CBFCC5-D470-4DAF-B233-FFC320D3A1AC}" name="LoggedActivitiesDistance"/>
    <tableColumn id="7" xr3:uid="{4EF16922-BA26-4DA1-BF79-409E49A64342}" name="VeryActiveDistance"/>
    <tableColumn id="8" xr3:uid="{B771A877-DD0C-4A9B-8BAE-FF80BB8CDCCA}" name="ModeratelyActiveDistance"/>
    <tableColumn id="9" xr3:uid="{899B1788-8A70-47BD-85FC-6A6BB7CC7DB6}" name="LightActiveDistance"/>
    <tableColumn id="10" xr3:uid="{5A38DCD4-9EAB-4601-8247-7C3D6BBDD4CB}" name="SedentaryActiveDistance"/>
    <tableColumn id="11" xr3:uid="{A77BD4B3-73C5-4E26-9912-236879AA222C}" name="VeryActiveMinutes"/>
    <tableColumn id="12" xr3:uid="{F57E89AC-05F5-46E9-AA68-86C2E002A608}" name="FairlyActiveMinutes"/>
    <tableColumn id="13" xr3:uid="{C3345A9C-B18F-4FE2-81A9-496EC5C66679}" name="LightlyActiveMinutes"/>
    <tableColumn id="14" xr3:uid="{D736E563-AC4F-45C0-B9A4-F8CD2A84F84A}" name="SedentaryMinutes"/>
    <tableColumn id="15" xr3:uid="{CCB115B4-37F3-4FFA-BE31-93F9993524B4}" name="Calori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FF5D33-539F-4DDC-B950-BC128F36A0E3}" name="tbl_raw_sleep" displayName="tbl_raw_sleep" ref="A1:E414" totalsRowShown="0">
  <autoFilter ref="A1:E414" xr:uid="{B7FF5D33-539F-4DDC-B950-BC128F36A0E3}"/>
  <tableColumns count="5">
    <tableColumn id="1" xr3:uid="{07D8DACC-D84A-4E51-A91C-897E994FF4B0}" name="Id"/>
    <tableColumn id="2" xr3:uid="{60245C44-A607-45AE-A04D-7B6F563CD084}" name="SleepDay" dataDxfId="33"/>
    <tableColumn id="3" xr3:uid="{3058C8C5-D428-49EA-86C6-4239231862F6}" name="TotalSleepRecords"/>
    <tableColumn id="4" xr3:uid="{A364AE86-87E5-4D8B-B362-5A3BFEEC65A6}" name="TotalMinutesAsleep"/>
    <tableColumn id="5" xr3:uid="{7FA849E7-B660-4E1E-9C5E-3D23B3B06D81}" name="TotalTimeInB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ED5AF1-5E9C-41C2-8FE8-F0135A64B635}" name="tbl_working_daily" displayName="tbl_working_daily" ref="A1:X1374" totalsRowShown="0">
  <autoFilter ref="A1:X1374" xr:uid="{78ED5AF1-5E9C-41C2-8FE8-F0135A64B635}"/>
  <tableColumns count="24">
    <tableColumn id="1" xr3:uid="{2DDD6176-A4A2-4EE2-A1BF-65826ED921AA}" name="Id"/>
    <tableColumn id="2" xr3:uid="{D6599CBF-41A9-473E-B5B8-5B6E9F6A6636}" name="ActivityDate" dataDxfId="32"/>
    <tableColumn id="3" xr3:uid="{55CFB298-7778-4A21-B291-E5D16F41C501}" name="TotalSteps"/>
    <tableColumn id="4" xr3:uid="{B05B60A7-55EA-4A0F-922B-A7EDE43D7B9F}" name="TotalDistance"/>
    <tableColumn id="5" xr3:uid="{98DEAA1E-E7CA-4F85-9D9A-C1F7EC4174A5}" name="TrackerDistance"/>
    <tableColumn id="6" xr3:uid="{A31647AA-1BD8-4F0E-9CB1-718857F9F28F}" name="LoggedActivitiesDistance"/>
    <tableColumn id="7" xr3:uid="{42DBBA74-05BD-4501-870E-82D8B6D63F1E}" name="VeryActiveDistance"/>
    <tableColumn id="8" xr3:uid="{4BA165CC-7EBD-4A4B-8CB1-3BFD11E38695}" name="ModeratelyActiveDistance"/>
    <tableColumn id="9" xr3:uid="{6F4BFCAB-D698-477C-B9A8-1A5B8EB38D8A}" name="LightActiveDistance"/>
    <tableColumn id="10" xr3:uid="{1963CAF1-3857-4B47-AFEF-D3A6029271C1}" name="SedentaryActiveDistance"/>
    <tableColumn id="11" xr3:uid="{F4B874E4-7AFC-4694-BE3D-25A26785545D}" name="VeryActiveMinutes"/>
    <tableColumn id="12" xr3:uid="{410C456C-80E7-433C-8CFB-19470E779BF0}" name="FairlyActiveMinutes"/>
    <tableColumn id="13" xr3:uid="{ADC7DBAB-B10D-49A9-94E6-79078F7D01E1}" name="LightlyActiveMinutes"/>
    <tableColumn id="14" xr3:uid="{40169C06-2867-4D09-9F25-B931E8713CC1}" name="SedentaryMinutes"/>
    <tableColumn id="15" xr3:uid="{69BE7FDB-2FAE-470F-B2C4-CEFFE7A45944}" name="Calories"/>
    <tableColumn id="17" xr3:uid="{1EB2ACC8-91E7-4027-A041-8C68A6B51DB6}" name="DayOfWeek" dataDxfId="31">
      <calculatedColumnFormula>TEXT(tbl_working_daily[[#This Row],[ActivityDate]],"dddd")</calculatedColumnFormula>
    </tableColumn>
    <tableColumn id="18" xr3:uid="{D5D0A478-7E34-4292-8846-79570F8D11E2}" name="Month" dataDxfId="30">
      <calculatedColumnFormula>TEXT(tbl_working_daily[[#This Row],[ActivityDate]],"mmmm")</calculatedColumnFormula>
    </tableColumn>
    <tableColumn id="19" xr3:uid="{4D18702D-10E8-4E30-A913-C432BEA5033C}" name="TotalActiveMinutes" dataDxfId="29">
      <calculatedColumnFormula>K2+L2+M2</calculatedColumnFormula>
    </tableColumn>
    <tableColumn id="20" xr3:uid="{AA0279C4-B914-418F-9F70-6A39294A7A80}" name="TotalMinutes" dataDxfId="28">
      <calculatedColumnFormula>R2+N2</calculatedColumnFormula>
    </tableColumn>
    <tableColumn id="21" xr3:uid="{297D23E4-FBDE-451C-A8BF-EB71E3A5C5FB}" name="SedentaryHours" dataDxfId="27">
      <calculatedColumnFormula>ROUND(tbl_working_daily[[#This Row],[SedentaryMinutes]]/60,2)</calculatedColumnFormula>
    </tableColumn>
    <tableColumn id="22" xr3:uid="{9CED613D-6848-480A-8212-BF20DB64FA3A}" name="StepsCategory" dataDxfId="26">
      <calculatedColumnFormula array="1">_xlfn.IFS(tbl_working_daily[[#This Row],[TotalSteps]]&lt;5000,"Sedentary",tbl_working_daily[[#This Row],[TotalSteps]]&lt;7500,"Low Active",tbl_working_daily[[#This Row],[TotalSteps]]&lt;10000,"Somewhat Active",tbl_working_daily[[#This Row],[TotalSteps]]&lt;12500,"Active",tbl_working_daily[[#This Row],[TotalSteps]]&gt;=12500,"Highly Active")</calculatedColumnFormula>
    </tableColumn>
    <tableColumn id="23" xr3:uid="{4FBF2D40-F42A-4B4A-8E22-A65170CCC8E9}" name="ActivityLevel" dataDxfId="25">
      <calculatedColumnFormula array="1">_xlfn.IFS(tbl_working_daily[[#This Row],[VeryActiveMinutes]]&gt;=30,"Very Active",tbl_working_daily[[#This Row],[VeryActiveMinutes]]&gt;=15,"Moderately Active",tbl_working_daily[[#This Row],[VeryActiveMinutes]]&gt;=1,"Lightly Active",tbl_working_daily[[#This Row],[VeryActiveMinutes]]=0,"Sedentary")</calculatedColumnFormula>
    </tableColumn>
    <tableColumn id="24" xr3:uid="{96CAED36-4AFB-49E3-B3BE-9E03A556DC3D}" name="LookupKey" dataDxfId="24">
      <calculatedColumnFormula>tbl_working_daily[[#This Row],[Id]]&amp;"|"&amp;TEXT(tbl_working_daily[[#This Row],[ActivityDate]],"yyyy-mm-dd")</calculatedColumnFormula>
    </tableColumn>
    <tableColumn id="26" xr3:uid="{CBCC03AD-1B73-46DA-8701-1B48CA5B5C7D}" name="MatchFound" dataDxfId="23">
      <calculatedColumnFormula>ISNUMBER(MATCH(tbl_working_daily[[#This Row],[LookupKey]],tbl_working_sleep[LookupKey],0))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C654B5-1BE4-4482-9E28-B0F5A672BA1F}" name="tbl_working_sleep" displayName="tbl_working_sleep" ref="A1:L411" totalsRowShown="0">
  <autoFilter ref="A1:L411" xr:uid="{53C654B5-1BE4-4482-9E28-B0F5A672BA1F}"/>
  <tableColumns count="12">
    <tableColumn id="1" xr3:uid="{9C516EC7-7D41-4C73-8470-EB6E99BB2B7E}" name="Id"/>
    <tableColumn id="2" xr3:uid="{3EA8B233-FB4C-4099-97BC-2E2C4F982CB1}" name="SleepDay" dataDxfId="22"/>
    <tableColumn id="3" xr3:uid="{E7533B9E-598F-4C37-A07B-86870249BE13}" name="TotalSleepRecords"/>
    <tableColumn id="4" xr3:uid="{89B56330-10C8-44CC-8996-56813886D92E}" name="TotalMinutesAsleep"/>
    <tableColumn id="5" xr3:uid="{52E2A086-BC23-4CF4-A829-8BFC69C68CA9}" name="TotalTimeInBed"/>
    <tableColumn id="6" xr3:uid="{F2CFC31D-42C9-4638-8C5B-585E127AA2D6}" name="DayOfWeek" dataDxfId="21">
      <calculatedColumnFormula>TEXT(tbl_working_sleep[[#This Row],[SleepDay]],"dddd")</calculatedColumnFormula>
    </tableColumn>
    <tableColumn id="7" xr3:uid="{0F53806D-C679-4FFE-9DD8-747F4ABFF2C1}" name="SleepHours" dataDxfId="20">
      <calculatedColumnFormula>ROUND(tbl_working_sleep[[#This Row],[TotalMinutesAsleep]]/60,2)</calculatedColumnFormula>
    </tableColumn>
    <tableColumn id="8" xr3:uid="{A3E1F0BE-072D-4176-B9A8-2DA4997F72AE}" name="TimeInBedHours" dataDxfId="19">
      <calculatedColumnFormula>ROUND(tbl_working_sleep[[#This Row],[TotalTimeInBed]]/60,2)</calculatedColumnFormula>
    </tableColumn>
    <tableColumn id="9" xr3:uid="{349C2819-B776-4414-B50B-600478DA31C3}" name="AwakeInBedMinutes" dataDxfId="18">
      <calculatedColumnFormula>tbl_working_sleep[[#This Row],[TotalTimeInBed]]-tbl_working_sleep[[#This Row],[TotalMinutesAsleep]]</calculatedColumnFormula>
    </tableColumn>
    <tableColumn id="10" xr3:uid="{681C4B87-1E89-4FDE-A4D8-24CB3F96A7EA}" name="SleepEfficiency" dataDxfId="17">
      <calculatedColumnFormula>ROUND(tbl_working_sleep[[#This Row],[TotalMinutesAsleep]]/tbl_working_sleep[[#This Row],[TotalTimeInBed]]*100,2)</calculatedColumnFormula>
    </tableColumn>
    <tableColumn id="11" xr3:uid="{D997CC59-0387-473D-BA75-289253F582D7}" name="SleepCategory" dataDxfId="16">
      <calculatedColumnFormula array="1">_xlfn.IFS(tbl_working_sleep[[#This Row],[SleepHours]]&lt;6,"Insufficient Sleep",tbl_working_sleep[[#This Row],[SleepHours]]&lt;7,"Below Recommended",tbl_working_sleep[[#This Row],[SleepHours]]&lt;=9,"Recommended",tbl_working_sleep[[#This Row],[SleepHours]]&gt;9,"Oversleeping")</calculatedColumnFormula>
    </tableColumn>
    <tableColumn id="12" xr3:uid="{0C3D2196-57C6-4073-9EEC-A9779EC132E7}" name="LookupKey" dataDxfId="15">
      <calculatedColumnFormula>tbl_working_sleep[[#This Row],[Id]]&amp;"|"&amp;TEXT(tbl_working_sleep[[#This Row],[SleepDay]],"yyyy-mm-dd")</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BB97BE-6E0C-4657-8B72-C0158945A9EB}" name="tbl_merged" displayName="tbl_merged" ref="A1:X411" totalsRowShown="0">
  <autoFilter ref="A1:X411" xr:uid="{42BB97BE-6E0C-4657-8B72-C0158945A9EB}"/>
  <tableColumns count="24">
    <tableColumn id="1" xr3:uid="{4857FF1F-0D39-4273-8B5F-BD7DA75A3028}" name="Id"/>
    <tableColumn id="2" xr3:uid="{E0B8AA63-C736-4BC6-977E-C7BFE244A99C}" name="ActivityDate" dataDxfId="14"/>
    <tableColumn id="3" xr3:uid="{E8B1D48C-814B-4615-98A0-7C4B3539630B}" name="TotalSteps"/>
    <tableColumn id="4" xr3:uid="{36622D57-8D2C-4BE5-9F9C-30C86C8B6050}" name="TotalDistance"/>
    <tableColumn id="5" xr3:uid="{FD2678B6-47DB-40C6-B672-F468694453F4}" name="VeryActiveMinutes"/>
    <tableColumn id="6" xr3:uid="{A5460F94-2ACB-47F8-B1AC-F4CFFE35092C}" name="FairlyActiveMinutes"/>
    <tableColumn id="7" xr3:uid="{998AD888-4950-417A-B569-4A59D53D084A}" name="LightlyActiveMinutes"/>
    <tableColumn id="8" xr3:uid="{EFB8F1F1-4ADB-45CE-AE37-AE66A9FC7839}" name="SedentaryMinutes"/>
    <tableColumn id="9" xr3:uid="{DBC50F55-8929-4FB1-A2C0-7E11BD1D6E66}" name="Calories"/>
    <tableColumn id="10" xr3:uid="{2938FD2A-D4FB-4BE8-919C-5C4624812E6A}" name="DayOfWeek"/>
    <tableColumn id="11" xr3:uid="{2B4B98A3-5666-4A8D-8E44-92A7CF1B59FF}" name="Month"/>
    <tableColumn id="12" xr3:uid="{D2F71EE8-A0DC-40B4-A150-7B9AA8EF893C}" name="TotalActiveMinutes"/>
    <tableColumn id="13" xr3:uid="{1A27A9FD-5687-4D7B-8AC3-932495EB91BA}" name="TotalMinutes" dataDxfId="13"/>
    <tableColumn id="14" xr3:uid="{CE0BB295-D185-425F-9D16-F52145E545E9}" name="SedentaryHours" dataDxfId="12"/>
    <tableColumn id="15" xr3:uid="{23FEDD55-DA8B-41DF-A65C-5DA5ECD3E15E}" name="StepsCategory" dataDxfId="11"/>
    <tableColumn id="16" xr3:uid="{069C7862-F864-443A-9237-85DD2F900105}" name="ActivityLevel" dataDxfId="10"/>
    <tableColumn id="18" xr3:uid="{55417F00-E111-41EB-ACDC-0D4E6D05DE98}" name="TotalSleepRecords" dataDxfId="9"/>
    <tableColumn id="19" xr3:uid="{4B4B3D72-12DD-400F-BDCF-06890FDCAB9F}" name="TotalMinutesAsleep" dataDxfId="8"/>
    <tableColumn id="20" xr3:uid="{E6080AEE-6BFB-4A4A-9CB1-5649B6AA0B65}" name="TotalTimeInBed" dataDxfId="7"/>
    <tableColumn id="21" xr3:uid="{10FBDB3D-994B-40B7-8A89-38F6B92127DB}" name="SleepHours" dataDxfId="6"/>
    <tableColumn id="22" xr3:uid="{F52DE1FA-EF4C-4635-8C06-AE121B01B6C2}" name="TimeInBedHours" dataDxfId="5"/>
    <tableColumn id="23" xr3:uid="{854AC112-7CA5-4476-8001-507E5CC92D39}" name="AwakeInBedMinutes" dataDxfId="4"/>
    <tableColumn id="24" xr3:uid="{AC50E6E2-1C40-4D48-B232-547EC80B3F36}" name="SleepEfficiency" dataDxfId="3"/>
    <tableColumn id="25" xr3:uid="{BD7E3E3A-436F-472B-91EA-E0A8961365E3}" name="SleepCategory"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AACD15-BA2C-4D37-A34E-BDB0356A6FE9}" name="tbl_cleaning_log" displayName="tbl_cleaning_log" ref="A1:I10" totalsRowShown="0" headerRowDxfId="1">
  <autoFilter ref="A1:I10" xr:uid="{FBAACD15-BA2C-4D37-A34E-BDB0356A6FE9}"/>
  <tableColumns count="9">
    <tableColumn id="1" xr3:uid="{E8652245-3AEA-4ADE-B45B-156C61B09357}" name="Step No."/>
    <tableColumn id="2" xr3:uid="{E47F96DA-3589-4BF3-8409-0C779BB66096}" name="Date "/>
    <tableColumn id="3" xr3:uid="{C2DE11EF-B10F-40F1-847C-77172CD3E9EC}" name="Dataset"/>
    <tableColumn id="4" xr3:uid="{8D6D9AEF-A570-4D4D-8AF3-780F715739C5}" name="Column(s)"/>
    <tableColumn id="5" xr3:uid="{F2275D65-7A91-48E6-8EC4-4F55DF63A52F}" name="Issue Identified"/>
    <tableColumn id="6" xr3:uid="{43377731-C6E6-4B8F-BA96-C4551F7D4B7B}" name="Action Taken"/>
    <tableColumn id="7" xr3:uid="{8B580FF1-9001-470D-B766-D04FA153BF3F}" name="Reason"/>
    <tableColumn id="8" xr3:uid="{D74F4F17-1B14-4A30-87F2-816D7B0E3E76}" name="Rows Affected"/>
    <tableColumn id="9" xr3:uid="{C01B9452-9AD4-43F0-A196-B5D1FBF1CE69}" name="Formula/Meth Use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3719E7-7271-4FA2-8C11-CF2B13723658}" name="tbl_data_dictionary" displayName="tbl_data_dictionary" ref="A1:G2" insertRow="1" totalsRowShown="0" headerRowDxfId="0">
  <autoFilter ref="A1:G2" xr:uid="{273719E7-7271-4FA2-8C11-CF2B13723658}"/>
  <tableColumns count="7">
    <tableColumn id="1" xr3:uid="{985A44DC-F6CA-4BBF-B6A7-9F46A86250AD}" name="Dataset"/>
    <tableColumn id="2" xr3:uid="{6848CC8D-F1F4-43FF-B8D7-7B3838FB7481}" name="Original Column Name"/>
    <tableColumn id="3" xr3:uid="{53C8C516-74C2-4E9A-B24F-9B6EBAB5C58D}" name="New/Final Column Name"/>
    <tableColumn id="4" xr3:uid="{E0B4DFB1-BA96-4E44-A3DF-E84AC71FD148}" name="Data Type"/>
    <tableColumn id="5" xr3:uid="{2B435D0E-CA15-42CD-911B-EFDBB1E1EDF4}" name="Description"/>
    <tableColumn id="6" xr3:uid="{D219FE6C-5B7C-4094-8180-6ECC34F9EDCF}" name="Used in Analysis?"/>
    <tableColumn id="7" xr3:uid="{61132689-F960-48CE-A602-42EDAC6A12C4}"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1952-BA28-4FDD-A40D-5BDD100117A9}">
  <sheetPr>
    <tabColor theme="3" tint="0.499984740745262"/>
  </sheetPr>
  <dimension ref="A1:A38"/>
  <sheetViews>
    <sheetView topLeftCell="A34" zoomScale="130" zoomScaleNormal="130" workbookViewId="0">
      <selection activeCell="A38" sqref="A38"/>
    </sheetView>
  </sheetViews>
  <sheetFormatPr defaultRowHeight="14.4" x14ac:dyDescent="0.3"/>
  <cols>
    <col min="1" max="1" width="52" customWidth="1"/>
  </cols>
  <sheetData>
    <row r="1" spans="1:1" s="13" customFormat="1" ht="15.6" x14ac:dyDescent="0.3">
      <c r="A1" s="14" t="s">
        <v>56</v>
      </c>
    </row>
    <row r="2" spans="1:1" ht="15.6" x14ac:dyDescent="0.3">
      <c r="A2" s="13" t="s">
        <v>57</v>
      </c>
    </row>
    <row r="3" spans="1:1" ht="15.6" x14ac:dyDescent="0.3">
      <c r="A3" s="13"/>
    </row>
    <row r="4" spans="1:1" x14ac:dyDescent="0.3">
      <c r="A4" s="3" t="s">
        <v>58</v>
      </c>
    </row>
    <row r="5" spans="1:1" s="9" customFormat="1" ht="72" x14ac:dyDescent="0.3">
      <c r="A5" s="10" t="s">
        <v>59</v>
      </c>
    </row>
    <row r="7" spans="1:1" x14ac:dyDescent="0.3">
      <c r="A7" s="3" t="s">
        <v>60</v>
      </c>
    </row>
    <row r="8" spans="1:1" ht="57.6" x14ac:dyDescent="0.3">
      <c r="A8" s="10" t="s">
        <v>61</v>
      </c>
    </row>
    <row r="10" spans="1:1" x14ac:dyDescent="0.3">
      <c r="A10" s="3" t="s">
        <v>62</v>
      </c>
    </row>
    <row r="11" spans="1:1" ht="97.2" customHeight="1" x14ac:dyDescent="0.3">
      <c r="A11" s="10" t="s">
        <v>63</v>
      </c>
    </row>
    <row r="12" spans="1:1" x14ac:dyDescent="0.3">
      <c r="A12" s="3" t="s">
        <v>64</v>
      </c>
    </row>
    <row r="13" spans="1:1" ht="110.4" customHeight="1" x14ac:dyDescent="0.3">
      <c r="A13" s="10" t="s">
        <v>65</v>
      </c>
    </row>
    <row r="14" spans="1:1" x14ac:dyDescent="0.3">
      <c r="A14" s="3" t="s">
        <v>66</v>
      </c>
    </row>
    <row r="15" spans="1:1" ht="100.2" customHeight="1" x14ac:dyDescent="0.3">
      <c r="A15" s="9" t="s">
        <v>67</v>
      </c>
    </row>
    <row r="16" spans="1:1" x14ac:dyDescent="0.3">
      <c r="A16" s="3" t="s">
        <v>68</v>
      </c>
    </row>
    <row r="17" spans="1:1" ht="57.6" x14ac:dyDescent="0.3">
      <c r="A17" s="9" t="s">
        <v>69</v>
      </c>
    </row>
    <row r="19" spans="1:1" x14ac:dyDescent="0.3">
      <c r="A19" s="3" t="s">
        <v>70</v>
      </c>
    </row>
    <row r="20" spans="1:1" ht="72" x14ac:dyDescent="0.3">
      <c r="A20" s="9" t="s">
        <v>71</v>
      </c>
    </row>
    <row r="22" spans="1:1" x14ac:dyDescent="0.3">
      <c r="A22" s="3" t="s">
        <v>72</v>
      </c>
    </row>
    <row r="23" spans="1:1" ht="187.2" x14ac:dyDescent="0.3">
      <c r="A23" s="9" t="s">
        <v>73</v>
      </c>
    </row>
    <row r="25" spans="1:1" x14ac:dyDescent="0.3">
      <c r="A25" s="3" t="s">
        <v>74</v>
      </c>
    </row>
    <row r="26" spans="1:1" ht="100.8" x14ac:dyDescent="0.3">
      <c r="A26" s="9" t="s">
        <v>75</v>
      </c>
    </row>
    <row r="28" spans="1:1" ht="86.4" x14ac:dyDescent="0.3">
      <c r="A28" s="9" t="s">
        <v>172</v>
      </c>
    </row>
    <row r="30" spans="1:1" ht="72" x14ac:dyDescent="0.3">
      <c r="A30" s="9" t="s">
        <v>215</v>
      </c>
    </row>
    <row r="32" spans="1:1" x14ac:dyDescent="0.3">
      <c r="A32" s="3" t="s">
        <v>304</v>
      </c>
    </row>
    <row r="34" spans="1:1" ht="100.8" x14ac:dyDescent="0.3">
      <c r="A34" s="9" t="s">
        <v>305</v>
      </c>
    </row>
    <row r="36" spans="1:1" x14ac:dyDescent="0.3">
      <c r="A36" t="s">
        <v>328</v>
      </c>
    </row>
    <row r="38" spans="1:1" ht="100.8" x14ac:dyDescent="0.3">
      <c r="A38" s="9" t="s">
        <v>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E54DD-F7F0-42E1-BF14-179DA3790FD4}">
  <sheetPr>
    <tabColor theme="2" tint="-0.749992370372631"/>
  </sheetPr>
  <dimension ref="A1:O941"/>
  <sheetViews>
    <sheetView topLeftCell="A921" zoomScale="130" zoomScaleNormal="130" workbookViewId="0">
      <selection activeCell="A2" sqref="A2:XFD941"/>
    </sheetView>
  </sheetViews>
  <sheetFormatPr defaultRowHeight="14.4" x14ac:dyDescent="0.3"/>
  <cols>
    <col min="2" max="2" width="13.109375" customWidth="1"/>
    <col min="3" max="3" width="11.77734375" customWidth="1"/>
    <col min="4" max="4" width="14.33203125" customWidth="1"/>
    <col min="5" max="5" width="16.44140625" customWidth="1"/>
    <col min="6" max="6" width="23.88671875" customWidth="1"/>
    <col min="7" max="7" width="19.109375" customWidth="1"/>
    <col min="8" max="8" width="24.77734375" customWidth="1"/>
    <col min="9" max="9" width="19.44140625" customWidth="1"/>
    <col min="10" max="10" width="23.88671875" customWidth="1"/>
    <col min="11" max="11" width="18.33203125" customWidth="1"/>
    <col min="12" max="12" width="19.33203125" customWidth="1"/>
    <col min="13" max="13" width="20.109375" customWidth="1"/>
    <col min="14" max="14" width="17.88671875" customWidth="1"/>
    <col min="15" max="15" width="9.77734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1503960366</v>
      </c>
      <c r="B2" s="1">
        <v>42472</v>
      </c>
      <c r="C2">
        <v>13162</v>
      </c>
      <c r="D2">
        <v>8.5</v>
      </c>
      <c r="E2">
        <v>8.5</v>
      </c>
      <c r="F2">
        <v>0</v>
      </c>
      <c r="G2">
        <v>1.87999999523163</v>
      </c>
      <c r="H2">
        <v>0.55000001192092896</v>
      </c>
      <c r="I2">
        <v>6.0599999427795401</v>
      </c>
      <c r="J2">
        <v>0</v>
      </c>
      <c r="K2">
        <v>25</v>
      </c>
      <c r="L2">
        <v>13</v>
      </c>
      <c r="M2">
        <v>328</v>
      </c>
      <c r="N2">
        <v>728</v>
      </c>
      <c r="O2">
        <v>1985</v>
      </c>
    </row>
    <row r="3" spans="1:15" x14ac:dyDescent="0.3">
      <c r="A3">
        <v>1503960366</v>
      </c>
      <c r="B3" s="1">
        <v>42473</v>
      </c>
      <c r="C3">
        <v>10735</v>
      </c>
      <c r="D3">
        <v>6.9699997901916504</v>
      </c>
      <c r="E3">
        <v>6.9699997901916504</v>
      </c>
      <c r="F3">
        <v>0</v>
      </c>
      <c r="G3">
        <v>1.5700000524520901</v>
      </c>
      <c r="H3">
        <v>0.68999999761581399</v>
      </c>
      <c r="I3">
        <v>4.71000003814697</v>
      </c>
      <c r="J3">
        <v>0</v>
      </c>
      <c r="K3">
        <v>21</v>
      </c>
      <c r="L3">
        <v>19</v>
      </c>
      <c r="M3">
        <v>217</v>
      </c>
      <c r="N3">
        <v>776</v>
      </c>
      <c r="O3">
        <v>1797</v>
      </c>
    </row>
    <row r="4" spans="1:15" x14ac:dyDescent="0.3">
      <c r="A4">
        <v>1503960366</v>
      </c>
      <c r="B4" s="1">
        <v>42474</v>
      </c>
      <c r="C4">
        <v>10460</v>
      </c>
      <c r="D4">
        <v>6.7399997711181596</v>
      </c>
      <c r="E4">
        <v>6.7399997711181596</v>
      </c>
      <c r="F4">
        <v>0</v>
      </c>
      <c r="G4">
        <v>2.4400000572204599</v>
      </c>
      <c r="H4">
        <v>0.40000000596046398</v>
      </c>
      <c r="I4">
        <v>3.9100000858306898</v>
      </c>
      <c r="J4">
        <v>0</v>
      </c>
      <c r="K4">
        <v>30</v>
      </c>
      <c r="L4">
        <v>11</v>
      </c>
      <c r="M4">
        <v>181</v>
      </c>
      <c r="N4">
        <v>1218</v>
      </c>
      <c r="O4">
        <v>1776</v>
      </c>
    </row>
    <row r="5" spans="1:15" x14ac:dyDescent="0.3">
      <c r="A5">
        <v>1503960366</v>
      </c>
      <c r="B5" s="1">
        <v>42475</v>
      </c>
      <c r="C5">
        <v>9762</v>
      </c>
      <c r="D5">
        <v>6.2800002098083496</v>
      </c>
      <c r="E5">
        <v>6.2800002098083496</v>
      </c>
      <c r="F5">
        <v>0</v>
      </c>
      <c r="G5">
        <v>2.1400001049041699</v>
      </c>
      <c r="H5">
        <v>1.2599999904632599</v>
      </c>
      <c r="I5">
        <v>2.8299999237060498</v>
      </c>
      <c r="J5">
        <v>0</v>
      </c>
      <c r="K5">
        <v>29</v>
      </c>
      <c r="L5">
        <v>34</v>
      </c>
      <c r="M5">
        <v>209</v>
      </c>
      <c r="N5">
        <v>726</v>
      </c>
      <c r="O5">
        <v>1745</v>
      </c>
    </row>
    <row r="6" spans="1:15" x14ac:dyDescent="0.3">
      <c r="A6">
        <v>1503960366</v>
      </c>
      <c r="B6" s="1">
        <v>42476</v>
      </c>
      <c r="C6">
        <v>12669</v>
      </c>
      <c r="D6">
        <v>8.1599998474121094</v>
      </c>
      <c r="E6">
        <v>8.1599998474121094</v>
      </c>
      <c r="F6">
        <v>0</v>
      </c>
      <c r="G6">
        <v>2.71000003814697</v>
      </c>
      <c r="H6">
        <v>0.40999999642372098</v>
      </c>
      <c r="I6">
        <v>5.03999996185303</v>
      </c>
      <c r="J6">
        <v>0</v>
      </c>
      <c r="K6">
        <v>36</v>
      </c>
      <c r="L6">
        <v>10</v>
      </c>
      <c r="M6">
        <v>221</v>
      </c>
      <c r="N6">
        <v>773</v>
      </c>
      <c r="O6">
        <v>1863</v>
      </c>
    </row>
    <row r="7" spans="1:15" x14ac:dyDescent="0.3">
      <c r="A7">
        <v>1503960366</v>
      </c>
      <c r="B7" s="1">
        <v>42477</v>
      </c>
      <c r="C7">
        <v>9705</v>
      </c>
      <c r="D7">
        <v>6.4800000190734899</v>
      </c>
      <c r="E7">
        <v>6.4800000190734899</v>
      </c>
      <c r="F7">
        <v>0</v>
      </c>
      <c r="G7">
        <v>3.1900000572204599</v>
      </c>
      <c r="H7">
        <v>0.77999997138977095</v>
      </c>
      <c r="I7">
        <v>2.5099999904632599</v>
      </c>
      <c r="J7">
        <v>0</v>
      </c>
      <c r="K7">
        <v>38</v>
      </c>
      <c r="L7">
        <v>20</v>
      </c>
      <c r="M7">
        <v>164</v>
      </c>
      <c r="N7">
        <v>539</v>
      </c>
      <c r="O7">
        <v>1728</v>
      </c>
    </row>
    <row r="8" spans="1:15" x14ac:dyDescent="0.3">
      <c r="A8">
        <v>1503960366</v>
      </c>
      <c r="B8" s="1">
        <v>42478</v>
      </c>
      <c r="C8">
        <v>13019</v>
      </c>
      <c r="D8">
        <v>8.5900001525878906</v>
      </c>
      <c r="E8">
        <v>8.5900001525878906</v>
      </c>
      <c r="F8">
        <v>0</v>
      </c>
      <c r="G8">
        <v>3.25</v>
      </c>
      <c r="H8">
        <v>0.63999998569488503</v>
      </c>
      <c r="I8">
        <v>4.71000003814697</v>
      </c>
      <c r="J8">
        <v>0</v>
      </c>
      <c r="K8">
        <v>42</v>
      </c>
      <c r="L8">
        <v>16</v>
      </c>
      <c r="M8">
        <v>233</v>
      </c>
      <c r="N8">
        <v>1149</v>
      </c>
      <c r="O8">
        <v>1921</v>
      </c>
    </row>
    <row r="9" spans="1:15" x14ac:dyDescent="0.3">
      <c r="A9">
        <v>1503960366</v>
      </c>
      <c r="B9" s="1">
        <v>42479</v>
      </c>
      <c r="C9">
        <v>15506</v>
      </c>
      <c r="D9">
        <v>9.8800001144409197</v>
      </c>
      <c r="E9">
        <v>9.8800001144409197</v>
      </c>
      <c r="F9">
        <v>0</v>
      </c>
      <c r="G9">
        <v>3.5299999713897701</v>
      </c>
      <c r="H9">
        <v>1.3200000524520901</v>
      </c>
      <c r="I9">
        <v>5.0300002098083496</v>
      </c>
      <c r="J9">
        <v>0</v>
      </c>
      <c r="K9">
        <v>50</v>
      </c>
      <c r="L9">
        <v>31</v>
      </c>
      <c r="M9">
        <v>264</v>
      </c>
      <c r="N9">
        <v>775</v>
      </c>
      <c r="O9">
        <v>2035</v>
      </c>
    </row>
    <row r="10" spans="1:15" x14ac:dyDescent="0.3">
      <c r="A10">
        <v>1503960366</v>
      </c>
      <c r="B10" s="1">
        <v>42480</v>
      </c>
      <c r="C10">
        <v>10544</v>
      </c>
      <c r="D10">
        <v>6.6799998283386204</v>
      </c>
      <c r="E10">
        <v>6.6799998283386204</v>
      </c>
      <c r="F10">
        <v>0</v>
      </c>
      <c r="G10">
        <v>1.96000003814697</v>
      </c>
      <c r="H10">
        <v>0.479999989271164</v>
      </c>
      <c r="I10">
        <v>4.2399997711181596</v>
      </c>
      <c r="J10">
        <v>0</v>
      </c>
      <c r="K10">
        <v>28</v>
      </c>
      <c r="L10">
        <v>12</v>
      </c>
      <c r="M10">
        <v>205</v>
      </c>
      <c r="N10">
        <v>818</v>
      </c>
      <c r="O10">
        <v>1786</v>
      </c>
    </row>
    <row r="11" spans="1:15" x14ac:dyDescent="0.3">
      <c r="A11">
        <v>1503960366</v>
      </c>
      <c r="B11" s="1">
        <v>42481</v>
      </c>
      <c r="C11">
        <v>9819</v>
      </c>
      <c r="D11">
        <v>6.3400001525878897</v>
      </c>
      <c r="E11">
        <v>6.3400001525878897</v>
      </c>
      <c r="F11">
        <v>0</v>
      </c>
      <c r="G11">
        <v>1.3400000333786</v>
      </c>
      <c r="H11">
        <v>0.34999999403953602</v>
      </c>
      <c r="I11">
        <v>4.6500000953674299</v>
      </c>
      <c r="J11">
        <v>0</v>
      </c>
      <c r="K11">
        <v>19</v>
      </c>
      <c r="L11">
        <v>8</v>
      </c>
      <c r="M11">
        <v>211</v>
      </c>
      <c r="N11">
        <v>838</v>
      </c>
      <c r="O11">
        <v>1775</v>
      </c>
    </row>
    <row r="12" spans="1:15" x14ac:dyDescent="0.3">
      <c r="A12">
        <v>1503960366</v>
      </c>
      <c r="B12" s="1">
        <v>42482</v>
      </c>
      <c r="C12">
        <v>12764</v>
      </c>
      <c r="D12">
        <v>8.1300001144409197</v>
      </c>
      <c r="E12">
        <v>8.1300001144409197</v>
      </c>
      <c r="F12">
        <v>0</v>
      </c>
      <c r="G12">
        <v>4.7600002288818404</v>
      </c>
      <c r="H12">
        <v>1.12000000476837</v>
      </c>
      <c r="I12">
        <v>2.2400000095367401</v>
      </c>
      <c r="J12">
        <v>0</v>
      </c>
      <c r="K12">
        <v>66</v>
      </c>
      <c r="L12">
        <v>27</v>
      </c>
      <c r="M12">
        <v>130</v>
      </c>
      <c r="N12">
        <v>1217</v>
      </c>
      <c r="O12">
        <v>1827</v>
      </c>
    </row>
    <row r="13" spans="1:15" x14ac:dyDescent="0.3">
      <c r="A13">
        <v>1503960366</v>
      </c>
      <c r="B13" s="1">
        <v>42483</v>
      </c>
      <c r="C13">
        <v>14371</v>
      </c>
      <c r="D13">
        <v>9.0399999618530291</v>
      </c>
      <c r="E13">
        <v>9.0399999618530291</v>
      </c>
      <c r="F13">
        <v>0</v>
      </c>
      <c r="G13">
        <v>2.8099999427795401</v>
      </c>
      <c r="H13">
        <v>0.87000000476837203</v>
      </c>
      <c r="I13">
        <v>5.3600001335143999</v>
      </c>
      <c r="J13">
        <v>0</v>
      </c>
      <c r="K13">
        <v>41</v>
      </c>
      <c r="L13">
        <v>21</v>
      </c>
      <c r="M13">
        <v>262</v>
      </c>
      <c r="N13">
        <v>732</v>
      </c>
      <c r="O13">
        <v>1949</v>
      </c>
    </row>
    <row r="14" spans="1:15" x14ac:dyDescent="0.3">
      <c r="A14">
        <v>1503960366</v>
      </c>
      <c r="B14" s="1">
        <v>42484</v>
      </c>
      <c r="C14">
        <v>10039</v>
      </c>
      <c r="D14">
        <v>6.4099998474121103</v>
      </c>
      <c r="E14">
        <v>6.4099998474121103</v>
      </c>
      <c r="F14">
        <v>0</v>
      </c>
      <c r="G14">
        <v>2.9200000762939502</v>
      </c>
      <c r="H14">
        <v>0.20999999344348899</v>
      </c>
      <c r="I14">
        <v>3.2799999713897701</v>
      </c>
      <c r="J14">
        <v>0</v>
      </c>
      <c r="K14">
        <v>39</v>
      </c>
      <c r="L14">
        <v>5</v>
      </c>
      <c r="M14">
        <v>238</v>
      </c>
      <c r="N14">
        <v>709</v>
      </c>
      <c r="O14">
        <v>1788</v>
      </c>
    </row>
    <row r="15" spans="1:15" x14ac:dyDescent="0.3">
      <c r="A15">
        <v>1503960366</v>
      </c>
      <c r="B15" s="1">
        <v>42485</v>
      </c>
      <c r="C15">
        <v>15355</v>
      </c>
      <c r="D15">
        <v>9.8000001907348597</v>
      </c>
      <c r="E15">
        <v>9.8000001907348597</v>
      </c>
      <c r="F15">
        <v>0</v>
      </c>
      <c r="G15">
        <v>5.28999996185303</v>
      </c>
      <c r="H15">
        <v>0.56999999284744296</v>
      </c>
      <c r="I15">
        <v>3.9400000572204599</v>
      </c>
      <c r="J15">
        <v>0</v>
      </c>
      <c r="K15">
        <v>73</v>
      </c>
      <c r="L15">
        <v>14</v>
      </c>
      <c r="M15">
        <v>216</v>
      </c>
      <c r="N15">
        <v>814</v>
      </c>
      <c r="O15">
        <v>2013</v>
      </c>
    </row>
    <row r="16" spans="1:15" x14ac:dyDescent="0.3">
      <c r="A16">
        <v>1503960366</v>
      </c>
      <c r="B16" s="1">
        <v>42486</v>
      </c>
      <c r="C16">
        <v>13755</v>
      </c>
      <c r="D16">
        <v>8.7899999618530291</v>
      </c>
      <c r="E16">
        <v>8.7899999618530291</v>
      </c>
      <c r="F16">
        <v>0</v>
      </c>
      <c r="G16">
        <v>2.3299999237060498</v>
      </c>
      <c r="H16">
        <v>0.92000001668930098</v>
      </c>
      <c r="I16">
        <v>5.53999996185303</v>
      </c>
      <c r="J16">
        <v>0</v>
      </c>
      <c r="K16">
        <v>31</v>
      </c>
      <c r="L16">
        <v>23</v>
      </c>
      <c r="M16">
        <v>279</v>
      </c>
      <c r="N16">
        <v>833</v>
      </c>
      <c r="O16">
        <v>1970</v>
      </c>
    </row>
    <row r="17" spans="1:15" x14ac:dyDescent="0.3">
      <c r="A17">
        <v>1503960366</v>
      </c>
      <c r="B17" s="1">
        <v>42487</v>
      </c>
      <c r="C17">
        <v>18134</v>
      </c>
      <c r="D17">
        <v>12.210000038146999</v>
      </c>
      <c r="E17">
        <v>12.210000038146999</v>
      </c>
      <c r="F17">
        <v>0</v>
      </c>
      <c r="G17">
        <v>6.4000000953674299</v>
      </c>
      <c r="H17">
        <v>0.40999999642372098</v>
      </c>
      <c r="I17">
        <v>5.4099998474121103</v>
      </c>
      <c r="J17">
        <v>0</v>
      </c>
      <c r="K17">
        <v>78</v>
      </c>
      <c r="L17">
        <v>11</v>
      </c>
      <c r="M17">
        <v>243</v>
      </c>
      <c r="N17">
        <v>1108</v>
      </c>
      <c r="O17">
        <v>2159</v>
      </c>
    </row>
    <row r="18" spans="1:15" x14ac:dyDescent="0.3">
      <c r="A18">
        <v>1503960366</v>
      </c>
      <c r="B18" s="1">
        <v>42488</v>
      </c>
      <c r="C18">
        <v>13154</v>
      </c>
      <c r="D18">
        <v>8.5299997329711896</v>
      </c>
      <c r="E18">
        <v>8.5299997329711896</v>
      </c>
      <c r="F18">
        <v>0</v>
      </c>
      <c r="G18">
        <v>3.53999996185303</v>
      </c>
      <c r="H18">
        <v>1.1599999666214</v>
      </c>
      <c r="I18">
        <v>3.78999996185303</v>
      </c>
      <c r="J18">
        <v>0</v>
      </c>
      <c r="K18">
        <v>48</v>
      </c>
      <c r="L18">
        <v>28</v>
      </c>
      <c r="M18">
        <v>189</v>
      </c>
      <c r="N18">
        <v>782</v>
      </c>
      <c r="O18">
        <v>1898</v>
      </c>
    </row>
    <row r="19" spans="1:15" x14ac:dyDescent="0.3">
      <c r="A19">
        <v>1503960366</v>
      </c>
      <c r="B19" s="1">
        <v>42489</v>
      </c>
      <c r="C19">
        <v>11181</v>
      </c>
      <c r="D19">
        <v>7.1500000953674299</v>
      </c>
      <c r="E19">
        <v>7.1500000953674299</v>
      </c>
      <c r="F19">
        <v>0</v>
      </c>
      <c r="G19">
        <v>1.0599999427795399</v>
      </c>
      <c r="H19">
        <v>0.5</v>
      </c>
      <c r="I19">
        <v>5.5799999237060502</v>
      </c>
      <c r="J19">
        <v>0</v>
      </c>
      <c r="K19">
        <v>16</v>
      </c>
      <c r="L19">
        <v>12</v>
      </c>
      <c r="M19">
        <v>243</v>
      </c>
      <c r="N19">
        <v>815</v>
      </c>
      <c r="O19">
        <v>1837</v>
      </c>
    </row>
    <row r="20" spans="1:15" x14ac:dyDescent="0.3">
      <c r="A20">
        <v>1503960366</v>
      </c>
      <c r="B20" s="1">
        <v>42490</v>
      </c>
      <c r="C20">
        <v>14673</v>
      </c>
      <c r="D20">
        <v>9.25</v>
      </c>
      <c r="E20">
        <v>9.25</v>
      </c>
      <c r="F20">
        <v>0</v>
      </c>
      <c r="G20">
        <v>3.5599999427795401</v>
      </c>
      <c r="H20">
        <v>1.41999995708466</v>
      </c>
      <c r="I20">
        <v>4.2699999809265101</v>
      </c>
      <c r="J20">
        <v>0</v>
      </c>
      <c r="K20">
        <v>52</v>
      </c>
      <c r="L20">
        <v>34</v>
      </c>
      <c r="M20">
        <v>217</v>
      </c>
      <c r="N20">
        <v>712</v>
      </c>
      <c r="O20">
        <v>1947</v>
      </c>
    </row>
    <row r="21" spans="1:15" x14ac:dyDescent="0.3">
      <c r="A21">
        <v>1503960366</v>
      </c>
      <c r="B21" s="1">
        <v>42491</v>
      </c>
      <c r="C21">
        <v>10602</v>
      </c>
      <c r="D21">
        <v>6.8099999427795401</v>
      </c>
      <c r="E21">
        <v>6.8099999427795401</v>
      </c>
      <c r="F21">
        <v>0</v>
      </c>
      <c r="G21">
        <v>2.28999996185303</v>
      </c>
      <c r="H21">
        <v>1.6000000238418599</v>
      </c>
      <c r="I21">
        <v>2.9200000762939502</v>
      </c>
      <c r="J21">
        <v>0</v>
      </c>
      <c r="K21">
        <v>33</v>
      </c>
      <c r="L21">
        <v>35</v>
      </c>
      <c r="M21">
        <v>246</v>
      </c>
      <c r="N21">
        <v>730</v>
      </c>
      <c r="O21">
        <v>1820</v>
      </c>
    </row>
    <row r="22" spans="1:15" x14ac:dyDescent="0.3">
      <c r="A22">
        <v>1503960366</v>
      </c>
      <c r="B22" s="1">
        <v>42492</v>
      </c>
      <c r="C22">
        <v>14727</v>
      </c>
      <c r="D22">
        <v>9.7100000381469709</v>
      </c>
      <c r="E22">
        <v>9.7100000381469709</v>
      </c>
      <c r="F22">
        <v>0</v>
      </c>
      <c r="G22">
        <v>3.21000003814697</v>
      </c>
      <c r="H22">
        <v>0.56999999284744296</v>
      </c>
      <c r="I22">
        <v>5.9200000762939498</v>
      </c>
      <c r="J22">
        <v>0</v>
      </c>
      <c r="K22">
        <v>41</v>
      </c>
      <c r="L22">
        <v>15</v>
      </c>
      <c r="M22">
        <v>277</v>
      </c>
      <c r="N22">
        <v>798</v>
      </c>
      <c r="O22">
        <v>2004</v>
      </c>
    </row>
    <row r="23" spans="1:15" x14ac:dyDescent="0.3">
      <c r="A23">
        <v>1503960366</v>
      </c>
      <c r="B23" s="1">
        <v>42493</v>
      </c>
      <c r="C23">
        <v>15103</v>
      </c>
      <c r="D23">
        <v>9.6599998474121094</v>
      </c>
      <c r="E23">
        <v>9.6599998474121094</v>
      </c>
      <c r="F23">
        <v>0</v>
      </c>
      <c r="G23">
        <v>3.7300000190734899</v>
      </c>
      <c r="H23">
        <v>1.04999995231628</v>
      </c>
      <c r="I23">
        <v>4.8800001144409197</v>
      </c>
      <c r="J23">
        <v>0</v>
      </c>
      <c r="K23">
        <v>50</v>
      </c>
      <c r="L23">
        <v>24</v>
      </c>
      <c r="M23">
        <v>254</v>
      </c>
      <c r="N23">
        <v>816</v>
      </c>
      <c r="O23">
        <v>1990</v>
      </c>
    </row>
    <row r="24" spans="1:15" x14ac:dyDescent="0.3">
      <c r="A24">
        <v>1503960366</v>
      </c>
      <c r="B24" s="1">
        <v>42494</v>
      </c>
      <c r="C24">
        <v>11100</v>
      </c>
      <c r="D24">
        <v>7.1500000953674299</v>
      </c>
      <c r="E24">
        <v>7.1500000953674299</v>
      </c>
      <c r="F24">
        <v>0</v>
      </c>
      <c r="G24">
        <v>2.46000003814697</v>
      </c>
      <c r="H24">
        <v>0.87000000476837203</v>
      </c>
      <c r="I24">
        <v>3.8199999332428001</v>
      </c>
      <c r="J24">
        <v>0</v>
      </c>
      <c r="K24">
        <v>36</v>
      </c>
      <c r="L24">
        <v>22</v>
      </c>
      <c r="M24">
        <v>203</v>
      </c>
      <c r="N24">
        <v>1179</v>
      </c>
      <c r="O24">
        <v>1819</v>
      </c>
    </row>
    <row r="25" spans="1:15" x14ac:dyDescent="0.3">
      <c r="A25">
        <v>1503960366</v>
      </c>
      <c r="B25" s="1">
        <v>42495</v>
      </c>
      <c r="C25">
        <v>14070</v>
      </c>
      <c r="D25">
        <v>8.8999996185302699</v>
      </c>
      <c r="E25">
        <v>8.8999996185302699</v>
      </c>
      <c r="F25">
        <v>0</v>
      </c>
      <c r="G25">
        <v>2.9200000762939502</v>
      </c>
      <c r="H25">
        <v>1.08000004291534</v>
      </c>
      <c r="I25">
        <v>4.8800001144409197</v>
      </c>
      <c r="J25">
        <v>0</v>
      </c>
      <c r="K25">
        <v>45</v>
      </c>
      <c r="L25">
        <v>24</v>
      </c>
      <c r="M25">
        <v>250</v>
      </c>
      <c r="N25">
        <v>857</v>
      </c>
      <c r="O25">
        <v>1959</v>
      </c>
    </row>
    <row r="26" spans="1:15" x14ac:dyDescent="0.3">
      <c r="A26">
        <v>1503960366</v>
      </c>
      <c r="B26" s="1">
        <v>42496</v>
      </c>
      <c r="C26">
        <v>12159</v>
      </c>
      <c r="D26">
        <v>8.0299997329711896</v>
      </c>
      <c r="E26">
        <v>8.0299997329711896</v>
      </c>
      <c r="F26">
        <v>0</v>
      </c>
      <c r="G26">
        <v>1.9700000286102299</v>
      </c>
      <c r="H26">
        <v>0.25</v>
      </c>
      <c r="I26">
        <v>5.8099999427795401</v>
      </c>
      <c r="J26">
        <v>0</v>
      </c>
      <c r="K26">
        <v>24</v>
      </c>
      <c r="L26">
        <v>6</v>
      </c>
      <c r="M26">
        <v>289</v>
      </c>
      <c r="N26">
        <v>754</v>
      </c>
      <c r="O26">
        <v>1896</v>
      </c>
    </row>
    <row r="27" spans="1:15" x14ac:dyDescent="0.3">
      <c r="A27">
        <v>1503960366</v>
      </c>
      <c r="B27" s="1">
        <v>42497</v>
      </c>
      <c r="C27">
        <v>11992</v>
      </c>
      <c r="D27">
        <v>7.71000003814697</v>
      </c>
      <c r="E27">
        <v>7.71000003814697</v>
      </c>
      <c r="F27">
        <v>0</v>
      </c>
      <c r="G27">
        <v>2.46000003814697</v>
      </c>
      <c r="H27">
        <v>2.1199998855590798</v>
      </c>
      <c r="I27">
        <v>3.1300001144409202</v>
      </c>
      <c r="J27">
        <v>0</v>
      </c>
      <c r="K27">
        <v>37</v>
      </c>
      <c r="L27">
        <v>46</v>
      </c>
      <c r="M27">
        <v>175</v>
      </c>
      <c r="N27">
        <v>833</v>
      </c>
      <c r="O27">
        <v>1821</v>
      </c>
    </row>
    <row r="28" spans="1:15" x14ac:dyDescent="0.3">
      <c r="A28">
        <v>1503960366</v>
      </c>
      <c r="B28" s="1">
        <v>42498</v>
      </c>
      <c r="C28">
        <v>10060</v>
      </c>
      <c r="D28">
        <v>6.5799999237060502</v>
      </c>
      <c r="E28">
        <v>6.5799999237060502</v>
      </c>
      <c r="F28">
        <v>0</v>
      </c>
      <c r="G28">
        <v>3.5299999713897701</v>
      </c>
      <c r="H28">
        <v>0.31999999284744302</v>
      </c>
      <c r="I28">
        <v>2.7300000190734899</v>
      </c>
      <c r="J28">
        <v>0</v>
      </c>
      <c r="K28">
        <v>44</v>
      </c>
      <c r="L28">
        <v>8</v>
      </c>
      <c r="M28">
        <v>203</v>
      </c>
      <c r="N28">
        <v>574</v>
      </c>
      <c r="O28">
        <v>1740</v>
      </c>
    </row>
    <row r="29" spans="1:15" x14ac:dyDescent="0.3">
      <c r="A29">
        <v>1503960366</v>
      </c>
      <c r="B29" s="1">
        <v>42499</v>
      </c>
      <c r="C29">
        <v>12022</v>
      </c>
      <c r="D29">
        <v>7.7199997901916504</v>
      </c>
      <c r="E29">
        <v>7.7199997901916504</v>
      </c>
      <c r="F29">
        <v>0</v>
      </c>
      <c r="G29">
        <v>3.4500000476837198</v>
      </c>
      <c r="H29">
        <v>0.52999997138977095</v>
      </c>
      <c r="I29">
        <v>3.7400000095367401</v>
      </c>
      <c r="J29">
        <v>0</v>
      </c>
      <c r="K29">
        <v>46</v>
      </c>
      <c r="L29">
        <v>11</v>
      </c>
      <c r="M29">
        <v>206</v>
      </c>
      <c r="N29">
        <v>835</v>
      </c>
      <c r="O29">
        <v>1819</v>
      </c>
    </row>
    <row r="30" spans="1:15" x14ac:dyDescent="0.3">
      <c r="A30">
        <v>1503960366</v>
      </c>
      <c r="B30" s="1">
        <v>42500</v>
      </c>
      <c r="C30">
        <v>12207</v>
      </c>
      <c r="D30">
        <v>7.7699999809265101</v>
      </c>
      <c r="E30">
        <v>7.7699999809265101</v>
      </c>
      <c r="F30">
        <v>0</v>
      </c>
      <c r="G30">
        <v>3.3499999046325701</v>
      </c>
      <c r="H30">
        <v>1.1599999666214</v>
      </c>
      <c r="I30">
        <v>3.2599999904632599</v>
      </c>
      <c r="J30">
        <v>0</v>
      </c>
      <c r="K30">
        <v>46</v>
      </c>
      <c r="L30">
        <v>31</v>
      </c>
      <c r="M30">
        <v>214</v>
      </c>
      <c r="N30">
        <v>746</v>
      </c>
      <c r="O30">
        <v>1859</v>
      </c>
    </row>
    <row r="31" spans="1:15" x14ac:dyDescent="0.3">
      <c r="A31">
        <v>1503960366</v>
      </c>
      <c r="B31" s="1">
        <v>42501</v>
      </c>
      <c r="C31">
        <v>12770</v>
      </c>
      <c r="D31">
        <v>8.1300001144409197</v>
      </c>
      <c r="E31">
        <v>8.1300001144409197</v>
      </c>
      <c r="F31">
        <v>0</v>
      </c>
      <c r="G31">
        <v>2.5599999427795401</v>
      </c>
      <c r="H31">
        <v>1.0099999904632599</v>
      </c>
      <c r="I31">
        <v>4.5500001907348597</v>
      </c>
      <c r="J31">
        <v>0</v>
      </c>
      <c r="K31">
        <v>36</v>
      </c>
      <c r="L31">
        <v>23</v>
      </c>
      <c r="M31">
        <v>251</v>
      </c>
      <c r="N31">
        <v>669</v>
      </c>
      <c r="O31">
        <v>1783</v>
      </c>
    </row>
    <row r="32" spans="1:15" x14ac:dyDescent="0.3">
      <c r="A32">
        <v>1503960366</v>
      </c>
      <c r="B32" s="1">
        <v>42502</v>
      </c>
      <c r="C32">
        <v>0</v>
      </c>
      <c r="D32">
        <v>0</v>
      </c>
      <c r="E32">
        <v>0</v>
      </c>
      <c r="F32">
        <v>0</v>
      </c>
      <c r="G32">
        <v>0</v>
      </c>
      <c r="H32">
        <v>0</v>
      </c>
      <c r="I32">
        <v>0</v>
      </c>
      <c r="J32">
        <v>0</v>
      </c>
      <c r="K32">
        <v>0</v>
      </c>
      <c r="L32">
        <v>0</v>
      </c>
      <c r="M32">
        <v>0</v>
      </c>
      <c r="N32">
        <v>1440</v>
      </c>
      <c r="O32">
        <v>0</v>
      </c>
    </row>
    <row r="33" spans="1:15" x14ac:dyDescent="0.3">
      <c r="A33">
        <v>1624580081</v>
      </c>
      <c r="B33" s="1">
        <v>42472</v>
      </c>
      <c r="C33">
        <v>8163</v>
      </c>
      <c r="D33">
        <v>5.3099999427795401</v>
      </c>
      <c r="E33">
        <v>5.3099999427795401</v>
      </c>
      <c r="F33">
        <v>0</v>
      </c>
      <c r="G33">
        <v>0</v>
      </c>
      <c r="H33">
        <v>0</v>
      </c>
      <c r="I33">
        <v>5.3099999427795401</v>
      </c>
      <c r="J33">
        <v>0</v>
      </c>
      <c r="K33">
        <v>0</v>
      </c>
      <c r="L33">
        <v>0</v>
      </c>
      <c r="M33">
        <v>146</v>
      </c>
      <c r="N33">
        <v>1294</v>
      </c>
      <c r="O33">
        <v>1432</v>
      </c>
    </row>
    <row r="34" spans="1:15" x14ac:dyDescent="0.3">
      <c r="A34">
        <v>1624580081</v>
      </c>
      <c r="B34" s="1">
        <v>42473</v>
      </c>
      <c r="C34">
        <v>7007</v>
      </c>
      <c r="D34">
        <v>4.5500001907348597</v>
      </c>
      <c r="E34">
        <v>4.5500001907348597</v>
      </c>
      <c r="F34">
        <v>0</v>
      </c>
      <c r="G34">
        <v>0</v>
      </c>
      <c r="H34">
        <v>0</v>
      </c>
      <c r="I34">
        <v>4.5500001907348597</v>
      </c>
      <c r="J34">
        <v>0</v>
      </c>
      <c r="K34">
        <v>0</v>
      </c>
      <c r="L34">
        <v>0</v>
      </c>
      <c r="M34">
        <v>148</v>
      </c>
      <c r="N34">
        <v>1292</v>
      </c>
      <c r="O34">
        <v>1411</v>
      </c>
    </row>
    <row r="35" spans="1:15" x14ac:dyDescent="0.3">
      <c r="A35">
        <v>1624580081</v>
      </c>
      <c r="B35" s="1">
        <v>42474</v>
      </c>
      <c r="C35">
        <v>9107</v>
      </c>
      <c r="D35">
        <v>5.9200000762939498</v>
      </c>
      <c r="E35">
        <v>5.9200000762939498</v>
      </c>
      <c r="F35">
        <v>0</v>
      </c>
      <c r="G35">
        <v>0</v>
      </c>
      <c r="H35">
        <v>0</v>
      </c>
      <c r="I35">
        <v>5.9099998474121103</v>
      </c>
      <c r="J35">
        <v>9.9999997764825804E-3</v>
      </c>
      <c r="K35">
        <v>0</v>
      </c>
      <c r="L35">
        <v>0</v>
      </c>
      <c r="M35">
        <v>236</v>
      </c>
      <c r="N35">
        <v>1204</v>
      </c>
      <c r="O35">
        <v>1572</v>
      </c>
    </row>
    <row r="36" spans="1:15" x14ac:dyDescent="0.3">
      <c r="A36">
        <v>1624580081</v>
      </c>
      <c r="B36" s="1">
        <v>42475</v>
      </c>
      <c r="C36">
        <v>1510</v>
      </c>
      <c r="D36">
        <v>0.980000019073486</v>
      </c>
      <c r="E36">
        <v>0.980000019073486</v>
      </c>
      <c r="F36">
        <v>0</v>
      </c>
      <c r="G36">
        <v>0</v>
      </c>
      <c r="H36">
        <v>0</v>
      </c>
      <c r="I36">
        <v>0.97000002861022905</v>
      </c>
      <c r="J36">
        <v>0</v>
      </c>
      <c r="K36">
        <v>0</v>
      </c>
      <c r="L36">
        <v>0</v>
      </c>
      <c r="M36">
        <v>96</v>
      </c>
      <c r="N36">
        <v>1344</v>
      </c>
      <c r="O36">
        <v>1344</v>
      </c>
    </row>
    <row r="37" spans="1:15" x14ac:dyDescent="0.3">
      <c r="A37">
        <v>1624580081</v>
      </c>
      <c r="B37" s="1">
        <v>42476</v>
      </c>
      <c r="C37">
        <v>5370</v>
      </c>
      <c r="D37">
        <v>3.4900000095367401</v>
      </c>
      <c r="E37">
        <v>3.4900000095367401</v>
      </c>
      <c r="F37">
        <v>0</v>
      </c>
      <c r="G37">
        <v>0</v>
      </c>
      <c r="H37">
        <v>0</v>
      </c>
      <c r="I37">
        <v>3.4900000095367401</v>
      </c>
      <c r="J37">
        <v>0</v>
      </c>
      <c r="K37">
        <v>0</v>
      </c>
      <c r="L37">
        <v>0</v>
      </c>
      <c r="M37">
        <v>176</v>
      </c>
      <c r="N37">
        <v>1264</v>
      </c>
      <c r="O37">
        <v>1463</v>
      </c>
    </row>
    <row r="38" spans="1:15" x14ac:dyDescent="0.3">
      <c r="A38">
        <v>1624580081</v>
      </c>
      <c r="B38" s="1">
        <v>42477</v>
      </c>
      <c r="C38">
        <v>6175</v>
      </c>
      <c r="D38">
        <v>4.0599999427795401</v>
      </c>
      <c r="E38">
        <v>4.0599999427795401</v>
      </c>
      <c r="F38">
        <v>0</v>
      </c>
      <c r="G38">
        <v>1.0299999713897701</v>
      </c>
      <c r="H38">
        <v>1.5199999809265099</v>
      </c>
      <c r="I38">
        <v>1.4900000095367401</v>
      </c>
      <c r="J38">
        <v>9.9999997764825804E-3</v>
      </c>
      <c r="K38">
        <v>15</v>
      </c>
      <c r="L38">
        <v>22</v>
      </c>
      <c r="M38">
        <v>127</v>
      </c>
      <c r="N38">
        <v>1276</v>
      </c>
      <c r="O38">
        <v>1554</v>
      </c>
    </row>
    <row r="39" spans="1:15" x14ac:dyDescent="0.3">
      <c r="A39">
        <v>1624580081</v>
      </c>
      <c r="B39" s="1">
        <v>42478</v>
      </c>
      <c r="C39">
        <v>10536</v>
      </c>
      <c r="D39">
        <v>7.4099998474121103</v>
      </c>
      <c r="E39">
        <v>7.4099998474121103</v>
      </c>
      <c r="F39">
        <v>0</v>
      </c>
      <c r="G39">
        <v>2.1500000953674299</v>
      </c>
      <c r="H39">
        <v>0.62000000476837203</v>
      </c>
      <c r="I39">
        <v>4.6199998855590803</v>
      </c>
      <c r="J39">
        <v>9.9999997764825804E-3</v>
      </c>
      <c r="K39">
        <v>17</v>
      </c>
      <c r="L39">
        <v>7</v>
      </c>
      <c r="M39">
        <v>202</v>
      </c>
      <c r="N39">
        <v>1214</v>
      </c>
      <c r="O39">
        <v>1604</v>
      </c>
    </row>
    <row r="40" spans="1:15" x14ac:dyDescent="0.3">
      <c r="A40">
        <v>1624580081</v>
      </c>
      <c r="B40" s="1">
        <v>42479</v>
      </c>
      <c r="C40">
        <v>2916</v>
      </c>
      <c r="D40">
        <v>1.8999999761581401</v>
      </c>
      <c r="E40">
        <v>1.8999999761581401</v>
      </c>
      <c r="F40">
        <v>0</v>
      </c>
      <c r="G40">
        <v>0</v>
      </c>
      <c r="H40">
        <v>0</v>
      </c>
      <c r="I40">
        <v>1.8999999761581401</v>
      </c>
      <c r="J40">
        <v>0</v>
      </c>
      <c r="K40">
        <v>0</v>
      </c>
      <c r="L40">
        <v>0</v>
      </c>
      <c r="M40">
        <v>141</v>
      </c>
      <c r="N40">
        <v>1299</v>
      </c>
      <c r="O40">
        <v>1435</v>
      </c>
    </row>
    <row r="41" spans="1:15" x14ac:dyDescent="0.3">
      <c r="A41">
        <v>1624580081</v>
      </c>
      <c r="B41" s="1">
        <v>42480</v>
      </c>
      <c r="C41">
        <v>4974</v>
      </c>
      <c r="D41">
        <v>3.2300000190734899</v>
      </c>
      <c r="E41">
        <v>3.2300000190734899</v>
      </c>
      <c r="F41">
        <v>0</v>
      </c>
      <c r="G41">
        <v>0</v>
      </c>
      <c r="H41">
        <v>0</v>
      </c>
      <c r="I41">
        <v>3.2300000190734899</v>
      </c>
      <c r="J41">
        <v>0</v>
      </c>
      <c r="K41">
        <v>0</v>
      </c>
      <c r="L41">
        <v>0</v>
      </c>
      <c r="M41">
        <v>151</v>
      </c>
      <c r="N41">
        <v>1289</v>
      </c>
      <c r="O41">
        <v>1446</v>
      </c>
    </row>
    <row r="42" spans="1:15" x14ac:dyDescent="0.3">
      <c r="A42">
        <v>1624580081</v>
      </c>
      <c r="B42" s="1">
        <v>42481</v>
      </c>
      <c r="C42">
        <v>6349</v>
      </c>
      <c r="D42">
        <v>4.1300001144409197</v>
      </c>
      <c r="E42">
        <v>4.1300001144409197</v>
      </c>
      <c r="F42">
        <v>0</v>
      </c>
      <c r="G42">
        <v>0</v>
      </c>
      <c r="H42">
        <v>0</v>
      </c>
      <c r="I42">
        <v>4.1100001335143999</v>
      </c>
      <c r="J42">
        <v>1.9999999552965199E-2</v>
      </c>
      <c r="K42">
        <v>0</v>
      </c>
      <c r="L42">
        <v>0</v>
      </c>
      <c r="M42">
        <v>186</v>
      </c>
      <c r="N42">
        <v>1254</v>
      </c>
      <c r="O42">
        <v>1467</v>
      </c>
    </row>
    <row r="43" spans="1:15" x14ac:dyDescent="0.3">
      <c r="A43">
        <v>1624580081</v>
      </c>
      <c r="B43" s="1">
        <v>42482</v>
      </c>
      <c r="C43">
        <v>4026</v>
      </c>
      <c r="D43">
        <v>2.6199998855590798</v>
      </c>
      <c r="E43">
        <v>2.6199998855590798</v>
      </c>
      <c r="F43">
        <v>0</v>
      </c>
      <c r="G43">
        <v>0</v>
      </c>
      <c r="H43">
        <v>0</v>
      </c>
      <c r="I43">
        <v>2.5999999046325701</v>
      </c>
      <c r="J43">
        <v>0</v>
      </c>
      <c r="K43">
        <v>0</v>
      </c>
      <c r="L43">
        <v>0</v>
      </c>
      <c r="M43">
        <v>199</v>
      </c>
      <c r="N43">
        <v>1241</v>
      </c>
      <c r="O43">
        <v>1470</v>
      </c>
    </row>
    <row r="44" spans="1:15" x14ac:dyDescent="0.3">
      <c r="A44">
        <v>1624580081</v>
      </c>
      <c r="B44" s="1">
        <v>42483</v>
      </c>
      <c r="C44">
        <v>8538</v>
      </c>
      <c r="D44">
        <v>5.5500001907348597</v>
      </c>
      <c r="E44">
        <v>5.5500001907348597</v>
      </c>
      <c r="F44">
        <v>0</v>
      </c>
      <c r="G44">
        <v>0</v>
      </c>
      <c r="H44">
        <v>0</v>
      </c>
      <c r="I44">
        <v>5.53999996185303</v>
      </c>
      <c r="J44">
        <v>9.9999997764825804E-3</v>
      </c>
      <c r="K44">
        <v>0</v>
      </c>
      <c r="L44">
        <v>0</v>
      </c>
      <c r="M44">
        <v>227</v>
      </c>
      <c r="N44">
        <v>1213</v>
      </c>
      <c r="O44">
        <v>1562</v>
      </c>
    </row>
    <row r="45" spans="1:15" x14ac:dyDescent="0.3">
      <c r="A45">
        <v>1624580081</v>
      </c>
      <c r="B45" s="1">
        <v>42484</v>
      </c>
      <c r="C45">
        <v>6076</v>
      </c>
      <c r="D45">
        <v>3.9500000476837198</v>
      </c>
      <c r="E45">
        <v>3.9500000476837198</v>
      </c>
      <c r="F45">
        <v>0</v>
      </c>
      <c r="G45">
        <v>1.1499999761581401</v>
      </c>
      <c r="H45">
        <v>0.91000002622604403</v>
      </c>
      <c r="I45">
        <v>1.8899999856948899</v>
      </c>
      <c r="J45">
        <v>0</v>
      </c>
      <c r="K45">
        <v>16</v>
      </c>
      <c r="L45">
        <v>18</v>
      </c>
      <c r="M45">
        <v>185</v>
      </c>
      <c r="N45">
        <v>1221</v>
      </c>
      <c r="O45">
        <v>1617</v>
      </c>
    </row>
    <row r="46" spans="1:15" x14ac:dyDescent="0.3">
      <c r="A46">
        <v>1624580081</v>
      </c>
      <c r="B46" s="1">
        <v>42485</v>
      </c>
      <c r="C46">
        <v>6497</v>
      </c>
      <c r="D46">
        <v>4.2199997901916504</v>
      </c>
      <c r="E46">
        <v>4.2199997901916504</v>
      </c>
      <c r="F46">
        <v>0</v>
      </c>
      <c r="G46">
        <v>0</v>
      </c>
      <c r="H46">
        <v>0</v>
      </c>
      <c r="I46">
        <v>4.1999998092651403</v>
      </c>
      <c r="J46">
        <v>1.9999999552965199E-2</v>
      </c>
      <c r="K46">
        <v>0</v>
      </c>
      <c r="L46">
        <v>0</v>
      </c>
      <c r="M46">
        <v>202</v>
      </c>
      <c r="N46">
        <v>1238</v>
      </c>
      <c r="O46">
        <v>1492</v>
      </c>
    </row>
    <row r="47" spans="1:15" x14ac:dyDescent="0.3">
      <c r="A47">
        <v>1624580081</v>
      </c>
      <c r="B47" s="1">
        <v>42486</v>
      </c>
      <c r="C47">
        <v>2826</v>
      </c>
      <c r="D47">
        <v>1.8400000333786</v>
      </c>
      <c r="E47">
        <v>1.8400000333786</v>
      </c>
      <c r="F47">
        <v>0</v>
      </c>
      <c r="G47">
        <v>0</v>
      </c>
      <c r="H47">
        <v>0</v>
      </c>
      <c r="I47">
        <v>1.83000004291534</v>
      </c>
      <c r="J47">
        <v>9.9999997764825804E-3</v>
      </c>
      <c r="K47">
        <v>0</v>
      </c>
      <c r="L47">
        <v>0</v>
      </c>
      <c r="M47">
        <v>140</v>
      </c>
      <c r="N47">
        <v>1300</v>
      </c>
      <c r="O47">
        <v>1402</v>
      </c>
    </row>
    <row r="48" spans="1:15" x14ac:dyDescent="0.3">
      <c r="A48">
        <v>1624580081</v>
      </c>
      <c r="B48" s="1">
        <v>42487</v>
      </c>
      <c r="C48">
        <v>8367</v>
      </c>
      <c r="D48">
        <v>5.4400000572204599</v>
      </c>
      <c r="E48">
        <v>5.4400000572204599</v>
      </c>
      <c r="F48">
        <v>0</v>
      </c>
      <c r="G48">
        <v>1.1100000143051101</v>
      </c>
      <c r="H48">
        <v>1.87000000476837</v>
      </c>
      <c r="I48">
        <v>2.46000003814697</v>
      </c>
      <c r="J48">
        <v>0</v>
      </c>
      <c r="K48">
        <v>17</v>
      </c>
      <c r="L48">
        <v>36</v>
      </c>
      <c r="M48">
        <v>154</v>
      </c>
      <c r="N48">
        <v>1233</v>
      </c>
      <c r="O48">
        <v>1670</v>
      </c>
    </row>
    <row r="49" spans="1:15" x14ac:dyDescent="0.3">
      <c r="A49">
        <v>1624580081</v>
      </c>
      <c r="B49" s="1">
        <v>42488</v>
      </c>
      <c r="C49">
        <v>2759</v>
      </c>
      <c r="D49">
        <v>1.78999996185303</v>
      </c>
      <c r="E49">
        <v>1.78999996185303</v>
      </c>
      <c r="F49">
        <v>0</v>
      </c>
      <c r="G49">
        <v>0</v>
      </c>
      <c r="H49">
        <v>0.20000000298023199</v>
      </c>
      <c r="I49">
        <v>1.6000000238418599</v>
      </c>
      <c r="J49">
        <v>0</v>
      </c>
      <c r="K49">
        <v>0</v>
      </c>
      <c r="L49">
        <v>5</v>
      </c>
      <c r="M49">
        <v>115</v>
      </c>
      <c r="N49">
        <v>1320</v>
      </c>
      <c r="O49">
        <v>1401</v>
      </c>
    </row>
    <row r="50" spans="1:15" x14ac:dyDescent="0.3">
      <c r="A50">
        <v>1624580081</v>
      </c>
      <c r="B50" s="1">
        <v>42489</v>
      </c>
      <c r="C50">
        <v>2390</v>
      </c>
      <c r="D50">
        <v>1.54999995231628</v>
      </c>
      <c r="E50">
        <v>1.54999995231628</v>
      </c>
      <c r="F50">
        <v>0</v>
      </c>
      <c r="G50">
        <v>0</v>
      </c>
      <c r="H50">
        <v>0</v>
      </c>
      <c r="I50">
        <v>1.54999995231628</v>
      </c>
      <c r="J50">
        <v>0</v>
      </c>
      <c r="K50">
        <v>0</v>
      </c>
      <c r="L50">
        <v>0</v>
      </c>
      <c r="M50">
        <v>150</v>
      </c>
      <c r="N50">
        <v>1290</v>
      </c>
      <c r="O50">
        <v>1404</v>
      </c>
    </row>
    <row r="51" spans="1:15" x14ac:dyDescent="0.3">
      <c r="A51">
        <v>1624580081</v>
      </c>
      <c r="B51" s="1">
        <v>42490</v>
      </c>
      <c r="C51">
        <v>6474</v>
      </c>
      <c r="D51">
        <v>4.3000001907348597</v>
      </c>
      <c r="E51">
        <v>4.3000001907348597</v>
      </c>
      <c r="F51">
        <v>0</v>
      </c>
      <c r="G51">
        <v>0.89999997615814198</v>
      </c>
      <c r="H51">
        <v>1.2799999713897701</v>
      </c>
      <c r="I51">
        <v>2.1199998855590798</v>
      </c>
      <c r="J51">
        <v>9.9999997764825804E-3</v>
      </c>
      <c r="K51">
        <v>11</v>
      </c>
      <c r="L51">
        <v>23</v>
      </c>
      <c r="M51">
        <v>224</v>
      </c>
      <c r="N51">
        <v>1182</v>
      </c>
      <c r="O51">
        <v>1655</v>
      </c>
    </row>
    <row r="52" spans="1:15" x14ac:dyDescent="0.3">
      <c r="A52">
        <v>1624580081</v>
      </c>
      <c r="B52" s="1">
        <v>42491</v>
      </c>
      <c r="C52">
        <v>36019</v>
      </c>
      <c r="D52">
        <v>28.030000686645501</v>
      </c>
      <c r="E52">
        <v>28.030000686645501</v>
      </c>
      <c r="F52">
        <v>0</v>
      </c>
      <c r="G52">
        <v>21.920000076293899</v>
      </c>
      <c r="H52">
        <v>4.1900000572204599</v>
      </c>
      <c r="I52">
        <v>1.9099999666214</v>
      </c>
      <c r="J52">
        <v>1.9999999552965199E-2</v>
      </c>
      <c r="K52">
        <v>186</v>
      </c>
      <c r="L52">
        <v>63</v>
      </c>
      <c r="M52">
        <v>171</v>
      </c>
      <c r="N52">
        <v>1020</v>
      </c>
      <c r="O52">
        <v>2690</v>
      </c>
    </row>
    <row r="53" spans="1:15" x14ac:dyDescent="0.3">
      <c r="A53">
        <v>1624580081</v>
      </c>
      <c r="B53" s="1">
        <v>42492</v>
      </c>
      <c r="C53">
        <v>7155</v>
      </c>
      <c r="D53">
        <v>4.9299998283386204</v>
      </c>
      <c r="E53">
        <v>4.9299998283386204</v>
      </c>
      <c r="F53">
        <v>0</v>
      </c>
      <c r="G53">
        <v>0.86000001430511497</v>
      </c>
      <c r="H53">
        <v>0.58999997377395597</v>
      </c>
      <c r="I53">
        <v>3.4700000286102299</v>
      </c>
      <c r="J53">
        <v>0</v>
      </c>
      <c r="K53">
        <v>7</v>
      </c>
      <c r="L53">
        <v>6</v>
      </c>
      <c r="M53">
        <v>166</v>
      </c>
      <c r="N53">
        <v>1261</v>
      </c>
      <c r="O53">
        <v>1497</v>
      </c>
    </row>
    <row r="54" spans="1:15" x14ac:dyDescent="0.3">
      <c r="A54">
        <v>1624580081</v>
      </c>
      <c r="B54" s="1">
        <v>42493</v>
      </c>
      <c r="C54">
        <v>2100</v>
      </c>
      <c r="D54">
        <v>1.37000000476837</v>
      </c>
      <c r="E54">
        <v>1.37000000476837</v>
      </c>
      <c r="F54">
        <v>0</v>
      </c>
      <c r="G54">
        <v>0</v>
      </c>
      <c r="H54">
        <v>0</v>
      </c>
      <c r="I54">
        <v>1.3400000333786</v>
      </c>
      <c r="J54">
        <v>1.9999999552965199E-2</v>
      </c>
      <c r="K54">
        <v>0</v>
      </c>
      <c r="L54">
        <v>0</v>
      </c>
      <c r="M54">
        <v>96</v>
      </c>
      <c r="N54">
        <v>1344</v>
      </c>
      <c r="O54">
        <v>1334</v>
      </c>
    </row>
    <row r="55" spans="1:15" x14ac:dyDescent="0.3">
      <c r="A55">
        <v>1624580081</v>
      </c>
      <c r="B55" s="1">
        <v>42494</v>
      </c>
      <c r="C55">
        <v>2193</v>
      </c>
      <c r="D55">
        <v>1.4299999475479099</v>
      </c>
      <c r="E55">
        <v>1.4299999475479099</v>
      </c>
      <c r="F55">
        <v>0</v>
      </c>
      <c r="G55">
        <v>0</v>
      </c>
      <c r="H55">
        <v>0</v>
      </c>
      <c r="I55">
        <v>1.41999995708466</v>
      </c>
      <c r="J55">
        <v>0</v>
      </c>
      <c r="K55">
        <v>0</v>
      </c>
      <c r="L55">
        <v>0</v>
      </c>
      <c r="M55">
        <v>118</v>
      </c>
      <c r="N55">
        <v>1322</v>
      </c>
      <c r="O55">
        <v>1368</v>
      </c>
    </row>
    <row r="56" spans="1:15" x14ac:dyDescent="0.3">
      <c r="A56">
        <v>1624580081</v>
      </c>
      <c r="B56" s="1">
        <v>42495</v>
      </c>
      <c r="C56">
        <v>2470</v>
      </c>
      <c r="D56">
        <v>1.6100000143051101</v>
      </c>
      <c r="E56">
        <v>1.6100000143051101</v>
      </c>
      <c r="F56">
        <v>0</v>
      </c>
      <c r="G56">
        <v>0</v>
      </c>
      <c r="H56">
        <v>0</v>
      </c>
      <c r="I56">
        <v>1.58000004291534</v>
      </c>
      <c r="J56">
        <v>1.9999999552965199E-2</v>
      </c>
      <c r="K56">
        <v>0</v>
      </c>
      <c r="L56">
        <v>0</v>
      </c>
      <c r="M56">
        <v>117</v>
      </c>
      <c r="N56">
        <v>1323</v>
      </c>
      <c r="O56">
        <v>1370</v>
      </c>
    </row>
    <row r="57" spans="1:15" x14ac:dyDescent="0.3">
      <c r="A57">
        <v>1624580081</v>
      </c>
      <c r="B57" s="1">
        <v>42496</v>
      </c>
      <c r="C57">
        <v>1727</v>
      </c>
      <c r="D57">
        <v>1.12000000476837</v>
      </c>
      <c r="E57">
        <v>1.12000000476837</v>
      </c>
      <c r="F57">
        <v>0</v>
      </c>
      <c r="G57">
        <v>0</v>
      </c>
      <c r="H57">
        <v>0</v>
      </c>
      <c r="I57">
        <v>1.12000000476837</v>
      </c>
      <c r="J57">
        <v>9.9999997764825804E-3</v>
      </c>
      <c r="K57">
        <v>0</v>
      </c>
      <c r="L57">
        <v>0</v>
      </c>
      <c r="M57">
        <v>102</v>
      </c>
      <c r="N57">
        <v>1338</v>
      </c>
      <c r="O57">
        <v>1341</v>
      </c>
    </row>
    <row r="58" spans="1:15" x14ac:dyDescent="0.3">
      <c r="A58">
        <v>1624580081</v>
      </c>
      <c r="B58" s="1">
        <v>42497</v>
      </c>
      <c r="C58">
        <v>2104</v>
      </c>
      <c r="D58">
        <v>1.37000000476837</v>
      </c>
      <c r="E58">
        <v>1.37000000476837</v>
      </c>
      <c r="F58">
        <v>0</v>
      </c>
      <c r="G58">
        <v>0</v>
      </c>
      <c r="H58">
        <v>0</v>
      </c>
      <c r="I58">
        <v>1.37000000476837</v>
      </c>
      <c r="J58">
        <v>0</v>
      </c>
      <c r="K58">
        <v>0</v>
      </c>
      <c r="L58">
        <v>0</v>
      </c>
      <c r="M58">
        <v>182</v>
      </c>
      <c r="N58">
        <v>1258</v>
      </c>
      <c r="O58">
        <v>1474</v>
      </c>
    </row>
    <row r="59" spans="1:15" x14ac:dyDescent="0.3">
      <c r="A59">
        <v>1624580081</v>
      </c>
      <c r="B59" s="1">
        <v>42498</v>
      </c>
      <c r="C59">
        <v>3427</v>
      </c>
      <c r="D59">
        <v>2.2300000190734899</v>
      </c>
      <c r="E59">
        <v>2.2300000190734899</v>
      </c>
      <c r="F59">
        <v>0</v>
      </c>
      <c r="G59">
        <v>0</v>
      </c>
      <c r="H59">
        <v>0</v>
      </c>
      <c r="I59">
        <v>2.2200000286102299</v>
      </c>
      <c r="J59">
        <v>0</v>
      </c>
      <c r="K59">
        <v>0</v>
      </c>
      <c r="L59">
        <v>0</v>
      </c>
      <c r="M59">
        <v>152</v>
      </c>
      <c r="N59">
        <v>1288</v>
      </c>
      <c r="O59">
        <v>1427</v>
      </c>
    </row>
    <row r="60" spans="1:15" x14ac:dyDescent="0.3">
      <c r="A60">
        <v>1624580081</v>
      </c>
      <c r="B60" s="1">
        <v>42499</v>
      </c>
      <c r="C60">
        <v>1732</v>
      </c>
      <c r="D60">
        <v>1.12999999523163</v>
      </c>
      <c r="E60">
        <v>1.12999999523163</v>
      </c>
      <c r="F60">
        <v>0</v>
      </c>
      <c r="G60">
        <v>0</v>
      </c>
      <c r="H60">
        <v>0</v>
      </c>
      <c r="I60">
        <v>1.12999999523163</v>
      </c>
      <c r="J60">
        <v>0</v>
      </c>
      <c r="K60">
        <v>0</v>
      </c>
      <c r="L60">
        <v>0</v>
      </c>
      <c r="M60">
        <v>91</v>
      </c>
      <c r="N60">
        <v>1349</v>
      </c>
      <c r="O60">
        <v>1328</v>
      </c>
    </row>
    <row r="61" spans="1:15" x14ac:dyDescent="0.3">
      <c r="A61">
        <v>1624580081</v>
      </c>
      <c r="B61" s="1">
        <v>42500</v>
      </c>
      <c r="C61">
        <v>2969</v>
      </c>
      <c r="D61">
        <v>1.9299999475479099</v>
      </c>
      <c r="E61">
        <v>1.9299999475479099</v>
      </c>
      <c r="F61">
        <v>0</v>
      </c>
      <c r="G61">
        <v>0</v>
      </c>
      <c r="H61">
        <v>0</v>
      </c>
      <c r="I61">
        <v>1.91999995708466</v>
      </c>
      <c r="J61">
        <v>9.9999997764825804E-3</v>
      </c>
      <c r="K61">
        <v>0</v>
      </c>
      <c r="L61">
        <v>0</v>
      </c>
      <c r="M61">
        <v>139</v>
      </c>
      <c r="N61">
        <v>1301</v>
      </c>
      <c r="O61">
        <v>1393</v>
      </c>
    </row>
    <row r="62" spans="1:15" x14ac:dyDescent="0.3">
      <c r="A62">
        <v>1624580081</v>
      </c>
      <c r="B62" s="1">
        <v>42501</v>
      </c>
      <c r="C62">
        <v>3134</v>
      </c>
      <c r="D62">
        <v>2.03999996185303</v>
      </c>
      <c r="E62">
        <v>2.03999996185303</v>
      </c>
      <c r="F62">
        <v>0</v>
      </c>
      <c r="G62">
        <v>0</v>
      </c>
      <c r="H62">
        <v>0</v>
      </c>
      <c r="I62">
        <v>2.03999996185303</v>
      </c>
      <c r="J62">
        <v>0</v>
      </c>
      <c r="K62">
        <v>0</v>
      </c>
      <c r="L62">
        <v>0</v>
      </c>
      <c r="M62">
        <v>112</v>
      </c>
      <c r="N62">
        <v>1328</v>
      </c>
      <c r="O62">
        <v>1359</v>
      </c>
    </row>
    <row r="63" spans="1:15" x14ac:dyDescent="0.3">
      <c r="A63">
        <v>1624580081</v>
      </c>
      <c r="B63" s="1">
        <v>42502</v>
      </c>
      <c r="C63">
        <v>2971</v>
      </c>
      <c r="D63">
        <v>1.9299999475479099</v>
      </c>
      <c r="E63">
        <v>1.9299999475479099</v>
      </c>
      <c r="F63">
        <v>0</v>
      </c>
      <c r="G63">
        <v>0</v>
      </c>
      <c r="H63">
        <v>0</v>
      </c>
      <c r="I63">
        <v>1.91999995708466</v>
      </c>
      <c r="J63">
        <v>9.9999997764825804E-3</v>
      </c>
      <c r="K63">
        <v>0</v>
      </c>
      <c r="L63">
        <v>0</v>
      </c>
      <c r="M63">
        <v>107</v>
      </c>
      <c r="N63">
        <v>890</v>
      </c>
      <c r="O63">
        <v>1002</v>
      </c>
    </row>
    <row r="64" spans="1:15" x14ac:dyDescent="0.3">
      <c r="A64">
        <v>1644430081</v>
      </c>
      <c r="B64" s="1">
        <v>42472</v>
      </c>
      <c r="C64">
        <v>10694</v>
      </c>
      <c r="D64">
        <v>7.7699999809265101</v>
      </c>
      <c r="E64">
        <v>7.7699999809265101</v>
      </c>
      <c r="F64">
        <v>0</v>
      </c>
      <c r="G64">
        <v>0.140000000596046</v>
      </c>
      <c r="H64">
        <v>2.2999999523162802</v>
      </c>
      <c r="I64">
        <v>5.3299999237060502</v>
      </c>
      <c r="J64">
        <v>0</v>
      </c>
      <c r="K64">
        <v>2</v>
      </c>
      <c r="L64">
        <v>51</v>
      </c>
      <c r="M64">
        <v>256</v>
      </c>
      <c r="N64">
        <v>1131</v>
      </c>
      <c r="O64">
        <v>3199</v>
      </c>
    </row>
    <row r="65" spans="1:15" x14ac:dyDescent="0.3">
      <c r="A65">
        <v>1644430081</v>
      </c>
      <c r="B65" s="1">
        <v>42473</v>
      </c>
      <c r="C65">
        <v>8001</v>
      </c>
      <c r="D65">
        <v>5.8200001716613796</v>
      </c>
      <c r="E65">
        <v>5.8200001716613796</v>
      </c>
      <c r="F65">
        <v>0</v>
      </c>
      <c r="G65">
        <v>2.2799999713897701</v>
      </c>
      <c r="H65">
        <v>0.89999997615814198</v>
      </c>
      <c r="I65">
        <v>2.6400001049041699</v>
      </c>
      <c r="J65">
        <v>0</v>
      </c>
      <c r="K65">
        <v>30</v>
      </c>
      <c r="L65">
        <v>16</v>
      </c>
      <c r="M65">
        <v>135</v>
      </c>
      <c r="N65">
        <v>1259</v>
      </c>
      <c r="O65">
        <v>2902</v>
      </c>
    </row>
    <row r="66" spans="1:15" x14ac:dyDescent="0.3">
      <c r="A66">
        <v>1644430081</v>
      </c>
      <c r="B66" s="1">
        <v>42474</v>
      </c>
      <c r="C66">
        <v>11037</v>
      </c>
      <c r="D66">
        <v>8.0200004577636701</v>
      </c>
      <c r="E66">
        <v>8.0200004577636701</v>
      </c>
      <c r="F66">
        <v>0</v>
      </c>
      <c r="G66">
        <v>0.36000001430511502</v>
      </c>
      <c r="H66">
        <v>2.5599999427795401</v>
      </c>
      <c r="I66">
        <v>5.0999999046325701</v>
      </c>
      <c r="J66">
        <v>0</v>
      </c>
      <c r="K66">
        <v>5</v>
      </c>
      <c r="L66">
        <v>58</v>
      </c>
      <c r="M66">
        <v>252</v>
      </c>
      <c r="N66">
        <v>1125</v>
      </c>
      <c r="O66">
        <v>3226</v>
      </c>
    </row>
    <row r="67" spans="1:15" x14ac:dyDescent="0.3">
      <c r="A67">
        <v>1644430081</v>
      </c>
      <c r="B67" s="1">
        <v>42475</v>
      </c>
      <c r="C67">
        <v>5263</v>
      </c>
      <c r="D67">
        <v>3.8299999237060498</v>
      </c>
      <c r="E67">
        <v>3.8299999237060498</v>
      </c>
      <c r="F67">
        <v>0</v>
      </c>
      <c r="G67">
        <v>0.21999999880790699</v>
      </c>
      <c r="H67">
        <v>0.15000000596046401</v>
      </c>
      <c r="I67">
        <v>3.4500000476837198</v>
      </c>
      <c r="J67">
        <v>0</v>
      </c>
      <c r="K67">
        <v>3</v>
      </c>
      <c r="L67">
        <v>4</v>
      </c>
      <c r="M67">
        <v>170</v>
      </c>
      <c r="N67">
        <v>1263</v>
      </c>
      <c r="O67">
        <v>2750</v>
      </c>
    </row>
    <row r="68" spans="1:15" x14ac:dyDescent="0.3">
      <c r="A68">
        <v>1644430081</v>
      </c>
      <c r="B68" s="1">
        <v>42476</v>
      </c>
      <c r="C68">
        <v>15300</v>
      </c>
      <c r="D68">
        <v>11.1199998855591</v>
      </c>
      <c r="E68">
        <v>11.1199998855591</v>
      </c>
      <c r="F68">
        <v>0</v>
      </c>
      <c r="G68">
        <v>4.0999999046325701</v>
      </c>
      <c r="H68">
        <v>1.87999999523163</v>
      </c>
      <c r="I68">
        <v>5.0900001525878897</v>
      </c>
      <c r="J68">
        <v>0</v>
      </c>
      <c r="K68">
        <v>51</v>
      </c>
      <c r="L68">
        <v>42</v>
      </c>
      <c r="M68">
        <v>212</v>
      </c>
      <c r="N68">
        <v>1135</v>
      </c>
      <c r="O68">
        <v>3493</v>
      </c>
    </row>
    <row r="69" spans="1:15" x14ac:dyDescent="0.3">
      <c r="A69">
        <v>1644430081</v>
      </c>
      <c r="B69" s="1">
        <v>42477</v>
      </c>
      <c r="C69">
        <v>8757</v>
      </c>
      <c r="D69">
        <v>6.3699998855590803</v>
      </c>
      <c r="E69">
        <v>6.3699998855590803</v>
      </c>
      <c r="F69">
        <v>0</v>
      </c>
      <c r="G69">
        <v>2.25</v>
      </c>
      <c r="H69">
        <v>0.56999999284744296</v>
      </c>
      <c r="I69">
        <v>3.5499999523162802</v>
      </c>
      <c r="J69">
        <v>0</v>
      </c>
      <c r="K69">
        <v>29</v>
      </c>
      <c r="L69">
        <v>13</v>
      </c>
      <c r="M69">
        <v>186</v>
      </c>
      <c r="N69">
        <v>1212</v>
      </c>
      <c r="O69">
        <v>3011</v>
      </c>
    </row>
    <row r="70" spans="1:15" x14ac:dyDescent="0.3">
      <c r="A70">
        <v>1644430081</v>
      </c>
      <c r="B70" s="1">
        <v>42478</v>
      </c>
      <c r="C70">
        <v>7132</v>
      </c>
      <c r="D70">
        <v>5.1900000572204599</v>
      </c>
      <c r="E70">
        <v>5.1900000572204599</v>
      </c>
      <c r="F70">
        <v>0</v>
      </c>
      <c r="G70">
        <v>1.0700000524520901</v>
      </c>
      <c r="H70">
        <v>1.66999995708466</v>
      </c>
      <c r="I70">
        <v>2.4500000476837198</v>
      </c>
      <c r="J70">
        <v>0</v>
      </c>
      <c r="K70">
        <v>15</v>
      </c>
      <c r="L70">
        <v>33</v>
      </c>
      <c r="M70">
        <v>121</v>
      </c>
      <c r="N70">
        <v>1271</v>
      </c>
      <c r="O70">
        <v>2806</v>
      </c>
    </row>
    <row r="71" spans="1:15" x14ac:dyDescent="0.3">
      <c r="A71">
        <v>1644430081</v>
      </c>
      <c r="B71" s="1">
        <v>42479</v>
      </c>
      <c r="C71">
        <v>11256</v>
      </c>
      <c r="D71">
        <v>8.1800003051757795</v>
      </c>
      <c r="E71">
        <v>8.1800003051757795</v>
      </c>
      <c r="F71">
        <v>0</v>
      </c>
      <c r="G71">
        <v>0.36000001430511502</v>
      </c>
      <c r="H71">
        <v>2.5299999713897701</v>
      </c>
      <c r="I71">
        <v>5.3000001907348597</v>
      </c>
      <c r="J71">
        <v>0</v>
      </c>
      <c r="K71">
        <v>5</v>
      </c>
      <c r="L71">
        <v>58</v>
      </c>
      <c r="M71">
        <v>278</v>
      </c>
      <c r="N71">
        <v>1099</v>
      </c>
      <c r="O71">
        <v>3300</v>
      </c>
    </row>
    <row r="72" spans="1:15" x14ac:dyDescent="0.3">
      <c r="A72">
        <v>1644430081</v>
      </c>
      <c r="B72" s="1">
        <v>42480</v>
      </c>
      <c r="C72">
        <v>2436</v>
      </c>
      <c r="D72">
        <v>1.7699999809265099</v>
      </c>
      <c r="E72">
        <v>1.7699999809265099</v>
      </c>
      <c r="F72">
        <v>0</v>
      </c>
      <c r="G72">
        <v>0</v>
      </c>
      <c r="H72">
        <v>0</v>
      </c>
      <c r="I72">
        <v>1.7599999904632599</v>
      </c>
      <c r="J72">
        <v>9.9999997764825804E-3</v>
      </c>
      <c r="K72">
        <v>0</v>
      </c>
      <c r="L72">
        <v>0</v>
      </c>
      <c r="M72">
        <v>125</v>
      </c>
      <c r="N72">
        <v>1315</v>
      </c>
      <c r="O72">
        <v>2430</v>
      </c>
    </row>
    <row r="73" spans="1:15" x14ac:dyDescent="0.3">
      <c r="A73">
        <v>1644430081</v>
      </c>
      <c r="B73" s="1">
        <v>42481</v>
      </c>
      <c r="C73">
        <v>1223</v>
      </c>
      <c r="D73">
        <v>0.88999998569488503</v>
      </c>
      <c r="E73">
        <v>0.88999998569488503</v>
      </c>
      <c r="F73">
        <v>0</v>
      </c>
      <c r="G73">
        <v>0</v>
      </c>
      <c r="H73">
        <v>0</v>
      </c>
      <c r="I73">
        <v>0.87999999523162797</v>
      </c>
      <c r="J73">
        <v>9.9999997764825804E-3</v>
      </c>
      <c r="K73">
        <v>0</v>
      </c>
      <c r="L73">
        <v>0</v>
      </c>
      <c r="M73">
        <v>38</v>
      </c>
      <c r="N73">
        <v>1402</v>
      </c>
      <c r="O73">
        <v>2140</v>
      </c>
    </row>
    <row r="74" spans="1:15" x14ac:dyDescent="0.3">
      <c r="A74">
        <v>1644430081</v>
      </c>
      <c r="B74" s="1">
        <v>42482</v>
      </c>
      <c r="C74">
        <v>3673</v>
      </c>
      <c r="D74">
        <v>2.6700000762939502</v>
      </c>
      <c r="E74">
        <v>2.6700000762939502</v>
      </c>
      <c r="F74">
        <v>0</v>
      </c>
      <c r="G74">
        <v>0</v>
      </c>
      <c r="H74">
        <v>0</v>
      </c>
      <c r="I74">
        <v>2.6600000858306898</v>
      </c>
      <c r="J74">
        <v>9.9999997764825804E-3</v>
      </c>
      <c r="K74">
        <v>0</v>
      </c>
      <c r="L74">
        <v>0</v>
      </c>
      <c r="M74">
        <v>86</v>
      </c>
      <c r="N74">
        <v>1354</v>
      </c>
      <c r="O74">
        <v>2344</v>
      </c>
    </row>
    <row r="75" spans="1:15" x14ac:dyDescent="0.3">
      <c r="A75">
        <v>1644430081</v>
      </c>
      <c r="B75" s="1">
        <v>42483</v>
      </c>
      <c r="C75">
        <v>6637</v>
      </c>
      <c r="D75">
        <v>4.8299999237060502</v>
      </c>
      <c r="E75">
        <v>4.8299999237060502</v>
      </c>
      <c r="F75">
        <v>0</v>
      </c>
      <c r="G75">
        <v>0</v>
      </c>
      <c r="H75">
        <v>0.57999998331069902</v>
      </c>
      <c r="I75">
        <v>4.25</v>
      </c>
      <c r="J75">
        <v>0</v>
      </c>
      <c r="K75">
        <v>0</v>
      </c>
      <c r="L75">
        <v>15</v>
      </c>
      <c r="M75">
        <v>160</v>
      </c>
      <c r="N75">
        <v>1265</v>
      </c>
      <c r="O75">
        <v>2677</v>
      </c>
    </row>
    <row r="76" spans="1:15" x14ac:dyDescent="0.3">
      <c r="A76">
        <v>1644430081</v>
      </c>
      <c r="B76" s="1">
        <v>42484</v>
      </c>
      <c r="C76">
        <v>3321</v>
      </c>
      <c r="D76">
        <v>2.4100000858306898</v>
      </c>
      <c r="E76">
        <v>2.4100000858306898</v>
      </c>
      <c r="F76">
        <v>0</v>
      </c>
      <c r="G76">
        <v>0</v>
      </c>
      <c r="H76">
        <v>0</v>
      </c>
      <c r="I76">
        <v>2.4100000858306898</v>
      </c>
      <c r="J76">
        <v>0</v>
      </c>
      <c r="K76">
        <v>0</v>
      </c>
      <c r="L76">
        <v>0</v>
      </c>
      <c r="M76">
        <v>89</v>
      </c>
      <c r="N76">
        <v>1351</v>
      </c>
      <c r="O76">
        <v>2413</v>
      </c>
    </row>
    <row r="77" spans="1:15" x14ac:dyDescent="0.3">
      <c r="A77">
        <v>1644430081</v>
      </c>
      <c r="B77" s="1">
        <v>42485</v>
      </c>
      <c r="C77">
        <v>3580</v>
      </c>
      <c r="D77">
        <v>2.5999999046325701</v>
      </c>
      <c r="E77">
        <v>2.5999999046325701</v>
      </c>
      <c r="F77">
        <v>0</v>
      </c>
      <c r="G77">
        <v>0.58999997377395597</v>
      </c>
      <c r="H77">
        <v>5.9999998658895499E-2</v>
      </c>
      <c r="I77">
        <v>1.95000004768372</v>
      </c>
      <c r="J77">
        <v>0</v>
      </c>
      <c r="K77">
        <v>8</v>
      </c>
      <c r="L77">
        <v>1</v>
      </c>
      <c r="M77">
        <v>94</v>
      </c>
      <c r="N77">
        <v>1337</v>
      </c>
      <c r="O77">
        <v>2497</v>
      </c>
    </row>
    <row r="78" spans="1:15" x14ac:dyDescent="0.3">
      <c r="A78">
        <v>1644430081</v>
      </c>
      <c r="B78" s="1">
        <v>42486</v>
      </c>
      <c r="C78">
        <v>9919</v>
      </c>
      <c r="D78">
        <v>7.21000003814697</v>
      </c>
      <c r="E78">
        <v>7.21000003814697</v>
      </c>
      <c r="F78">
        <v>0</v>
      </c>
      <c r="G78">
        <v>0.80000001192092896</v>
      </c>
      <c r="H78">
        <v>1.7200000286102299</v>
      </c>
      <c r="I78">
        <v>4.6900000572204599</v>
      </c>
      <c r="J78">
        <v>0</v>
      </c>
      <c r="K78">
        <v>11</v>
      </c>
      <c r="L78">
        <v>41</v>
      </c>
      <c r="M78">
        <v>223</v>
      </c>
      <c r="N78">
        <v>1165</v>
      </c>
      <c r="O78">
        <v>3123</v>
      </c>
    </row>
    <row r="79" spans="1:15" x14ac:dyDescent="0.3">
      <c r="A79">
        <v>1644430081</v>
      </c>
      <c r="B79" s="1">
        <v>42487</v>
      </c>
      <c r="C79">
        <v>3032</v>
      </c>
      <c r="D79">
        <v>2.2000000476837198</v>
      </c>
      <c r="E79">
        <v>2.2000000476837198</v>
      </c>
      <c r="F79">
        <v>0</v>
      </c>
      <c r="G79">
        <v>0</v>
      </c>
      <c r="H79">
        <v>0</v>
      </c>
      <c r="I79">
        <v>2.2000000476837198</v>
      </c>
      <c r="J79">
        <v>0</v>
      </c>
      <c r="K79">
        <v>0</v>
      </c>
      <c r="L79">
        <v>0</v>
      </c>
      <c r="M79">
        <v>118</v>
      </c>
      <c r="N79">
        <v>1322</v>
      </c>
      <c r="O79">
        <v>2489</v>
      </c>
    </row>
    <row r="80" spans="1:15" x14ac:dyDescent="0.3">
      <c r="A80">
        <v>1644430081</v>
      </c>
      <c r="B80" s="1">
        <v>42488</v>
      </c>
      <c r="C80">
        <v>9405</v>
      </c>
      <c r="D80">
        <v>6.8400001525878897</v>
      </c>
      <c r="E80">
        <v>6.8400001525878897</v>
      </c>
      <c r="F80">
        <v>0</v>
      </c>
      <c r="G80">
        <v>0.20000000298023199</v>
      </c>
      <c r="H80">
        <v>2.3199999332428001</v>
      </c>
      <c r="I80">
        <v>4.3099999427795401</v>
      </c>
      <c r="J80">
        <v>0</v>
      </c>
      <c r="K80">
        <v>3</v>
      </c>
      <c r="L80">
        <v>53</v>
      </c>
      <c r="M80">
        <v>227</v>
      </c>
      <c r="N80">
        <v>1157</v>
      </c>
      <c r="O80">
        <v>3108</v>
      </c>
    </row>
    <row r="81" spans="1:15" x14ac:dyDescent="0.3">
      <c r="A81">
        <v>1644430081</v>
      </c>
      <c r="B81" s="1">
        <v>42489</v>
      </c>
      <c r="C81">
        <v>3176</v>
      </c>
      <c r="D81">
        <v>2.3099999427795401</v>
      </c>
      <c r="E81">
        <v>2.3099999427795401</v>
      </c>
      <c r="F81">
        <v>0</v>
      </c>
      <c r="G81">
        <v>0</v>
      </c>
      <c r="H81">
        <v>0</v>
      </c>
      <c r="I81">
        <v>2.3099999427795401</v>
      </c>
      <c r="J81">
        <v>0</v>
      </c>
      <c r="K81">
        <v>0</v>
      </c>
      <c r="L81">
        <v>0</v>
      </c>
      <c r="M81">
        <v>120</v>
      </c>
      <c r="N81">
        <v>1193</v>
      </c>
      <c r="O81">
        <v>2498</v>
      </c>
    </row>
    <row r="82" spans="1:15" x14ac:dyDescent="0.3">
      <c r="A82">
        <v>1644430081</v>
      </c>
      <c r="B82" s="1">
        <v>42490</v>
      </c>
      <c r="C82">
        <v>18213</v>
      </c>
      <c r="D82">
        <v>13.2399997711182</v>
      </c>
      <c r="E82">
        <v>13.2399997711182</v>
      </c>
      <c r="F82">
        <v>0</v>
      </c>
      <c r="G82">
        <v>0.62999999523162797</v>
      </c>
      <c r="H82">
        <v>3.1400001049041699</v>
      </c>
      <c r="I82">
        <v>9.4600000381469709</v>
      </c>
      <c r="J82">
        <v>0</v>
      </c>
      <c r="K82">
        <v>9</v>
      </c>
      <c r="L82">
        <v>71</v>
      </c>
      <c r="M82">
        <v>402</v>
      </c>
      <c r="N82">
        <v>816</v>
      </c>
      <c r="O82">
        <v>3846</v>
      </c>
    </row>
    <row r="83" spans="1:15" x14ac:dyDescent="0.3">
      <c r="A83">
        <v>1644430081</v>
      </c>
      <c r="B83" s="1">
        <v>42491</v>
      </c>
      <c r="C83">
        <v>6132</v>
      </c>
      <c r="D83">
        <v>4.46000003814697</v>
      </c>
      <c r="E83">
        <v>4.46000003814697</v>
      </c>
      <c r="F83">
        <v>0</v>
      </c>
      <c r="G83">
        <v>0.239999994635582</v>
      </c>
      <c r="H83">
        <v>0.99000000953674305</v>
      </c>
      <c r="I83">
        <v>3.2300000190734899</v>
      </c>
      <c r="J83">
        <v>0</v>
      </c>
      <c r="K83">
        <v>3</v>
      </c>
      <c r="L83">
        <v>24</v>
      </c>
      <c r="M83">
        <v>146</v>
      </c>
      <c r="N83">
        <v>908</v>
      </c>
      <c r="O83">
        <v>2696</v>
      </c>
    </row>
    <row r="84" spans="1:15" x14ac:dyDescent="0.3">
      <c r="A84">
        <v>1644430081</v>
      </c>
      <c r="B84" s="1">
        <v>42492</v>
      </c>
      <c r="C84">
        <v>3758</v>
      </c>
      <c r="D84">
        <v>2.7300000190734899</v>
      </c>
      <c r="E84">
        <v>2.7300000190734899</v>
      </c>
      <c r="F84">
        <v>0</v>
      </c>
      <c r="G84">
        <v>7.0000000298023196E-2</v>
      </c>
      <c r="H84">
        <v>0.31000000238418601</v>
      </c>
      <c r="I84">
        <v>2.3499999046325701</v>
      </c>
      <c r="J84">
        <v>0</v>
      </c>
      <c r="K84">
        <v>1</v>
      </c>
      <c r="L84">
        <v>7</v>
      </c>
      <c r="M84">
        <v>148</v>
      </c>
      <c r="N84">
        <v>682</v>
      </c>
      <c r="O84">
        <v>2580</v>
      </c>
    </row>
    <row r="85" spans="1:15" x14ac:dyDescent="0.3">
      <c r="A85">
        <v>1644430081</v>
      </c>
      <c r="B85" s="1">
        <v>42493</v>
      </c>
      <c r="C85">
        <v>12850</v>
      </c>
      <c r="D85">
        <v>9.3400001525878906</v>
      </c>
      <c r="E85">
        <v>9.3400001525878906</v>
      </c>
      <c r="F85">
        <v>0</v>
      </c>
      <c r="G85">
        <v>0.72000002861022905</v>
      </c>
      <c r="H85">
        <v>4.0900001525878897</v>
      </c>
      <c r="I85">
        <v>4.53999996185303</v>
      </c>
      <c r="J85">
        <v>0</v>
      </c>
      <c r="K85">
        <v>10</v>
      </c>
      <c r="L85">
        <v>94</v>
      </c>
      <c r="M85">
        <v>221</v>
      </c>
      <c r="N85">
        <v>1115</v>
      </c>
      <c r="O85">
        <v>3324</v>
      </c>
    </row>
    <row r="86" spans="1:15" x14ac:dyDescent="0.3">
      <c r="A86">
        <v>1644430081</v>
      </c>
      <c r="B86" s="1">
        <v>42494</v>
      </c>
      <c r="C86">
        <v>2309</v>
      </c>
      <c r="D86">
        <v>1.6799999475479099</v>
      </c>
      <c r="E86">
        <v>1.6799999475479099</v>
      </c>
      <c r="F86">
        <v>0</v>
      </c>
      <c r="G86">
        <v>0</v>
      </c>
      <c r="H86">
        <v>0</v>
      </c>
      <c r="I86">
        <v>1.6599999666214</v>
      </c>
      <c r="J86">
        <v>1.9999999552965199E-2</v>
      </c>
      <c r="K86">
        <v>0</v>
      </c>
      <c r="L86">
        <v>0</v>
      </c>
      <c r="M86">
        <v>52</v>
      </c>
      <c r="N86">
        <v>1388</v>
      </c>
      <c r="O86">
        <v>2222</v>
      </c>
    </row>
    <row r="87" spans="1:15" x14ac:dyDescent="0.3">
      <c r="A87">
        <v>1644430081</v>
      </c>
      <c r="B87" s="1">
        <v>42495</v>
      </c>
      <c r="C87">
        <v>4363</v>
      </c>
      <c r="D87">
        <v>3.1900000572204599</v>
      </c>
      <c r="E87">
        <v>3.1900000572204599</v>
      </c>
      <c r="F87">
        <v>0</v>
      </c>
      <c r="G87">
        <v>0.519999980926514</v>
      </c>
      <c r="H87">
        <v>0.54000002145767201</v>
      </c>
      <c r="I87">
        <v>2.1300001144409202</v>
      </c>
      <c r="J87">
        <v>9.9999997764825804E-3</v>
      </c>
      <c r="K87">
        <v>6</v>
      </c>
      <c r="L87">
        <v>12</v>
      </c>
      <c r="M87">
        <v>81</v>
      </c>
      <c r="N87">
        <v>1341</v>
      </c>
      <c r="O87">
        <v>2463</v>
      </c>
    </row>
    <row r="88" spans="1:15" x14ac:dyDescent="0.3">
      <c r="A88">
        <v>1644430081</v>
      </c>
      <c r="B88" s="1">
        <v>42496</v>
      </c>
      <c r="C88">
        <v>9787</v>
      </c>
      <c r="D88">
        <v>7.1199998855590803</v>
      </c>
      <c r="E88">
        <v>7.1199998855590803</v>
      </c>
      <c r="F88">
        <v>0</v>
      </c>
      <c r="G88">
        <v>0.81999999284744296</v>
      </c>
      <c r="H88">
        <v>0.270000010728836</v>
      </c>
      <c r="I88">
        <v>6.0100002288818404</v>
      </c>
      <c r="J88">
        <v>1.9999999552965199E-2</v>
      </c>
      <c r="K88">
        <v>11</v>
      </c>
      <c r="L88">
        <v>6</v>
      </c>
      <c r="M88">
        <v>369</v>
      </c>
      <c r="N88">
        <v>1054</v>
      </c>
      <c r="O88">
        <v>3328</v>
      </c>
    </row>
    <row r="89" spans="1:15" x14ac:dyDescent="0.3">
      <c r="A89">
        <v>1644430081</v>
      </c>
      <c r="B89" s="1">
        <v>42497</v>
      </c>
      <c r="C89">
        <v>13372</v>
      </c>
      <c r="D89">
        <v>9.7200002670288104</v>
      </c>
      <c r="E89">
        <v>9.7200002670288104</v>
      </c>
      <c r="F89">
        <v>0</v>
      </c>
      <c r="G89">
        <v>3.2599999904632599</v>
      </c>
      <c r="H89">
        <v>0.79000002145767201</v>
      </c>
      <c r="I89">
        <v>5.6700000762939498</v>
      </c>
      <c r="J89">
        <v>9.9999997764825804E-3</v>
      </c>
      <c r="K89">
        <v>41</v>
      </c>
      <c r="L89">
        <v>17</v>
      </c>
      <c r="M89">
        <v>243</v>
      </c>
      <c r="N89">
        <v>1139</v>
      </c>
      <c r="O89">
        <v>3404</v>
      </c>
    </row>
    <row r="90" spans="1:15" x14ac:dyDescent="0.3">
      <c r="A90">
        <v>1644430081</v>
      </c>
      <c r="B90" s="1">
        <v>42498</v>
      </c>
      <c r="C90">
        <v>6724</v>
      </c>
      <c r="D90">
        <v>4.8899998664856001</v>
      </c>
      <c r="E90">
        <v>4.8899998664856001</v>
      </c>
      <c r="F90">
        <v>0</v>
      </c>
      <c r="G90">
        <v>0</v>
      </c>
      <c r="H90">
        <v>0</v>
      </c>
      <c r="I90">
        <v>4.8800001144409197</v>
      </c>
      <c r="J90">
        <v>0</v>
      </c>
      <c r="K90">
        <v>0</v>
      </c>
      <c r="L90">
        <v>0</v>
      </c>
      <c r="M90">
        <v>295</v>
      </c>
      <c r="N90">
        <v>991</v>
      </c>
      <c r="O90">
        <v>2987</v>
      </c>
    </row>
    <row r="91" spans="1:15" x14ac:dyDescent="0.3">
      <c r="A91">
        <v>1644430081</v>
      </c>
      <c r="B91" s="1">
        <v>42499</v>
      </c>
      <c r="C91">
        <v>6643</v>
      </c>
      <c r="D91">
        <v>4.8299999237060502</v>
      </c>
      <c r="E91">
        <v>4.8299999237060502</v>
      </c>
      <c r="F91">
        <v>0</v>
      </c>
      <c r="G91">
        <v>2.3900001049041699</v>
      </c>
      <c r="H91">
        <v>0.34999999403953602</v>
      </c>
      <c r="I91">
        <v>2.0899999141693102</v>
      </c>
      <c r="J91">
        <v>9.9999997764825804E-3</v>
      </c>
      <c r="K91">
        <v>32</v>
      </c>
      <c r="L91">
        <v>6</v>
      </c>
      <c r="M91">
        <v>303</v>
      </c>
      <c r="N91">
        <v>1099</v>
      </c>
      <c r="O91">
        <v>3008</v>
      </c>
    </row>
    <row r="92" spans="1:15" x14ac:dyDescent="0.3">
      <c r="A92">
        <v>1644430081</v>
      </c>
      <c r="B92" s="1">
        <v>42500</v>
      </c>
      <c r="C92">
        <v>9167</v>
      </c>
      <c r="D92">
        <v>6.6599998474121103</v>
      </c>
      <c r="E92">
        <v>6.6599998474121103</v>
      </c>
      <c r="F92">
        <v>0</v>
      </c>
      <c r="G92">
        <v>0.87999999523162797</v>
      </c>
      <c r="H92">
        <v>0.81000000238418601</v>
      </c>
      <c r="I92">
        <v>4.9699997901916504</v>
      </c>
      <c r="J92">
        <v>9.9999997764825804E-3</v>
      </c>
      <c r="K92">
        <v>12</v>
      </c>
      <c r="L92">
        <v>19</v>
      </c>
      <c r="M92">
        <v>155</v>
      </c>
      <c r="N92">
        <v>1254</v>
      </c>
      <c r="O92">
        <v>2799</v>
      </c>
    </row>
    <row r="93" spans="1:15" x14ac:dyDescent="0.3">
      <c r="A93">
        <v>1644430081</v>
      </c>
      <c r="B93" s="1">
        <v>42501</v>
      </c>
      <c r="C93">
        <v>1329</v>
      </c>
      <c r="D93">
        <v>0.97000002861022905</v>
      </c>
      <c r="E93">
        <v>0.97000002861022905</v>
      </c>
      <c r="F93">
        <v>0</v>
      </c>
      <c r="G93">
        <v>0</v>
      </c>
      <c r="H93">
        <v>0</v>
      </c>
      <c r="I93">
        <v>0.94999998807907104</v>
      </c>
      <c r="J93">
        <v>9.9999997764825804E-3</v>
      </c>
      <c r="K93">
        <v>0</v>
      </c>
      <c r="L93">
        <v>0</v>
      </c>
      <c r="M93">
        <v>49</v>
      </c>
      <c r="N93">
        <v>713</v>
      </c>
      <c r="O93">
        <v>1276</v>
      </c>
    </row>
    <row r="94" spans="1:15" x14ac:dyDescent="0.3">
      <c r="A94">
        <v>1844505072</v>
      </c>
      <c r="B94" s="1">
        <v>42472</v>
      </c>
      <c r="C94">
        <v>6697</v>
      </c>
      <c r="D94">
        <v>4.4299998283386204</v>
      </c>
      <c r="E94">
        <v>4.4299998283386204</v>
      </c>
      <c r="F94">
        <v>0</v>
      </c>
      <c r="G94">
        <v>0</v>
      </c>
      <c r="H94">
        <v>0</v>
      </c>
      <c r="I94">
        <v>4.4299998283386204</v>
      </c>
      <c r="J94">
        <v>0</v>
      </c>
      <c r="K94">
        <v>0</v>
      </c>
      <c r="L94">
        <v>0</v>
      </c>
      <c r="M94">
        <v>339</v>
      </c>
      <c r="N94">
        <v>1101</v>
      </c>
      <c r="O94">
        <v>2030</v>
      </c>
    </row>
    <row r="95" spans="1:15" x14ac:dyDescent="0.3">
      <c r="A95">
        <v>1844505072</v>
      </c>
      <c r="B95" s="1">
        <v>42473</v>
      </c>
      <c r="C95">
        <v>4929</v>
      </c>
      <c r="D95">
        <v>3.2599999904632599</v>
      </c>
      <c r="E95">
        <v>3.2599999904632599</v>
      </c>
      <c r="F95">
        <v>0</v>
      </c>
      <c r="G95">
        <v>0</v>
      </c>
      <c r="H95">
        <v>0</v>
      </c>
      <c r="I95">
        <v>3.2599999904632599</v>
      </c>
      <c r="J95">
        <v>0</v>
      </c>
      <c r="K95">
        <v>0</v>
      </c>
      <c r="L95">
        <v>0</v>
      </c>
      <c r="M95">
        <v>248</v>
      </c>
      <c r="N95">
        <v>1192</v>
      </c>
      <c r="O95">
        <v>1860</v>
      </c>
    </row>
    <row r="96" spans="1:15" x14ac:dyDescent="0.3">
      <c r="A96">
        <v>1844505072</v>
      </c>
      <c r="B96" s="1">
        <v>42474</v>
      </c>
      <c r="C96">
        <v>7937</v>
      </c>
      <c r="D96">
        <v>5.25</v>
      </c>
      <c r="E96">
        <v>5.25</v>
      </c>
      <c r="F96">
        <v>0</v>
      </c>
      <c r="G96">
        <v>0</v>
      </c>
      <c r="H96">
        <v>0</v>
      </c>
      <c r="I96">
        <v>5.2300000190734899</v>
      </c>
      <c r="J96">
        <v>0</v>
      </c>
      <c r="K96">
        <v>0</v>
      </c>
      <c r="L96">
        <v>0</v>
      </c>
      <c r="M96">
        <v>373</v>
      </c>
      <c r="N96">
        <v>843</v>
      </c>
      <c r="O96">
        <v>2130</v>
      </c>
    </row>
    <row r="97" spans="1:15" x14ac:dyDescent="0.3">
      <c r="A97">
        <v>1844505072</v>
      </c>
      <c r="B97" s="1">
        <v>42475</v>
      </c>
      <c r="C97">
        <v>3844</v>
      </c>
      <c r="D97">
        <v>2.53999996185303</v>
      </c>
      <c r="E97">
        <v>2.53999996185303</v>
      </c>
      <c r="F97">
        <v>0</v>
      </c>
      <c r="G97">
        <v>0</v>
      </c>
      <c r="H97">
        <v>0</v>
      </c>
      <c r="I97">
        <v>2.53999996185303</v>
      </c>
      <c r="J97">
        <v>0</v>
      </c>
      <c r="K97">
        <v>0</v>
      </c>
      <c r="L97">
        <v>0</v>
      </c>
      <c r="M97">
        <v>176</v>
      </c>
      <c r="N97">
        <v>527</v>
      </c>
      <c r="O97">
        <v>1725</v>
      </c>
    </row>
    <row r="98" spans="1:15" x14ac:dyDescent="0.3">
      <c r="A98">
        <v>1844505072</v>
      </c>
      <c r="B98" s="1">
        <v>42476</v>
      </c>
      <c r="C98">
        <v>3414</v>
      </c>
      <c r="D98">
        <v>2.2599999904632599</v>
      </c>
      <c r="E98">
        <v>2.2599999904632599</v>
      </c>
      <c r="F98">
        <v>0</v>
      </c>
      <c r="G98">
        <v>0</v>
      </c>
      <c r="H98">
        <v>0</v>
      </c>
      <c r="I98">
        <v>2.2599999904632599</v>
      </c>
      <c r="J98">
        <v>0</v>
      </c>
      <c r="K98">
        <v>0</v>
      </c>
      <c r="L98">
        <v>0</v>
      </c>
      <c r="M98">
        <v>147</v>
      </c>
      <c r="N98">
        <v>1293</v>
      </c>
      <c r="O98">
        <v>1657</v>
      </c>
    </row>
    <row r="99" spans="1:15" x14ac:dyDescent="0.3">
      <c r="A99">
        <v>1844505072</v>
      </c>
      <c r="B99" s="1">
        <v>42477</v>
      </c>
      <c r="C99">
        <v>4525</v>
      </c>
      <c r="D99">
        <v>2.9900000095367401</v>
      </c>
      <c r="E99">
        <v>2.9900000095367401</v>
      </c>
      <c r="F99">
        <v>0</v>
      </c>
      <c r="G99">
        <v>0.140000000596046</v>
      </c>
      <c r="H99">
        <v>0.259999990463257</v>
      </c>
      <c r="I99">
        <v>2.5899999141693102</v>
      </c>
      <c r="J99">
        <v>0</v>
      </c>
      <c r="K99">
        <v>2</v>
      </c>
      <c r="L99">
        <v>8</v>
      </c>
      <c r="M99">
        <v>199</v>
      </c>
      <c r="N99">
        <v>1231</v>
      </c>
      <c r="O99">
        <v>1793</v>
      </c>
    </row>
    <row r="100" spans="1:15" x14ac:dyDescent="0.3">
      <c r="A100">
        <v>1844505072</v>
      </c>
      <c r="B100" s="1">
        <v>42478</v>
      </c>
      <c r="C100">
        <v>4597</v>
      </c>
      <c r="D100">
        <v>3.03999996185303</v>
      </c>
      <c r="E100">
        <v>3.03999996185303</v>
      </c>
      <c r="F100">
        <v>0</v>
      </c>
      <c r="G100">
        <v>0</v>
      </c>
      <c r="H100">
        <v>0.479999989271164</v>
      </c>
      <c r="I100">
        <v>2.5599999427795401</v>
      </c>
      <c r="J100">
        <v>0</v>
      </c>
      <c r="K100">
        <v>0</v>
      </c>
      <c r="L100">
        <v>12</v>
      </c>
      <c r="M100">
        <v>217</v>
      </c>
      <c r="N100">
        <v>1211</v>
      </c>
      <c r="O100">
        <v>1814</v>
      </c>
    </row>
    <row r="101" spans="1:15" x14ac:dyDescent="0.3">
      <c r="A101">
        <v>1844505072</v>
      </c>
      <c r="B101" s="1">
        <v>42479</v>
      </c>
      <c r="C101">
        <v>197</v>
      </c>
      <c r="D101">
        <v>0.129999995231628</v>
      </c>
      <c r="E101">
        <v>0.129999995231628</v>
      </c>
      <c r="F101">
        <v>0</v>
      </c>
      <c r="G101">
        <v>0</v>
      </c>
      <c r="H101">
        <v>0</v>
      </c>
      <c r="I101">
        <v>0.129999995231628</v>
      </c>
      <c r="J101">
        <v>0</v>
      </c>
      <c r="K101">
        <v>0</v>
      </c>
      <c r="L101">
        <v>0</v>
      </c>
      <c r="M101">
        <v>10</v>
      </c>
      <c r="N101">
        <v>1430</v>
      </c>
      <c r="O101">
        <v>1366</v>
      </c>
    </row>
    <row r="102" spans="1:15" x14ac:dyDescent="0.3">
      <c r="A102">
        <v>1844505072</v>
      </c>
      <c r="B102" s="1">
        <v>42480</v>
      </c>
      <c r="C102">
        <v>8</v>
      </c>
      <c r="D102">
        <v>9.9999997764825804E-3</v>
      </c>
      <c r="E102">
        <v>9.9999997764825804E-3</v>
      </c>
      <c r="F102">
        <v>0</v>
      </c>
      <c r="G102">
        <v>0</v>
      </c>
      <c r="H102">
        <v>0</v>
      </c>
      <c r="I102">
        <v>9.9999997764825804E-3</v>
      </c>
      <c r="J102">
        <v>0</v>
      </c>
      <c r="K102">
        <v>0</v>
      </c>
      <c r="L102">
        <v>0</v>
      </c>
      <c r="M102">
        <v>1</v>
      </c>
      <c r="N102">
        <v>1439</v>
      </c>
      <c r="O102">
        <v>1349</v>
      </c>
    </row>
    <row r="103" spans="1:15" x14ac:dyDescent="0.3">
      <c r="A103">
        <v>1844505072</v>
      </c>
      <c r="B103" s="1">
        <v>42481</v>
      </c>
      <c r="C103">
        <v>8054</v>
      </c>
      <c r="D103">
        <v>5.3200001716613796</v>
      </c>
      <c r="E103">
        <v>5.3200001716613796</v>
      </c>
      <c r="F103">
        <v>0</v>
      </c>
      <c r="G103">
        <v>0.119999997317791</v>
      </c>
      <c r="H103">
        <v>0.519999980926514</v>
      </c>
      <c r="I103">
        <v>4.6799998283386204</v>
      </c>
      <c r="J103">
        <v>0</v>
      </c>
      <c r="K103">
        <v>2</v>
      </c>
      <c r="L103">
        <v>13</v>
      </c>
      <c r="M103">
        <v>308</v>
      </c>
      <c r="N103">
        <v>1117</v>
      </c>
      <c r="O103">
        <v>2062</v>
      </c>
    </row>
    <row r="104" spans="1:15" x14ac:dyDescent="0.3">
      <c r="A104">
        <v>1844505072</v>
      </c>
      <c r="B104" s="1">
        <v>42482</v>
      </c>
      <c r="C104">
        <v>5372</v>
      </c>
      <c r="D104">
        <v>3.5499999523162802</v>
      </c>
      <c r="E104">
        <v>3.5499999523162802</v>
      </c>
      <c r="F104">
        <v>0</v>
      </c>
      <c r="G104">
        <v>0</v>
      </c>
      <c r="H104">
        <v>0</v>
      </c>
      <c r="I104">
        <v>3.5499999523162802</v>
      </c>
      <c r="J104">
        <v>0</v>
      </c>
      <c r="K104">
        <v>0</v>
      </c>
      <c r="L104">
        <v>0</v>
      </c>
      <c r="M104">
        <v>220</v>
      </c>
      <c r="N104">
        <v>1220</v>
      </c>
      <c r="O104">
        <v>1827</v>
      </c>
    </row>
    <row r="105" spans="1:15" x14ac:dyDescent="0.3">
      <c r="A105">
        <v>1844505072</v>
      </c>
      <c r="B105" s="1">
        <v>42483</v>
      </c>
      <c r="C105">
        <v>3570</v>
      </c>
      <c r="D105">
        <v>2.3599998950958301</v>
      </c>
      <c r="E105">
        <v>2.3599998950958301</v>
      </c>
      <c r="F105">
        <v>0</v>
      </c>
      <c r="G105">
        <v>0</v>
      </c>
      <c r="H105">
        <v>0</v>
      </c>
      <c r="I105">
        <v>2.3599998950958301</v>
      </c>
      <c r="J105">
        <v>0</v>
      </c>
      <c r="K105">
        <v>0</v>
      </c>
      <c r="L105">
        <v>0</v>
      </c>
      <c r="M105">
        <v>139</v>
      </c>
      <c r="N105">
        <v>1301</v>
      </c>
      <c r="O105">
        <v>1645</v>
      </c>
    </row>
    <row r="106" spans="1:15" x14ac:dyDescent="0.3">
      <c r="A106">
        <v>1844505072</v>
      </c>
      <c r="B106" s="1">
        <v>42484</v>
      </c>
      <c r="C106">
        <v>0</v>
      </c>
      <c r="D106">
        <v>0</v>
      </c>
      <c r="E106">
        <v>0</v>
      </c>
      <c r="F106">
        <v>0</v>
      </c>
      <c r="G106">
        <v>0</v>
      </c>
      <c r="H106">
        <v>0</v>
      </c>
      <c r="I106">
        <v>0</v>
      </c>
      <c r="J106">
        <v>0</v>
      </c>
      <c r="K106">
        <v>0</v>
      </c>
      <c r="L106">
        <v>0</v>
      </c>
      <c r="M106">
        <v>0</v>
      </c>
      <c r="N106">
        <v>1440</v>
      </c>
      <c r="O106">
        <v>1347</v>
      </c>
    </row>
    <row r="107" spans="1:15" x14ac:dyDescent="0.3">
      <c r="A107">
        <v>1844505072</v>
      </c>
      <c r="B107" s="1">
        <v>42485</v>
      </c>
      <c r="C107">
        <v>0</v>
      </c>
      <c r="D107">
        <v>0</v>
      </c>
      <c r="E107">
        <v>0</v>
      </c>
      <c r="F107">
        <v>0</v>
      </c>
      <c r="G107">
        <v>0</v>
      </c>
      <c r="H107">
        <v>0</v>
      </c>
      <c r="I107">
        <v>0</v>
      </c>
      <c r="J107">
        <v>0</v>
      </c>
      <c r="K107">
        <v>0</v>
      </c>
      <c r="L107">
        <v>0</v>
      </c>
      <c r="M107">
        <v>0</v>
      </c>
      <c r="N107">
        <v>1440</v>
      </c>
      <c r="O107">
        <v>1347</v>
      </c>
    </row>
    <row r="108" spans="1:15" x14ac:dyDescent="0.3">
      <c r="A108">
        <v>1844505072</v>
      </c>
      <c r="B108" s="1">
        <v>42486</v>
      </c>
      <c r="C108">
        <v>0</v>
      </c>
      <c r="D108">
        <v>0</v>
      </c>
      <c r="E108">
        <v>0</v>
      </c>
      <c r="F108">
        <v>0</v>
      </c>
      <c r="G108">
        <v>0</v>
      </c>
      <c r="H108">
        <v>0</v>
      </c>
      <c r="I108">
        <v>0</v>
      </c>
      <c r="J108">
        <v>0</v>
      </c>
      <c r="K108">
        <v>0</v>
      </c>
      <c r="L108">
        <v>0</v>
      </c>
      <c r="M108">
        <v>0</v>
      </c>
      <c r="N108">
        <v>1440</v>
      </c>
      <c r="O108">
        <v>1347</v>
      </c>
    </row>
    <row r="109" spans="1:15" x14ac:dyDescent="0.3">
      <c r="A109">
        <v>1844505072</v>
      </c>
      <c r="B109" s="1">
        <v>42487</v>
      </c>
      <c r="C109">
        <v>4</v>
      </c>
      <c r="D109">
        <v>0</v>
      </c>
      <c r="E109">
        <v>0</v>
      </c>
      <c r="F109">
        <v>0</v>
      </c>
      <c r="G109">
        <v>0</v>
      </c>
      <c r="H109">
        <v>0</v>
      </c>
      <c r="I109">
        <v>0</v>
      </c>
      <c r="J109">
        <v>0</v>
      </c>
      <c r="K109">
        <v>0</v>
      </c>
      <c r="L109">
        <v>0</v>
      </c>
      <c r="M109">
        <v>1</v>
      </c>
      <c r="N109">
        <v>1439</v>
      </c>
      <c r="O109">
        <v>1348</v>
      </c>
    </row>
    <row r="110" spans="1:15" x14ac:dyDescent="0.3">
      <c r="A110">
        <v>1844505072</v>
      </c>
      <c r="B110" s="1">
        <v>42488</v>
      </c>
      <c r="C110">
        <v>6907</v>
      </c>
      <c r="D110">
        <v>4.5700001716613796</v>
      </c>
      <c r="E110">
        <v>4.5700001716613796</v>
      </c>
      <c r="F110">
        <v>0</v>
      </c>
      <c r="G110">
        <v>0</v>
      </c>
      <c r="H110">
        <v>0</v>
      </c>
      <c r="I110">
        <v>4.5599999427795401</v>
      </c>
      <c r="J110">
        <v>0</v>
      </c>
      <c r="K110">
        <v>0</v>
      </c>
      <c r="L110">
        <v>0</v>
      </c>
      <c r="M110">
        <v>302</v>
      </c>
      <c r="N110">
        <v>1138</v>
      </c>
      <c r="O110">
        <v>1992</v>
      </c>
    </row>
    <row r="111" spans="1:15" x14ac:dyDescent="0.3">
      <c r="A111">
        <v>1844505072</v>
      </c>
      <c r="B111" s="1">
        <v>42489</v>
      </c>
      <c r="C111">
        <v>4920</v>
      </c>
      <c r="D111">
        <v>3.25</v>
      </c>
      <c r="E111">
        <v>3.25</v>
      </c>
      <c r="F111">
        <v>0</v>
      </c>
      <c r="G111">
        <v>0</v>
      </c>
      <c r="H111">
        <v>0</v>
      </c>
      <c r="I111">
        <v>3.25</v>
      </c>
      <c r="J111">
        <v>0</v>
      </c>
      <c r="K111">
        <v>0</v>
      </c>
      <c r="L111">
        <v>0</v>
      </c>
      <c r="M111">
        <v>247</v>
      </c>
      <c r="N111">
        <v>1082</v>
      </c>
      <c r="O111">
        <v>1856</v>
      </c>
    </row>
    <row r="112" spans="1:15" x14ac:dyDescent="0.3">
      <c r="A112">
        <v>1844505072</v>
      </c>
      <c r="B112" s="1">
        <v>42490</v>
      </c>
      <c r="C112">
        <v>4014</v>
      </c>
      <c r="D112">
        <v>2.6700000762939502</v>
      </c>
      <c r="E112">
        <v>2.6700000762939502</v>
      </c>
      <c r="F112">
        <v>0</v>
      </c>
      <c r="G112">
        <v>0</v>
      </c>
      <c r="H112">
        <v>0</v>
      </c>
      <c r="I112">
        <v>2.6500000953674299</v>
      </c>
      <c r="J112">
        <v>0</v>
      </c>
      <c r="K112">
        <v>0</v>
      </c>
      <c r="L112">
        <v>0</v>
      </c>
      <c r="M112">
        <v>184</v>
      </c>
      <c r="N112">
        <v>218</v>
      </c>
      <c r="O112">
        <v>1763</v>
      </c>
    </row>
    <row r="113" spans="1:15" x14ac:dyDescent="0.3">
      <c r="A113">
        <v>1844505072</v>
      </c>
      <c r="B113" s="1">
        <v>42491</v>
      </c>
      <c r="C113">
        <v>2573</v>
      </c>
      <c r="D113">
        <v>1.70000004768372</v>
      </c>
      <c r="E113">
        <v>1.70000004768372</v>
      </c>
      <c r="F113">
        <v>0</v>
      </c>
      <c r="G113">
        <v>0</v>
      </c>
      <c r="H113">
        <v>0.259999990463257</v>
      </c>
      <c r="I113">
        <v>1.45000004768372</v>
      </c>
      <c r="J113">
        <v>0</v>
      </c>
      <c r="K113">
        <v>0</v>
      </c>
      <c r="L113">
        <v>7</v>
      </c>
      <c r="M113">
        <v>75</v>
      </c>
      <c r="N113">
        <v>585</v>
      </c>
      <c r="O113">
        <v>1541</v>
      </c>
    </row>
    <row r="114" spans="1:15" x14ac:dyDescent="0.3">
      <c r="A114">
        <v>1844505072</v>
      </c>
      <c r="B114" s="1">
        <v>42492</v>
      </c>
      <c r="C114">
        <v>0</v>
      </c>
      <c r="D114">
        <v>0</v>
      </c>
      <c r="E114">
        <v>0</v>
      </c>
      <c r="F114">
        <v>0</v>
      </c>
      <c r="G114">
        <v>0</v>
      </c>
      <c r="H114">
        <v>0</v>
      </c>
      <c r="I114">
        <v>0</v>
      </c>
      <c r="J114">
        <v>0</v>
      </c>
      <c r="K114">
        <v>0</v>
      </c>
      <c r="L114">
        <v>0</v>
      </c>
      <c r="M114">
        <v>0</v>
      </c>
      <c r="N114">
        <v>1440</v>
      </c>
      <c r="O114">
        <v>1348</v>
      </c>
    </row>
    <row r="115" spans="1:15" x14ac:dyDescent="0.3">
      <c r="A115">
        <v>1844505072</v>
      </c>
      <c r="B115" s="1">
        <v>42493</v>
      </c>
      <c r="C115">
        <v>4059</v>
      </c>
      <c r="D115">
        <v>2.6800000667571999</v>
      </c>
      <c r="E115">
        <v>2.6800000667571999</v>
      </c>
      <c r="F115">
        <v>0</v>
      </c>
      <c r="G115">
        <v>0</v>
      </c>
      <c r="H115">
        <v>0</v>
      </c>
      <c r="I115">
        <v>2.6800000667571999</v>
      </c>
      <c r="J115">
        <v>0</v>
      </c>
      <c r="K115">
        <v>0</v>
      </c>
      <c r="L115">
        <v>0</v>
      </c>
      <c r="M115">
        <v>184</v>
      </c>
      <c r="N115">
        <v>1256</v>
      </c>
      <c r="O115">
        <v>1742</v>
      </c>
    </row>
    <row r="116" spans="1:15" x14ac:dyDescent="0.3">
      <c r="A116">
        <v>1844505072</v>
      </c>
      <c r="B116" s="1">
        <v>42494</v>
      </c>
      <c r="C116">
        <v>2080</v>
      </c>
      <c r="D116">
        <v>1.37000000476837</v>
      </c>
      <c r="E116">
        <v>1.37000000476837</v>
      </c>
      <c r="F116">
        <v>0</v>
      </c>
      <c r="G116">
        <v>0</v>
      </c>
      <c r="H116">
        <v>0</v>
      </c>
      <c r="I116">
        <v>1.37000000476837</v>
      </c>
      <c r="J116">
        <v>0</v>
      </c>
      <c r="K116">
        <v>0</v>
      </c>
      <c r="L116">
        <v>0</v>
      </c>
      <c r="M116">
        <v>87</v>
      </c>
      <c r="N116">
        <v>1353</v>
      </c>
      <c r="O116">
        <v>1549</v>
      </c>
    </row>
    <row r="117" spans="1:15" x14ac:dyDescent="0.3">
      <c r="A117">
        <v>1844505072</v>
      </c>
      <c r="B117" s="1">
        <v>42495</v>
      </c>
      <c r="C117">
        <v>2237</v>
      </c>
      <c r="D117">
        <v>1.4800000190734901</v>
      </c>
      <c r="E117">
        <v>1.4800000190734901</v>
      </c>
      <c r="F117">
        <v>0</v>
      </c>
      <c r="G117">
        <v>0</v>
      </c>
      <c r="H117">
        <v>0</v>
      </c>
      <c r="I117">
        <v>1.4800000190734901</v>
      </c>
      <c r="J117">
        <v>0</v>
      </c>
      <c r="K117">
        <v>0</v>
      </c>
      <c r="L117">
        <v>0</v>
      </c>
      <c r="M117">
        <v>120</v>
      </c>
      <c r="N117">
        <v>1320</v>
      </c>
      <c r="O117">
        <v>1589</v>
      </c>
    </row>
    <row r="118" spans="1:15" x14ac:dyDescent="0.3">
      <c r="A118">
        <v>1844505072</v>
      </c>
      <c r="B118" s="1">
        <v>42496</v>
      </c>
      <c r="C118">
        <v>44</v>
      </c>
      <c r="D118">
        <v>2.9999999329447701E-2</v>
      </c>
      <c r="E118">
        <v>2.9999999329447701E-2</v>
      </c>
      <c r="F118">
        <v>0</v>
      </c>
      <c r="G118">
        <v>0</v>
      </c>
      <c r="H118">
        <v>0</v>
      </c>
      <c r="I118">
        <v>2.9999999329447701E-2</v>
      </c>
      <c r="J118">
        <v>0</v>
      </c>
      <c r="K118">
        <v>0</v>
      </c>
      <c r="L118">
        <v>0</v>
      </c>
      <c r="M118">
        <v>2</v>
      </c>
      <c r="N118">
        <v>1438</v>
      </c>
      <c r="O118">
        <v>1351</v>
      </c>
    </row>
    <row r="119" spans="1:15" x14ac:dyDescent="0.3">
      <c r="A119">
        <v>1844505072</v>
      </c>
      <c r="B119" s="1">
        <v>42497</v>
      </c>
      <c r="C119">
        <v>0</v>
      </c>
      <c r="D119">
        <v>0</v>
      </c>
      <c r="E119">
        <v>0</v>
      </c>
      <c r="F119">
        <v>0</v>
      </c>
      <c r="G119">
        <v>0</v>
      </c>
      <c r="H119">
        <v>0</v>
      </c>
      <c r="I119">
        <v>0</v>
      </c>
      <c r="J119">
        <v>0</v>
      </c>
      <c r="K119">
        <v>0</v>
      </c>
      <c r="L119">
        <v>0</v>
      </c>
      <c r="M119">
        <v>0</v>
      </c>
      <c r="N119">
        <v>1440</v>
      </c>
      <c r="O119">
        <v>1347</v>
      </c>
    </row>
    <row r="120" spans="1:15" x14ac:dyDescent="0.3">
      <c r="A120">
        <v>1844505072</v>
      </c>
      <c r="B120" s="1">
        <v>42498</v>
      </c>
      <c r="C120">
        <v>0</v>
      </c>
      <c r="D120">
        <v>0</v>
      </c>
      <c r="E120">
        <v>0</v>
      </c>
      <c r="F120">
        <v>0</v>
      </c>
      <c r="G120">
        <v>0</v>
      </c>
      <c r="H120">
        <v>0</v>
      </c>
      <c r="I120">
        <v>0</v>
      </c>
      <c r="J120">
        <v>0</v>
      </c>
      <c r="K120">
        <v>0</v>
      </c>
      <c r="L120">
        <v>0</v>
      </c>
      <c r="M120">
        <v>0</v>
      </c>
      <c r="N120">
        <v>1440</v>
      </c>
      <c r="O120">
        <v>1347</v>
      </c>
    </row>
    <row r="121" spans="1:15" x14ac:dyDescent="0.3">
      <c r="A121">
        <v>1844505072</v>
      </c>
      <c r="B121" s="1">
        <v>42499</v>
      </c>
      <c r="C121">
        <v>0</v>
      </c>
      <c r="D121">
        <v>0</v>
      </c>
      <c r="E121">
        <v>0</v>
      </c>
      <c r="F121">
        <v>0</v>
      </c>
      <c r="G121">
        <v>0</v>
      </c>
      <c r="H121">
        <v>0</v>
      </c>
      <c r="I121">
        <v>0</v>
      </c>
      <c r="J121">
        <v>0</v>
      </c>
      <c r="K121">
        <v>0</v>
      </c>
      <c r="L121">
        <v>0</v>
      </c>
      <c r="M121">
        <v>0</v>
      </c>
      <c r="N121">
        <v>1440</v>
      </c>
      <c r="O121">
        <v>1347</v>
      </c>
    </row>
    <row r="122" spans="1:15" x14ac:dyDescent="0.3">
      <c r="A122">
        <v>1844505072</v>
      </c>
      <c r="B122" s="1">
        <v>42500</v>
      </c>
      <c r="C122">
        <v>0</v>
      </c>
      <c r="D122">
        <v>0</v>
      </c>
      <c r="E122">
        <v>0</v>
      </c>
      <c r="F122">
        <v>0</v>
      </c>
      <c r="G122">
        <v>0</v>
      </c>
      <c r="H122">
        <v>0</v>
      </c>
      <c r="I122">
        <v>0</v>
      </c>
      <c r="J122">
        <v>0</v>
      </c>
      <c r="K122">
        <v>0</v>
      </c>
      <c r="L122">
        <v>0</v>
      </c>
      <c r="M122">
        <v>0</v>
      </c>
      <c r="N122">
        <v>1440</v>
      </c>
      <c r="O122">
        <v>1347</v>
      </c>
    </row>
    <row r="123" spans="1:15" x14ac:dyDescent="0.3">
      <c r="A123">
        <v>1844505072</v>
      </c>
      <c r="B123" s="1">
        <v>42501</v>
      </c>
      <c r="C123">
        <v>0</v>
      </c>
      <c r="D123">
        <v>0</v>
      </c>
      <c r="E123">
        <v>0</v>
      </c>
      <c r="F123">
        <v>0</v>
      </c>
      <c r="G123">
        <v>0</v>
      </c>
      <c r="H123">
        <v>0</v>
      </c>
      <c r="I123">
        <v>0</v>
      </c>
      <c r="J123">
        <v>0</v>
      </c>
      <c r="K123">
        <v>0</v>
      </c>
      <c r="L123">
        <v>0</v>
      </c>
      <c r="M123">
        <v>0</v>
      </c>
      <c r="N123">
        <v>1440</v>
      </c>
      <c r="O123">
        <v>1347</v>
      </c>
    </row>
    <row r="124" spans="1:15" x14ac:dyDescent="0.3">
      <c r="A124">
        <v>1844505072</v>
      </c>
      <c r="B124" s="1">
        <v>42502</v>
      </c>
      <c r="C124">
        <v>0</v>
      </c>
      <c r="D124">
        <v>0</v>
      </c>
      <c r="E124">
        <v>0</v>
      </c>
      <c r="F124">
        <v>0</v>
      </c>
      <c r="G124">
        <v>0</v>
      </c>
      <c r="H124">
        <v>0</v>
      </c>
      <c r="I124">
        <v>0</v>
      </c>
      <c r="J124">
        <v>0</v>
      </c>
      <c r="K124">
        <v>0</v>
      </c>
      <c r="L124">
        <v>0</v>
      </c>
      <c r="M124">
        <v>0</v>
      </c>
      <c r="N124">
        <v>711</v>
      </c>
      <c r="O124">
        <v>665</v>
      </c>
    </row>
    <row r="125" spans="1:15" x14ac:dyDescent="0.3">
      <c r="A125">
        <v>1927972279</v>
      </c>
      <c r="B125" s="1">
        <v>42472</v>
      </c>
      <c r="C125">
        <v>678</v>
      </c>
      <c r="D125">
        <v>0.46999999880790699</v>
      </c>
      <c r="E125">
        <v>0.46999999880790699</v>
      </c>
      <c r="F125">
        <v>0</v>
      </c>
      <c r="G125">
        <v>0</v>
      </c>
      <c r="H125">
        <v>0</v>
      </c>
      <c r="I125">
        <v>0.46999999880790699</v>
      </c>
      <c r="J125">
        <v>0</v>
      </c>
      <c r="K125">
        <v>0</v>
      </c>
      <c r="L125">
        <v>0</v>
      </c>
      <c r="M125">
        <v>55</v>
      </c>
      <c r="N125">
        <v>734</v>
      </c>
      <c r="O125">
        <v>2220</v>
      </c>
    </row>
    <row r="126" spans="1:15" x14ac:dyDescent="0.3">
      <c r="A126">
        <v>1927972279</v>
      </c>
      <c r="B126" s="1">
        <v>42473</v>
      </c>
      <c r="C126">
        <v>356</v>
      </c>
      <c r="D126">
        <v>0.25</v>
      </c>
      <c r="E126">
        <v>0.25</v>
      </c>
      <c r="F126">
        <v>0</v>
      </c>
      <c r="G126">
        <v>0</v>
      </c>
      <c r="H126">
        <v>0</v>
      </c>
      <c r="I126">
        <v>0.25</v>
      </c>
      <c r="J126">
        <v>0</v>
      </c>
      <c r="K126">
        <v>0</v>
      </c>
      <c r="L126">
        <v>0</v>
      </c>
      <c r="M126">
        <v>32</v>
      </c>
      <c r="N126">
        <v>986</v>
      </c>
      <c r="O126">
        <v>2151</v>
      </c>
    </row>
    <row r="127" spans="1:15" x14ac:dyDescent="0.3">
      <c r="A127">
        <v>1927972279</v>
      </c>
      <c r="B127" s="1">
        <v>42474</v>
      </c>
      <c r="C127">
        <v>2163</v>
      </c>
      <c r="D127">
        <v>1.5</v>
      </c>
      <c r="E127">
        <v>1.5</v>
      </c>
      <c r="F127">
        <v>0</v>
      </c>
      <c r="G127">
        <v>0</v>
      </c>
      <c r="H127">
        <v>0.40000000596046398</v>
      </c>
      <c r="I127">
        <v>1.1000000238418599</v>
      </c>
      <c r="J127">
        <v>0</v>
      </c>
      <c r="K127">
        <v>0</v>
      </c>
      <c r="L127">
        <v>9</v>
      </c>
      <c r="M127">
        <v>88</v>
      </c>
      <c r="N127">
        <v>1292</v>
      </c>
      <c r="O127">
        <v>2383</v>
      </c>
    </row>
    <row r="128" spans="1:15" x14ac:dyDescent="0.3">
      <c r="A128">
        <v>1927972279</v>
      </c>
      <c r="B128" s="1">
        <v>42475</v>
      </c>
      <c r="C128">
        <v>980</v>
      </c>
      <c r="D128">
        <v>0.68000000715255704</v>
      </c>
      <c r="E128">
        <v>0.68000000715255704</v>
      </c>
      <c r="F128">
        <v>0</v>
      </c>
      <c r="G128">
        <v>0</v>
      </c>
      <c r="H128">
        <v>0</v>
      </c>
      <c r="I128">
        <v>0.68000000715255704</v>
      </c>
      <c r="J128">
        <v>0</v>
      </c>
      <c r="K128">
        <v>0</v>
      </c>
      <c r="L128">
        <v>0</v>
      </c>
      <c r="M128">
        <v>51</v>
      </c>
      <c r="N128">
        <v>941</v>
      </c>
      <c r="O128">
        <v>2221</v>
      </c>
    </row>
    <row r="129" spans="1:15" x14ac:dyDescent="0.3">
      <c r="A129">
        <v>1927972279</v>
      </c>
      <c r="B129" s="1">
        <v>42476</v>
      </c>
      <c r="C129">
        <v>0</v>
      </c>
      <c r="D129">
        <v>0</v>
      </c>
      <c r="E129">
        <v>0</v>
      </c>
      <c r="F129">
        <v>0</v>
      </c>
      <c r="G129">
        <v>0</v>
      </c>
      <c r="H129">
        <v>0</v>
      </c>
      <c r="I129">
        <v>0</v>
      </c>
      <c r="J129">
        <v>0</v>
      </c>
      <c r="K129">
        <v>0</v>
      </c>
      <c r="L129">
        <v>0</v>
      </c>
      <c r="M129">
        <v>0</v>
      </c>
      <c r="N129">
        <v>1440</v>
      </c>
      <c r="O129">
        <v>2064</v>
      </c>
    </row>
    <row r="130" spans="1:15" x14ac:dyDescent="0.3">
      <c r="A130">
        <v>1927972279</v>
      </c>
      <c r="B130" s="1">
        <v>42477</v>
      </c>
      <c r="C130">
        <v>0</v>
      </c>
      <c r="D130">
        <v>0</v>
      </c>
      <c r="E130">
        <v>0</v>
      </c>
      <c r="F130">
        <v>0</v>
      </c>
      <c r="G130">
        <v>0</v>
      </c>
      <c r="H130">
        <v>0</v>
      </c>
      <c r="I130">
        <v>0</v>
      </c>
      <c r="J130">
        <v>0</v>
      </c>
      <c r="K130">
        <v>0</v>
      </c>
      <c r="L130">
        <v>0</v>
      </c>
      <c r="M130">
        <v>0</v>
      </c>
      <c r="N130">
        <v>1440</v>
      </c>
      <c r="O130">
        <v>2063</v>
      </c>
    </row>
    <row r="131" spans="1:15" x14ac:dyDescent="0.3">
      <c r="A131">
        <v>1927972279</v>
      </c>
      <c r="B131" s="1">
        <v>42478</v>
      </c>
      <c r="C131">
        <v>244</v>
      </c>
      <c r="D131">
        <v>0.17000000178813901</v>
      </c>
      <c r="E131">
        <v>0.17000000178813901</v>
      </c>
      <c r="F131">
        <v>0</v>
      </c>
      <c r="G131">
        <v>0</v>
      </c>
      <c r="H131">
        <v>0</v>
      </c>
      <c r="I131">
        <v>0.17000000178813901</v>
      </c>
      <c r="J131">
        <v>0</v>
      </c>
      <c r="K131">
        <v>0</v>
      </c>
      <c r="L131">
        <v>0</v>
      </c>
      <c r="M131">
        <v>17</v>
      </c>
      <c r="N131">
        <v>1423</v>
      </c>
      <c r="O131">
        <v>2111</v>
      </c>
    </row>
    <row r="132" spans="1:15" x14ac:dyDescent="0.3">
      <c r="A132">
        <v>1927972279</v>
      </c>
      <c r="B132" s="1">
        <v>42479</v>
      </c>
      <c r="C132">
        <v>0</v>
      </c>
      <c r="D132">
        <v>0</v>
      </c>
      <c r="E132">
        <v>0</v>
      </c>
      <c r="F132">
        <v>0</v>
      </c>
      <c r="G132">
        <v>0</v>
      </c>
      <c r="H132">
        <v>0</v>
      </c>
      <c r="I132">
        <v>0</v>
      </c>
      <c r="J132">
        <v>0</v>
      </c>
      <c r="K132">
        <v>0</v>
      </c>
      <c r="L132">
        <v>0</v>
      </c>
      <c r="M132">
        <v>0</v>
      </c>
      <c r="N132">
        <v>1440</v>
      </c>
      <c r="O132">
        <v>2063</v>
      </c>
    </row>
    <row r="133" spans="1:15" x14ac:dyDescent="0.3">
      <c r="A133">
        <v>1927972279</v>
      </c>
      <c r="B133" s="1">
        <v>42480</v>
      </c>
      <c r="C133">
        <v>0</v>
      </c>
      <c r="D133">
        <v>0</v>
      </c>
      <c r="E133">
        <v>0</v>
      </c>
      <c r="F133">
        <v>0</v>
      </c>
      <c r="G133">
        <v>0</v>
      </c>
      <c r="H133">
        <v>0</v>
      </c>
      <c r="I133">
        <v>0</v>
      </c>
      <c r="J133">
        <v>0</v>
      </c>
      <c r="K133">
        <v>0</v>
      </c>
      <c r="L133">
        <v>0</v>
      </c>
      <c r="M133">
        <v>0</v>
      </c>
      <c r="N133">
        <v>1440</v>
      </c>
      <c r="O133">
        <v>2063</v>
      </c>
    </row>
    <row r="134" spans="1:15" x14ac:dyDescent="0.3">
      <c r="A134">
        <v>1927972279</v>
      </c>
      <c r="B134" s="1">
        <v>42481</v>
      </c>
      <c r="C134">
        <v>0</v>
      </c>
      <c r="D134">
        <v>0</v>
      </c>
      <c r="E134">
        <v>0</v>
      </c>
      <c r="F134">
        <v>0</v>
      </c>
      <c r="G134">
        <v>0</v>
      </c>
      <c r="H134">
        <v>0</v>
      </c>
      <c r="I134">
        <v>0</v>
      </c>
      <c r="J134">
        <v>0</v>
      </c>
      <c r="K134">
        <v>0</v>
      </c>
      <c r="L134">
        <v>0</v>
      </c>
      <c r="M134">
        <v>0</v>
      </c>
      <c r="N134">
        <v>1440</v>
      </c>
      <c r="O134">
        <v>2064</v>
      </c>
    </row>
    <row r="135" spans="1:15" x14ac:dyDescent="0.3">
      <c r="A135">
        <v>1927972279</v>
      </c>
      <c r="B135" s="1">
        <v>42482</v>
      </c>
      <c r="C135">
        <v>149</v>
      </c>
      <c r="D135">
        <v>0.10000000149011599</v>
      </c>
      <c r="E135">
        <v>0.10000000149011599</v>
      </c>
      <c r="F135">
        <v>0</v>
      </c>
      <c r="G135">
        <v>0</v>
      </c>
      <c r="H135">
        <v>0</v>
      </c>
      <c r="I135">
        <v>0.10000000149011599</v>
      </c>
      <c r="J135">
        <v>0</v>
      </c>
      <c r="K135">
        <v>0</v>
      </c>
      <c r="L135">
        <v>0</v>
      </c>
      <c r="M135">
        <v>10</v>
      </c>
      <c r="N135">
        <v>1430</v>
      </c>
      <c r="O135">
        <v>2093</v>
      </c>
    </row>
    <row r="136" spans="1:15" x14ac:dyDescent="0.3">
      <c r="A136">
        <v>1927972279</v>
      </c>
      <c r="B136" s="1">
        <v>42483</v>
      </c>
      <c r="C136">
        <v>2945</v>
      </c>
      <c r="D136">
        <v>2.03999996185303</v>
      </c>
      <c r="E136">
        <v>2.03999996185303</v>
      </c>
      <c r="F136">
        <v>0</v>
      </c>
      <c r="G136">
        <v>0</v>
      </c>
      <c r="H136">
        <v>0</v>
      </c>
      <c r="I136">
        <v>2.03999996185303</v>
      </c>
      <c r="J136">
        <v>0</v>
      </c>
      <c r="K136">
        <v>0</v>
      </c>
      <c r="L136">
        <v>0</v>
      </c>
      <c r="M136">
        <v>145</v>
      </c>
      <c r="N136">
        <v>1295</v>
      </c>
      <c r="O136">
        <v>2499</v>
      </c>
    </row>
    <row r="137" spans="1:15" x14ac:dyDescent="0.3">
      <c r="A137">
        <v>1927972279</v>
      </c>
      <c r="B137" s="1">
        <v>42484</v>
      </c>
      <c r="C137">
        <v>2090</v>
      </c>
      <c r="D137">
        <v>1.45000004768372</v>
      </c>
      <c r="E137">
        <v>1.45000004768372</v>
      </c>
      <c r="F137">
        <v>0</v>
      </c>
      <c r="G137">
        <v>7.0000000298023196E-2</v>
      </c>
      <c r="H137">
        <v>0.239999994635582</v>
      </c>
      <c r="I137">
        <v>1.1399999856948899</v>
      </c>
      <c r="J137">
        <v>0</v>
      </c>
      <c r="K137">
        <v>1</v>
      </c>
      <c r="L137">
        <v>6</v>
      </c>
      <c r="M137">
        <v>75</v>
      </c>
      <c r="N137">
        <v>1358</v>
      </c>
      <c r="O137">
        <v>2324</v>
      </c>
    </row>
    <row r="138" spans="1:15" x14ac:dyDescent="0.3">
      <c r="A138">
        <v>1927972279</v>
      </c>
      <c r="B138" s="1">
        <v>42485</v>
      </c>
      <c r="C138">
        <v>152</v>
      </c>
      <c r="D138">
        <v>0.109999999403954</v>
      </c>
      <c r="E138">
        <v>0.109999999403954</v>
      </c>
      <c r="F138">
        <v>0</v>
      </c>
      <c r="G138">
        <v>0</v>
      </c>
      <c r="H138">
        <v>0</v>
      </c>
      <c r="I138">
        <v>0.109999999403954</v>
      </c>
      <c r="J138">
        <v>0</v>
      </c>
      <c r="K138">
        <v>0</v>
      </c>
      <c r="L138">
        <v>0</v>
      </c>
      <c r="M138">
        <v>12</v>
      </c>
      <c r="N138">
        <v>1303</v>
      </c>
      <c r="O138">
        <v>2100</v>
      </c>
    </row>
    <row r="139" spans="1:15" x14ac:dyDescent="0.3">
      <c r="A139">
        <v>1927972279</v>
      </c>
      <c r="B139" s="1">
        <v>42486</v>
      </c>
      <c r="C139">
        <v>3761</v>
      </c>
      <c r="D139">
        <v>2.5999999046325701</v>
      </c>
      <c r="E139">
        <v>2.5999999046325701</v>
      </c>
      <c r="F139">
        <v>0</v>
      </c>
      <c r="G139">
        <v>0</v>
      </c>
      <c r="H139">
        <v>0</v>
      </c>
      <c r="I139">
        <v>2.5999999046325701</v>
      </c>
      <c r="J139">
        <v>0</v>
      </c>
      <c r="K139">
        <v>0</v>
      </c>
      <c r="L139">
        <v>0</v>
      </c>
      <c r="M139">
        <v>192</v>
      </c>
      <c r="N139">
        <v>1058</v>
      </c>
      <c r="O139">
        <v>2638</v>
      </c>
    </row>
    <row r="140" spans="1:15" x14ac:dyDescent="0.3">
      <c r="A140">
        <v>1927972279</v>
      </c>
      <c r="B140" s="1">
        <v>42487</v>
      </c>
      <c r="C140">
        <v>0</v>
      </c>
      <c r="D140">
        <v>0</v>
      </c>
      <c r="E140">
        <v>0</v>
      </c>
      <c r="F140">
        <v>0</v>
      </c>
      <c r="G140">
        <v>0</v>
      </c>
      <c r="H140">
        <v>0</v>
      </c>
      <c r="I140">
        <v>0</v>
      </c>
      <c r="J140">
        <v>0</v>
      </c>
      <c r="K140">
        <v>0</v>
      </c>
      <c r="L140">
        <v>0</v>
      </c>
      <c r="M140">
        <v>0</v>
      </c>
      <c r="N140">
        <v>1440</v>
      </c>
      <c r="O140">
        <v>2063</v>
      </c>
    </row>
    <row r="141" spans="1:15" x14ac:dyDescent="0.3">
      <c r="A141">
        <v>1927972279</v>
      </c>
      <c r="B141" s="1">
        <v>42488</v>
      </c>
      <c r="C141">
        <v>1675</v>
      </c>
      <c r="D141">
        <v>1.1599999666214</v>
      </c>
      <c r="E141">
        <v>1.1599999666214</v>
      </c>
      <c r="F141">
        <v>0</v>
      </c>
      <c r="G141">
        <v>0</v>
      </c>
      <c r="H141">
        <v>0</v>
      </c>
      <c r="I141">
        <v>1.1599999666214</v>
      </c>
      <c r="J141">
        <v>0</v>
      </c>
      <c r="K141">
        <v>0</v>
      </c>
      <c r="L141">
        <v>0</v>
      </c>
      <c r="M141">
        <v>95</v>
      </c>
      <c r="N141">
        <v>1167</v>
      </c>
      <c r="O141">
        <v>2351</v>
      </c>
    </row>
    <row r="142" spans="1:15" x14ac:dyDescent="0.3">
      <c r="A142">
        <v>1927972279</v>
      </c>
      <c r="B142" s="1">
        <v>42489</v>
      </c>
      <c r="C142">
        <v>0</v>
      </c>
      <c r="D142">
        <v>0</v>
      </c>
      <c r="E142">
        <v>0</v>
      </c>
      <c r="F142">
        <v>0</v>
      </c>
      <c r="G142">
        <v>0</v>
      </c>
      <c r="H142">
        <v>0</v>
      </c>
      <c r="I142">
        <v>0</v>
      </c>
      <c r="J142">
        <v>0</v>
      </c>
      <c r="K142">
        <v>0</v>
      </c>
      <c r="L142">
        <v>0</v>
      </c>
      <c r="M142">
        <v>0</v>
      </c>
      <c r="N142">
        <v>1440</v>
      </c>
      <c r="O142">
        <v>2063</v>
      </c>
    </row>
    <row r="143" spans="1:15" x14ac:dyDescent="0.3">
      <c r="A143">
        <v>1927972279</v>
      </c>
      <c r="B143" s="1">
        <v>42490</v>
      </c>
      <c r="C143">
        <v>0</v>
      </c>
      <c r="D143">
        <v>0</v>
      </c>
      <c r="E143">
        <v>0</v>
      </c>
      <c r="F143">
        <v>0</v>
      </c>
      <c r="G143">
        <v>0</v>
      </c>
      <c r="H143">
        <v>0</v>
      </c>
      <c r="I143">
        <v>0</v>
      </c>
      <c r="J143">
        <v>0</v>
      </c>
      <c r="K143">
        <v>0</v>
      </c>
      <c r="L143">
        <v>0</v>
      </c>
      <c r="M143">
        <v>0</v>
      </c>
      <c r="N143">
        <v>1440</v>
      </c>
      <c r="O143">
        <v>2064</v>
      </c>
    </row>
    <row r="144" spans="1:15" x14ac:dyDescent="0.3">
      <c r="A144">
        <v>1927972279</v>
      </c>
      <c r="B144" s="1">
        <v>42491</v>
      </c>
      <c r="C144">
        <v>2704</v>
      </c>
      <c r="D144">
        <v>1.87000000476837</v>
      </c>
      <c r="E144">
        <v>1.87000000476837</v>
      </c>
      <c r="F144">
        <v>0</v>
      </c>
      <c r="G144">
        <v>1.0099999904632599</v>
      </c>
      <c r="H144">
        <v>2.9999999329447701E-2</v>
      </c>
      <c r="I144">
        <v>0.82999998331069902</v>
      </c>
      <c r="J144">
        <v>0</v>
      </c>
      <c r="K144">
        <v>14</v>
      </c>
      <c r="L144">
        <v>1</v>
      </c>
      <c r="M144">
        <v>70</v>
      </c>
      <c r="N144">
        <v>1355</v>
      </c>
      <c r="O144">
        <v>2411</v>
      </c>
    </row>
    <row r="145" spans="1:15" x14ac:dyDescent="0.3">
      <c r="A145">
        <v>1927972279</v>
      </c>
      <c r="B145" s="1">
        <v>42492</v>
      </c>
      <c r="C145">
        <v>3790</v>
      </c>
      <c r="D145">
        <v>2.6199998855590798</v>
      </c>
      <c r="E145">
        <v>2.6199998855590798</v>
      </c>
      <c r="F145">
        <v>0</v>
      </c>
      <c r="G145">
        <v>1.1599999666214</v>
      </c>
      <c r="H145">
        <v>0.30000001192092901</v>
      </c>
      <c r="I145">
        <v>1.1599999666214</v>
      </c>
      <c r="J145">
        <v>0</v>
      </c>
      <c r="K145">
        <v>16</v>
      </c>
      <c r="L145">
        <v>8</v>
      </c>
      <c r="M145">
        <v>94</v>
      </c>
      <c r="N145">
        <v>1322</v>
      </c>
      <c r="O145">
        <v>2505</v>
      </c>
    </row>
    <row r="146" spans="1:15" x14ac:dyDescent="0.3">
      <c r="A146">
        <v>1927972279</v>
      </c>
      <c r="B146" s="1">
        <v>42493</v>
      </c>
      <c r="C146">
        <v>1326</v>
      </c>
      <c r="D146">
        <v>0.92000001668930098</v>
      </c>
      <c r="E146">
        <v>0.92000001668930098</v>
      </c>
      <c r="F146">
        <v>0</v>
      </c>
      <c r="G146">
        <v>0.730000019073486</v>
      </c>
      <c r="H146">
        <v>0</v>
      </c>
      <c r="I146">
        <v>0.18000000715255701</v>
      </c>
      <c r="J146">
        <v>0</v>
      </c>
      <c r="K146">
        <v>10</v>
      </c>
      <c r="L146">
        <v>0</v>
      </c>
      <c r="M146">
        <v>17</v>
      </c>
      <c r="N146">
        <v>1413</v>
      </c>
      <c r="O146">
        <v>2195</v>
      </c>
    </row>
    <row r="147" spans="1:15" x14ac:dyDescent="0.3">
      <c r="A147">
        <v>1927972279</v>
      </c>
      <c r="B147" s="1">
        <v>42494</v>
      </c>
      <c r="C147">
        <v>1786</v>
      </c>
      <c r="D147">
        <v>1.2400000095367401</v>
      </c>
      <c r="E147">
        <v>1.2400000095367401</v>
      </c>
      <c r="F147">
        <v>0</v>
      </c>
      <c r="G147">
        <v>0</v>
      </c>
      <c r="H147">
        <v>0</v>
      </c>
      <c r="I147">
        <v>1.2400000095367401</v>
      </c>
      <c r="J147">
        <v>0</v>
      </c>
      <c r="K147">
        <v>0</v>
      </c>
      <c r="L147">
        <v>0</v>
      </c>
      <c r="M147">
        <v>87</v>
      </c>
      <c r="N147">
        <v>1353</v>
      </c>
      <c r="O147">
        <v>2338</v>
      </c>
    </row>
    <row r="148" spans="1:15" x14ac:dyDescent="0.3">
      <c r="A148">
        <v>1927972279</v>
      </c>
      <c r="B148" s="1">
        <v>42495</v>
      </c>
      <c r="C148">
        <v>0</v>
      </c>
      <c r="D148">
        <v>0</v>
      </c>
      <c r="E148">
        <v>0</v>
      </c>
      <c r="F148">
        <v>0</v>
      </c>
      <c r="G148">
        <v>0</v>
      </c>
      <c r="H148">
        <v>0</v>
      </c>
      <c r="I148">
        <v>0</v>
      </c>
      <c r="J148">
        <v>0</v>
      </c>
      <c r="K148">
        <v>0</v>
      </c>
      <c r="L148">
        <v>0</v>
      </c>
      <c r="M148">
        <v>0</v>
      </c>
      <c r="N148">
        <v>1440</v>
      </c>
      <c r="O148">
        <v>2063</v>
      </c>
    </row>
    <row r="149" spans="1:15" x14ac:dyDescent="0.3">
      <c r="A149">
        <v>1927972279</v>
      </c>
      <c r="B149" s="1">
        <v>42496</v>
      </c>
      <c r="C149">
        <v>2091</v>
      </c>
      <c r="D149">
        <v>1.45000004768372</v>
      </c>
      <c r="E149">
        <v>1.45000004768372</v>
      </c>
      <c r="F149">
        <v>0</v>
      </c>
      <c r="G149">
        <v>0</v>
      </c>
      <c r="H149">
        <v>0</v>
      </c>
      <c r="I149">
        <v>1.45000004768372</v>
      </c>
      <c r="J149">
        <v>0</v>
      </c>
      <c r="K149">
        <v>0</v>
      </c>
      <c r="L149">
        <v>0</v>
      </c>
      <c r="M149">
        <v>108</v>
      </c>
      <c r="N149">
        <v>1332</v>
      </c>
      <c r="O149">
        <v>2383</v>
      </c>
    </row>
    <row r="150" spans="1:15" x14ac:dyDescent="0.3">
      <c r="A150">
        <v>1927972279</v>
      </c>
      <c r="B150" s="1">
        <v>42497</v>
      </c>
      <c r="C150">
        <v>1510</v>
      </c>
      <c r="D150">
        <v>1.03999996185303</v>
      </c>
      <c r="E150">
        <v>1.03999996185303</v>
      </c>
      <c r="F150">
        <v>0</v>
      </c>
      <c r="G150">
        <v>0</v>
      </c>
      <c r="H150">
        <v>0</v>
      </c>
      <c r="I150">
        <v>1.03999996185303</v>
      </c>
      <c r="J150">
        <v>0</v>
      </c>
      <c r="K150">
        <v>0</v>
      </c>
      <c r="L150">
        <v>0</v>
      </c>
      <c r="M150">
        <v>48</v>
      </c>
      <c r="N150">
        <v>1392</v>
      </c>
      <c r="O150">
        <v>2229</v>
      </c>
    </row>
    <row r="151" spans="1:15" x14ac:dyDescent="0.3">
      <c r="A151">
        <v>1927972279</v>
      </c>
      <c r="B151" s="1">
        <v>42498</v>
      </c>
      <c r="C151">
        <v>0</v>
      </c>
      <c r="D151">
        <v>0</v>
      </c>
      <c r="E151">
        <v>0</v>
      </c>
      <c r="F151">
        <v>0</v>
      </c>
      <c r="G151">
        <v>0</v>
      </c>
      <c r="H151">
        <v>0</v>
      </c>
      <c r="I151">
        <v>0</v>
      </c>
      <c r="J151">
        <v>0</v>
      </c>
      <c r="K151">
        <v>0</v>
      </c>
      <c r="L151">
        <v>0</v>
      </c>
      <c r="M151">
        <v>0</v>
      </c>
      <c r="N151">
        <v>1440</v>
      </c>
      <c r="O151">
        <v>2063</v>
      </c>
    </row>
    <row r="152" spans="1:15" x14ac:dyDescent="0.3">
      <c r="A152">
        <v>1927972279</v>
      </c>
      <c r="B152" s="1">
        <v>42499</v>
      </c>
      <c r="C152">
        <v>0</v>
      </c>
      <c r="D152">
        <v>0</v>
      </c>
      <c r="E152">
        <v>0</v>
      </c>
      <c r="F152">
        <v>0</v>
      </c>
      <c r="G152">
        <v>0</v>
      </c>
      <c r="H152">
        <v>0</v>
      </c>
      <c r="I152">
        <v>0</v>
      </c>
      <c r="J152">
        <v>0</v>
      </c>
      <c r="K152">
        <v>0</v>
      </c>
      <c r="L152">
        <v>0</v>
      </c>
      <c r="M152">
        <v>0</v>
      </c>
      <c r="N152">
        <v>1440</v>
      </c>
      <c r="O152">
        <v>2063</v>
      </c>
    </row>
    <row r="153" spans="1:15" x14ac:dyDescent="0.3">
      <c r="A153">
        <v>1927972279</v>
      </c>
      <c r="B153" s="1">
        <v>42500</v>
      </c>
      <c r="C153">
        <v>0</v>
      </c>
      <c r="D153">
        <v>0</v>
      </c>
      <c r="E153">
        <v>0</v>
      </c>
      <c r="F153">
        <v>0</v>
      </c>
      <c r="G153">
        <v>0</v>
      </c>
      <c r="H153">
        <v>0</v>
      </c>
      <c r="I153">
        <v>0</v>
      </c>
      <c r="J153">
        <v>0</v>
      </c>
      <c r="K153">
        <v>0</v>
      </c>
      <c r="L153">
        <v>0</v>
      </c>
      <c r="M153">
        <v>0</v>
      </c>
      <c r="N153">
        <v>1440</v>
      </c>
      <c r="O153">
        <v>2063</v>
      </c>
    </row>
    <row r="154" spans="1:15" x14ac:dyDescent="0.3">
      <c r="A154">
        <v>1927972279</v>
      </c>
      <c r="B154" s="1">
        <v>42501</v>
      </c>
      <c r="C154">
        <v>0</v>
      </c>
      <c r="D154">
        <v>0</v>
      </c>
      <c r="E154">
        <v>0</v>
      </c>
      <c r="F154">
        <v>0</v>
      </c>
      <c r="G154">
        <v>0</v>
      </c>
      <c r="H154">
        <v>0</v>
      </c>
      <c r="I154">
        <v>0</v>
      </c>
      <c r="J154">
        <v>0</v>
      </c>
      <c r="K154">
        <v>0</v>
      </c>
      <c r="L154">
        <v>0</v>
      </c>
      <c r="M154">
        <v>0</v>
      </c>
      <c r="N154">
        <v>1440</v>
      </c>
      <c r="O154">
        <v>2063</v>
      </c>
    </row>
    <row r="155" spans="1:15" x14ac:dyDescent="0.3">
      <c r="A155">
        <v>1927972279</v>
      </c>
      <c r="B155" s="1">
        <v>42502</v>
      </c>
      <c r="C155">
        <v>0</v>
      </c>
      <c r="D155">
        <v>0</v>
      </c>
      <c r="E155">
        <v>0</v>
      </c>
      <c r="F155">
        <v>0</v>
      </c>
      <c r="G155">
        <v>0</v>
      </c>
      <c r="H155">
        <v>0</v>
      </c>
      <c r="I155">
        <v>0</v>
      </c>
      <c r="J155">
        <v>0</v>
      </c>
      <c r="K155">
        <v>0</v>
      </c>
      <c r="L155">
        <v>0</v>
      </c>
      <c r="M155">
        <v>0</v>
      </c>
      <c r="N155">
        <v>966</v>
      </c>
      <c r="O155">
        <v>1383</v>
      </c>
    </row>
    <row r="156" spans="1:15" x14ac:dyDescent="0.3">
      <c r="A156">
        <v>2022484408</v>
      </c>
      <c r="B156" s="1">
        <v>42472</v>
      </c>
      <c r="C156">
        <v>11875</v>
      </c>
      <c r="D156">
        <v>8.3400001525878906</v>
      </c>
      <c r="E156">
        <v>8.3400001525878906</v>
      </c>
      <c r="F156">
        <v>0</v>
      </c>
      <c r="G156">
        <v>3.3099999427795401</v>
      </c>
      <c r="H156">
        <v>0.769999980926514</v>
      </c>
      <c r="I156">
        <v>4.2600002288818404</v>
      </c>
      <c r="J156">
        <v>0</v>
      </c>
      <c r="K156">
        <v>42</v>
      </c>
      <c r="L156">
        <v>14</v>
      </c>
      <c r="M156">
        <v>227</v>
      </c>
      <c r="N156">
        <v>1157</v>
      </c>
      <c r="O156">
        <v>2390</v>
      </c>
    </row>
    <row r="157" spans="1:15" x14ac:dyDescent="0.3">
      <c r="A157">
        <v>2022484408</v>
      </c>
      <c r="B157" s="1">
        <v>42473</v>
      </c>
      <c r="C157">
        <v>12024</v>
      </c>
      <c r="D157">
        <v>8.5</v>
      </c>
      <c r="E157">
        <v>8.5</v>
      </c>
      <c r="F157">
        <v>0</v>
      </c>
      <c r="G157">
        <v>2.9900000095367401</v>
      </c>
      <c r="H157">
        <v>0.10000000149011599</v>
      </c>
      <c r="I157">
        <v>5.4099998474121103</v>
      </c>
      <c r="J157">
        <v>0</v>
      </c>
      <c r="K157">
        <v>43</v>
      </c>
      <c r="L157">
        <v>5</v>
      </c>
      <c r="M157">
        <v>292</v>
      </c>
      <c r="N157">
        <v>1100</v>
      </c>
      <c r="O157">
        <v>2601</v>
      </c>
    </row>
    <row r="158" spans="1:15" x14ac:dyDescent="0.3">
      <c r="A158">
        <v>2022484408</v>
      </c>
      <c r="B158" s="1">
        <v>42474</v>
      </c>
      <c r="C158">
        <v>10690</v>
      </c>
      <c r="D158">
        <v>7.5</v>
      </c>
      <c r="E158">
        <v>7.5</v>
      </c>
      <c r="F158">
        <v>0</v>
      </c>
      <c r="G158">
        <v>2.4800000190734899</v>
      </c>
      <c r="H158">
        <v>0.20999999344348899</v>
      </c>
      <c r="I158">
        <v>4.8200001716613796</v>
      </c>
      <c r="J158">
        <v>0</v>
      </c>
      <c r="K158">
        <v>32</v>
      </c>
      <c r="L158">
        <v>3</v>
      </c>
      <c r="M158">
        <v>257</v>
      </c>
      <c r="N158">
        <v>1148</v>
      </c>
      <c r="O158">
        <v>2312</v>
      </c>
    </row>
    <row r="159" spans="1:15" x14ac:dyDescent="0.3">
      <c r="A159">
        <v>2022484408</v>
      </c>
      <c r="B159" s="1">
        <v>42475</v>
      </c>
      <c r="C159">
        <v>11034</v>
      </c>
      <c r="D159">
        <v>8.0299997329711896</v>
      </c>
      <c r="E159">
        <v>8.0299997329711896</v>
      </c>
      <c r="F159">
        <v>0</v>
      </c>
      <c r="G159">
        <v>1.9400000572204601</v>
      </c>
      <c r="H159">
        <v>0.31000000238418601</v>
      </c>
      <c r="I159">
        <v>5.7800002098083496</v>
      </c>
      <c r="J159">
        <v>0</v>
      </c>
      <c r="K159">
        <v>27</v>
      </c>
      <c r="L159">
        <v>9</v>
      </c>
      <c r="M159">
        <v>282</v>
      </c>
      <c r="N159">
        <v>1122</v>
      </c>
      <c r="O159">
        <v>2525</v>
      </c>
    </row>
    <row r="160" spans="1:15" x14ac:dyDescent="0.3">
      <c r="A160">
        <v>2022484408</v>
      </c>
      <c r="B160" s="1">
        <v>42476</v>
      </c>
      <c r="C160">
        <v>10100</v>
      </c>
      <c r="D160">
        <v>7.0900001525878897</v>
      </c>
      <c r="E160">
        <v>7.0900001525878897</v>
      </c>
      <c r="F160">
        <v>0</v>
      </c>
      <c r="G160">
        <v>3.1500000953674299</v>
      </c>
      <c r="H160">
        <v>0.55000001192092896</v>
      </c>
      <c r="I160">
        <v>3.3900001049041699</v>
      </c>
      <c r="J160">
        <v>0</v>
      </c>
      <c r="K160">
        <v>41</v>
      </c>
      <c r="L160">
        <v>11</v>
      </c>
      <c r="M160">
        <v>151</v>
      </c>
      <c r="N160">
        <v>1237</v>
      </c>
      <c r="O160">
        <v>2177</v>
      </c>
    </row>
    <row r="161" spans="1:15" x14ac:dyDescent="0.3">
      <c r="A161">
        <v>2022484408</v>
      </c>
      <c r="B161" s="1">
        <v>42477</v>
      </c>
      <c r="C161">
        <v>15112</v>
      </c>
      <c r="D161">
        <v>11.3999996185303</v>
      </c>
      <c r="E161">
        <v>11.3999996185303</v>
      </c>
      <c r="F161">
        <v>0</v>
      </c>
      <c r="G161">
        <v>3.8699998855590798</v>
      </c>
      <c r="H161">
        <v>0.66000002622604403</v>
      </c>
      <c r="I161">
        <v>6.8800001144409197</v>
      </c>
      <c r="J161">
        <v>0</v>
      </c>
      <c r="K161">
        <v>28</v>
      </c>
      <c r="L161">
        <v>29</v>
      </c>
      <c r="M161">
        <v>331</v>
      </c>
      <c r="N161">
        <v>1052</v>
      </c>
      <c r="O161">
        <v>2782</v>
      </c>
    </row>
    <row r="162" spans="1:15" x14ac:dyDescent="0.3">
      <c r="A162">
        <v>2022484408</v>
      </c>
      <c r="B162" s="1">
        <v>42478</v>
      </c>
      <c r="C162">
        <v>14131</v>
      </c>
      <c r="D162">
        <v>10.069999694824199</v>
      </c>
      <c r="E162">
        <v>10.069999694824199</v>
      </c>
      <c r="F162">
        <v>0</v>
      </c>
      <c r="G162">
        <v>3.6400001049041699</v>
      </c>
      <c r="H162">
        <v>0.119999997317791</v>
      </c>
      <c r="I162">
        <v>6.3000001907348597</v>
      </c>
      <c r="J162">
        <v>0</v>
      </c>
      <c r="K162">
        <v>48</v>
      </c>
      <c r="L162">
        <v>3</v>
      </c>
      <c r="M162">
        <v>311</v>
      </c>
      <c r="N162">
        <v>1078</v>
      </c>
      <c r="O162">
        <v>2770</v>
      </c>
    </row>
    <row r="163" spans="1:15" x14ac:dyDescent="0.3">
      <c r="A163">
        <v>2022484408</v>
      </c>
      <c r="B163" s="1">
        <v>42479</v>
      </c>
      <c r="C163">
        <v>11548</v>
      </c>
      <c r="D163">
        <v>8.5299997329711896</v>
      </c>
      <c r="E163">
        <v>8.5299997329711896</v>
      </c>
      <c r="F163">
        <v>0</v>
      </c>
      <c r="G163">
        <v>3.28999996185303</v>
      </c>
      <c r="H163">
        <v>0.239999994635582</v>
      </c>
      <c r="I163">
        <v>5</v>
      </c>
      <c r="J163">
        <v>0</v>
      </c>
      <c r="K163">
        <v>31</v>
      </c>
      <c r="L163">
        <v>7</v>
      </c>
      <c r="M163">
        <v>250</v>
      </c>
      <c r="N163">
        <v>1152</v>
      </c>
      <c r="O163">
        <v>2489</v>
      </c>
    </row>
    <row r="164" spans="1:15" x14ac:dyDescent="0.3">
      <c r="A164">
        <v>2022484408</v>
      </c>
      <c r="B164" s="1">
        <v>42480</v>
      </c>
      <c r="C164">
        <v>15112</v>
      </c>
      <c r="D164">
        <v>10.670000076293899</v>
      </c>
      <c r="E164">
        <v>10.670000076293899</v>
      </c>
      <c r="F164">
        <v>0</v>
      </c>
      <c r="G164">
        <v>3.3399999141693102</v>
      </c>
      <c r="H164">
        <v>1.9299999475479099</v>
      </c>
      <c r="I164">
        <v>5.4000000953674299</v>
      </c>
      <c r="J164">
        <v>0</v>
      </c>
      <c r="K164">
        <v>48</v>
      </c>
      <c r="L164">
        <v>63</v>
      </c>
      <c r="M164">
        <v>276</v>
      </c>
      <c r="N164">
        <v>1053</v>
      </c>
      <c r="O164">
        <v>2897</v>
      </c>
    </row>
    <row r="165" spans="1:15" x14ac:dyDescent="0.3">
      <c r="A165">
        <v>2022484408</v>
      </c>
      <c r="B165" s="1">
        <v>42481</v>
      </c>
      <c r="C165">
        <v>12453</v>
      </c>
      <c r="D165">
        <v>8.7399997711181605</v>
      </c>
      <c r="E165">
        <v>8.7399997711181605</v>
      </c>
      <c r="F165">
        <v>0</v>
      </c>
      <c r="G165">
        <v>3.3299999237060498</v>
      </c>
      <c r="H165">
        <v>1.1100000143051101</v>
      </c>
      <c r="I165">
        <v>4.3099999427795401</v>
      </c>
      <c r="J165">
        <v>0</v>
      </c>
      <c r="K165">
        <v>104</v>
      </c>
      <c r="L165">
        <v>53</v>
      </c>
      <c r="M165">
        <v>255</v>
      </c>
      <c r="N165">
        <v>1028</v>
      </c>
      <c r="O165">
        <v>3158</v>
      </c>
    </row>
    <row r="166" spans="1:15" x14ac:dyDescent="0.3">
      <c r="A166">
        <v>2022484408</v>
      </c>
      <c r="B166" s="1">
        <v>42482</v>
      </c>
      <c r="C166">
        <v>12954</v>
      </c>
      <c r="D166">
        <v>9.3299999237060494</v>
      </c>
      <c r="E166">
        <v>9.3299999237060494</v>
      </c>
      <c r="F166">
        <v>0</v>
      </c>
      <c r="G166">
        <v>4.4299998283386204</v>
      </c>
      <c r="H166">
        <v>0.41999998688697798</v>
      </c>
      <c r="I166">
        <v>4.4699997901916504</v>
      </c>
      <c r="J166">
        <v>0</v>
      </c>
      <c r="K166">
        <v>52</v>
      </c>
      <c r="L166">
        <v>10</v>
      </c>
      <c r="M166">
        <v>273</v>
      </c>
      <c r="N166">
        <v>1105</v>
      </c>
      <c r="O166">
        <v>2638</v>
      </c>
    </row>
    <row r="167" spans="1:15" x14ac:dyDescent="0.3">
      <c r="A167">
        <v>2022484408</v>
      </c>
      <c r="B167" s="1">
        <v>42483</v>
      </c>
      <c r="C167">
        <v>6001</v>
      </c>
      <c r="D167">
        <v>4.21000003814697</v>
      </c>
      <c r="E167">
        <v>4.21000003814697</v>
      </c>
      <c r="F167">
        <v>0</v>
      </c>
      <c r="G167">
        <v>0</v>
      </c>
      <c r="H167">
        <v>0</v>
      </c>
      <c r="I167">
        <v>4.21000003814697</v>
      </c>
      <c r="J167">
        <v>0</v>
      </c>
      <c r="K167">
        <v>0</v>
      </c>
      <c r="L167">
        <v>0</v>
      </c>
      <c r="M167">
        <v>249</v>
      </c>
      <c r="N167">
        <v>1191</v>
      </c>
      <c r="O167">
        <v>2069</v>
      </c>
    </row>
    <row r="168" spans="1:15" x14ac:dyDescent="0.3">
      <c r="A168">
        <v>2022484408</v>
      </c>
      <c r="B168" s="1">
        <v>42484</v>
      </c>
      <c r="C168">
        <v>13481</v>
      </c>
      <c r="D168">
        <v>10.2799997329712</v>
      </c>
      <c r="E168">
        <v>10.2799997329712</v>
      </c>
      <c r="F168">
        <v>0</v>
      </c>
      <c r="G168">
        <v>4.5500001907348597</v>
      </c>
      <c r="H168">
        <v>1.1499999761581401</v>
      </c>
      <c r="I168">
        <v>4.5799999237060502</v>
      </c>
      <c r="J168">
        <v>0</v>
      </c>
      <c r="K168">
        <v>37</v>
      </c>
      <c r="L168">
        <v>26</v>
      </c>
      <c r="M168">
        <v>216</v>
      </c>
      <c r="N168">
        <v>1161</v>
      </c>
      <c r="O168">
        <v>2529</v>
      </c>
    </row>
    <row r="169" spans="1:15" x14ac:dyDescent="0.3">
      <c r="A169">
        <v>2022484408</v>
      </c>
      <c r="B169" s="1">
        <v>42485</v>
      </c>
      <c r="C169">
        <v>11369</v>
      </c>
      <c r="D169">
        <v>8.0100002288818395</v>
      </c>
      <c r="E169">
        <v>8.0100002288818395</v>
      </c>
      <c r="F169">
        <v>0</v>
      </c>
      <c r="G169">
        <v>3.3299999237060498</v>
      </c>
      <c r="H169">
        <v>0.21999999880790699</v>
      </c>
      <c r="I169">
        <v>4.46000003814697</v>
      </c>
      <c r="J169">
        <v>0</v>
      </c>
      <c r="K169">
        <v>44</v>
      </c>
      <c r="L169">
        <v>8</v>
      </c>
      <c r="M169">
        <v>217</v>
      </c>
      <c r="N169">
        <v>1171</v>
      </c>
      <c r="O169">
        <v>2470</v>
      </c>
    </row>
    <row r="170" spans="1:15" x14ac:dyDescent="0.3">
      <c r="A170">
        <v>2022484408</v>
      </c>
      <c r="B170" s="1">
        <v>42486</v>
      </c>
      <c r="C170">
        <v>10119</v>
      </c>
      <c r="D170">
        <v>7.1900000572204599</v>
      </c>
      <c r="E170">
        <v>7.1900000572204599</v>
      </c>
      <c r="F170">
        <v>0</v>
      </c>
      <c r="G170">
        <v>1.4299999475479099</v>
      </c>
      <c r="H170">
        <v>0.66000002622604403</v>
      </c>
      <c r="I170">
        <v>5.1100001335143999</v>
      </c>
      <c r="J170">
        <v>0</v>
      </c>
      <c r="K170">
        <v>55</v>
      </c>
      <c r="L170">
        <v>24</v>
      </c>
      <c r="M170">
        <v>275</v>
      </c>
      <c r="N170">
        <v>1086</v>
      </c>
      <c r="O170">
        <v>2793</v>
      </c>
    </row>
    <row r="171" spans="1:15" x14ac:dyDescent="0.3">
      <c r="A171">
        <v>2022484408</v>
      </c>
      <c r="B171" s="1">
        <v>42487</v>
      </c>
      <c r="C171">
        <v>10159</v>
      </c>
      <c r="D171">
        <v>7.1300001144409197</v>
      </c>
      <c r="E171">
        <v>7.1300001144409197</v>
      </c>
      <c r="F171">
        <v>0</v>
      </c>
      <c r="G171">
        <v>1.03999996185303</v>
      </c>
      <c r="H171">
        <v>0.97000002861022905</v>
      </c>
      <c r="I171">
        <v>5.1199998855590803</v>
      </c>
      <c r="J171">
        <v>0</v>
      </c>
      <c r="K171">
        <v>19</v>
      </c>
      <c r="L171">
        <v>20</v>
      </c>
      <c r="M171">
        <v>282</v>
      </c>
      <c r="N171">
        <v>1119</v>
      </c>
      <c r="O171">
        <v>2463</v>
      </c>
    </row>
    <row r="172" spans="1:15" x14ac:dyDescent="0.3">
      <c r="A172">
        <v>2022484408</v>
      </c>
      <c r="B172" s="1">
        <v>42488</v>
      </c>
      <c r="C172">
        <v>10140</v>
      </c>
      <c r="D172">
        <v>7.1199998855590803</v>
      </c>
      <c r="E172">
        <v>7.1199998855590803</v>
      </c>
      <c r="F172">
        <v>0</v>
      </c>
      <c r="G172">
        <v>0.40999999642372098</v>
      </c>
      <c r="H172">
        <v>1.33000004291534</v>
      </c>
      <c r="I172">
        <v>5.3899998664856001</v>
      </c>
      <c r="J172">
        <v>0</v>
      </c>
      <c r="K172">
        <v>6</v>
      </c>
      <c r="L172">
        <v>20</v>
      </c>
      <c r="M172">
        <v>291</v>
      </c>
      <c r="N172">
        <v>1123</v>
      </c>
      <c r="O172">
        <v>2296</v>
      </c>
    </row>
    <row r="173" spans="1:15" x14ac:dyDescent="0.3">
      <c r="A173">
        <v>2022484408</v>
      </c>
      <c r="B173" s="1">
        <v>42489</v>
      </c>
      <c r="C173">
        <v>10245</v>
      </c>
      <c r="D173">
        <v>7.1900000572204599</v>
      </c>
      <c r="E173">
        <v>7.1900000572204599</v>
      </c>
      <c r="F173">
        <v>0</v>
      </c>
      <c r="G173">
        <v>0.479999989271164</v>
      </c>
      <c r="H173">
        <v>1.21000003814697</v>
      </c>
      <c r="I173">
        <v>5.5</v>
      </c>
      <c r="J173">
        <v>0</v>
      </c>
      <c r="K173">
        <v>21</v>
      </c>
      <c r="L173">
        <v>40</v>
      </c>
      <c r="M173">
        <v>281</v>
      </c>
      <c r="N173">
        <v>1098</v>
      </c>
      <c r="O173">
        <v>2611</v>
      </c>
    </row>
    <row r="174" spans="1:15" x14ac:dyDescent="0.3">
      <c r="A174">
        <v>2022484408</v>
      </c>
      <c r="B174" s="1">
        <v>42490</v>
      </c>
      <c r="C174">
        <v>18387</v>
      </c>
      <c r="D174">
        <v>12.9099998474121</v>
      </c>
      <c r="E174">
        <v>12.9099998474121</v>
      </c>
      <c r="F174">
        <v>0</v>
      </c>
      <c r="G174">
        <v>0.93999999761581399</v>
      </c>
      <c r="H174">
        <v>1.3999999761581401</v>
      </c>
      <c r="I174">
        <v>10.569999694824199</v>
      </c>
      <c r="J174">
        <v>0</v>
      </c>
      <c r="K174">
        <v>13</v>
      </c>
      <c r="L174">
        <v>23</v>
      </c>
      <c r="M174">
        <v>361</v>
      </c>
      <c r="N174">
        <v>1043</v>
      </c>
      <c r="O174">
        <v>2732</v>
      </c>
    </row>
    <row r="175" spans="1:15" x14ac:dyDescent="0.3">
      <c r="A175">
        <v>2022484408</v>
      </c>
      <c r="B175" s="1">
        <v>42491</v>
      </c>
      <c r="C175">
        <v>10538</v>
      </c>
      <c r="D175">
        <v>7.4000000953674299</v>
      </c>
      <c r="E175">
        <v>7.4000000953674299</v>
      </c>
      <c r="F175">
        <v>0</v>
      </c>
      <c r="G175">
        <v>1.9400000572204601</v>
      </c>
      <c r="H175">
        <v>0.95999997854232799</v>
      </c>
      <c r="I175">
        <v>4.5</v>
      </c>
      <c r="J175">
        <v>0</v>
      </c>
      <c r="K175">
        <v>25</v>
      </c>
      <c r="L175">
        <v>28</v>
      </c>
      <c r="M175">
        <v>245</v>
      </c>
      <c r="N175">
        <v>1142</v>
      </c>
      <c r="O175">
        <v>2380</v>
      </c>
    </row>
    <row r="176" spans="1:15" x14ac:dyDescent="0.3">
      <c r="A176">
        <v>2022484408</v>
      </c>
      <c r="B176" s="1">
        <v>42492</v>
      </c>
      <c r="C176">
        <v>10379</v>
      </c>
      <c r="D176">
        <v>7.28999996185303</v>
      </c>
      <c r="E176">
        <v>7.28999996185303</v>
      </c>
      <c r="F176">
        <v>0</v>
      </c>
      <c r="G176">
        <v>2.6099998950958301</v>
      </c>
      <c r="H176">
        <v>0.34000000357627902</v>
      </c>
      <c r="I176">
        <v>4.3299999237060502</v>
      </c>
      <c r="J176">
        <v>0</v>
      </c>
      <c r="K176">
        <v>36</v>
      </c>
      <c r="L176">
        <v>8</v>
      </c>
      <c r="M176">
        <v>277</v>
      </c>
      <c r="N176">
        <v>1119</v>
      </c>
      <c r="O176">
        <v>2473</v>
      </c>
    </row>
    <row r="177" spans="1:15" x14ac:dyDescent="0.3">
      <c r="A177">
        <v>2022484408</v>
      </c>
      <c r="B177" s="1">
        <v>42493</v>
      </c>
      <c r="C177">
        <v>12183</v>
      </c>
      <c r="D177">
        <v>8.7399997711181605</v>
      </c>
      <c r="E177">
        <v>8.7399997711181605</v>
      </c>
      <c r="F177">
        <v>0</v>
      </c>
      <c r="G177">
        <v>3.9900000095367401</v>
      </c>
      <c r="H177">
        <v>0.46000000834464999</v>
      </c>
      <c r="I177">
        <v>4.2800002098083496</v>
      </c>
      <c r="J177">
        <v>0</v>
      </c>
      <c r="K177">
        <v>72</v>
      </c>
      <c r="L177">
        <v>14</v>
      </c>
      <c r="M177">
        <v>250</v>
      </c>
      <c r="N177">
        <v>1104</v>
      </c>
      <c r="O177">
        <v>2752</v>
      </c>
    </row>
    <row r="178" spans="1:15" x14ac:dyDescent="0.3">
      <c r="A178">
        <v>2022484408</v>
      </c>
      <c r="B178" s="1">
        <v>42494</v>
      </c>
      <c r="C178">
        <v>11768</v>
      </c>
      <c r="D178">
        <v>8.2899999618530291</v>
      </c>
      <c r="E178">
        <v>8.2899999618530291</v>
      </c>
      <c r="F178">
        <v>0</v>
      </c>
      <c r="G178">
        <v>2.5099999904632599</v>
      </c>
      <c r="H178">
        <v>0.93000000715255704</v>
      </c>
      <c r="I178">
        <v>4.8499999046325701</v>
      </c>
      <c r="J178">
        <v>0</v>
      </c>
      <c r="K178">
        <v>36</v>
      </c>
      <c r="L178">
        <v>27</v>
      </c>
      <c r="M178">
        <v>272</v>
      </c>
      <c r="N178">
        <v>1105</v>
      </c>
      <c r="O178">
        <v>2649</v>
      </c>
    </row>
    <row r="179" spans="1:15" x14ac:dyDescent="0.3">
      <c r="A179">
        <v>2022484408</v>
      </c>
      <c r="B179" s="1">
        <v>42495</v>
      </c>
      <c r="C179">
        <v>11895</v>
      </c>
      <c r="D179">
        <v>8.3500003814697301</v>
      </c>
      <c r="E179">
        <v>8.3500003814697301</v>
      </c>
      <c r="F179">
        <v>0</v>
      </c>
      <c r="G179">
        <v>2.78999996185303</v>
      </c>
      <c r="H179">
        <v>0.86000001430511497</v>
      </c>
      <c r="I179">
        <v>4.6999998092651403</v>
      </c>
      <c r="J179">
        <v>0</v>
      </c>
      <c r="K179">
        <v>55</v>
      </c>
      <c r="L179">
        <v>20</v>
      </c>
      <c r="M179">
        <v>253</v>
      </c>
      <c r="N179">
        <v>1112</v>
      </c>
      <c r="O179">
        <v>2609</v>
      </c>
    </row>
    <row r="180" spans="1:15" x14ac:dyDescent="0.3">
      <c r="A180">
        <v>2022484408</v>
      </c>
      <c r="B180" s="1">
        <v>42496</v>
      </c>
      <c r="C180">
        <v>10227</v>
      </c>
      <c r="D180">
        <v>7.1799998283386204</v>
      </c>
      <c r="E180">
        <v>7.1799998283386204</v>
      </c>
      <c r="F180">
        <v>0</v>
      </c>
      <c r="G180">
        <v>1.87000000476837</v>
      </c>
      <c r="H180">
        <v>0.67000001668930098</v>
      </c>
      <c r="I180">
        <v>4.6399998664856001</v>
      </c>
      <c r="J180">
        <v>0</v>
      </c>
      <c r="K180">
        <v>24</v>
      </c>
      <c r="L180">
        <v>17</v>
      </c>
      <c r="M180">
        <v>295</v>
      </c>
      <c r="N180">
        <v>1104</v>
      </c>
      <c r="O180">
        <v>2498</v>
      </c>
    </row>
    <row r="181" spans="1:15" x14ac:dyDescent="0.3">
      <c r="A181">
        <v>2022484408</v>
      </c>
      <c r="B181" s="1">
        <v>42497</v>
      </c>
      <c r="C181">
        <v>6708</v>
      </c>
      <c r="D181">
        <v>4.71000003814697</v>
      </c>
      <c r="E181">
        <v>4.71000003814697</v>
      </c>
      <c r="F181">
        <v>0</v>
      </c>
      <c r="G181">
        <v>1.6100000143051101</v>
      </c>
      <c r="H181">
        <v>7.9999998211860698E-2</v>
      </c>
      <c r="I181">
        <v>3.0199999809265101</v>
      </c>
      <c r="J181">
        <v>0</v>
      </c>
      <c r="K181">
        <v>20</v>
      </c>
      <c r="L181">
        <v>2</v>
      </c>
      <c r="M181">
        <v>149</v>
      </c>
      <c r="N181">
        <v>1269</v>
      </c>
      <c r="O181">
        <v>1995</v>
      </c>
    </row>
    <row r="182" spans="1:15" x14ac:dyDescent="0.3">
      <c r="A182">
        <v>2022484408</v>
      </c>
      <c r="B182" s="1">
        <v>42498</v>
      </c>
      <c r="C182">
        <v>3292</v>
      </c>
      <c r="D182">
        <v>2.3099999427795401</v>
      </c>
      <c r="E182">
        <v>2.3099999427795401</v>
      </c>
      <c r="F182">
        <v>0</v>
      </c>
      <c r="G182">
        <v>0</v>
      </c>
      <c r="H182">
        <v>0</v>
      </c>
      <c r="I182">
        <v>2.3099999427795401</v>
      </c>
      <c r="J182">
        <v>0</v>
      </c>
      <c r="K182">
        <v>0</v>
      </c>
      <c r="L182">
        <v>0</v>
      </c>
      <c r="M182">
        <v>135</v>
      </c>
      <c r="N182">
        <v>1305</v>
      </c>
      <c r="O182">
        <v>1848</v>
      </c>
    </row>
    <row r="183" spans="1:15" x14ac:dyDescent="0.3">
      <c r="A183">
        <v>2022484408</v>
      </c>
      <c r="B183" s="1">
        <v>42499</v>
      </c>
      <c r="C183">
        <v>13379</v>
      </c>
      <c r="D183">
        <v>9.3900003433227504</v>
      </c>
      <c r="E183">
        <v>9.3900003433227504</v>
      </c>
      <c r="F183">
        <v>0</v>
      </c>
      <c r="G183">
        <v>2.1199998855590798</v>
      </c>
      <c r="H183">
        <v>1.62999999523163</v>
      </c>
      <c r="I183">
        <v>5.6399998664856001</v>
      </c>
      <c r="J183">
        <v>0</v>
      </c>
      <c r="K183">
        <v>35</v>
      </c>
      <c r="L183">
        <v>47</v>
      </c>
      <c r="M183">
        <v>297</v>
      </c>
      <c r="N183">
        <v>1061</v>
      </c>
      <c r="O183">
        <v>2709</v>
      </c>
    </row>
    <row r="184" spans="1:15" x14ac:dyDescent="0.3">
      <c r="A184">
        <v>2022484408</v>
      </c>
      <c r="B184" s="1">
        <v>42500</v>
      </c>
      <c r="C184">
        <v>12798</v>
      </c>
      <c r="D184">
        <v>8.9799995422363299</v>
      </c>
      <c r="E184">
        <v>8.9799995422363299</v>
      </c>
      <c r="F184">
        <v>0</v>
      </c>
      <c r="G184">
        <v>2.2200000286102299</v>
      </c>
      <c r="H184">
        <v>1.21000003814697</v>
      </c>
      <c r="I184">
        <v>5.5599999427795401</v>
      </c>
      <c r="J184">
        <v>0</v>
      </c>
      <c r="K184">
        <v>57</v>
      </c>
      <c r="L184">
        <v>28</v>
      </c>
      <c r="M184">
        <v>271</v>
      </c>
      <c r="N184">
        <v>1084</v>
      </c>
      <c r="O184">
        <v>2797</v>
      </c>
    </row>
    <row r="185" spans="1:15" x14ac:dyDescent="0.3">
      <c r="A185">
        <v>2022484408</v>
      </c>
      <c r="B185" s="1">
        <v>42501</v>
      </c>
      <c r="C185">
        <v>13272</v>
      </c>
      <c r="D185">
        <v>9.3199996948242205</v>
      </c>
      <c r="E185">
        <v>9.3199996948242205</v>
      </c>
      <c r="F185">
        <v>0</v>
      </c>
      <c r="G185">
        <v>4.1799998283386204</v>
      </c>
      <c r="H185">
        <v>1.1499999761581401</v>
      </c>
      <c r="I185">
        <v>3.9900000095367401</v>
      </c>
      <c r="J185">
        <v>0</v>
      </c>
      <c r="K185">
        <v>58</v>
      </c>
      <c r="L185">
        <v>25</v>
      </c>
      <c r="M185">
        <v>224</v>
      </c>
      <c r="N185">
        <v>1133</v>
      </c>
      <c r="O185">
        <v>2544</v>
      </c>
    </row>
    <row r="186" spans="1:15" x14ac:dyDescent="0.3">
      <c r="A186">
        <v>2022484408</v>
      </c>
      <c r="B186" s="1">
        <v>42502</v>
      </c>
      <c r="C186">
        <v>9117</v>
      </c>
      <c r="D186">
        <v>6.4099998474121103</v>
      </c>
      <c r="E186">
        <v>6.4099998474121103</v>
      </c>
      <c r="F186">
        <v>0</v>
      </c>
      <c r="G186">
        <v>1.2799999713897701</v>
      </c>
      <c r="H186">
        <v>0.67000001668930098</v>
      </c>
      <c r="I186">
        <v>4.4400000572204599</v>
      </c>
      <c r="J186">
        <v>0</v>
      </c>
      <c r="K186">
        <v>16</v>
      </c>
      <c r="L186">
        <v>16</v>
      </c>
      <c r="M186">
        <v>236</v>
      </c>
      <c r="N186">
        <v>728</v>
      </c>
      <c r="O186">
        <v>1853</v>
      </c>
    </row>
    <row r="187" spans="1:15" x14ac:dyDescent="0.3">
      <c r="A187">
        <v>2026352035</v>
      </c>
      <c r="B187" s="1">
        <v>42472</v>
      </c>
      <c r="C187">
        <v>4414</v>
      </c>
      <c r="D187">
        <v>2.7400000095367401</v>
      </c>
      <c r="E187">
        <v>2.7400000095367401</v>
      </c>
      <c r="F187">
        <v>0</v>
      </c>
      <c r="G187">
        <v>0.18999999761581399</v>
      </c>
      <c r="H187">
        <v>0.34999999403953602</v>
      </c>
      <c r="I187">
        <v>2.2000000476837198</v>
      </c>
      <c r="J187">
        <v>0</v>
      </c>
      <c r="K187">
        <v>3</v>
      </c>
      <c r="L187">
        <v>8</v>
      </c>
      <c r="M187">
        <v>181</v>
      </c>
      <c r="N187">
        <v>706</v>
      </c>
      <c r="O187">
        <v>1459</v>
      </c>
    </row>
    <row r="188" spans="1:15" x14ac:dyDescent="0.3">
      <c r="A188">
        <v>2026352035</v>
      </c>
      <c r="B188" s="1">
        <v>42473</v>
      </c>
      <c r="C188">
        <v>4993</v>
      </c>
      <c r="D188">
        <v>3.0999999046325701</v>
      </c>
      <c r="E188">
        <v>3.0999999046325701</v>
      </c>
      <c r="F188">
        <v>0</v>
      </c>
      <c r="G188">
        <v>0</v>
      </c>
      <c r="H188">
        <v>0</v>
      </c>
      <c r="I188">
        <v>3.0999999046325701</v>
      </c>
      <c r="J188">
        <v>0</v>
      </c>
      <c r="K188">
        <v>0</v>
      </c>
      <c r="L188">
        <v>0</v>
      </c>
      <c r="M188">
        <v>238</v>
      </c>
      <c r="N188">
        <v>663</v>
      </c>
      <c r="O188">
        <v>1521</v>
      </c>
    </row>
    <row r="189" spans="1:15" x14ac:dyDescent="0.3">
      <c r="A189">
        <v>2026352035</v>
      </c>
      <c r="B189" s="1">
        <v>42474</v>
      </c>
      <c r="C189">
        <v>3335</v>
      </c>
      <c r="D189">
        <v>2.0699999332428001</v>
      </c>
      <c r="E189">
        <v>2.0699999332428001</v>
      </c>
      <c r="F189">
        <v>0</v>
      </c>
      <c r="G189">
        <v>0</v>
      </c>
      <c r="H189">
        <v>0</v>
      </c>
      <c r="I189">
        <v>2.0499999523162802</v>
      </c>
      <c r="J189">
        <v>0</v>
      </c>
      <c r="K189">
        <v>0</v>
      </c>
      <c r="L189">
        <v>0</v>
      </c>
      <c r="M189">
        <v>197</v>
      </c>
      <c r="N189">
        <v>653</v>
      </c>
      <c r="O189">
        <v>1431</v>
      </c>
    </row>
    <row r="190" spans="1:15" x14ac:dyDescent="0.3">
      <c r="A190">
        <v>2026352035</v>
      </c>
      <c r="B190" s="1">
        <v>42475</v>
      </c>
      <c r="C190">
        <v>3821</v>
      </c>
      <c r="D190">
        <v>2.3699998855590798</v>
      </c>
      <c r="E190">
        <v>2.3699998855590798</v>
      </c>
      <c r="F190">
        <v>0</v>
      </c>
      <c r="G190">
        <v>0</v>
      </c>
      <c r="H190">
        <v>0</v>
      </c>
      <c r="I190">
        <v>2.3699998855590798</v>
      </c>
      <c r="J190">
        <v>0</v>
      </c>
      <c r="K190">
        <v>0</v>
      </c>
      <c r="L190">
        <v>0</v>
      </c>
      <c r="M190">
        <v>188</v>
      </c>
      <c r="N190">
        <v>687</v>
      </c>
      <c r="O190">
        <v>1444</v>
      </c>
    </row>
    <row r="191" spans="1:15" x14ac:dyDescent="0.3">
      <c r="A191">
        <v>2026352035</v>
      </c>
      <c r="B191" s="1">
        <v>42476</v>
      </c>
      <c r="C191">
        <v>2547</v>
      </c>
      <c r="D191">
        <v>1.58000004291534</v>
      </c>
      <c r="E191">
        <v>1.58000004291534</v>
      </c>
      <c r="F191">
        <v>0</v>
      </c>
      <c r="G191">
        <v>0</v>
      </c>
      <c r="H191">
        <v>0</v>
      </c>
      <c r="I191">
        <v>1.58000004291534</v>
      </c>
      <c r="J191">
        <v>0</v>
      </c>
      <c r="K191">
        <v>0</v>
      </c>
      <c r="L191">
        <v>0</v>
      </c>
      <c r="M191">
        <v>150</v>
      </c>
      <c r="N191">
        <v>728</v>
      </c>
      <c r="O191">
        <v>1373</v>
      </c>
    </row>
    <row r="192" spans="1:15" x14ac:dyDescent="0.3">
      <c r="A192">
        <v>2026352035</v>
      </c>
      <c r="B192" s="1">
        <v>42477</v>
      </c>
      <c r="C192">
        <v>838</v>
      </c>
      <c r="D192">
        <v>0.519999980926514</v>
      </c>
      <c r="E192">
        <v>0.519999980926514</v>
      </c>
      <c r="F192">
        <v>0</v>
      </c>
      <c r="G192">
        <v>0</v>
      </c>
      <c r="H192">
        <v>0</v>
      </c>
      <c r="I192">
        <v>0.519999980926514</v>
      </c>
      <c r="J192">
        <v>0</v>
      </c>
      <c r="K192">
        <v>0</v>
      </c>
      <c r="L192">
        <v>0</v>
      </c>
      <c r="M192">
        <v>60</v>
      </c>
      <c r="N192">
        <v>1053</v>
      </c>
      <c r="O192">
        <v>1214</v>
      </c>
    </row>
    <row r="193" spans="1:15" x14ac:dyDescent="0.3">
      <c r="A193">
        <v>2026352035</v>
      </c>
      <c r="B193" s="1">
        <v>42478</v>
      </c>
      <c r="C193">
        <v>3325</v>
      </c>
      <c r="D193">
        <v>2.0599999427795401</v>
      </c>
      <c r="E193">
        <v>2.0599999427795401</v>
      </c>
      <c r="F193">
        <v>0</v>
      </c>
      <c r="G193">
        <v>0</v>
      </c>
      <c r="H193">
        <v>0</v>
      </c>
      <c r="I193">
        <v>2.0599999427795401</v>
      </c>
      <c r="J193">
        <v>0</v>
      </c>
      <c r="K193">
        <v>0</v>
      </c>
      <c r="L193">
        <v>0</v>
      </c>
      <c r="M193">
        <v>182</v>
      </c>
      <c r="N193">
        <v>1062</v>
      </c>
      <c r="O193">
        <v>1419</v>
      </c>
    </row>
    <row r="194" spans="1:15" x14ac:dyDescent="0.3">
      <c r="A194">
        <v>2026352035</v>
      </c>
      <c r="B194" s="1">
        <v>42479</v>
      </c>
      <c r="C194">
        <v>2424</v>
      </c>
      <c r="D194">
        <v>1.5</v>
      </c>
      <c r="E194">
        <v>1.5</v>
      </c>
      <c r="F194">
        <v>0</v>
      </c>
      <c r="G194">
        <v>0</v>
      </c>
      <c r="H194">
        <v>0</v>
      </c>
      <c r="I194">
        <v>1.5</v>
      </c>
      <c r="J194">
        <v>0</v>
      </c>
      <c r="K194">
        <v>0</v>
      </c>
      <c r="L194">
        <v>0</v>
      </c>
      <c r="M194">
        <v>141</v>
      </c>
      <c r="N194">
        <v>785</v>
      </c>
      <c r="O194">
        <v>1356</v>
      </c>
    </row>
    <row r="195" spans="1:15" x14ac:dyDescent="0.3">
      <c r="A195">
        <v>2026352035</v>
      </c>
      <c r="B195" s="1">
        <v>42480</v>
      </c>
      <c r="C195">
        <v>7222</v>
      </c>
      <c r="D195">
        <v>4.4800000190734899</v>
      </c>
      <c r="E195">
        <v>4.4800000190734899</v>
      </c>
      <c r="F195">
        <v>0</v>
      </c>
      <c r="G195">
        <v>0</v>
      </c>
      <c r="H195">
        <v>0</v>
      </c>
      <c r="I195">
        <v>4.4800000190734899</v>
      </c>
      <c r="J195">
        <v>0</v>
      </c>
      <c r="K195">
        <v>0</v>
      </c>
      <c r="L195">
        <v>0</v>
      </c>
      <c r="M195">
        <v>327</v>
      </c>
      <c r="N195">
        <v>623</v>
      </c>
      <c r="O195">
        <v>1667</v>
      </c>
    </row>
    <row r="196" spans="1:15" x14ac:dyDescent="0.3">
      <c r="A196">
        <v>2026352035</v>
      </c>
      <c r="B196" s="1">
        <v>42481</v>
      </c>
      <c r="C196">
        <v>2467</v>
      </c>
      <c r="D196">
        <v>1.5299999713897701</v>
      </c>
      <c r="E196">
        <v>1.5299999713897701</v>
      </c>
      <c r="F196">
        <v>0</v>
      </c>
      <c r="G196">
        <v>0</v>
      </c>
      <c r="H196">
        <v>0</v>
      </c>
      <c r="I196">
        <v>1.5299999713897701</v>
      </c>
      <c r="J196">
        <v>0</v>
      </c>
      <c r="K196">
        <v>0</v>
      </c>
      <c r="L196">
        <v>0</v>
      </c>
      <c r="M196">
        <v>153</v>
      </c>
      <c r="N196">
        <v>749</v>
      </c>
      <c r="O196">
        <v>1370</v>
      </c>
    </row>
    <row r="197" spans="1:15" x14ac:dyDescent="0.3">
      <c r="A197">
        <v>2026352035</v>
      </c>
      <c r="B197" s="1">
        <v>42482</v>
      </c>
      <c r="C197">
        <v>2915</v>
      </c>
      <c r="D197">
        <v>1.8099999427795399</v>
      </c>
      <c r="E197">
        <v>1.8099999427795399</v>
      </c>
      <c r="F197">
        <v>0</v>
      </c>
      <c r="G197">
        <v>0</v>
      </c>
      <c r="H197">
        <v>0</v>
      </c>
      <c r="I197">
        <v>1.8099999427795399</v>
      </c>
      <c r="J197">
        <v>0</v>
      </c>
      <c r="K197">
        <v>0</v>
      </c>
      <c r="L197">
        <v>0</v>
      </c>
      <c r="M197">
        <v>162</v>
      </c>
      <c r="N197">
        <v>712</v>
      </c>
      <c r="O197">
        <v>1399</v>
      </c>
    </row>
    <row r="198" spans="1:15" x14ac:dyDescent="0.3">
      <c r="A198">
        <v>2026352035</v>
      </c>
      <c r="B198" s="1">
        <v>42483</v>
      </c>
      <c r="C198">
        <v>12357</v>
      </c>
      <c r="D198">
        <v>7.71000003814697</v>
      </c>
      <c r="E198">
        <v>7.71000003814697</v>
      </c>
      <c r="F198">
        <v>0</v>
      </c>
      <c r="G198">
        <v>0</v>
      </c>
      <c r="H198">
        <v>0</v>
      </c>
      <c r="I198">
        <v>7.71000003814697</v>
      </c>
      <c r="J198">
        <v>0</v>
      </c>
      <c r="K198">
        <v>0</v>
      </c>
      <c r="L198">
        <v>0</v>
      </c>
      <c r="M198">
        <v>432</v>
      </c>
      <c r="N198">
        <v>458</v>
      </c>
      <c r="O198">
        <v>1916</v>
      </c>
    </row>
    <row r="199" spans="1:15" x14ac:dyDescent="0.3">
      <c r="A199">
        <v>2026352035</v>
      </c>
      <c r="B199" s="1">
        <v>42484</v>
      </c>
      <c r="C199">
        <v>3490</v>
      </c>
      <c r="D199">
        <v>2.1600000858306898</v>
      </c>
      <c r="E199">
        <v>2.1600000858306898</v>
      </c>
      <c r="F199">
        <v>0</v>
      </c>
      <c r="G199">
        <v>0</v>
      </c>
      <c r="H199">
        <v>0</v>
      </c>
      <c r="I199">
        <v>2.1600000858306898</v>
      </c>
      <c r="J199">
        <v>0</v>
      </c>
      <c r="K199">
        <v>0</v>
      </c>
      <c r="L199">
        <v>0</v>
      </c>
      <c r="M199">
        <v>164</v>
      </c>
      <c r="N199">
        <v>704</v>
      </c>
      <c r="O199">
        <v>1401</v>
      </c>
    </row>
    <row r="200" spans="1:15" x14ac:dyDescent="0.3">
      <c r="A200">
        <v>2026352035</v>
      </c>
      <c r="B200" s="1">
        <v>42485</v>
      </c>
      <c r="C200">
        <v>6017</v>
      </c>
      <c r="D200">
        <v>3.7300000190734899</v>
      </c>
      <c r="E200">
        <v>3.7300000190734899</v>
      </c>
      <c r="F200">
        <v>0</v>
      </c>
      <c r="G200">
        <v>0</v>
      </c>
      <c r="H200">
        <v>0</v>
      </c>
      <c r="I200">
        <v>3.7300000190734899</v>
      </c>
      <c r="J200">
        <v>0</v>
      </c>
      <c r="K200">
        <v>0</v>
      </c>
      <c r="L200">
        <v>0</v>
      </c>
      <c r="M200">
        <v>260</v>
      </c>
      <c r="N200">
        <v>821</v>
      </c>
      <c r="O200">
        <v>1576</v>
      </c>
    </row>
    <row r="201" spans="1:15" x14ac:dyDescent="0.3">
      <c r="A201">
        <v>2026352035</v>
      </c>
      <c r="B201" s="1">
        <v>42486</v>
      </c>
      <c r="C201">
        <v>5933</v>
      </c>
      <c r="D201">
        <v>3.6800000667571999</v>
      </c>
      <c r="E201">
        <v>3.6800000667571999</v>
      </c>
      <c r="F201">
        <v>0</v>
      </c>
      <c r="G201">
        <v>0</v>
      </c>
      <c r="H201">
        <v>0</v>
      </c>
      <c r="I201">
        <v>3.6800000667571999</v>
      </c>
      <c r="J201">
        <v>0</v>
      </c>
      <c r="K201">
        <v>0</v>
      </c>
      <c r="L201">
        <v>0</v>
      </c>
      <c r="M201">
        <v>288</v>
      </c>
      <c r="N201">
        <v>1018</v>
      </c>
      <c r="O201">
        <v>1595</v>
      </c>
    </row>
    <row r="202" spans="1:15" x14ac:dyDescent="0.3">
      <c r="A202">
        <v>2026352035</v>
      </c>
      <c r="B202" s="1">
        <v>42487</v>
      </c>
      <c r="C202">
        <v>6088</v>
      </c>
      <c r="D202">
        <v>3.7699999809265101</v>
      </c>
      <c r="E202">
        <v>3.7699999809265101</v>
      </c>
      <c r="F202">
        <v>0</v>
      </c>
      <c r="G202">
        <v>0</v>
      </c>
      <c r="H202">
        <v>0</v>
      </c>
      <c r="I202">
        <v>3.7699999809265101</v>
      </c>
      <c r="J202">
        <v>0</v>
      </c>
      <c r="K202">
        <v>0</v>
      </c>
      <c r="L202">
        <v>0</v>
      </c>
      <c r="M202">
        <v>286</v>
      </c>
      <c r="N202">
        <v>586</v>
      </c>
      <c r="O202">
        <v>1593</v>
      </c>
    </row>
    <row r="203" spans="1:15" x14ac:dyDescent="0.3">
      <c r="A203">
        <v>2026352035</v>
      </c>
      <c r="B203" s="1">
        <v>42488</v>
      </c>
      <c r="C203">
        <v>6375</v>
      </c>
      <c r="D203">
        <v>3.9500000476837198</v>
      </c>
      <c r="E203">
        <v>3.9500000476837198</v>
      </c>
      <c r="F203">
        <v>0</v>
      </c>
      <c r="G203">
        <v>0</v>
      </c>
      <c r="H203">
        <v>0</v>
      </c>
      <c r="I203">
        <v>3.9500000476837198</v>
      </c>
      <c r="J203">
        <v>0</v>
      </c>
      <c r="K203">
        <v>0</v>
      </c>
      <c r="L203">
        <v>0</v>
      </c>
      <c r="M203">
        <v>331</v>
      </c>
      <c r="N203">
        <v>626</v>
      </c>
      <c r="O203">
        <v>1649</v>
      </c>
    </row>
    <row r="204" spans="1:15" x14ac:dyDescent="0.3">
      <c r="A204">
        <v>2026352035</v>
      </c>
      <c r="B204" s="1">
        <v>42489</v>
      </c>
      <c r="C204">
        <v>7604</v>
      </c>
      <c r="D204">
        <v>4.71000003814697</v>
      </c>
      <c r="E204">
        <v>4.71000003814697</v>
      </c>
      <c r="F204">
        <v>0</v>
      </c>
      <c r="G204">
        <v>0</v>
      </c>
      <c r="H204">
        <v>0</v>
      </c>
      <c r="I204">
        <v>4.71000003814697</v>
      </c>
      <c r="J204">
        <v>0</v>
      </c>
      <c r="K204">
        <v>0</v>
      </c>
      <c r="L204">
        <v>0</v>
      </c>
      <c r="M204">
        <v>352</v>
      </c>
      <c r="N204">
        <v>492</v>
      </c>
      <c r="O204">
        <v>1692</v>
      </c>
    </row>
    <row r="205" spans="1:15" x14ac:dyDescent="0.3">
      <c r="A205">
        <v>2026352035</v>
      </c>
      <c r="B205" s="1">
        <v>42490</v>
      </c>
      <c r="C205">
        <v>4729</v>
      </c>
      <c r="D205">
        <v>2.9300000667571999</v>
      </c>
      <c r="E205">
        <v>2.9300000667571999</v>
      </c>
      <c r="F205">
        <v>0</v>
      </c>
      <c r="G205">
        <v>0</v>
      </c>
      <c r="H205">
        <v>0</v>
      </c>
      <c r="I205">
        <v>2.9300000667571999</v>
      </c>
      <c r="J205">
        <v>0</v>
      </c>
      <c r="K205">
        <v>0</v>
      </c>
      <c r="L205">
        <v>0</v>
      </c>
      <c r="M205">
        <v>233</v>
      </c>
      <c r="N205">
        <v>594</v>
      </c>
      <c r="O205">
        <v>1506</v>
      </c>
    </row>
    <row r="206" spans="1:15" x14ac:dyDescent="0.3">
      <c r="A206">
        <v>2026352035</v>
      </c>
      <c r="B206" s="1">
        <v>42491</v>
      </c>
      <c r="C206">
        <v>3609</v>
      </c>
      <c r="D206">
        <v>2.2799999713897701</v>
      </c>
      <c r="E206">
        <v>2.2799999713897701</v>
      </c>
      <c r="F206">
        <v>0</v>
      </c>
      <c r="G206">
        <v>0</v>
      </c>
      <c r="H206">
        <v>0</v>
      </c>
      <c r="I206">
        <v>2.2799999713897701</v>
      </c>
      <c r="J206">
        <v>0</v>
      </c>
      <c r="K206">
        <v>0</v>
      </c>
      <c r="L206">
        <v>0</v>
      </c>
      <c r="M206">
        <v>191</v>
      </c>
      <c r="N206">
        <v>716</v>
      </c>
      <c r="O206">
        <v>1447</v>
      </c>
    </row>
    <row r="207" spans="1:15" x14ac:dyDescent="0.3">
      <c r="A207">
        <v>2026352035</v>
      </c>
      <c r="B207" s="1">
        <v>42492</v>
      </c>
      <c r="C207">
        <v>7018</v>
      </c>
      <c r="D207">
        <v>4.3499999046325701</v>
      </c>
      <c r="E207">
        <v>4.3499999046325701</v>
      </c>
      <c r="F207">
        <v>0</v>
      </c>
      <c r="G207">
        <v>0</v>
      </c>
      <c r="H207">
        <v>0</v>
      </c>
      <c r="I207">
        <v>4.3499999046325701</v>
      </c>
      <c r="J207">
        <v>0</v>
      </c>
      <c r="K207">
        <v>0</v>
      </c>
      <c r="L207">
        <v>0</v>
      </c>
      <c r="M207">
        <v>355</v>
      </c>
      <c r="N207">
        <v>716</v>
      </c>
      <c r="O207">
        <v>1690</v>
      </c>
    </row>
    <row r="208" spans="1:15" x14ac:dyDescent="0.3">
      <c r="A208">
        <v>2026352035</v>
      </c>
      <c r="B208" s="1">
        <v>42493</v>
      </c>
      <c r="C208">
        <v>5992</v>
      </c>
      <c r="D208">
        <v>3.7200000286102299</v>
      </c>
      <c r="E208">
        <v>3.7200000286102299</v>
      </c>
      <c r="F208">
        <v>0</v>
      </c>
      <c r="G208">
        <v>0</v>
      </c>
      <c r="H208">
        <v>0</v>
      </c>
      <c r="I208">
        <v>3.7200000286102299</v>
      </c>
      <c r="J208">
        <v>0</v>
      </c>
      <c r="K208">
        <v>0</v>
      </c>
      <c r="L208">
        <v>0</v>
      </c>
      <c r="M208">
        <v>304</v>
      </c>
      <c r="N208">
        <v>981</v>
      </c>
      <c r="O208">
        <v>1604</v>
      </c>
    </row>
    <row r="209" spans="1:15" x14ac:dyDescent="0.3">
      <c r="A209">
        <v>2026352035</v>
      </c>
      <c r="B209" s="1">
        <v>42494</v>
      </c>
      <c r="C209">
        <v>6564</v>
      </c>
      <c r="D209">
        <v>4.0700001716613796</v>
      </c>
      <c r="E209">
        <v>4.0700001716613796</v>
      </c>
      <c r="F209">
        <v>0</v>
      </c>
      <c r="G209">
        <v>0</v>
      </c>
      <c r="H209">
        <v>0</v>
      </c>
      <c r="I209">
        <v>4.0700001716613796</v>
      </c>
      <c r="J209">
        <v>0</v>
      </c>
      <c r="K209">
        <v>0</v>
      </c>
      <c r="L209">
        <v>0</v>
      </c>
      <c r="M209">
        <v>345</v>
      </c>
      <c r="N209">
        <v>530</v>
      </c>
      <c r="O209">
        <v>1658</v>
      </c>
    </row>
    <row r="210" spans="1:15" x14ac:dyDescent="0.3">
      <c r="A210">
        <v>2026352035</v>
      </c>
      <c r="B210" s="1">
        <v>42495</v>
      </c>
      <c r="C210">
        <v>12167</v>
      </c>
      <c r="D210">
        <v>7.53999996185303</v>
      </c>
      <c r="E210">
        <v>7.53999996185303</v>
      </c>
      <c r="F210">
        <v>0</v>
      </c>
      <c r="G210">
        <v>0</v>
      </c>
      <c r="H210">
        <v>0</v>
      </c>
      <c r="I210">
        <v>7.53999996185303</v>
      </c>
      <c r="J210">
        <v>0</v>
      </c>
      <c r="K210">
        <v>0</v>
      </c>
      <c r="L210">
        <v>0</v>
      </c>
      <c r="M210">
        <v>475</v>
      </c>
      <c r="N210">
        <v>479</v>
      </c>
      <c r="O210">
        <v>1926</v>
      </c>
    </row>
    <row r="211" spans="1:15" x14ac:dyDescent="0.3">
      <c r="A211">
        <v>2026352035</v>
      </c>
      <c r="B211" s="1">
        <v>42496</v>
      </c>
      <c r="C211">
        <v>8198</v>
      </c>
      <c r="D211">
        <v>5.0799999237060502</v>
      </c>
      <c r="E211">
        <v>5.0799999237060502</v>
      </c>
      <c r="F211">
        <v>0</v>
      </c>
      <c r="G211">
        <v>0</v>
      </c>
      <c r="H211">
        <v>0</v>
      </c>
      <c r="I211">
        <v>5.0799999237060502</v>
      </c>
      <c r="J211">
        <v>0</v>
      </c>
      <c r="K211">
        <v>0</v>
      </c>
      <c r="L211">
        <v>0</v>
      </c>
      <c r="M211">
        <v>383</v>
      </c>
      <c r="N211">
        <v>511</v>
      </c>
      <c r="O211">
        <v>1736</v>
      </c>
    </row>
    <row r="212" spans="1:15" x14ac:dyDescent="0.3">
      <c r="A212">
        <v>2026352035</v>
      </c>
      <c r="B212" s="1">
        <v>42497</v>
      </c>
      <c r="C212">
        <v>4193</v>
      </c>
      <c r="D212">
        <v>2.5999999046325701</v>
      </c>
      <c r="E212">
        <v>2.5999999046325701</v>
      </c>
      <c r="F212">
        <v>0</v>
      </c>
      <c r="G212">
        <v>0</v>
      </c>
      <c r="H212">
        <v>0</v>
      </c>
      <c r="I212">
        <v>2.5999999046325701</v>
      </c>
      <c r="J212">
        <v>0</v>
      </c>
      <c r="K212">
        <v>0</v>
      </c>
      <c r="L212">
        <v>0</v>
      </c>
      <c r="M212">
        <v>229</v>
      </c>
      <c r="N212">
        <v>665</v>
      </c>
      <c r="O212">
        <v>1491</v>
      </c>
    </row>
    <row r="213" spans="1:15" x14ac:dyDescent="0.3">
      <c r="A213">
        <v>2026352035</v>
      </c>
      <c r="B213" s="1">
        <v>42498</v>
      </c>
      <c r="C213">
        <v>5528</v>
      </c>
      <c r="D213">
        <v>3.4500000476837198</v>
      </c>
      <c r="E213">
        <v>3.4500000476837198</v>
      </c>
      <c r="F213">
        <v>0</v>
      </c>
      <c r="G213">
        <v>0</v>
      </c>
      <c r="H213">
        <v>0</v>
      </c>
      <c r="I213">
        <v>3.4500000476837198</v>
      </c>
      <c r="J213">
        <v>0</v>
      </c>
      <c r="K213">
        <v>0</v>
      </c>
      <c r="L213">
        <v>0</v>
      </c>
      <c r="M213">
        <v>258</v>
      </c>
      <c r="N213">
        <v>610</v>
      </c>
      <c r="O213">
        <v>1555</v>
      </c>
    </row>
    <row r="214" spans="1:15" x14ac:dyDescent="0.3">
      <c r="A214">
        <v>2026352035</v>
      </c>
      <c r="B214" s="1">
        <v>42499</v>
      </c>
      <c r="C214">
        <v>10685</v>
      </c>
      <c r="D214">
        <v>6.6199998855590803</v>
      </c>
      <c r="E214">
        <v>6.6199998855590803</v>
      </c>
      <c r="F214">
        <v>0</v>
      </c>
      <c r="G214">
        <v>0</v>
      </c>
      <c r="H214">
        <v>0</v>
      </c>
      <c r="I214">
        <v>6.5999999046325701</v>
      </c>
      <c r="J214">
        <v>0</v>
      </c>
      <c r="K214">
        <v>0</v>
      </c>
      <c r="L214">
        <v>0</v>
      </c>
      <c r="M214">
        <v>401</v>
      </c>
      <c r="N214">
        <v>543</v>
      </c>
      <c r="O214">
        <v>1869</v>
      </c>
    </row>
    <row r="215" spans="1:15" x14ac:dyDescent="0.3">
      <c r="A215">
        <v>2026352035</v>
      </c>
      <c r="B215" s="1">
        <v>42500</v>
      </c>
      <c r="C215">
        <v>254</v>
      </c>
      <c r="D215">
        <v>0.15999999642372101</v>
      </c>
      <c r="E215">
        <v>0.15999999642372101</v>
      </c>
      <c r="F215">
        <v>0</v>
      </c>
      <c r="G215">
        <v>0</v>
      </c>
      <c r="H215">
        <v>0</v>
      </c>
      <c r="I215">
        <v>0.15999999642372101</v>
      </c>
      <c r="J215">
        <v>0</v>
      </c>
      <c r="K215">
        <v>0</v>
      </c>
      <c r="L215">
        <v>0</v>
      </c>
      <c r="M215">
        <v>17</v>
      </c>
      <c r="N215">
        <v>1002</v>
      </c>
      <c r="O215">
        <v>1141</v>
      </c>
    </row>
    <row r="216" spans="1:15" x14ac:dyDescent="0.3">
      <c r="A216">
        <v>2026352035</v>
      </c>
      <c r="B216" s="1">
        <v>42501</v>
      </c>
      <c r="C216">
        <v>8580</v>
      </c>
      <c r="D216">
        <v>5.3200001716613796</v>
      </c>
      <c r="E216">
        <v>5.3200001716613796</v>
      </c>
      <c r="F216">
        <v>0</v>
      </c>
      <c r="G216">
        <v>0</v>
      </c>
      <c r="H216">
        <v>0</v>
      </c>
      <c r="I216">
        <v>5.3200001716613796</v>
      </c>
      <c r="J216">
        <v>0</v>
      </c>
      <c r="K216">
        <v>0</v>
      </c>
      <c r="L216">
        <v>0</v>
      </c>
      <c r="M216">
        <v>330</v>
      </c>
      <c r="N216">
        <v>569</v>
      </c>
      <c r="O216">
        <v>1698</v>
      </c>
    </row>
    <row r="217" spans="1:15" x14ac:dyDescent="0.3">
      <c r="A217">
        <v>2026352035</v>
      </c>
      <c r="B217" s="1">
        <v>42502</v>
      </c>
      <c r="C217">
        <v>8891</v>
      </c>
      <c r="D217">
        <v>5.5100002288818404</v>
      </c>
      <c r="E217">
        <v>5.5100002288818404</v>
      </c>
      <c r="F217">
        <v>0</v>
      </c>
      <c r="G217">
        <v>0</v>
      </c>
      <c r="H217">
        <v>0</v>
      </c>
      <c r="I217">
        <v>5.5100002288818404</v>
      </c>
      <c r="J217">
        <v>0</v>
      </c>
      <c r="K217">
        <v>0</v>
      </c>
      <c r="L217">
        <v>0</v>
      </c>
      <c r="M217">
        <v>343</v>
      </c>
      <c r="N217">
        <v>330</v>
      </c>
      <c r="O217">
        <v>1364</v>
      </c>
    </row>
    <row r="218" spans="1:15" x14ac:dyDescent="0.3">
      <c r="A218">
        <v>2320127002</v>
      </c>
      <c r="B218" s="1">
        <v>42472</v>
      </c>
      <c r="C218">
        <v>10725</v>
      </c>
      <c r="D218">
        <v>7.4899997711181596</v>
      </c>
      <c r="E218">
        <v>7.4899997711181596</v>
      </c>
      <c r="F218">
        <v>0</v>
      </c>
      <c r="G218">
        <v>1.16999995708466</v>
      </c>
      <c r="H218">
        <v>0.31000000238418601</v>
      </c>
      <c r="I218">
        <v>6.0100002288818404</v>
      </c>
      <c r="J218">
        <v>0</v>
      </c>
      <c r="K218">
        <v>13</v>
      </c>
      <c r="L218">
        <v>9</v>
      </c>
      <c r="M218">
        <v>306</v>
      </c>
      <c r="N218">
        <v>1112</v>
      </c>
      <c r="O218">
        <v>2124</v>
      </c>
    </row>
    <row r="219" spans="1:15" x14ac:dyDescent="0.3">
      <c r="A219">
        <v>2320127002</v>
      </c>
      <c r="B219" s="1">
        <v>42473</v>
      </c>
      <c r="C219">
        <v>7275</v>
      </c>
      <c r="D219">
        <v>4.9000000953674299</v>
      </c>
      <c r="E219">
        <v>4.9000000953674299</v>
      </c>
      <c r="F219">
        <v>0</v>
      </c>
      <c r="G219">
        <v>0</v>
      </c>
      <c r="H219">
        <v>0</v>
      </c>
      <c r="I219">
        <v>4.9000000953674299</v>
      </c>
      <c r="J219">
        <v>0</v>
      </c>
      <c r="K219">
        <v>0</v>
      </c>
      <c r="L219">
        <v>0</v>
      </c>
      <c r="M219">
        <v>335</v>
      </c>
      <c r="N219">
        <v>1105</v>
      </c>
      <c r="O219">
        <v>2003</v>
      </c>
    </row>
    <row r="220" spans="1:15" x14ac:dyDescent="0.3">
      <c r="A220">
        <v>2320127002</v>
      </c>
      <c r="B220" s="1">
        <v>42474</v>
      </c>
      <c r="C220">
        <v>3973</v>
      </c>
      <c r="D220">
        <v>2.6800000667571999</v>
      </c>
      <c r="E220">
        <v>2.6800000667571999</v>
      </c>
      <c r="F220">
        <v>0</v>
      </c>
      <c r="G220">
        <v>0</v>
      </c>
      <c r="H220">
        <v>0</v>
      </c>
      <c r="I220">
        <v>2.6800000667571999</v>
      </c>
      <c r="J220">
        <v>0</v>
      </c>
      <c r="K220">
        <v>0</v>
      </c>
      <c r="L220">
        <v>0</v>
      </c>
      <c r="M220">
        <v>191</v>
      </c>
      <c r="N220">
        <v>1249</v>
      </c>
      <c r="O220">
        <v>1696</v>
      </c>
    </row>
    <row r="221" spans="1:15" x14ac:dyDescent="0.3">
      <c r="A221">
        <v>2320127002</v>
      </c>
      <c r="B221" s="1">
        <v>42475</v>
      </c>
      <c r="C221">
        <v>5205</v>
      </c>
      <c r="D221">
        <v>3.5099999904632599</v>
      </c>
      <c r="E221">
        <v>3.5099999904632599</v>
      </c>
      <c r="F221">
        <v>0</v>
      </c>
      <c r="G221">
        <v>0</v>
      </c>
      <c r="H221">
        <v>0</v>
      </c>
      <c r="I221">
        <v>3.5099999904632599</v>
      </c>
      <c r="J221">
        <v>0</v>
      </c>
      <c r="K221">
        <v>0</v>
      </c>
      <c r="L221">
        <v>0</v>
      </c>
      <c r="M221">
        <v>245</v>
      </c>
      <c r="N221">
        <v>1195</v>
      </c>
      <c r="O221">
        <v>1801</v>
      </c>
    </row>
    <row r="222" spans="1:15" x14ac:dyDescent="0.3">
      <c r="A222">
        <v>2320127002</v>
      </c>
      <c r="B222" s="1">
        <v>42476</v>
      </c>
      <c r="C222">
        <v>5057</v>
      </c>
      <c r="D222">
        <v>3.4100000858306898</v>
      </c>
      <c r="E222">
        <v>3.4100000858306898</v>
      </c>
      <c r="F222">
        <v>0</v>
      </c>
      <c r="G222">
        <v>0</v>
      </c>
      <c r="H222">
        <v>0</v>
      </c>
      <c r="I222">
        <v>3.4000000953674299</v>
      </c>
      <c r="J222">
        <v>0</v>
      </c>
      <c r="K222">
        <v>0</v>
      </c>
      <c r="L222">
        <v>0</v>
      </c>
      <c r="M222">
        <v>195</v>
      </c>
      <c r="N222">
        <v>1245</v>
      </c>
      <c r="O222">
        <v>1724</v>
      </c>
    </row>
    <row r="223" spans="1:15" x14ac:dyDescent="0.3">
      <c r="A223">
        <v>2320127002</v>
      </c>
      <c r="B223" s="1">
        <v>42477</v>
      </c>
      <c r="C223">
        <v>6198</v>
      </c>
      <c r="D223">
        <v>4.1799998283386204</v>
      </c>
      <c r="E223">
        <v>4.1799998283386204</v>
      </c>
      <c r="F223">
        <v>0</v>
      </c>
      <c r="G223">
        <v>0</v>
      </c>
      <c r="H223">
        <v>0</v>
      </c>
      <c r="I223">
        <v>4.1799998283386204</v>
      </c>
      <c r="J223">
        <v>0</v>
      </c>
      <c r="K223">
        <v>0</v>
      </c>
      <c r="L223">
        <v>0</v>
      </c>
      <c r="M223">
        <v>249</v>
      </c>
      <c r="N223">
        <v>1191</v>
      </c>
      <c r="O223">
        <v>1852</v>
      </c>
    </row>
    <row r="224" spans="1:15" x14ac:dyDescent="0.3">
      <c r="A224">
        <v>2320127002</v>
      </c>
      <c r="B224" s="1">
        <v>42478</v>
      </c>
      <c r="C224">
        <v>6559</v>
      </c>
      <c r="D224">
        <v>4.4200000762939498</v>
      </c>
      <c r="E224">
        <v>4.4200000762939498</v>
      </c>
      <c r="F224">
        <v>0</v>
      </c>
      <c r="G224">
        <v>0</v>
      </c>
      <c r="H224">
        <v>0.259999990463257</v>
      </c>
      <c r="I224">
        <v>4.1399998664856001</v>
      </c>
      <c r="J224">
        <v>0</v>
      </c>
      <c r="K224">
        <v>0</v>
      </c>
      <c r="L224">
        <v>7</v>
      </c>
      <c r="M224">
        <v>260</v>
      </c>
      <c r="N224">
        <v>1173</v>
      </c>
      <c r="O224">
        <v>1905</v>
      </c>
    </row>
    <row r="225" spans="1:15" x14ac:dyDescent="0.3">
      <c r="A225">
        <v>2320127002</v>
      </c>
      <c r="B225" s="1">
        <v>42479</v>
      </c>
      <c r="C225">
        <v>5997</v>
      </c>
      <c r="D225">
        <v>4.03999996185303</v>
      </c>
      <c r="E225">
        <v>4.03999996185303</v>
      </c>
      <c r="F225">
        <v>0</v>
      </c>
      <c r="G225">
        <v>0</v>
      </c>
      <c r="H225">
        <v>0.37999999523162797</v>
      </c>
      <c r="I225">
        <v>3.6600000858306898</v>
      </c>
      <c r="J225">
        <v>0</v>
      </c>
      <c r="K225">
        <v>0</v>
      </c>
      <c r="L225">
        <v>11</v>
      </c>
      <c r="M225">
        <v>228</v>
      </c>
      <c r="N225">
        <v>1201</v>
      </c>
      <c r="O225">
        <v>1811</v>
      </c>
    </row>
    <row r="226" spans="1:15" x14ac:dyDescent="0.3">
      <c r="A226">
        <v>2320127002</v>
      </c>
      <c r="B226" s="1">
        <v>42480</v>
      </c>
      <c r="C226">
        <v>7192</v>
      </c>
      <c r="D226">
        <v>4.8499999046325701</v>
      </c>
      <c r="E226">
        <v>4.8499999046325701</v>
      </c>
      <c r="F226">
        <v>0</v>
      </c>
      <c r="G226">
        <v>0</v>
      </c>
      <c r="H226">
        <v>0.490000009536743</v>
      </c>
      <c r="I226">
        <v>4.3400001525878897</v>
      </c>
      <c r="J226">
        <v>0</v>
      </c>
      <c r="K226">
        <v>0</v>
      </c>
      <c r="L226">
        <v>11</v>
      </c>
      <c r="M226">
        <v>283</v>
      </c>
      <c r="N226">
        <v>1146</v>
      </c>
      <c r="O226">
        <v>1922</v>
      </c>
    </row>
    <row r="227" spans="1:15" x14ac:dyDescent="0.3">
      <c r="A227">
        <v>2320127002</v>
      </c>
      <c r="B227" s="1">
        <v>42481</v>
      </c>
      <c r="C227">
        <v>3404</v>
      </c>
      <c r="D227">
        <v>2.28999996185303</v>
      </c>
      <c r="E227">
        <v>2.28999996185303</v>
      </c>
      <c r="F227">
        <v>0</v>
      </c>
      <c r="G227">
        <v>5.9999998658895499E-2</v>
      </c>
      <c r="H227">
        <v>0.41999998688697798</v>
      </c>
      <c r="I227">
        <v>1.8099999427795399</v>
      </c>
      <c r="J227">
        <v>0</v>
      </c>
      <c r="K227">
        <v>1</v>
      </c>
      <c r="L227">
        <v>10</v>
      </c>
      <c r="M227">
        <v>127</v>
      </c>
      <c r="N227">
        <v>1302</v>
      </c>
      <c r="O227">
        <v>1610</v>
      </c>
    </row>
    <row r="228" spans="1:15" x14ac:dyDescent="0.3">
      <c r="A228">
        <v>2320127002</v>
      </c>
      <c r="B228" s="1">
        <v>42482</v>
      </c>
      <c r="C228">
        <v>5583</v>
      </c>
      <c r="D228">
        <v>3.7599999904632599</v>
      </c>
      <c r="E228">
        <v>3.7599999904632599</v>
      </c>
      <c r="F228">
        <v>0</v>
      </c>
      <c r="G228">
        <v>0</v>
      </c>
      <c r="H228">
        <v>0</v>
      </c>
      <c r="I228">
        <v>3.7599999904632599</v>
      </c>
      <c r="J228">
        <v>0</v>
      </c>
      <c r="K228">
        <v>0</v>
      </c>
      <c r="L228">
        <v>0</v>
      </c>
      <c r="M228">
        <v>266</v>
      </c>
      <c r="N228">
        <v>1174</v>
      </c>
      <c r="O228">
        <v>1851</v>
      </c>
    </row>
    <row r="229" spans="1:15" x14ac:dyDescent="0.3">
      <c r="A229">
        <v>2320127002</v>
      </c>
      <c r="B229" s="1">
        <v>42483</v>
      </c>
      <c r="C229">
        <v>5079</v>
      </c>
      <c r="D229">
        <v>3.4200000762939502</v>
      </c>
      <c r="E229">
        <v>3.4200000762939502</v>
      </c>
      <c r="F229">
        <v>0</v>
      </c>
      <c r="G229">
        <v>0</v>
      </c>
      <c r="H229">
        <v>0</v>
      </c>
      <c r="I229">
        <v>3.4200000762939502</v>
      </c>
      <c r="J229">
        <v>0</v>
      </c>
      <c r="K229">
        <v>0</v>
      </c>
      <c r="L229">
        <v>0</v>
      </c>
      <c r="M229">
        <v>242</v>
      </c>
      <c r="N229">
        <v>1129</v>
      </c>
      <c r="O229">
        <v>1804</v>
      </c>
    </row>
    <row r="230" spans="1:15" x14ac:dyDescent="0.3">
      <c r="A230">
        <v>2320127002</v>
      </c>
      <c r="B230" s="1">
        <v>42484</v>
      </c>
      <c r="C230">
        <v>4165</v>
      </c>
      <c r="D230">
        <v>2.8099999427795401</v>
      </c>
      <c r="E230">
        <v>2.8099999427795401</v>
      </c>
      <c r="F230">
        <v>0</v>
      </c>
      <c r="G230">
        <v>0</v>
      </c>
      <c r="H230">
        <v>0</v>
      </c>
      <c r="I230">
        <v>2.7999999523162802</v>
      </c>
      <c r="J230">
        <v>0</v>
      </c>
      <c r="K230">
        <v>0</v>
      </c>
      <c r="L230">
        <v>0</v>
      </c>
      <c r="M230">
        <v>204</v>
      </c>
      <c r="N230">
        <v>1236</v>
      </c>
      <c r="O230">
        <v>1725</v>
      </c>
    </row>
    <row r="231" spans="1:15" x14ac:dyDescent="0.3">
      <c r="A231">
        <v>2320127002</v>
      </c>
      <c r="B231" s="1">
        <v>42485</v>
      </c>
      <c r="C231">
        <v>3588</v>
      </c>
      <c r="D231">
        <v>2.4200000762939502</v>
      </c>
      <c r="E231">
        <v>2.4200000762939502</v>
      </c>
      <c r="F231">
        <v>0</v>
      </c>
      <c r="G231">
        <v>0.230000004172325</v>
      </c>
      <c r="H231">
        <v>0.20000000298023199</v>
      </c>
      <c r="I231">
        <v>1.9900000095367401</v>
      </c>
      <c r="J231">
        <v>0</v>
      </c>
      <c r="K231">
        <v>3</v>
      </c>
      <c r="L231">
        <v>5</v>
      </c>
      <c r="M231">
        <v>152</v>
      </c>
      <c r="N231">
        <v>1280</v>
      </c>
      <c r="O231">
        <v>1654</v>
      </c>
    </row>
    <row r="232" spans="1:15" x14ac:dyDescent="0.3">
      <c r="A232">
        <v>2320127002</v>
      </c>
      <c r="B232" s="1">
        <v>42486</v>
      </c>
      <c r="C232">
        <v>3409</v>
      </c>
      <c r="D232">
        <v>2.2999999523162802</v>
      </c>
      <c r="E232">
        <v>2.2999999523162802</v>
      </c>
      <c r="F232">
        <v>0</v>
      </c>
      <c r="G232">
        <v>0</v>
      </c>
      <c r="H232">
        <v>0</v>
      </c>
      <c r="I232">
        <v>2.2999999523162802</v>
      </c>
      <c r="J232">
        <v>0</v>
      </c>
      <c r="K232">
        <v>0</v>
      </c>
      <c r="L232">
        <v>0</v>
      </c>
      <c r="M232">
        <v>147</v>
      </c>
      <c r="N232">
        <v>1293</v>
      </c>
      <c r="O232">
        <v>1632</v>
      </c>
    </row>
    <row r="233" spans="1:15" x14ac:dyDescent="0.3">
      <c r="A233">
        <v>2320127002</v>
      </c>
      <c r="B233" s="1">
        <v>42487</v>
      </c>
      <c r="C233">
        <v>1715</v>
      </c>
      <c r="D233">
        <v>1.1599999666214</v>
      </c>
      <c r="E233">
        <v>1.1599999666214</v>
      </c>
      <c r="F233">
        <v>0</v>
      </c>
      <c r="G233">
        <v>0</v>
      </c>
      <c r="H233">
        <v>0</v>
      </c>
      <c r="I233">
        <v>1.1599999666214</v>
      </c>
      <c r="J233">
        <v>0</v>
      </c>
      <c r="K233">
        <v>0</v>
      </c>
      <c r="L233">
        <v>0</v>
      </c>
      <c r="M233">
        <v>82</v>
      </c>
      <c r="N233">
        <v>1358</v>
      </c>
      <c r="O233">
        <v>1481</v>
      </c>
    </row>
    <row r="234" spans="1:15" x14ac:dyDescent="0.3">
      <c r="A234">
        <v>2320127002</v>
      </c>
      <c r="B234" s="1">
        <v>42488</v>
      </c>
      <c r="C234">
        <v>1532</v>
      </c>
      <c r="D234">
        <v>1.0299999713897701</v>
      </c>
      <c r="E234">
        <v>1.0299999713897701</v>
      </c>
      <c r="F234">
        <v>0</v>
      </c>
      <c r="G234">
        <v>0</v>
      </c>
      <c r="H234">
        <v>0</v>
      </c>
      <c r="I234">
        <v>1.0299999713897701</v>
      </c>
      <c r="J234">
        <v>0</v>
      </c>
      <c r="K234">
        <v>0</v>
      </c>
      <c r="L234">
        <v>0</v>
      </c>
      <c r="M234">
        <v>76</v>
      </c>
      <c r="N234">
        <v>1364</v>
      </c>
      <c r="O234">
        <v>1473</v>
      </c>
    </row>
    <row r="235" spans="1:15" x14ac:dyDescent="0.3">
      <c r="A235">
        <v>2320127002</v>
      </c>
      <c r="B235" s="1">
        <v>42489</v>
      </c>
      <c r="C235">
        <v>924</v>
      </c>
      <c r="D235">
        <v>0.62000000476837203</v>
      </c>
      <c r="E235">
        <v>0.62000000476837203</v>
      </c>
      <c r="F235">
        <v>0</v>
      </c>
      <c r="G235">
        <v>0</v>
      </c>
      <c r="H235">
        <v>0</v>
      </c>
      <c r="I235">
        <v>0.62000000476837203</v>
      </c>
      <c r="J235">
        <v>0</v>
      </c>
      <c r="K235">
        <v>0</v>
      </c>
      <c r="L235">
        <v>0</v>
      </c>
      <c r="M235">
        <v>45</v>
      </c>
      <c r="N235">
        <v>1395</v>
      </c>
      <c r="O235">
        <v>1410</v>
      </c>
    </row>
    <row r="236" spans="1:15" x14ac:dyDescent="0.3">
      <c r="A236">
        <v>2320127002</v>
      </c>
      <c r="B236" s="1">
        <v>42490</v>
      </c>
      <c r="C236">
        <v>4571</v>
      </c>
      <c r="D236">
        <v>3.0799999237060498</v>
      </c>
      <c r="E236">
        <v>3.0799999237060498</v>
      </c>
      <c r="F236">
        <v>0</v>
      </c>
      <c r="G236">
        <v>0</v>
      </c>
      <c r="H236">
        <v>0</v>
      </c>
      <c r="I236">
        <v>3.0699999332428001</v>
      </c>
      <c r="J236">
        <v>0</v>
      </c>
      <c r="K236">
        <v>0</v>
      </c>
      <c r="L236">
        <v>0</v>
      </c>
      <c r="M236">
        <v>234</v>
      </c>
      <c r="N236">
        <v>1206</v>
      </c>
      <c r="O236">
        <v>1779</v>
      </c>
    </row>
    <row r="237" spans="1:15" x14ac:dyDescent="0.3">
      <c r="A237">
        <v>2320127002</v>
      </c>
      <c r="B237" s="1">
        <v>42491</v>
      </c>
      <c r="C237">
        <v>772</v>
      </c>
      <c r="D237">
        <v>0.519999980926514</v>
      </c>
      <c r="E237">
        <v>0.519999980926514</v>
      </c>
      <c r="F237">
        <v>0</v>
      </c>
      <c r="G237">
        <v>0</v>
      </c>
      <c r="H237">
        <v>0</v>
      </c>
      <c r="I237">
        <v>0.519999980926514</v>
      </c>
      <c r="J237">
        <v>0</v>
      </c>
      <c r="K237">
        <v>0</v>
      </c>
      <c r="L237">
        <v>0</v>
      </c>
      <c r="M237">
        <v>40</v>
      </c>
      <c r="N237">
        <v>1400</v>
      </c>
      <c r="O237">
        <v>1403</v>
      </c>
    </row>
    <row r="238" spans="1:15" x14ac:dyDescent="0.3">
      <c r="A238">
        <v>2320127002</v>
      </c>
      <c r="B238" s="1">
        <v>42492</v>
      </c>
      <c r="C238">
        <v>3634</v>
      </c>
      <c r="D238">
        <v>2.4500000476837198</v>
      </c>
      <c r="E238">
        <v>2.4500000476837198</v>
      </c>
      <c r="F238">
        <v>0</v>
      </c>
      <c r="G238">
        <v>0.36000001430511502</v>
      </c>
      <c r="H238">
        <v>0.20999999344348899</v>
      </c>
      <c r="I238">
        <v>1.87999999523163</v>
      </c>
      <c r="J238">
        <v>0</v>
      </c>
      <c r="K238">
        <v>5</v>
      </c>
      <c r="L238">
        <v>6</v>
      </c>
      <c r="M238">
        <v>123</v>
      </c>
      <c r="N238">
        <v>1306</v>
      </c>
      <c r="O238">
        <v>1613</v>
      </c>
    </row>
    <row r="239" spans="1:15" x14ac:dyDescent="0.3">
      <c r="A239">
        <v>2320127002</v>
      </c>
      <c r="B239" s="1">
        <v>42493</v>
      </c>
      <c r="C239">
        <v>7443</v>
      </c>
      <c r="D239">
        <v>5.0199999809265101</v>
      </c>
      <c r="E239">
        <v>5.0199999809265101</v>
      </c>
      <c r="F239">
        <v>0</v>
      </c>
      <c r="G239">
        <v>1.4900000095367401</v>
      </c>
      <c r="H239">
        <v>0.37000000476837203</v>
      </c>
      <c r="I239">
        <v>3.1600000858306898</v>
      </c>
      <c r="J239">
        <v>0</v>
      </c>
      <c r="K239">
        <v>20</v>
      </c>
      <c r="L239">
        <v>10</v>
      </c>
      <c r="M239">
        <v>206</v>
      </c>
      <c r="N239">
        <v>1204</v>
      </c>
      <c r="O239">
        <v>1878</v>
      </c>
    </row>
    <row r="240" spans="1:15" x14ac:dyDescent="0.3">
      <c r="A240">
        <v>2320127002</v>
      </c>
      <c r="B240" s="1">
        <v>42494</v>
      </c>
      <c r="C240">
        <v>1201</v>
      </c>
      <c r="D240">
        <v>0.81000000238418601</v>
      </c>
      <c r="E240">
        <v>0.81000000238418601</v>
      </c>
      <c r="F240">
        <v>0</v>
      </c>
      <c r="G240">
        <v>0</v>
      </c>
      <c r="H240">
        <v>0</v>
      </c>
      <c r="I240">
        <v>0.81000000238418601</v>
      </c>
      <c r="J240">
        <v>0</v>
      </c>
      <c r="K240">
        <v>0</v>
      </c>
      <c r="L240">
        <v>0</v>
      </c>
      <c r="M240">
        <v>52</v>
      </c>
      <c r="N240">
        <v>1388</v>
      </c>
      <c r="O240">
        <v>1426</v>
      </c>
    </row>
    <row r="241" spans="1:15" x14ac:dyDescent="0.3">
      <c r="A241">
        <v>2320127002</v>
      </c>
      <c r="B241" s="1">
        <v>42495</v>
      </c>
      <c r="C241">
        <v>5202</v>
      </c>
      <c r="D241">
        <v>3.5099999904632599</v>
      </c>
      <c r="E241">
        <v>3.5099999904632599</v>
      </c>
      <c r="F241">
        <v>0</v>
      </c>
      <c r="G241">
        <v>0</v>
      </c>
      <c r="H241">
        <v>0.38999998569488498</v>
      </c>
      <c r="I241">
        <v>3.1099998950958301</v>
      </c>
      <c r="J241">
        <v>0</v>
      </c>
      <c r="K241">
        <v>0</v>
      </c>
      <c r="L241">
        <v>11</v>
      </c>
      <c r="M241">
        <v>223</v>
      </c>
      <c r="N241">
        <v>1206</v>
      </c>
      <c r="O241">
        <v>1780</v>
      </c>
    </row>
    <row r="242" spans="1:15" x14ac:dyDescent="0.3">
      <c r="A242">
        <v>2320127002</v>
      </c>
      <c r="B242" s="1">
        <v>42496</v>
      </c>
      <c r="C242">
        <v>4878</v>
      </c>
      <c r="D242">
        <v>3.28999996185303</v>
      </c>
      <c r="E242">
        <v>3.28999996185303</v>
      </c>
      <c r="F242">
        <v>0</v>
      </c>
      <c r="G242">
        <v>0</v>
      </c>
      <c r="H242">
        <v>0</v>
      </c>
      <c r="I242">
        <v>3.28999996185303</v>
      </c>
      <c r="J242">
        <v>0</v>
      </c>
      <c r="K242">
        <v>0</v>
      </c>
      <c r="L242">
        <v>0</v>
      </c>
      <c r="M242">
        <v>204</v>
      </c>
      <c r="N242">
        <v>1236</v>
      </c>
      <c r="O242">
        <v>1742</v>
      </c>
    </row>
    <row r="243" spans="1:15" x14ac:dyDescent="0.3">
      <c r="A243">
        <v>2320127002</v>
      </c>
      <c r="B243" s="1">
        <v>42497</v>
      </c>
      <c r="C243">
        <v>7379</v>
      </c>
      <c r="D243">
        <v>4.9699997901916504</v>
      </c>
      <c r="E243">
        <v>4.9699997901916504</v>
      </c>
      <c r="F243">
        <v>0</v>
      </c>
      <c r="G243">
        <v>0</v>
      </c>
      <c r="H243">
        <v>0</v>
      </c>
      <c r="I243">
        <v>4.9699997901916504</v>
      </c>
      <c r="J243">
        <v>0</v>
      </c>
      <c r="K243">
        <v>0</v>
      </c>
      <c r="L243">
        <v>0</v>
      </c>
      <c r="M243">
        <v>319</v>
      </c>
      <c r="N243">
        <v>1121</v>
      </c>
      <c r="O243">
        <v>1972</v>
      </c>
    </row>
    <row r="244" spans="1:15" x14ac:dyDescent="0.3">
      <c r="A244">
        <v>2320127002</v>
      </c>
      <c r="B244" s="1">
        <v>42498</v>
      </c>
      <c r="C244">
        <v>5161</v>
      </c>
      <c r="D244">
        <v>3.4800000190734899</v>
      </c>
      <c r="E244">
        <v>3.4800000190734899</v>
      </c>
      <c r="F244">
        <v>0</v>
      </c>
      <c r="G244">
        <v>0</v>
      </c>
      <c r="H244">
        <v>0</v>
      </c>
      <c r="I244">
        <v>3.4700000286102299</v>
      </c>
      <c r="J244">
        <v>0</v>
      </c>
      <c r="K244">
        <v>0</v>
      </c>
      <c r="L244">
        <v>0</v>
      </c>
      <c r="M244">
        <v>247</v>
      </c>
      <c r="N244">
        <v>1193</v>
      </c>
      <c r="O244">
        <v>1821</v>
      </c>
    </row>
    <row r="245" spans="1:15" x14ac:dyDescent="0.3">
      <c r="A245">
        <v>2320127002</v>
      </c>
      <c r="B245" s="1">
        <v>42499</v>
      </c>
      <c r="C245">
        <v>3090</v>
      </c>
      <c r="D245">
        <v>2.0799999237060498</v>
      </c>
      <c r="E245">
        <v>2.0799999237060498</v>
      </c>
      <c r="F245">
        <v>0</v>
      </c>
      <c r="G245">
        <v>0</v>
      </c>
      <c r="H245">
        <v>0</v>
      </c>
      <c r="I245">
        <v>2.0799999237060498</v>
      </c>
      <c r="J245">
        <v>0</v>
      </c>
      <c r="K245">
        <v>0</v>
      </c>
      <c r="L245">
        <v>0</v>
      </c>
      <c r="M245">
        <v>145</v>
      </c>
      <c r="N245">
        <v>1295</v>
      </c>
      <c r="O245">
        <v>1630</v>
      </c>
    </row>
    <row r="246" spans="1:15" x14ac:dyDescent="0.3">
      <c r="A246">
        <v>2320127002</v>
      </c>
      <c r="B246" s="1">
        <v>42500</v>
      </c>
      <c r="C246">
        <v>6227</v>
      </c>
      <c r="D246">
        <v>4.1999998092651403</v>
      </c>
      <c r="E246">
        <v>4.1999998092651403</v>
      </c>
      <c r="F246">
        <v>0</v>
      </c>
      <c r="G246">
        <v>0</v>
      </c>
      <c r="H246">
        <v>0</v>
      </c>
      <c r="I246">
        <v>4.1999998092651403</v>
      </c>
      <c r="J246">
        <v>0</v>
      </c>
      <c r="K246">
        <v>0</v>
      </c>
      <c r="L246">
        <v>0</v>
      </c>
      <c r="M246">
        <v>290</v>
      </c>
      <c r="N246">
        <v>1150</v>
      </c>
      <c r="O246">
        <v>1899</v>
      </c>
    </row>
    <row r="247" spans="1:15" x14ac:dyDescent="0.3">
      <c r="A247">
        <v>2320127002</v>
      </c>
      <c r="B247" s="1">
        <v>42501</v>
      </c>
      <c r="C247">
        <v>6424</v>
      </c>
      <c r="D247">
        <v>4.3299999237060502</v>
      </c>
      <c r="E247">
        <v>4.3299999237060502</v>
      </c>
      <c r="F247">
        <v>0</v>
      </c>
      <c r="G247">
        <v>0</v>
      </c>
      <c r="H247">
        <v>0</v>
      </c>
      <c r="I247">
        <v>4.3299999237060502</v>
      </c>
      <c r="J247">
        <v>0</v>
      </c>
      <c r="K247">
        <v>0</v>
      </c>
      <c r="L247">
        <v>0</v>
      </c>
      <c r="M247">
        <v>300</v>
      </c>
      <c r="N247">
        <v>1140</v>
      </c>
      <c r="O247">
        <v>1903</v>
      </c>
    </row>
    <row r="248" spans="1:15" x14ac:dyDescent="0.3">
      <c r="A248">
        <v>2320127002</v>
      </c>
      <c r="B248" s="1">
        <v>42502</v>
      </c>
      <c r="C248">
        <v>2661</v>
      </c>
      <c r="D248">
        <v>1.78999996185303</v>
      </c>
      <c r="E248">
        <v>1.78999996185303</v>
      </c>
      <c r="F248">
        <v>0</v>
      </c>
      <c r="G248">
        <v>0</v>
      </c>
      <c r="H248">
        <v>0</v>
      </c>
      <c r="I248">
        <v>1.78999996185303</v>
      </c>
      <c r="J248">
        <v>0</v>
      </c>
      <c r="K248">
        <v>0</v>
      </c>
      <c r="L248">
        <v>0</v>
      </c>
      <c r="M248">
        <v>128</v>
      </c>
      <c r="N248">
        <v>830</v>
      </c>
      <c r="O248">
        <v>1125</v>
      </c>
    </row>
    <row r="249" spans="1:15" x14ac:dyDescent="0.3">
      <c r="A249">
        <v>2347167796</v>
      </c>
      <c r="B249" s="1">
        <v>42472</v>
      </c>
      <c r="C249">
        <v>10113</v>
      </c>
      <c r="D249">
        <v>6.8299999237060502</v>
      </c>
      <c r="E249">
        <v>6.8299999237060502</v>
      </c>
      <c r="F249">
        <v>0</v>
      </c>
      <c r="G249">
        <v>2</v>
      </c>
      <c r="H249">
        <v>0.62000000476837203</v>
      </c>
      <c r="I249">
        <v>4.1999998092651403</v>
      </c>
      <c r="J249">
        <v>0</v>
      </c>
      <c r="K249">
        <v>28</v>
      </c>
      <c r="L249">
        <v>13</v>
      </c>
      <c r="M249">
        <v>320</v>
      </c>
      <c r="N249">
        <v>964</v>
      </c>
      <c r="O249">
        <v>2344</v>
      </c>
    </row>
    <row r="250" spans="1:15" x14ac:dyDescent="0.3">
      <c r="A250">
        <v>2347167796</v>
      </c>
      <c r="B250" s="1">
        <v>42473</v>
      </c>
      <c r="C250">
        <v>10352</v>
      </c>
      <c r="D250">
        <v>7.0100002288818404</v>
      </c>
      <c r="E250">
        <v>7.0100002288818404</v>
      </c>
      <c r="F250">
        <v>0</v>
      </c>
      <c r="G250">
        <v>1.6599999666214</v>
      </c>
      <c r="H250">
        <v>1.9400000572204601</v>
      </c>
      <c r="I250">
        <v>3.4100000858306898</v>
      </c>
      <c r="J250">
        <v>0</v>
      </c>
      <c r="K250">
        <v>19</v>
      </c>
      <c r="L250">
        <v>32</v>
      </c>
      <c r="M250">
        <v>195</v>
      </c>
      <c r="N250">
        <v>676</v>
      </c>
      <c r="O250">
        <v>2038</v>
      </c>
    </row>
    <row r="251" spans="1:15" x14ac:dyDescent="0.3">
      <c r="A251">
        <v>2347167796</v>
      </c>
      <c r="B251" s="1">
        <v>42474</v>
      </c>
      <c r="C251">
        <v>10129</v>
      </c>
      <c r="D251">
        <v>6.6999998092651403</v>
      </c>
      <c r="E251">
        <v>6.6999998092651403</v>
      </c>
      <c r="F251">
        <v>0</v>
      </c>
      <c r="G251">
        <v>1.9999999552965199E-2</v>
      </c>
      <c r="H251">
        <v>2.7400000095367401</v>
      </c>
      <c r="I251">
        <v>3.9400000572204599</v>
      </c>
      <c r="J251">
        <v>0</v>
      </c>
      <c r="K251">
        <v>1</v>
      </c>
      <c r="L251">
        <v>48</v>
      </c>
      <c r="M251">
        <v>206</v>
      </c>
      <c r="N251">
        <v>705</v>
      </c>
      <c r="O251">
        <v>2010</v>
      </c>
    </row>
    <row r="252" spans="1:15" x14ac:dyDescent="0.3">
      <c r="A252">
        <v>2347167796</v>
      </c>
      <c r="B252" s="1">
        <v>42475</v>
      </c>
      <c r="C252">
        <v>10465</v>
      </c>
      <c r="D252">
        <v>6.9200000762939498</v>
      </c>
      <c r="E252">
        <v>6.9200000762939498</v>
      </c>
      <c r="F252">
        <v>0</v>
      </c>
      <c r="G252">
        <v>7.0000000298023196E-2</v>
      </c>
      <c r="H252">
        <v>1.41999995708466</v>
      </c>
      <c r="I252">
        <v>5.4299998283386204</v>
      </c>
      <c r="J252">
        <v>0</v>
      </c>
      <c r="K252">
        <v>1</v>
      </c>
      <c r="L252">
        <v>24</v>
      </c>
      <c r="M252">
        <v>284</v>
      </c>
      <c r="N252">
        <v>720</v>
      </c>
      <c r="O252">
        <v>2133</v>
      </c>
    </row>
    <row r="253" spans="1:15" x14ac:dyDescent="0.3">
      <c r="A253">
        <v>2347167796</v>
      </c>
      <c r="B253" s="1">
        <v>42476</v>
      </c>
      <c r="C253">
        <v>22244</v>
      </c>
      <c r="D253">
        <v>15.079999923706101</v>
      </c>
      <c r="E253">
        <v>15.079999923706101</v>
      </c>
      <c r="F253">
        <v>0</v>
      </c>
      <c r="G253">
        <v>5.4499998092651403</v>
      </c>
      <c r="H253">
        <v>4.0999999046325701</v>
      </c>
      <c r="I253">
        <v>5.5300002098083496</v>
      </c>
      <c r="J253">
        <v>0</v>
      </c>
      <c r="K253">
        <v>66</v>
      </c>
      <c r="L253">
        <v>72</v>
      </c>
      <c r="M253">
        <v>268</v>
      </c>
      <c r="N253">
        <v>968</v>
      </c>
      <c r="O253">
        <v>2670</v>
      </c>
    </row>
    <row r="254" spans="1:15" x14ac:dyDescent="0.3">
      <c r="A254">
        <v>2347167796</v>
      </c>
      <c r="B254" s="1">
        <v>42477</v>
      </c>
      <c r="C254">
        <v>5472</v>
      </c>
      <c r="D254">
        <v>3.6199998855590798</v>
      </c>
      <c r="E254">
        <v>3.6199998855590798</v>
      </c>
      <c r="F254">
        <v>0</v>
      </c>
      <c r="G254">
        <v>7.9999998211860698E-2</v>
      </c>
      <c r="H254">
        <v>0.28000000119209301</v>
      </c>
      <c r="I254">
        <v>3.2599999904632599</v>
      </c>
      <c r="J254">
        <v>0</v>
      </c>
      <c r="K254">
        <v>1</v>
      </c>
      <c r="L254">
        <v>7</v>
      </c>
      <c r="M254">
        <v>249</v>
      </c>
      <c r="N254">
        <v>508</v>
      </c>
      <c r="O254">
        <v>1882</v>
      </c>
    </row>
    <row r="255" spans="1:15" x14ac:dyDescent="0.3">
      <c r="A255">
        <v>2347167796</v>
      </c>
      <c r="B255" s="1">
        <v>42478</v>
      </c>
      <c r="C255">
        <v>8247</v>
      </c>
      <c r="D255">
        <v>5.4499998092651403</v>
      </c>
      <c r="E255">
        <v>5.4499998092651403</v>
      </c>
      <c r="F255">
        <v>0</v>
      </c>
      <c r="G255">
        <v>0.79000002145767201</v>
      </c>
      <c r="H255">
        <v>0.86000001430511497</v>
      </c>
      <c r="I255">
        <v>3.78999996185303</v>
      </c>
      <c r="J255">
        <v>0</v>
      </c>
      <c r="K255">
        <v>11</v>
      </c>
      <c r="L255">
        <v>16</v>
      </c>
      <c r="M255">
        <v>206</v>
      </c>
      <c r="N255">
        <v>678</v>
      </c>
      <c r="O255">
        <v>1944</v>
      </c>
    </row>
    <row r="256" spans="1:15" x14ac:dyDescent="0.3">
      <c r="A256">
        <v>2347167796</v>
      </c>
      <c r="B256" s="1">
        <v>42479</v>
      </c>
      <c r="C256">
        <v>6711</v>
      </c>
      <c r="D256">
        <v>4.4400000572204599</v>
      </c>
      <c r="E256">
        <v>4.4400000572204599</v>
      </c>
      <c r="F256">
        <v>0</v>
      </c>
      <c r="G256">
        <v>0</v>
      </c>
      <c r="H256">
        <v>0</v>
      </c>
      <c r="I256">
        <v>4.4400000572204599</v>
      </c>
      <c r="J256">
        <v>0</v>
      </c>
      <c r="K256">
        <v>0</v>
      </c>
      <c r="L256">
        <v>7</v>
      </c>
      <c r="M256">
        <v>382</v>
      </c>
      <c r="N256">
        <v>648</v>
      </c>
      <c r="O256">
        <v>2346</v>
      </c>
    </row>
    <row r="257" spans="1:15" x14ac:dyDescent="0.3">
      <c r="A257">
        <v>2347167796</v>
      </c>
      <c r="B257" s="1">
        <v>42480</v>
      </c>
      <c r="C257">
        <v>10999</v>
      </c>
      <c r="D257">
        <v>7.2699999809265101</v>
      </c>
      <c r="E257">
        <v>7.2699999809265101</v>
      </c>
      <c r="F257">
        <v>0</v>
      </c>
      <c r="G257">
        <v>0.68000000715255704</v>
      </c>
      <c r="H257">
        <v>1.8099999427795399</v>
      </c>
      <c r="I257">
        <v>4.7800002098083496</v>
      </c>
      <c r="J257">
        <v>0</v>
      </c>
      <c r="K257">
        <v>11</v>
      </c>
      <c r="L257">
        <v>43</v>
      </c>
      <c r="M257">
        <v>269</v>
      </c>
      <c r="N257">
        <v>1011</v>
      </c>
      <c r="O257">
        <v>2198</v>
      </c>
    </row>
    <row r="258" spans="1:15" x14ac:dyDescent="0.3">
      <c r="A258">
        <v>2347167796</v>
      </c>
      <c r="B258" s="1">
        <v>42481</v>
      </c>
      <c r="C258">
        <v>10080</v>
      </c>
      <c r="D258">
        <v>6.75</v>
      </c>
      <c r="E258">
        <v>6.75</v>
      </c>
      <c r="F258">
        <v>0</v>
      </c>
      <c r="G258">
        <v>1.8500000238418599</v>
      </c>
      <c r="H258">
        <v>1.5299999713897701</v>
      </c>
      <c r="I258">
        <v>3.3800001144409202</v>
      </c>
      <c r="J258">
        <v>0</v>
      </c>
      <c r="K258">
        <v>23</v>
      </c>
      <c r="L258">
        <v>26</v>
      </c>
      <c r="M258">
        <v>208</v>
      </c>
      <c r="N258">
        <v>761</v>
      </c>
      <c r="O258">
        <v>2048</v>
      </c>
    </row>
    <row r="259" spans="1:15" x14ac:dyDescent="0.3">
      <c r="A259">
        <v>2347167796</v>
      </c>
      <c r="B259" s="1">
        <v>42482</v>
      </c>
      <c r="C259">
        <v>7804</v>
      </c>
      <c r="D259">
        <v>5.1599998474121103</v>
      </c>
      <c r="E259">
        <v>5.1599998474121103</v>
      </c>
      <c r="F259">
        <v>0</v>
      </c>
      <c r="G259">
        <v>0.56000000238418601</v>
      </c>
      <c r="H259">
        <v>1.6799999475479099</v>
      </c>
      <c r="I259">
        <v>2.9200000762939502</v>
      </c>
      <c r="J259">
        <v>0</v>
      </c>
      <c r="K259">
        <v>9</v>
      </c>
      <c r="L259">
        <v>27</v>
      </c>
      <c r="M259">
        <v>206</v>
      </c>
      <c r="N259">
        <v>781</v>
      </c>
      <c r="O259">
        <v>1946</v>
      </c>
    </row>
    <row r="260" spans="1:15" x14ac:dyDescent="0.3">
      <c r="A260">
        <v>2347167796</v>
      </c>
      <c r="B260" s="1">
        <v>42483</v>
      </c>
      <c r="C260">
        <v>16901</v>
      </c>
      <c r="D260">
        <v>11.3699998855591</v>
      </c>
      <c r="E260">
        <v>11.3699998855591</v>
      </c>
      <c r="F260">
        <v>0</v>
      </c>
      <c r="G260">
        <v>2.7799999713897701</v>
      </c>
      <c r="H260">
        <v>1.45000004768372</v>
      </c>
      <c r="I260">
        <v>7.1500000953674299</v>
      </c>
      <c r="J260">
        <v>0</v>
      </c>
      <c r="K260">
        <v>32</v>
      </c>
      <c r="L260">
        <v>35</v>
      </c>
      <c r="M260">
        <v>360</v>
      </c>
      <c r="N260">
        <v>591</v>
      </c>
      <c r="O260">
        <v>2629</v>
      </c>
    </row>
    <row r="261" spans="1:15" x14ac:dyDescent="0.3">
      <c r="A261">
        <v>2347167796</v>
      </c>
      <c r="B261" s="1">
        <v>42484</v>
      </c>
      <c r="C261">
        <v>9471</v>
      </c>
      <c r="D261">
        <v>6.2600002288818404</v>
      </c>
      <c r="E261">
        <v>6.2600002288818404</v>
      </c>
      <c r="F261">
        <v>0</v>
      </c>
      <c r="G261">
        <v>0</v>
      </c>
      <c r="H261">
        <v>0</v>
      </c>
      <c r="I261">
        <v>6.2600002288818404</v>
      </c>
      <c r="J261">
        <v>0</v>
      </c>
      <c r="K261">
        <v>0</v>
      </c>
      <c r="L261">
        <v>0</v>
      </c>
      <c r="M261">
        <v>360</v>
      </c>
      <c r="N261">
        <v>584</v>
      </c>
      <c r="O261">
        <v>2187</v>
      </c>
    </row>
    <row r="262" spans="1:15" x14ac:dyDescent="0.3">
      <c r="A262">
        <v>2347167796</v>
      </c>
      <c r="B262" s="1">
        <v>42485</v>
      </c>
      <c r="C262">
        <v>9482</v>
      </c>
      <c r="D262">
        <v>6.3800001144409197</v>
      </c>
      <c r="E262">
        <v>6.3800001144409197</v>
      </c>
      <c r="F262">
        <v>0</v>
      </c>
      <c r="G262">
        <v>1.2699999809265099</v>
      </c>
      <c r="H262">
        <v>0.519999980926514</v>
      </c>
      <c r="I262">
        <v>4.5999999046325701</v>
      </c>
      <c r="J262">
        <v>0</v>
      </c>
      <c r="K262">
        <v>15</v>
      </c>
      <c r="L262">
        <v>11</v>
      </c>
      <c r="M262">
        <v>277</v>
      </c>
      <c r="N262">
        <v>653</v>
      </c>
      <c r="O262">
        <v>2095</v>
      </c>
    </row>
    <row r="263" spans="1:15" x14ac:dyDescent="0.3">
      <c r="A263">
        <v>2347167796</v>
      </c>
      <c r="B263" s="1">
        <v>42486</v>
      </c>
      <c r="C263">
        <v>5980</v>
      </c>
      <c r="D263">
        <v>3.9500000476837198</v>
      </c>
      <c r="E263">
        <v>3.9500000476837198</v>
      </c>
      <c r="F263">
        <v>0</v>
      </c>
      <c r="G263">
        <v>0</v>
      </c>
      <c r="H263">
        <v>0</v>
      </c>
      <c r="I263">
        <v>3.9500000476837198</v>
      </c>
      <c r="J263">
        <v>0</v>
      </c>
      <c r="K263">
        <v>0</v>
      </c>
      <c r="L263">
        <v>0</v>
      </c>
      <c r="M263">
        <v>227</v>
      </c>
      <c r="N263">
        <v>732</v>
      </c>
      <c r="O263">
        <v>1861</v>
      </c>
    </row>
    <row r="264" spans="1:15" x14ac:dyDescent="0.3">
      <c r="A264">
        <v>2347167796</v>
      </c>
      <c r="B264" s="1">
        <v>42487</v>
      </c>
      <c r="C264">
        <v>11423</v>
      </c>
      <c r="D264">
        <v>7.5799999237060502</v>
      </c>
      <c r="E264">
        <v>7.5799999237060502</v>
      </c>
      <c r="F264">
        <v>0</v>
      </c>
      <c r="G264">
        <v>1.8600000143051101</v>
      </c>
      <c r="H264">
        <v>0.40000000596046398</v>
      </c>
      <c r="I264">
        <v>5.3200001716613796</v>
      </c>
      <c r="J264">
        <v>0</v>
      </c>
      <c r="K264">
        <v>26</v>
      </c>
      <c r="L264">
        <v>9</v>
      </c>
      <c r="M264">
        <v>295</v>
      </c>
      <c r="N264">
        <v>623</v>
      </c>
      <c r="O264">
        <v>2194</v>
      </c>
    </row>
    <row r="265" spans="1:15" x14ac:dyDescent="0.3">
      <c r="A265">
        <v>2347167796</v>
      </c>
      <c r="B265" s="1">
        <v>42488</v>
      </c>
      <c r="C265">
        <v>5439</v>
      </c>
      <c r="D265">
        <v>3.5999999046325701</v>
      </c>
      <c r="E265">
        <v>3.5999999046325701</v>
      </c>
      <c r="F265">
        <v>0</v>
      </c>
      <c r="G265">
        <v>0</v>
      </c>
      <c r="H265">
        <v>0</v>
      </c>
      <c r="I265">
        <v>3.5999999046325701</v>
      </c>
      <c r="J265">
        <v>0</v>
      </c>
      <c r="K265">
        <v>0</v>
      </c>
      <c r="L265">
        <v>0</v>
      </c>
      <c r="M265">
        <v>229</v>
      </c>
      <c r="N265">
        <v>764</v>
      </c>
      <c r="O265">
        <v>1854</v>
      </c>
    </row>
    <row r="266" spans="1:15" x14ac:dyDescent="0.3">
      <c r="A266">
        <v>2347167796</v>
      </c>
      <c r="B266" s="1">
        <v>42489</v>
      </c>
      <c r="C266">
        <v>42</v>
      </c>
      <c r="D266">
        <v>2.9999999329447701E-2</v>
      </c>
      <c r="E266">
        <v>2.9999999329447701E-2</v>
      </c>
      <c r="F266">
        <v>0</v>
      </c>
      <c r="G266">
        <v>0</v>
      </c>
      <c r="H266">
        <v>0</v>
      </c>
      <c r="I266">
        <v>2.9999999329447701E-2</v>
      </c>
      <c r="J266">
        <v>0</v>
      </c>
      <c r="K266">
        <v>0</v>
      </c>
      <c r="L266">
        <v>0</v>
      </c>
      <c r="M266">
        <v>4</v>
      </c>
      <c r="N266">
        <v>2</v>
      </c>
      <c r="O266">
        <v>403</v>
      </c>
    </row>
    <row r="267" spans="1:15" x14ac:dyDescent="0.3">
      <c r="A267">
        <v>2873212765</v>
      </c>
      <c r="B267" s="1">
        <v>42472</v>
      </c>
      <c r="C267">
        <v>8796</v>
      </c>
      <c r="D267">
        <v>5.9099998474121103</v>
      </c>
      <c r="E267">
        <v>5.9099998474121103</v>
      </c>
      <c r="F267">
        <v>0</v>
      </c>
      <c r="G267">
        <v>0.109999999403954</v>
      </c>
      <c r="H267">
        <v>0.93000000715255704</v>
      </c>
      <c r="I267">
        <v>4.8800001144409197</v>
      </c>
      <c r="J267">
        <v>0</v>
      </c>
      <c r="K267">
        <v>2</v>
      </c>
      <c r="L267">
        <v>21</v>
      </c>
      <c r="M267">
        <v>356</v>
      </c>
      <c r="N267">
        <v>1061</v>
      </c>
      <c r="O267">
        <v>1982</v>
      </c>
    </row>
    <row r="268" spans="1:15" x14ac:dyDescent="0.3">
      <c r="A268">
        <v>2873212765</v>
      </c>
      <c r="B268" s="1">
        <v>42473</v>
      </c>
      <c r="C268">
        <v>7618</v>
      </c>
      <c r="D268">
        <v>5.1199998855590803</v>
      </c>
      <c r="E268">
        <v>5.1199998855590803</v>
      </c>
      <c r="F268">
        <v>0</v>
      </c>
      <c r="G268">
        <v>0</v>
      </c>
      <c r="H268">
        <v>0.21999999880790699</v>
      </c>
      <c r="I268">
        <v>4.8800001144409197</v>
      </c>
      <c r="J268">
        <v>1.9999999552965199E-2</v>
      </c>
      <c r="K268">
        <v>0</v>
      </c>
      <c r="L268">
        <v>8</v>
      </c>
      <c r="M268">
        <v>404</v>
      </c>
      <c r="N268">
        <v>1028</v>
      </c>
      <c r="O268">
        <v>2004</v>
      </c>
    </row>
    <row r="269" spans="1:15" x14ac:dyDescent="0.3">
      <c r="A269">
        <v>2873212765</v>
      </c>
      <c r="B269" s="1">
        <v>42474</v>
      </c>
      <c r="C269">
        <v>7910</v>
      </c>
      <c r="D269">
        <v>5.3200001716613796</v>
      </c>
      <c r="E269">
        <v>5.3200001716613796</v>
      </c>
      <c r="F269">
        <v>0</v>
      </c>
      <c r="G269">
        <v>0</v>
      </c>
      <c r="H269">
        <v>0</v>
      </c>
      <c r="I269">
        <v>5.3200001716613796</v>
      </c>
      <c r="J269">
        <v>0</v>
      </c>
      <c r="K269">
        <v>0</v>
      </c>
      <c r="L269">
        <v>0</v>
      </c>
      <c r="M269">
        <v>331</v>
      </c>
      <c r="N269">
        <v>1109</v>
      </c>
      <c r="O269">
        <v>1893</v>
      </c>
    </row>
    <row r="270" spans="1:15" x14ac:dyDescent="0.3">
      <c r="A270">
        <v>2873212765</v>
      </c>
      <c r="B270" s="1">
        <v>42475</v>
      </c>
      <c r="C270">
        <v>8482</v>
      </c>
      <c r="D270">
        <v>5.6999998092651403</v>
      </c>
      <c r="E270">
        <v>5.6999998092651403</v>
      </c>
      <c r="F270">
        <v>0</v>
      </c>
      <c r="G270">
        <v>0</v>
      </c>
      <c r="H270">
        <v>0</v>
      </c>
      <c r="I270">
        <v>5.6900000572204599</v>
      </c>
      <c r="J270">
        <v>9.9999997764825804E-3</v>
      </c>
      <c r="K270">
        <v>0</v>
      </c>
      <c r="L270">
        <v>0</v>
      </c>
      <c r="M270">
        <v>448</v>
      </c>
      <c r="N270">
        <v>992</v>
      </c>
      <c r="O270">
        <v>2063</v>
      </c>
    </row>
    <row r="271" spans="1:15" x14ac:dyDescent="0.3">
      <c r="A271">
        <v>2873212765</v>
      </c>
      <c r="B271" s="1">
        <v>42476</v>
      </c>
      <c r="C271">
        <v>9685</v>
      </c>
      <c r="D271">
        <v>6.6500000953674299</v>
      </c>
      <c r="E271">
        <v>6.6500000953674299</v>
      </c>
      <c r="F271">
        <v>0</v>
      </c>
      <c r="G271">
        <v>3.1099998950958301</v>
      </c>
      <c r="H271">
        <v>1.9999999552965199E-2</v>
      </c>
      <c r="I271">
        <v>3.5099999904632599</v>
      </c>
      <c r="J271">
        <v>9.9999997764825804E-3</v>
      </c>
      <c r="K271">
        <v>47</v>
      </c>
      <c r="L271">
        <v>1</v>
      </c>
      <c r="M271">
        <v>305</v>
      </c>
      <c r="N271">
        <v>1087</v>
      </c>
      <c r="O271">
        <v>2148</v>
      </c>
    </row>
    <row r="272" spans="1:15" x14ac:dyDescent="0.3">
      <c r="A272">
        <v>2873212765</v>
      </c>
      <c r="B272" s="1">
        <v>42477</v>
      </c>
      <c r="C272">
        <v>2524</v>
      </c>
      <c r="D272">
        <v>1.70000004768372</v>
      </c>
      <c r="E272">
        <v>1.70000004768372</v>
      </c>
      <c r="F272">
        <v>0</v>
      </c>
      <c r="G272">
        <v>0</v>
      </c>
      <c r="H272">
        <v>0.34999999403953602</v>
      </c>
      <c r="I272">
        <v>1.3400000333786</v>
      </c>
      <c r="J272">
        <v>0</v>
      </c>
      <c r="K272">
        <v>0</v>
      </c>
      <c r="L272">
        <v>8</v>
      </c>
      <c r="M272">
        <v>160</v>
      </c>
      <c r="N272">
        <v>1272</v>
      </c>
      <c r="O272">
        <v>1529</v>
      </c>
    </row>
    <row r="273" spans="1:15" x14ac:dyDescent="0.3">
      <c r="A273">
        <v>2873212765</v>
      </c>
      <c r="B273" s="1">
        <v>42478</v>
      </c>
      <c r="C273">
        <v>7762</v>
      </c>
      <c r="D273">
        <v>5.2399997711181596</v>
      </c>
      <c r="E273">
        <v>5.2399997711181596</v>
      </c>
      <c r="F273">
        <v>0</v>
      </c>
      <c r="G273">
        <v>7.0000000298023196E-2</v>
      </c>
      <c r="H273">
        <v>0.28000000119209301</v>
      </c>
      <c r="I273">
        <v>4.8899998664856001</v>
      </c>
      <c r="J273">
        <v>0</v>
      </c>
      <c r="K273">
        <v>1</v>
      </c>
      <c r="L273">
        <v>6</v>
      </c>
      <c r="M273">
        <v>311</v>
      </c>
      <c r="N273">
        <v>1122</v>
      </c>
      <c r="O273">
        <v>1890</v>
      </c>
    </row>
    <row r="274" spans="1:15" x14ac:dyDescent="0.3">
      <c r="A274">
        <v>2873212765</v>
      </c>
      <c r="B274" s="1">
        <v>42479</v>
      </c>
      <c r="C274">
        <v>7948</v>
      </c>
      <c r="D274">
        <v>5.3699998855590803</v>
      </c>
      <c r="E274">
        <v>5.3699998855590803</v>
      </c>
      <c r="F274">
        <v>0</v>
      </c>
      <c r="G274">
        <v>0</v>
      </c>
      <c r="H274">
        <v>0</v>
      </c>
      <c r="I274">
        <v>5.3600001335143999</v>
      </c>
      <c r="J274">
        <v>0</v>
      </c>
      <c r="K274">
        <v>0</v>
      </c>
      <c r="L274">
        <v>0</v>
      </c>
      <c r="M274">
        <v>389</v>
      </c>
      <c r="N274">
        <v>1051</v>
      </c>
      <c r="O274">
        <v>1956</v>
      </c>
    </row>
    <row r="275" spans="1:15" x14ac:dyDescent="0.3">
      <c r="A275">
        <v>2873212765</v>
      </c>
      <c r="B275" s="1">
        <v>42480</v>
      </c>
      <c r="C275">
        <v>9202</v>
      </c>
      <c r="D275">
        <v>6.3000001907348597</v>
      </c>
      <c r="E275">
        <v>6.3000001907348597</v>
      </c>
      <c r="F275">
        <v>0</v>
      </c>
      <c r="G275">
        <v>1.5099999904632599</v>
      </c>
      <c r="H275">
        <v>0.119999997317791</v>
      </c>
      <c r="I275">
        <v>4.6599998474121103</v>
      </c>
      <c r="J275">
        <v>9.9999997764825804E-3</v>
      </c>
      <c r="K275">
        <v>22</v>
      </c>
      <c r="L275">
        <v>5</v>
      </c>
      <c r="M275">
        <v>378</v>
      </c>
      <c r="N275">
        <v>1035</v>
      </c>
      <c r="O275">
        <v>2094</v>
      </c>
    </row>
    <row r="276" spans="1:15" x14ac:dyDescent="0.3">
      <c r="A276">
        <v>2873212765</v>
      </c>
      <c r="B276" s="1">
        <v>42481</v>
      </c>
      <c r="C276">
        <v>8859</v>
      </c>
      <c r="D276">
        <v>5.9800000190734899</v>
      </c>
      <c r="E276">
        <v>5.9800000190734899</v>
      </c>
      <c r="F276">
        <v>0</v>
      </c>
      <c r="G276">
        <v>0.129999995231628</v>
      </c>
      <c r="H276">
        <v>0.37000000476837203</v>
      </c>
      <c r="I276">
        <v>5.4699997901916504</v>
      </c>
      <c r="J276">
        <v>9.9999997764825804E-3</v>
      </c>
      <c r="K276">
        <v>2</v>
      </c>
      <c r="L276">
        <v>10</v>
      </c>
      <c r="M276">
        <v>371</v>
      </c>
      <c r="N276">
        <v>1057</v>
      </c>
      <c r="O276">
        <v>1970</v>
      </c>
    </row>
    <row r="277" spans="1:15" x14ac:dyDescent="0.3">
      <c r="A277">
        <v>2873212765</v>
      </c>
      <c r="B277" s="1">
        <v>42482</v>
      </c>
      <c r="C277">
        <v>7286</v>
      </c>
      <c r="D277">
        <v>4.9000000953674299</v>
      </c>
      <c r="E277">
        <v>4.9000000953674299</v>
      </c>
      <c r="F277">
        <v>0</v>
      </c>
      <c r="G277">
        <v>0.46000000834464999</v>
      </c>
      <c r="H277">
        <v>0</v>
      </c>
      <c r="I277">
        <v>4.4200000762939498</v>
      </c>
      <c r="J277">
        <v>1.9999999552965199E-2</v>
      </c>
      <c r="K277">
        <v>46</v>
      </c>
      <c r="L277">
        <v>0</v>
      </c>
      <c r="M277">
        <v>366</v>
      </c>
      <c r="N277">
        <v>1028</v>
      </c>
      <c r="O277">
        <v>2241</v>
      </c>
    </row>
    <row r="278" spans="1:15" x14ac:dyDescent="0.3">
      <c r="A278">
        <v>2873212765</v>
      </c>
      <c r="B278" s="1">
        <v>42483</v>
      </c>
      <c r="C278">
        <v>9317</v>
      </c>
      <c r="D278">
        <v>6.3499999046325701</v>
      </c>
      <c r="E278">
        <v>6.3499999046325701</v>
      </c>
      <c r="F278">
        <v>0</v>
      </c>
      <c r="G278">
        <v>2.0899999141693102</v>
      </c>
      <c r="H278">
        <v>0.230000004172325</v>
      </c>
      <c r="I278">
        <v>4.0199999809265101</v>
      </c>
      <c r="J278">
        <v>9.9999997764825804E-3</v>
      </c>
      <c r="K278">
        <v>28</v>
      </c>
      <c r="L278">
        <v>5</v>
      </c>
      <c r="M278">
        <v>330</v>
      </c>
      <c r="N278">
        <v>1077</v>
      </c>
      <c r="O278">
        <v>2021</v>
      </c>
    </row>
    <row r="279" spans="1:15" x14ac:dyDescent="0.3">
      <c r="A279">
        <v>2873212765</v>
      </c>
      <c r="B279" s="1">
        <v>42484</v>
      </c>
      <c r="C279">
        <v>6873</v>
      </c>
      <c r="D279">
        <v>4.6799998283386204</v>
      </c>
      <c r="E279">
        <v>4.6799998283386204</v>
      </c>
      <c r="F279">
        <v>0</v>
      </c>
      <c r="G279">
        <v>3</v>
      </c>
      <c r="H279">
        <v>5.9999998658895499E-2</v>
      </c>
      <c r="I279">
        <v>1.62000000476837</v>
      </c>
      <c r="J279">
        <v>0</v>
      </c>
      <c r="K279">
        <v>46</v>
      </c>
      <c r="L279">
        <v>1</v>
      </c>
      <c r="M279">
        <v>190</v>
      </c>
      <c r="N279">
        <v>1203</v>
      </c>
      <c r="O279">
        <v>1898</v>
      </c>
    </row>
    <row r="280" spans="1:15" x14ac:dyDescent="0.3">
      <c r="A280">
        <v>2873212765</v>
      </c>
      <c r="B280" s="1">
        <v>42485</v>
      </c>
      <c r="C280">
        <v>7373</v>
      </c>
      <c r="D280">
        <v>4.9499998092651403</v>
      </c>
      <c r="E280">
        <v>4.9499998092651403</v>
      </c>
      <c r="F280">
        <v>0</v>
      </c>
      <c r="G280">
        <v>0</v>
      </c>
      <c r="H280">
        <v>0</v>
      </c>
      <c r="I280">
        <v>4.9499998092651403</v>
      </c>
      <c r="J280">
        <v>0</v>
      </c>
      <c r="K280">
        <v>0</v>
      </c>
      <c r="L280">
        <v>0</v>
      </c>
      <c r="M280">
        <v>359</v>
      </c>
      <c r="N280">
        <v>1081</v>
      </c>
      <c r="O280">
        <v>1907</v>
      </c>
    </row>
    <row r="281" spans="1:15" x14ac:dyDescent="0.3">
      <c r="A281">
        <v>2873212765</v>
      </c>
      <c r="B281" s="1">
        <v>42486</v>
      </c>
      <c r="C281">
        <v>8242</v>
      </c>
      <c r="D281">
        <v>5.53999996185303</v>
      </c>
      <c r="E281">
        <v>5.53999996185303</v>
      </c>
      <c r="F281">
        <v>0</v>
      </c>
      <c r="G281">
        <v>0.119999997317791</v>
      </c>
      <c r="H281">
        <v>0.18000000715255701</v>
      </c>
      <c r="I281">
        <v>5.2399997711181596</v>
      </c>
      <c r="J281">
        <v>0</v>
      </c>
      <c r="K281">
        <v>2</v>
      </c>
      <c r="L281">
        <v>5</v>
      </c>
      <c r="M281">
        <v>309</v>
      </c>
      <c r="N281">
        <v>1124</v>
      </c>
      <c r="O281">
        <v>1882</v>
      </c>
    </row>
    <row r="282" spans="1:15" x14ac:dyDescent="0.3">
      <c r="A282">
        <v>2873212765</v>
      </c>
      <c r="B282" s="1">
        <v>42487</v>
      </c>
      <c r="C282">
        <v>3516</v>
      </c>
      <c r="D282">
        <v>2.3599998950958301</v>
      </c>
      <c r="E282">
        <v>2.3599998950958301</v>
      </c>
      <c r="F282">
        <v>0</v>
      </c>
      <c r="G282">
        <v>0</v>
      </c>
      <c r="H282">
        <v>0</v>
      </c>
      <c r="I282">
        <v>2.3599998950958301</v>
      </c>
      <c r="J282">
        <v>0</v>
      </c>
      <c r="K282">
        <v>46</v>
      </c>
      <c r="L282">
        <v>0</v>
      </c>
      <c r="M282">
        <v>197</v>
      </c>
      <c r="N282">
        <v>1197</v>
      </c>
      <c r="O282">
        <v>1966</v>
      </c>
    </row>
    <row r="283" spans="1:15" x14ac:dyDescent="0.3">
      <c r="A283">
        <v>2873212765</v>
      </c>
      <c r="B283" s="1">
        <v>42488</v>
      </c>
      <c r="C283">
        <v>7913</v>
      </c>
      <c r="D283">
        <v>5.4099998474121103</v>
      </c>
      <c r="E283">
        <v>5.4099998474121103</v>
      </c>
      <c r="F283">
        <v>0</v>
      </c>
      <c r="G283">
        <v>2.1600000858306898</v>
      </c>
      <c r="H283">
        <v>0.34000000357627902</v>
      </c>
      <c r="I283">
        <v>2.9100000858306898</v>
      </c>
      <c r="J283">
        <v>0</v>
      </c>
      <c r="K283">
        <v>28</v>
      </c>
      <c r="L283">
        <v>7</v>
      </c>
      <c r="M283">
        <v>213</v>
      </c>
      <c r="N283">
        <v>1192</v>
      </c>
      <c r="O283">
        <v>1835</v>
      </c>
    </row>
    <row r="284" spans="1:15" x14ac:dyDescent="0.3">
      <c r="A284">
        <v>2873212765</v>
      </c>
      <c r="B284" s="1">
        <v>42489</v>
      </c>
      <c r="C284">
        <v>7365</v>
      </c>
      <c r="D284">
        <v>4.9499998092651403</v>
      </c>
      <c r="E284">
        <v>4.9499998092651403</v>
      </c>
      <c r="F284">
        <v>0</v>
      </c>
      <c r="G284">
        <v>1.3600000143051101</v>
      </c>
      <c r="H284">
        <v>1.4099999666214</v>
      </c>
      <c r="I284">
        <v>2.1800000667571999</v>
      </c>
      <c r="J284">
        <v>0</v>
      </c>
      <c r="K284">
        <v>20</v>
      </c>
      <c r="L284">
        <v>23</v>
      </c>
      <c r="M284">
        <v>206</v>
      </c>
      <c r="N284">
        <v>1191</v>
      </c>
      <c r="O284">
        <v>1780</v>
      </c>
    </row>
    <row r="285" spans="1:15" x14ac:dyDescent="0.3">
      <c r="A285">
        <v>2873212765</v>
      </c>
      <c r="B285" s="1">
        <v>42490</v>
      </c>
      <c r="C285">
        <v>8452</v>
      </c>
      <c r="D285">
        <v>5.6799998283386204</v>
      </c>
      <c r="E285">
        <v>5.6799998283386204</v>
      </c>
      <c r="F285">
        <v>0</v>
      </c>
      <c r="G285">
        <v>0.33000001311302202</v>
      </c>
      <c r="H285">
        <v>1.08000004291534</v>
      </c>
      <c r="I285">
        <v>4.2600002288818404</v>
      </c>
      <c r="J285">
        <v>9.9999997764825804E-3</v>
      </c>
      <c r="K285">
        <v>5</v>
      </c>
      <c r="L285">
        <v>20</v>
      </c>
      <c r="M285">
        <v>248</v>
      </c>
      <c r="N285">
        <v>1167</v>
      </c>
      <c r="O285">
        <v>1830</v>
      </c>
    </row>
    <row r="286" spans="1:15" x14ac:dyDescent="0.3">
      <c r="A286">
        <v>2873212765</v>
      </c>
      <c r="B286" s="1">
        <v>42491</v>
      </c>
      <c r="C286">
        <v>7399</v>
      </c>
      <c r="D286">
        <v>4.9699997901916504</v>
      </c>
      <c r="E286">
        <v>4.9699997901916504</v>
      </c>
      <c r="F286">
        <v>0</v>
      </c>
      <c r="G286">
        <v>0.490000009536743</v>
      </c>
      <c r="H286">
        <v>1.03999996185303</v>
      </c>
      <c r="I286">
        <v>3.4400000572204599</v>
      </c>
      <c r="J286">
        <v>0</v>
      </c>
      <c r="K286">
        <v>7</v>
      </c>
      <c r="L286">
        <v>18</v>
      </c>
      <c r="M286">
        <v>196</v>
      </c>
      <c r="N286">
        <v>1219</v>
      </c>
      <c r="O286">
        <v>1739</v>
      </c>
    </row>
    <row r="287" spans="1:15" x14ac:dyDescent="0.3">
      <c r="A287">
        <v>2873212765</v>
      </c>
      <c r="B287" s="1">
        <v>42492</v>
      </c>
      <c r="C287">
        <v>7525</v>
      </c>
      <c r="D287">
        <v>5.0599999427795401</v>
      </c>
      <c r="E287">
        <v>5.0599999427795401</v>
      </c>
      <c r="F287">
        <v>0</v>
      </c>
      <c r="G287">
        <v>0</v>
      </c>
      <c r="H287">
        <v>0.20999999344348899</v>
      </c>
      <c r="I287">
        <v>4.8299999237060502</v>
      </c>
      <c r="J287">
        <v>1.9999999552965199E-2</v>
      </c>
      <c r="K287">
        <v>0</v>
      </c>
      <c r="L287">
        <v>7</v>
      </c>
      <c r="M287">
        <v>334</v>
      </c>
      <c r="N287">
        <v>1099</v>
      </c>
      <c r="O287">
        <v>1878</v>
      </c>
    </row>
    <row r="288" spans="1:15" x14ac:dyDescent="0.3">
      <c r="A288">
        <v>2873212765</v>
      </c>
      <c r="B288" s="1">
        <v>42493</v>
      </c>
      <c r="C288">
        <v>7412</v>
      </c>
      <c r="D288">
        <v>4.9800000190734899</v>
      </c>
      <c r="E288">
        <v>4.9800000190734899</v>
      </c>
      <c r="F288">
        <v>0</v>
      </c>
      <c r="G288">
        <v>5.9999998658895499E-2</v>
      </c>
      <c r="H288">
        <v>0.25</v>
      </c>
      <c r="I288">
        <v>4.6599998474121103</v>
      </c>
      <c r="J288">
        <v>9.9999997764825804E-3</v>
      </c>
      <c r="K288">
        <v>1</v>
      </c>
      <c r="L288">
        <v>6</v>
      </c>
      <c r="M288">
        <v>363</v>
      </c>
      <c r="N288">
        <v>1070</v>
      </c>
      <c r="O288">
        <v>1906</v>
      </c>
    </row>
    <row r="289" spans="1:15" x14ac:dyDescent="0.3">
      <c r="A289">
        <v>2873212765</v>
      </c>
      <c r="B289" s="1">
        <v>42494</v>
      </c>
      <c r="C289">
        <v>8278</v>
      </c>
      <c r="D289">
        <v>5.5599999427795401</v>
      </c>
      <c r="E289">
        <v>5.5599999427795401</v>
      </c>
      <c r="F289">
        <v>0</v>
      </c>
      <c r="G289">
        <v>0</v>
      </c>
      <c r="H289">
        <v>0</v>
      </c>
      <c r="I289">
        <v>5.5599999427795401</v>
      </c>
      <c r="J289">
        <v>0</v>
      </c>
      <c r="K289">
        <v>0</v>
      </c>
      <c r="L289">
        <v>0</v>
      </c>
      <c r="M289">
        <v>420</v>
      </c>
      <c r="N289">
        <v>1020</v>
      </c>
      <c r="O289">
        <v>2015</v>
      </c>
    </row>
    <row r="290" spans="1:15" x14ac:dyDescent="0.3">
      <c r="A290">
        <v>2873212765</v>
      </c>
      <c r="B290" s="1">
        <v>42495</v>
      </c>
      <c r="C290">
        <v>8314</v>
      </c>
      <c r="D290">
        <v>5.6100001335143999</v>
      </c>
      <c r="E290">
        <v>5.6100001335143999</v>
      </c>
      <c r="F290">
        <v>0</v>
      </c>
      <c r="G290">
        <v>0.77999997138977095</v>
      </c>
      <c r="H290">
        <v>0.80000001192092896</v>
      </c>
      <c r="I290">
        <v>4.0300002098083496</v>
      </c>
      <c r="J290">
        <v>0</v>
      </c>
      <c r="K290">
        <v>13</v>
      </c>
      <c r="L290">
        <v>23</v>
      </c>
      <c r="M290">
        <v>311</v>
      </c>
      <c r="N290">
        <v>1093</v>
      </c>
      <c r="O290">
        <v>1971</v>
      </c>
    </row>
    <row r="291" spans="1:15" x14ac:dyDescent="0.3">
      <c r="A291">
        <v>2873212765</v>
      </c>
      <c r="B291" s="1">
        <v>42496</v>
      </c>
      <c r="C291">
        <v>7063</v>
      </c>
      <c r="D291">
        <v>4.75</v>
      </c>
      <c r="E291">
        <v>4.75</v>
      </c>
      <c r="F291">
        <v>0</v>
      </c>
      <c r="G291">
        <v>0</v>
      </c>
      <c r="H291">
        <v>0.119999997317791</v>
      </c>
      <c r="I291">
        <v>4.6100001335143999</v>
      </c>
      <c r="J291">
        <v>9.9999997764825804E-3</v>
      </c>
      <c r="K291">
        <v>0</v>
      </c>
      <c r="L291">
        <v>5</v>
      </c>
      <c r="M291">
        <v>370</v>
      </c>
      <c r="N291">
        <v>1065</v>
      </c>
      <c r="O291">
        <v>1910</v>
      </c>
    </row>
    <row r="292" spans="1:15" x14ac:dyDescent="0.3">
      <c r="A292">
        <v>2873212765</v>
      </c>
      <c r="B292" s="1">
        <v>42497</v>
      </c>
      <c r="C292">
        <v>4940</v>
      </c>
      <c r="D292">
        <v>3.3800001144409202</v>
      </c>
      <c r="E292">
        <v>3.3800001144409202</v>
      </c>
      <c r="F292">
        <v>0</v>
      </c>
      <c r="G292">
        <v>2.2799999713897701</v>
      </c>
      <c r="H292">
        <v>0.55000001192092896</v>
      </c>
      <c r="I292">
        <v>0.55000001192092896</v>
      </c>
      <c r="J292">
        <v>0</v>
      </c>
      <c r="K292">
        <v>75</v>
      </c>
      <c r="L292">
        <v>11</v>
      </c>
      <c r="M292">
        <v>52</v>
      </c>
      <c r="N292">
        <v>1302</v>
      </c>
      <c r="O292">
        <v>1897</v>
      </c>
    </row>
    <row r="293" spans="1:15" x14ac:dyDescent="0.3">
      <c r="A293">
        <v>2873212765</v>
      </c>
      <c r="B293" s="1">
        <v>42498</v>
      </c>
      <c r="C293">
        <v>8168</v>
      </c>
      <c r="D293">
        <v>5.53999996185303</v>
      </c>
      <c r="E293">
        <v>5.53999996185303</v>
      </c>
      <c r="F293">
        <v>0</v>
      </c>
      <c r="G293">
        <v>2.9000000953674299</v>
      </c>
      <c r="H293">
        <v>0</v>
      </c>
      <c r="I293">
        <v>2.6400001049041699</v>
      </c>
      <c r="J293">
        <v>0</v>
      </c>
      <c r="K293">
        <v>46</v>
      </c>
      <c r="L293">
        <v>0</v>
      </c>
      <c r="M293">
        <v>326</v>
      </c>
      <c r="N293">
        <v>1068</v>
      </c>
      <c r="O293">
        <v>2096</v>
      </c>
    </row>
    <row r="294" spans="1:15" x14ac:dyDescent="0.3">
      <c r="A294">
        <v>2873212765</v>
      </c>
      <c r="B294" s="1">
        <v>42499</v>
      </c>
      <c r="C294">
        <v>7726</v>
      </c>
      <c r="D294">
        <v>5.1900000572204599</v>
      </c>
      <c r="E294">
        <v>5.1900000572204599</v>
      </c>
      <c r="F294">
        <v>0</v>
      </c>
      <c r="G294">
        <v>0</v>
      </c>
      <c r="H294">
        <v>0</v>
      </c>
      <c r="I294">
        <v>5.1900000572204599</v>
      </c>
      <c r="J294">
        <v>0</v>
      </c>
      <c r="K294">
        <v>0</v>
      </c>
      <c r="L294">
        <v>0</v>
      </c>
      <c r="M294">
        <v>345</v>
      </c>
      <c r="N294">
        <v>1095</v>
      </c>
      <c r="O294">
        <v>1906</v>
      </c>
    </row>
    <row r="295" spans="1:15" x14ac:dyDescent="0.3">
      <c r="A295">
        <v>2873212765</v>
      </c>
      <c r="B295" s="1">
        <v>42500</v>
      </c>
      <c r="C295">
        <v>8275</v>
      </c>
      <c r="D295">
        <v>5.5599999427795401</v>
      </c>
      <c r="E295">
        <v>5.5599999427795401</v>
      </c>
      <c r="F295">
        <v>0</v>
      </c>
      <c r="G295">
        <v>0</v>
      </c>
      <c r="H295">
        <v>0</v>
      </c>
      <c r="I295">
        <v>5.5500001907348597</v>
      </c>
      <c r="J295">
        <v>9.9999997764825804E-3</v>
      </c>
      <c r="K295">
        <v>0</v>
      </c>
      <c r="L295">
        <v>0</v>
      </c>
      <c r="M295">
        <v>373</v>
      </c>
      <c r="N295">
        <v>1067</v>
      </c>
      <c r="O295">
        <v>1962</v>
      </c>
    </row>
    <row r="296" spans="1:15" x14ac:dyDescent="0.3">
      <c r="A296">
        <v>2873212765</v>
      </c>
      <c r="B296" s="1">
        <v>42501</v>
      </c>
      <c r="C296">
        <v>6440</v>
      </c>
      <c r="D296">
        <v>4.3299999237060502</v>
      </c>
      <c r="E296">
        <v>4.3299999237060502</v>
      </c>
      <c r="F296">
        <v>0</v>
      </c>
      <c r="G296">
        <v>0</v>
      </c>
      <c r="H296">
        <v>0</v>
      </c>
      <c r="I296">
        <v>4.3200001716613796</v>
      </c>
      <c r="J296">
        <v>9.9999997764825804E-3</v>
      </c>
      <c r="K296">
        <v>0</v>
      </c>
      <c r="L296">
        <v>0</v>
      </c>
      <c r="M296">
        <v>319</v>
      </c>
      <c r="N296">
        <v>1121</v>
      </c>
      <c r="O296">
        <v>1826</v>
      </c>
    </row>
    <row r="297" spans="1:15" x14ac:dyDescent="0.3">
      <c r="A297">
        <v>2873212765</v>
      </c>
      <c r="B297" s="1">
        <v>42502</v>
      </c>
      <c r="C297">
        <v>7566</v>
      </c>
      <c r="D297">
        <v>5.1100001335143999</v>
      </c>
      <c r="E297">
        <v>5.1100001335143999</v>
      </c>
      <c r="F297">
        <v>0</v>
      </c>
      <c r="G297">
        <v>0</v>
      </c>
      <c r="H297">
        <v>0</v>
      </c>
      <c r="I297">
        <v>5.1100001335143999</v>
      </c>
      <c r="J297">
        <v>0</v>
      </c>
      <c r="K297">
        <v>0</v>
      </c>
      <c r="L297">
        <v>0</v>
      </c>
      <c r="M297">
        <v>268</v>
      </c>
      <c r="N297">
        <v>720</v>
      </c>
      <c r="O297">
        <v>1431</v>
      </c>
    </row>
    <row r="298" spans="1:15" x14ac:dyDescent="0.3">
      <c r="A298">
        <v>3372868164</v>
      </c>
      <c r="B298" s="1">
        <v>42472</v>
      </c>
      <c r="C298">
        <v>4747</v>
      </c>
      <c r="D298">
        <v>3.2400000095367401</v>
      </c>
      <c r="E298">
        <v>3.2400000095367401</v>
      </c>
      <c r="F298">
        <v>0</v>
      </c>
      <c r="G298">
        <v>0</v>
      </c>
      <c r="H298">
        <v>0</v>
      </c>
      <c r="I298">
        <v>3.2300000190734899</v>
      </c>
      <c r="J298">
        <v>9.9999997764825804E-3</v>
      </c>
      <c r="K298">
        <v>0</v>
      </c>
      <c r="L298">
        <v>0</v>
      </c>
      <c r="M298">
        <v>280</v>
      </c>
      <c r="N298">
        <v>1160</v>
      </c>
      <c r="O298">
        <v>1788</v>
      </c>
    </row>
    <row r="299" spans="1:15" x14ac:dyDescent="0.3">
      <c r="A299">
        <v>3372868164</v>
      </c>
      <c r="B299" s="1">
        <v>42473</v>
      </c>
      <c r="C299">
        <v>9715</v>
      </c>
      <c r="D299">
        <v>6.6300001144409197</v>
      </c>
      <c r="E299">
        <v>6.6300001144409197</v>
      </c>
      <c r="F299">
        <v>0</v>
      </c>
      <c r="G299">
        <v>0.99000000953674305</v>
      </c>
      <c r="H299">
        <v>0.34000000357627902</v>
      </c>
      <c r="I299">
        <v>5.2699999809265101</v>
      </c>
      <c r="J299">
        <v>1.9999999552965199E-2</v>
      </c>
      <c r="K299">
        <v>16</v>
      </c>
      <c r="L299">
        <v>8</v>
      </c>
      <c r="M299">
        <v>371</v>
      </c>
      <c r="N299">
        <v>1045</v>
      </c>
      <c r="O299">
        <v>2093</v>
      </c>
    </row>
    <row r="300" spans="1:15" x14ac:dyDescent="0.3">
      <c r="A300">
        <v>3372868164</v>
      </c>
      <c r="B300" s="1">
        <v>42474</v>
      </c>
      <c r="C300">
        <v>8844</v>
      </c>
      <c r="D300">
        <v>6.0300002098083496</v>
      </c>
      <c r="E300">
        <v>6.0300002098083496</v>
      </c>
      <c r="F300">
        <v>0</v>
      </c>
      <c r="G300">
        <v>0.34000000357627902</v>
      </c>
      <c r="H300">
        <v>1.0299999713897701</v>
      </c>
      <c r="I300">
        <v>4.6500000953674299</v>
      </c>
      <c r="J300">
        <v>9.9999997764825804E-3</v>
      </c>
      <c r="K300">
        <v>6</v>
      </c>
      <c r="L300">
        <v>25</v>
      </c>
      <c r="M300">
        <v>370</v>
      </c>
      <c r="N300">
        <v>1039</v>
      </c>
      <c r="O300">
        <v>2065</v>
      </c>
    </row>
    <row r="301" spans="1:15" x14ac:dyDescent="0.3">
      <c r="A301">
        <v>3372868164</v>
      </c>
      <c r="B301" s="1">
        <v>42475</v>
      </c>
      <c r="C301">
        <v>7451</v>
      </c>
      <c r="D301">
        <v>5.0799999237060502</v>
      </c>
      <c r="E301">
        <v>5.0799999237060502</v>
      </c>
      <c r="F301">
        <v>0</v>
      </c>
      <c r="G301">
        <v>0</v>
      </c>
      <c r="H301">
        <v>0</v>
      </c>
      <c r="I301">
        <v>5.0599999427795401</v>
      </c>
      <c r="J301">
        <v>1.9999999552965199E-2</v>
      </c>
      <c r="K301">
        <v>0</v>
      </c>
      <c r="L301">
        <v>0</v>
      </c>
      <c r="M301">
        <v>335</v>
      </c>
      <c r="N301">
        <v>1105</v>
      </c>
      <c r="O301">
        <v>1908</v>
      </c>
    </row>
    <row r="302" spans="1:15" x14ac:dyDescent="0.3">
      <c r="A302">
        <v>3372868164</v>
      </c>
      <c r="B302" s="1">
        <v>42476</v>
      </c>
      <c r="C302">
        <v>6905</v>
      </c>
      <c r="D302">
        <v>4.7300000190734899</v>
      </c>
      <c r="E302">
        <v>4.7300000190734899</v>
      </c>
      <c r="F302">
        <v>0</v>
      </c>
      <c r="G302">
        <v>0</v>
      </c>
      <c r="H302">
        <v>0</v>
      </c>
      <c r="I302">
        <v>4.6999998092651403</v>
      </c>
      <c r="J302">
        <v>2.9999999329447701E-2</v>
      </c>
      <c r="K302">
        <v>0</v>
      </c>
      <c r="L302">
        <v>0</v>
      </c>
      <c r="M302">
        <v>356</v>
      </c>
      <c r="N302">
        <v>1084</v>
      </c>
      <c r="O302">
        <v>1908</v>
      </c>
    </row>
    <row r="303" spans="1:15" x14ac:dyDescent="0.3">
      <c r="A303">
        <v>3372868164</v>
      </c>
      <c r="B303" s="1">
        <v>42477</v>
      </c>
      <c r="C303">
        <v>8199</v>
      </c>
      <c r="D303">
        <v>5.8800001144409197</v>
      </c>
      <c r="E303">
        <v>5.8800001144409197</v>
      </c>
      <c r="F303">
        <v>0</v>
      </c>
      <c r="G303">
        <v>1.4099999666214</v>
      </c>
      <c r="H303">
        <v>0.10000000149011599</v>
      </c>
      <c r="I303">
        <v>4.3600001335143999</v>
      </c>
      <c r="J303">
        <v>9.9999997764825804E-3</v>
      </c>
      <c r="K303">
        <v>11</v>
      </c>
      <c r="L303">
        <v>2</v>
      </c>
      <c r="M303">
        <v>322</v>
      </c>
      <c r="N303">
        <v>1105</v>
      </c>
      <c r="O303">
        <v>1964</v>
      </c>
    </row>
    <row r="304" spans="1:15" x14ac:dyDescent="0.3">
      <c r="A304">
        <v>3372868164</v>
      </c>
      <c r="B304" s="1">
        <v>42478</v>
      </c>
      <c r="C304">
        <v>6798</v>
      </c>
      <c r="D304">
        <v>4.6399998664856001</v>
      </c>
      <c r="E304">
        <v>4.6399998664856001</v>
      </c>
      <c r="F304">
        <v>0</v>
      </c>
      <c r="G304">
        <v>1.08000004291534</v>
      </c>
      <c r="H304">
        <v>0.20000000298023199</v>
      </c>
      <c r="I304">
        <v>3.3499999046325701</v>
      </c>
      <c r="J304">
        <v>0</v>
      </c>
      <c r="K304">
        <v>20</v>
      </c>
      <c r="L304">
        <v>7</v>
      </c>
      <c r="M304">
        <v>343</v>
      </c>
      <c r="N304">
        <v>1070</v>
      </c>
      <c r="O304">
        <v>2014</v>
      </c>
    </row>
    <row r="305" spans="1:15" x14ac:dyDescent="0.3">
      <c r="A305">
        <v>3372868164</v>
      </c>
      <c r="B305" s="1">
        <v>42479</v>
      </c>
      <c r="C305">
        <v>7711</v>
      </c>
      <c r="D305">
        <v>5.2600002288818404</v>
      </c>
      <c r="E305">
        <v>5.2600002288818404</v>
      </c>
      <c r="F305">
        <v>0</v>
      </c>
      <c r="G305">
        <v>0</v>
      </c>
      <c r="H305">
        <v>0</v>
      </c>
      <c r="I305">
        <v>5.2399997711181596</v>
      </c>
      <c r="J305">
        <v>1.9999999552965199E-2</v>
      </c>
      <c r="K305">
        <v>0</v>
      </c>
      <c r="L305">
        <v>0</v>
      </c>
      <c r="M305">
        <v>376</v>
      </c>
      <c r="N305">
        <v>1064</v>
      </c>
      <c r="O305">
        <v>1985</v>
      </c>
    </row>
    <row r="306" spans="1:15" x14ac:dyDescent="0.3">
      <c r="A306">
        <v>3372868164</v>
      </c>
      <c r="B306" s="1">
        <v>42480</v>
      </c>
      <c r="C306">
        <v>4880</v>
      </c>
      <c r="D306">
        <v>3.3299999237060498</v>
      </c>
      <c r="E306">
        <v>3.3299999237060498</v>
      </c>
      <c r="F306">
        <v>0</v>
      </c>
      <c r="G306">
        <v>0.83999997377395597</v>
      </c>
      <c r="H306">
        <v>9.00000035762787E-2</v>
      </c>
      <c r="I306">
        <v>2.3800001144409202</v>
      </c>
      <c r="J306">
        <v>1.9999999552965199E-2</v>
      </c>
      <c r="K306">
        <v>15</v>
      </c>
      <c r="L306">
        <v>3</v>
      </c>
      <c r="M306">
        <v>274</v>
      </c>
      <c r="N306">
        <v>1148</v>
      </c>
      <c r="O306">
        <v>1867</v>
      </c>
    </row>
    <row r="307" spans="1:15" x14ac:dyDescent="0.3">
      <c r="A307">
        <v>3372868164</v>
      </c>
      <c r="B307" s="1">
        <v>42481</v>
      </c>
      <c r="C307">
        <v>8857</v>
      </c>
      <c r="D307">
        <v>6.0700001716613796</v>
      </c>
      <c r="E307">
        <v>6.0700001716613796</v>
      </c>
      <c r="F307">
        <v>0</v>
      </c>
      <c r="G307">
        <v>1.1499999761581401</v>
      </c>
      <c r="H307">
        <v>0.259999990463257</v>
      </c>
      <c r="I307">
        <v>4.6399998664856001</v>
      </c>
      <c r="J307">
        <v>9.9999997764825804E-3</v>
      </c>
      <c r="K307">
        <v>18</v>
      </c>
      <c r="L307">
        <v>9</v>
      </c>
      <c r="M307">
        <v>376</v>
      </c>
      <c r="N307">
        <v>1037</v>
      </c>
      <c r="O307">
        <v>2124</v>
      </c>
    </row>
    <row r="308" spans="1:15" x14ac:dyDescent="0.3">
      <c r="A308">
        <v>3372868164</v>
      </c>
      <c r="B308" s="1">
        <v>42482</v>
      </c>
      <c r="C308">
        <v>3843</v>
      </c>
      <c r="D308">
        <v>2.6199998855590798</v>
      </c>
      <c r="E308">
        <v>2.6199998855590798</v>
      </c>
      <c r="F308">
        <v>0</v>
      </c>
      <c r="G308">
        <v>0</v>
      </c>
      <c r="H308">
        <v>0</v>
      </c>
      <c r="I308">
        <v>2.6099998950958301</v>
      </c>
      <c r="J308">
        <v>9.9999997764825804E-3</v>
      </c>
      <c r="K308">
        <v>0</v>
      </c>
      <c r="L308">
        <v>0</v>
      </c>
      <c r="M308">
        <v>206</v>
      </c>
      <c r="N308">
        <v>1234</v>
      </c>
      <c r="O308">
        <v>1669</v>
      </c>
    </row>
    <row r="309" spans="1:15" x14ac:dyDescent="0.3">
      <c r="A309">
        <v>3372868164</v>
      </c>
      <c r="B309" s="1">
        <v>42483</v>
      </c>
      <c r="C309">
        <v>7396</v>
      </c>
      <c r="D309">
        <v>5.0700001716613796</v>
      </c>
      <c r="E309">
        <v>5.0700001716613796</v>
      </c>
      <c r="F309">
        <v>0</v>
      </c>
      <c r="G309">
        <v>1.3999999761581401</v>
      </c>
      <c r="H309">
        <v>7.9999998211860698E-2</v>
      </c>
      <c r="I309">
        <v>3.5799999237060498</v>
      </c>
      <c r="J309">
        <v>0</v>
      </c>
      <c r="K309">
        <v>20</v>
      </c>
      <c r="L309">
        <v>2</v>
      </c>
      <c r="M309">
        <v>303</v>
      </c>
      <c r="N309">
        <v>1115</v>
      </c>
      <c r="O309">
        <v>1995</v>
      </c>
    </row>
    <row r="310" spans="1:15" x14ac:dyDescent="0.3">
      <c r="A310">
        <v>3372868164</v>
      </c>
      <c r="B310" s="1">
        <v>42484</v>
      </c>
      <c r="C310">
        <v>6731</v>
      </c>
      <c r="D310">
        <v>4.5900001525878897</v>
      </c>
      <c r="E310">
        <v>4.5900001525878897</v>
      </c>
      <c r="F310">
        <v>0</v>
      </c>
      <c r="G310">
        <v>0.88999998569488503</v>
      </c>
      <c r="H310">
        <v>0.18999999761581399</v>
      </c>
      <c r="I310">
        <v>3.4900000095367401</v>
      </c>
      <c r="J310">
        <v>1.9999999552965199E-2</v>
      </c>
      <c r="K310">
        <v>14</v>
      </c>
      <c r="L310">
        <v>7</v>
      </c>
      <c r="M310">
        <v>292</v>
      </c>
      <c r="N310">
        <v>1127</v>
      </c>
      <c r="O310">
        <v>1921</v>
      </c>
    </row>
    <row r="311" spans="1:15" x14ac:dyDescent="0.3">
      <c r="A311">
        <v>3372868164</v>
      </c>
      <c r="B311" s="1">
        <v>42485</v>
      </c>
      <c r="C311">
        <v>5995</v>
      </c>
      <c r="D311">
        <v>4.0900001525878897</v>
      </c>
      <c r="E311">
        <v>4.0900001525878897</v>
      </c>
      <c r="F311">
        <v>0</v>
      </c>
      <c r="G311">
        <v>0</v>
      </c>
      <c r="H311">
        <v>0</v>
      </c>
      <c r="I311">
        <v>4.0900001525878897</v>
      </c>
      <c r="J311">
        <v>0</v>
      </c>
      <c r="K311">
        <v>0</v>
      </c>
      <c r="L311">
        <v>0</v>
      </c>
      <c r="M311">
        <v>416</v>
      </c>
      <c r="N311">
        <v>1024</v>
      </c>
      <c r="O311">
        <v>2010</v>
      </c>
    </row>
    <row r="312" spans="1:15" x14ac:dyDescent="0.3">
      <c r="A312">
        <v>3372868164</v>
      </c>
      <c r="B312" s="1">
        <v>42486</v>
      </c>
      <c r="C312">
        <v>8283</v>
      </c>
      <c r="D312">
        <v>5.78999996185303</v>
      </c>
      <c r="E312">
        <v>5.78999996185303</v>
      </c>
      <c r="F312">
        <v>0</v>
      </c>
      <c r="G312">
        <v>1.8500000238418599</v>
      </c>
      <c r="H312">
        <v>5.0000000745058101E-2</v>
      </c>
      <c r="I312">
        <v>3.8699998855590798</v>
      </c>
      <c r="J312">
        <v>9.9999997764825804E-3</v>
      </c>
      <c r="K312">
        <v>22</v>
      </c>
      <c r="L312">
        <v>2</v>
      </c>
      <c r="M312">
        <v>333</v>
      </c>
      <c r="N312">
        <v>1083</v>
      </c>
      <c r="O312">
        <v>2057</v>
      </c>
    </row>
    <row r="313" spans="1:15" x14ac:dyDescent="0.3">
      <c r="A313">
        <v>3372868164</v>
      </c>
      <c r="B313" s="1">
        <v>42487</v>
      </c>
      <c r="C313">
        <v>7904</v>
      </c>
      <c r="D313">
        <v>5.4200000762939498</v>
      </c>
      <c r="E313">
        <v>5.4200000762939498</v>
      </c>
      <c r="F313">
        <v>0</v>
      </c>
      <c r="G313">
        <v>1.58000004291534</v>
      </c>
      <c r="H313">
        <v>0.62999999523162797</v>
      </c>
      <c r="I313">
        <v>3.1900000572204599</v>
      </c>
      <c r="J313">
        <v>9.9999997764825804E-3</v>
      </c>
      <c r="K313">
        <v>24</v>
      </c>
      <c r="L313">
        <v>13</v>
      </c>
      <c r="M313">
        <v>346</v>
      </c>
      <c r="N313">
        <v>1057</v>
      </c>
      <c r="O313">
        <v>2095</v>
      </c>
    </row>
    <row r="314" spans="1:15" x14ac:dyDescent="0.3">
      <c r="A314">
        <v>3372868164</v>
      </c>
      <c r="B314" s="1">
        <v>42488</v>
      </c>
      <c r="C314">
        <v>5512</v>
      </c>
      <c r="D314">
        <v>3.7599999904632599</v>
      </c>
      <c r="E314">
        <v>3.7599999904632599</v>
      </c>
      <c r="F314">
        <v>0</v>
      </c>
      <c r="G314">
        <v>0</v>
      </c>
      <c r="H314">
        <v>0</v>
      </c>
      <c r="I314">
        <v>3.7599999904632599</v>
      </c>
      <c r="J314">
        <v>0</v>
      </c>
      <c r="K314">
        <v>0</v>
      </c>
      <c r="L314">
        <v>0</v>
      </c>
      <c r="M314">
        <v>385</v>
      </c>
      <c r="N314">
        <v>1055</v>
      </c>
      <c r="O314">
        <v>1972</v>
      </c>
    </row>
    <row r="315" spans="1:15" x14ac:dyDescent="0.3">
      <c r="A315">
        <v>3372868164</v>
      </c>
      <c r="B315" s="1">
        <v>42489</v>
      </c>
      <c r="C315">
        <v>9135</v>
      </c>
      <c r="D315">
        <v>6.2300000190734899</v>
      </c>
      <c r="E315">
        <v>6.2300000190734899</v>
      </c>
      <c r="F315">
        <v>0</v>
      </c>
      <c r="G315">
        <v>0</v>
      </c>
      <c r="H315">
        <v>0</v>
      </c>
      <c r="I315">
        <v>6.2199997901916504</v>
      </c>
      <c r="J315">
        <v>9.9999997764825804E-3</v>
      </c>
      <c r="K315">
        <v>0</v>
      </c>
      <c r="L315">
        <v>0</v>
      </c>
      <c r="M315">
        <v>402</v>
      </c>
      <c r="N315">
        <v>1038</v>
      </c>
      <c r="O315">
        <v>2044</v>
      </c>
    </row>
    <row r="316" spans="1:15" x14ac:dyDescent="0.3">
      <c r="A316">
        <v>3372868164</v>
      </c>
      <c r="B316" s="1">
        <v>42490</v>
      </c>
      <c r="C316">
        <v>5250</v>
      </c>
      <c r="D316">
        <v>3.5799999237060498</v>
      </c>
      <c r="E316">
        <v>3.5799999237060498</v>
      </c>
      <c r="F316">
        <v>0</v>
      </c>
      <c r="G316">
        <v>1.0599999427795399</v>
      </c>
      <c r="H316">
        <v>9.00000035762787E-2</v>
      </c>
      <c r="I316">
        <v>2.4200000762939502</v>
      </c>
      <c r="J316">
        <v>9.9999997764825804E-3</v>
      </c>
      <c r="K316">
        <v>17</v>
      </c>
      <c r="L316">
        <v>4</v>
      </c>
      <c r="M316">
        <v>300</v>
      </c>
      <c r="N316">
        <v>1119</v>
      </c>
      <c r="O316">
        <v>1946</v>
      </c>
    </row>
    <row r="317" spans="1:15" x14ac:dyDescent="0.3">
      <c r="A317">
        <v>3372868164</v>
      </c>
      <c r="B317" s="1">
        <v>42491</v>
      </c>
      <c r="C317">
        <v>3077</v>
      </c>
      <c r="D317">
        <v>2.0999999046325701</v>
      </c>
      <c r="E317">
        <v>2.0999999046325701</v>
      </c>
      <c r="F317">
        <v>0</v>
      </c>
      <c r="G317">
        <v>0</v>
      </c>
      <c r="H317">
        <v>0</v>
      </c>
      <c r="I317">
        <v>2.0899999141693102</v>
      </c>
      <c r="J317">
        <v>0</v>
      </c>
      <c r="K317">
        <v>0</v>
      </c>
      <c r="L317">
        <v>0</v>
      </c>
      <c r="M317">
        <v>172</v>
      </c>
      <c r="N317">
        <v>842</v>
      </c>
      <c r="O317">
        <v>1237</v>
      </c>
    </row>
    <row r="318" spans="1:15" x14ac:dyDescent="0.3">
      <c r="A318">
        <v>3977333714</v>
      </c>
      <c r="B318" s="1">
        <v>42472</v>
      </c>
      <c r="C318">
        <v>8856</v>
      </c>
      <c r="D318">
        <v>5.9800000190734899</v>
      </c>
      <c r="E318">
        <v>5.9800000190734899</v>
      </c>
      <c r="F318">
        <v>0</v>
      </c>
      <c r="G318">
        <v>3.0599999427795401</v>
      </c>
      <c r="H318">
        <v>0.91000002622604403</v>
      </c>
      <c r="I318">
        <v>2.0099999904632599</v>
      </c>
      <c r="J318">
        <v>0</v>
      </c>
      <c r="K318">
        <v>44</v>
      </c>
      <c r="L318">
        <v>19</v>
      </c>
      <c r="M318">
        <v>131</v>
      </c>
      <c r="N318">
        <v>777</v>
      </c>
      <c r="O318">
        <v>1450</v>
      </c>
    </row>
    <row r="319" spans="1:15" x14ac:dyDescent="0.3">
      <c r="A319">
        <v>3977333714</v>
      </c>
      <c r="B319" s="1">
        <v>42473</v>
      </c>
      <c r="C319">
        <v>10035</v>
      </c>
      <c r="D319">
        <v>6.71000003814697</v>
      </c>
      <c r="E319">
        <v>6.71000003814697</v>
      </c>
      <c r="F319">
        <v>0</v>
      </c>
      <c r="G319">
        <v>2.0299999713897701</v>
      </c>
      <c r="H319">
        <v>2.1300001144409202</v>
      </c>
      <c r="I319">
        <v>2.5499999523162802</v>
      </c>
      <c r="J319">
        <v>0</v>
      </c>
      <c r="K319">
        <v>31</v>
      </c>
      <c r="L319">
        <v>46</v>
      </c>
      <c r="M319">
        <v>153</v>
      </c>
      <c r="N319">
        <v>754</v>
      </c>
      <c r="O319">
        <v>1495</v>
      </c>
    </row>
    <row r="320" spans="1:15" x14ac:dyDescent="0.3">
      <c r="A320">
        <v>3977333714</v>
      </c>
      <c r="B320" s="1">
        <v>42474</v>
      </c>
      <c r="C320">
        <v>7641</v>
      </c>
      <c r="D320">
        <v>5.1100001335143999</v>
      </c>
      <c r="E320">
        <v>5.1100001335143999</v>
      </c>
      <c r="F320">
        <v>0</v>
      </c>
      <c r="G320">
        <v>0.31999999284744302</v>
      </c>
      <c r="H320">
        <v>0.97000002861022905</v>
      </c>
      <c r="I320">
        <v>3.8199999332428001</v>
      </c>
      <c r="J320">
        <v>0</v>
      </c>
      <c r="K320">
        <v>5</v>
      </c>
      <c r="L320">
        <v>23</v>
      </c>
      <c r="M320">
        <v>214</v>
      </c>
      <c r="N320">
        <v>801</v>
      </c>
      <c r="O320">
        <v>1433</v>
      </c>
    </row>
    <row r="321" spans="1:15" x14ac:dyDescent="0.3">
      <c r="A321">
        <v>3977333714</v>
      </c>
      <c r="B321" s="1">
        <v>42475</v>
      </c>
      <c r="C321">
        <v>9010</v>
      </c>
      <c r="D321">
        <v>6.0599999427795401</v>
      </c>
      <c r="E321">
        <v>6.0599999427795401</v>
      </c>
      <c r="F321">
        <v>0</v>
      </c>
      <c r="G321">
        <v>1.04999995231628</v>
      </c>
      <c r="H321">
        <v>1.75</v>
      </c>
      <c r="I321">
        <v>3.2599999904632599</v>
      </c>
      <c r="J321">
        <v>0</v>
      </c>
      <c r="K321">
        <v>15</v>
      </c>
      <c r="L321">
        <v>42</v>
      </c>
      <c r="M321">
        <v>183</v>
      </c>
      <c r="N321">
        <v>644</v>
      </c>
      <c r="O321">
        <v>1468</v>
      </c>
    </row>
    <row r="322" spans="1:15" x14ac:dyDescent="0.3">
      <c r="A322">
        <v>3977333714</v>
      </c>
      <c r="B322" s="1">
        <v>42476</v>
      </c>
      <c r="C322">
        <v>13459</v>
      </c>
      <c r="D322">
        <v>9</v>
      </c>
      <c r="E322">
        <v>9</v>
      </c>
      <c r="F322">
        <v>0</v>
      </c>
      <c r="G322">
        <v>2.0299999713897701</v>
      </c>
      <c r="H322">
        <v>4</v>
      </c>
      <c r="I322">
        <v>2.9700000286102299</v>
      </c>
      <c r="J322">
        <v>0</v>
      </c>
      <c r="K322">
        <v>31</v>
      </c>
      <c r="L322">
        <v>83</v>
      </c>
      <c r="M322">
        <v>153</v>
      </c>
      <c r="N322">
        <v>663</v>
      </c>
      <c r="O322">
        <v>1625</v>
      </c>
    </row>
    <row r="323" spans="1:15" x14ac:dyDescent="0.3">
      <c r="A323">
        <v>3977333714</v>
      </c>
      <c r="B323" s="1">
        <v>42477</v>
      </c>
      <c r="C323">
        <v>10415</v>
      </c>
      <c r="D323">
        <v>6.9699997901916504</v>
      </c>
      <c r="E323">
        <v>6.9699997901916504</v>
      </c>
      <c r="F323">
        <v>0</v>
      </c>
      <c r="G323">
        <v>0.69999998807907104</v>
      </c>
      <c r="H323">
        <v>2.3499999046325701</v>
      </c>
      <c r="I323">
        <v>3.9200000762939502</v>
      </c>
      <c r="J323">
        <v>0</v>
      </c>
      <c r="K323">
        <v>11</v>
      </c>
      <c r="L323">
        <v>58</v>
      </c>
      <c r="M323">
        <v>205</v>
      </c>
      <c r="N323">
        <v>600</v>
      </c>
      <c r="O323">
        <v>1529</v>
      </c>
    </row>
    <row r="324" spans="1:15" x14ac:dyDescent="0.3">
      <c r="A324">
        <v>3977333714</v>
      </c>
      <c r="B324" s="1">
        <v>42478</v>
      </c>
      <c r="C324">
        <v>11663</v>
      </c>
      <c r="D324">
        <v>7.8000001907348597</v>
      </c>
      <c r="E324">
        <v>7.8000001907348597</v>
      </c>
      <c r="F324">
        <v>0</v>
      </c>
      <c r="G324">
        <v>0.25</v>
      </c>
      <c r="H324">
        <v>3.7300000190734899</v>
      </c>
      <c r="I324">
        <v>3.8199999332428001</v>
      </c>
      <c r="J324">
        <v>0</v>
      </c>
      <c r="K324">
        <v>4</v>
      </c>
      <c r="L324">
        <v>95</v>
      </c>
      <c r="M324">
        <v>214</v>
      </c>
      <c r="N324">
        <v>605</v>
      </c>
      <c r="O324">
        <v>1584</v>
      </c>
    </row>
    <row r="325" spans="1:15" x14ac:dyDescent="0.3">
      <c r="A325">
        <v>3977333714</v>
      </c>
      <c r="B325" s="1">
        <v>42479</v>
      </c>
      <c r="C325">
        <v>12414</v>
      </c>
      <c r="D325">
        <v>8.7799997329711896</v>
      </c>
      <c r="E325">
        <v>8.7799997329711896</v>
      </c>
      <c r="F325">
        <v>0</v>
      </c>
      <c r="G325">
        <v>2.2400000095367401</v>
      </c>
      <c r="H325">
        <v>2.4500000476837198</v>
      </c>
      <c r="I325">
        <v>3.96000003814697</v>
      </c>
      <c r="J325">
        <v>0</v>
      </c>
      <c r="K325">
        <v>19</v>
      </c>
      <c r="L325">
        <v>67</v>
      </c>
      <c r="M325">
        <v>221</v>
      </c>
      <c r="N325">
        <v>738</v>
      </c>
      <c r="O325">
        <v>1638</v>
      </c>
    </row>
    <row r="326" spans="1:15" x14ac:dyDescent="0.3">
      <c r="A326">
        <v>3977333714</v>
      </c>
      <c r="B326" s="1">
        <v>42480</v>
      </c>
      <c r="C326">
        <v>11658</v>
      </c>
      <c r="D326">
        <v>7.8299999237060502</v>
      </c>
      <c r="E326">
        <v>7.8299999237060502</v>
      </c>
      <c r="F326">
        <v>0</v>
      </c>
      <c r="G326">
        <v>0.20000000298023199</v>
      </c>
      <c r="H326">
        <v>4.3499999046325701</v>
      </c>
      <c r="I326">
        <v>3.2799999713897701</v>
      </c>
      <c r="J326">
        <v>0</v>
      </c>
      <c r="K326">
        <v>2</v>
      </c>
      <c r="L326">
        <v>98</v>
      </c>
      <c r="M326">
        <v>164</v>
      </c>
      <c r="N326">
        <v>845</v>
      </c>
      <c r="O326">
        <v>1554</v>
      </c>
    </row>
    <row r="327" spans="1:15" x14ac:dyDescent="0.3">
      <c r="A327">
        <v>3977333714</v>
      </c>
      <c r="B327" s="1">
        <v>42481</v>
      </c>
      <c r="C327">
        <v>6093</v>
      </c>
      <c r="D327">
        <v>4.0799999237060502</v>
      </c>
      <c r="E327">
        <v>4.0799999237060502</v>
      </c>
      <c r="F327">
        <v>0</v>
      </c>
      <c r="G327">
        <v>0</v>
      </c>
      <c r="H327">
        <v>0</v>
      </c>
      <c r="I327">
        <v>4.0599999427795401</v>
      </c>
      <c r="J327">
        <v>0</v>
      </c>
      <c r="K327">
        <v>0</v>
      </c>
      <c r="L327">
        <v>0</v>
      </c>
      <c r="M327">
        <v>242</v>
      </c>
      <c r="N327">
        <v>712</v>
      </c>
      <c r="O327">
        <v>1397</v>
      </c>
    </row>
    <row r="328" spans="1:15" x14ac:dyDescent="0.3">
      <c r="A328">
        <v>3977333714</v>
      </c>
      <c r="B328" s="1">
        <v>42482</v>
      </c>
      <c r="C328">
        <v>8911</v>
      </c>
      <c r="D328">
        <v>5.96000003814697</v>
      </c>
      <c r="E328">
        <v>5.96000003814697</v>
      </c>
      <c r="F328">
        <v>0</v>
      </c>
      <c r="G328">
        <v>2.3299999237060498</v>
      </c>
      <c r="H328">
        <v>0.57999998331069902</v>
      </c>
      <c r="I328">
        <v>3.0599999427795401</v>
      </c>
      <c r="J328">
        <v>0</v>
      </c>
      <c r="K328">
        <v>33</v>
      </c>
      <c r="L328">
        <v>12</v>
      </c>
      <c r="M328">
        <v>188</v>
      </c>
      <c r="N328">
        <v>731</v>
      </c>
      <c r="O328">
        <v>1481</v>
      </c>
    </row>
    <row r="329" spans="1:15" x14ac:dyDescent="0.3">
      <c r="A329">
        <v>3977333714</v>
      </c>
      <c r="B329" s="1">
        <v>42483</v>
      </c>
      <c r="C329">
        <v>12058</v>
      </c>
      <c r="D329">
        <v>8.0699996948242205</v>
      </c>
      <c r="E329">
        <v>8.0699996948242205</v>
      </c>
      <c r="F329">
        <v>0</v>
      </c>
      <c r="G329">
        <v>0</v>
      </c>
      <c r="H329">
        <v>4.2199997901916504</v>
      </c>
      <c r="I329">
        <v>3.8499999046325701</v>
      </c>
      <c r="J329">
        <v>0</v>
      </c>
      <c r="K329">
        <v>0</v>
      </c>
      <c r="L329">
        <v>92</v>
      </c>
      <c r="M329">
        <v>252</v>
      </c>
      <c r="N329">
        <v>724</v>
      </c>
      <c r="O329">
        <v>1638</v>
      </c>
    </row>
    <row r="330" spans="1:15" x14ac:dyDescent="0.3">
      <c r="A330">
        <v>3977333714</v>
      </c>
      <c r="B330" s="1">
        <v>42484</v>
      </c>
      <c r="C330">
        <v>14112</v>
      </c>
      <c r="D330">
        <v>10</v>
      </c>
      <c r="E330">
        <v>10</v>
      </c>
      <c r="F330">
        <v>0</v>
      </c>
      <c r="G330">
        <v>3.2699999809265101</v>
      </c>
      <c r="H330">
        <v>4.5599999427795401</v>
      </c>
      <c r="I330">
        <v>2.1700000762939502</v>
      </c>
      <c r="J330">
        <v>0</v>
      </c>
      <c r="K330">
        <v>30</v>
      </c>
      <c r="L330">
        <v>95</v>
      </c>
      <c r="M330">
        <v>129</v>
      </c>
      <c r="N330">
        <v>660</v>
      </c>
      <c r="O330">
        <v>1655</v>
      </c>
    </row>
    <row r="331" spans="1:15" x14ac:dyDescent="0.3">
      <c r="A331">
        <v>3977333714</v>
      </c>
      <c r="B331" s="1">
        <v>42485</v>
      </c>
      <c r="C331">
        <v>11177</v>
      </c>
      <c r="D331">
        <v>8.4799995422363299</v>
      </c>
      <c r="E331">
        <v>8.4799995422363299</v>
      </c>
      <c r="F331">
        <v>0</v>
      </c>
      <c r="G331">
        <v>5.6199998855590803</v>
      </c>
      <c r="H331">
        <v>0.43000000715255698</v>
      </c>
      <c r="I331">
        <v>2.4100000858306898</v>
      </c>
      <c r="J331">
        <v>0</v>
      </c>
      <c r="K331">
        <v>50</v>
      </c>
      <c r="L331">
        <v>9</v>
      </c>
      <c r="M331">
        <v>133</v>
      </c>
      <c r="N331">
        <v>781</v>
      </c>
      <c r="O331">
        <v>1570</v>
      </c>
    </row>
    <row r="332" spans="1:15" x14ac:dyDescent="0.3">
      <c r="A332">
        <v>3977333714</v>
      </c>
      <c r="B332" s="1">
        <v>42486</v>
      </c>
      <c r="C332">
        <v>11388</v>
      </c>
      <c r="D332">
        <v>7.6199998855590803</v>
      </c>
      <c r="E332">
        <v>7.6199998855590803</v>
      </c>
      <c r="F332">
        <v>0</v>
      </c>
      <c r="G332">
        <v>0.44999998807907099</v>
      </c>
      <c r="H332">
        <v>4.2199997901916504</v>
      </c>
      <c r="I332">
        <v>2.9500000476837198</v>
      </c>
      <c r="J332">
        <v>0</v>
      </c>
      <c r="K332">
        <v>7</v>
      </c>
      <c r="L332">
        <v>95</v>
      </c>
      <c r="M332">
        <v>170</v>
      </c>
      <c r="N332">
        <v>797</v>
      </c>
      <c r="O332">
        <v>1551</v>
      </c>
    </row>
    <row r="333" spans="1:15" x14ac:dyDescent="0.3">
      <c r="A333">
        <v>3977333714</v>
      </c>
      <c r="B333" s="1">
        <v>42487</v>
      </c>
      <c r="C333">
        <v>7193</v>
      </c>
      <c r="D333">
        <v>5.03999996185303</v>
      </c>
      <c r="E333">
        <v>5.03999996185303</v>
      </c>
      <c r="F333">
        <v>0</v>
      </c>
      <c r="G333">
        <v>0</v>
      </c>
      <c r="H333">
        <v>0.41999998688697798</v>
      </c>
      <c r="I333">
        <v>4.6199998855590803</v>
      </c>
      <c r="J333">
        <v>0</v>
      </c>
      <c r="K333">
        <v>0</v>
      </c>
      <c r="L333">
        <v>10</v>
      </c>
      <c r="M333">
        <v>176</v>
      </c>
      <c r="N333">
        <v>714</v>
      </c>
      <c r="O333">
        <v>1377</v>
      </c>
    </row>
    <row r="334" spans="1:15" x14ac:dyDescent="0.3">
      <c r="A334">
        <v>3977333714</v>
      </c>
      <c r="B334" s="1">
        <v>42488</v>
      </c>
      <c r="C334">
        <v>7114</v>
      </c>
      <c r="D334">
        <v>4.8800001144409197</v>
      </c>
      <c r="E334">
        <v>4.8800001144409197</v>
      </c>
      <c r="F334">
        <v>0</v>
      </c>
      <c r="G334">
        <v>1.37000000476837</v>
      </c>
      <c r="H334">
        <v>0.28999999165535001</v>
      </c>
      <c r="I334">
        <v>3.2200000286102299</v>
      </c>
      <c r="J334">
        <v>0</v>
      </c>
      <c r="K334">
        <v>15</v>
      </c>
      <c r="L334">
        <v>8</v>
      </c>
      <c r="M334">
        <v>190</v>
      </c>
      <c r="N334">
        <v>804</v>
      </c>
      <c r="O334">
        <v>1407</v>
      </c>
    </row>
    <row r="335" spans="1:15" x14ac:dyDescent="0.3">
      <c r="A335">
        <v>3977333714</v>
      </c>
      <c r="B335" s="1">
        <v>42489</v>
      </c>
      <c r="C335">
        <v>10645</v>
      </c>
      <c r="D335">
        <v>7.75</v>
      </c>
      <c r="E335">
        <v>7.75</v>
      </c>
      <c r="F335">
        <v>0</v>
      </c>
      <c r="G335">
        <v>3.7400000095367401</v>
      </c>
      <c r="H335">
        <v>1.29999995231628</v>
      </c>
      <c r="I335">
        <v>2.71000003814697</v>
      </c>
      <c r="J335">
        <v>0</v>
      </c>
      <c r="K335">
        <v>36</v>
      </c>
      <c r="L335">
        <v>32</v>
      </c>
      <c r="M335">
        <v>150</v>
      </c>
      <c r="N335">
        <v>744</v>
      </c>
      <c r="O335">
        <v>1545</v>
      </c>
    </row>
    <row r="336" spans="1:15" x14ac:dyDescent="0.3">
      <c r="A336">
        <v>3977333714</v>
      </c>
      <c r="B336" s="1">
        <v>42490</v>
      </c>
      <c r="C336">
        <v>13238</v>
      </c>
      <c r="D336">
        <v>9.1999998092651403</v>
      </c>
      <c r="E336">
        <v>9.1999998092651403</v>
      </c>
      <c r="F336">
        <v>0</v>
      </c>
      <c r="G336">
        <v>3.6900000572204599</v>
      </c>
      <c r="H336">
        <v>2.0999999046325701</v>
      </c>
      <c r="I336">
        <v>3.4100000858306898</v>
      </c>
      <c r="J336">
        <v>0</v>
      </c>
      <c r="K336">
        <v>43</v>
      </c>
      <c r="L336">
        <v>52</v>
      </c>
      <c r="M336">
        <v>194</v>
      </c>
      <c r="N336">
        <v>687</v>
      </c>
      <c r="O336">
        <v>1650</v>
      </c>
    </row>
    <row r="337" spans="1:15" x14ac:dyDescent="0.3">
      <c r="A337">
        <v>3977333714</v>
      </c>
      <c r="B337" s="1">
        <v>42491</v>
      </c>
      <c r="C337">
        <v>10414</v>
      </c>
      <c r="D337">
        <v>7.0700001716613796</v>
      </c>
      <c r="E337">
        <v>7.0700001716613796</v>
      </c>
      <c r="F337">
        <v>0</v>
      </c>
      <c r="G337">
        <v>2.6700000762939502</v>
      </c>
      <c r="H337">
        <v>1.9800000190734901</v>
      </c>
      <c r="I337">
        <v>2.4100000858306898</v>
      </c>
      <c r="J337">
        <v>0</v>
      </c>
      <c r="K337">
        <v>41</v>
      </c>
      <c r="L337">
        <v>40</v>
      </c>
      <c r="M337">
        <v>124</v>
      </c>
      <c r="N337">
        <v>691</v>
      </c>
      <c r="O337">
        <v>1501</v>
      </c>
    </row>
    <row r="338" spans="1:15" x14ac:dyDescent="0.3">
      <c r="A338">
        <v>3977333714</v>
      </c>
      <c r="B338" s="1">
        <v>42492</v>
      </c>
      <c r="C338">
        <v>16520</v>
      </c>
      <c r="D338">
        <v>11.050000190734901</v>
      </c>
      <c r="E338">
        <v>11.050000190734901</v>
      </c>
      <c r="F338">
        <v>0</v>
      </c>
      <c r="G338">
        <v>1.53999996185303</v>
      </c>
      <c r="H338">
        <v>6.4800000190734899</v>
      </c>
      <c r="I338">
        <v>3.0199999809265101</v>
      </c>
      <c r="J338">
        <v>0</v>
      </c>
      <c r="K338">
        <v>24</v>
      </c>
      <c r="L338">
        <v>143</v>
      </c>
      <c r="M338">
        <v>176</v>
      </c>
      <c r="N338">
        <v>713</v>
      </c>
      <c r="O338">
        <v>1760</v>
      </c>
    </row>
    <row r="339" spans="1:15" x14ac:dyDescent="0.3">
      <c r="A339">
        <v>3977333714</v>
      </c>
      <c r="B339" s="1">
        <v>42493</v>
      </c>
      <c r="C339">
        <v>14335</v>
      </c>
      <c r="D339">
        <v>9.5900001525878906</v>
      </c>
      <c r="E339">
        <v>9.5900001525878906</v>
      </c>
      <c r="F339">
        <v>0</v>
      </c>
      <c r="G339">
        <v>3.3199999332428001</v>
      </c>
      <c r="H339">
        <v>1.7400000095367401</v>
      </c>
      <c r="I339">
        <v>4.5300002098083496</v>
      </c>
      <c r="J339">
        <v>0</v>
      </c>
      <c r="K339">
        <v>47</v>
      </c>
      <c r="L339">
        <v>41</v>
      </c>
      <c r="M339">
        <v>258</v>
      </c>
      <c r="N339">
        <v>594</v>
      </c>
      <c r="O339">
        <v>1710</v>
      </c>
    </row>
    <row r="340" spans="1:15" x14ac:dyDescent="0.3">
      <c r="A340">
        <v>3977333714</v>
      </c>
      <c r="B340" s="1">
        <v>42494</v>
      </c>
      <c r="C340">
        <v>13559</v>
      </c>
      <c r="D340">
        <v>9.4399995803833008</v>
      </c>
      <c r="E340">
        <v>9.4399995803833008</v>
      </c>
      <c r="F340">
        <v>0</v>
      </c>
      <c r="G340">
        <v>1.8099999427795399</v>
      </c>
      <c r="H340">
        <v>4.5799999237060502</v>
      </c>
      <c r="I340">
        <v>2.8900001049041699</v>
      </c>
      <c r="J340">
        <v>0</v>
      </c>
      <c r="K340">
        <v>14</v>
      </c>
      <c r="L340">
        <v>96</v>
      </c>
      <c r="M340">
        <v>142</v>
      </c>
      <c r="N340">
        <v>852</v>
      </c>
      <c r="O340">
        <v>1628</v>
      </c>
    </row>
    <row r="341" spans="1:15" x14ac:dyDescent="0.3">
      <c r="A341">
        <v>3977333714</v>
      </c>
      <c r="B341" s="1">
        <v>42495</v>
      </c>
      <c r="C341">
        <v>12312</v>
      </c>
      <c r="D341">
        <v>8.5799999237060494</v>
      </c>
      <c r="E341">
        <v>8.5799999237060494</v>
      </c>
      <c r="F341">
        <v>0</v>
      </c>
      <c r="G341">
        <v>1.7599999904632599</v>
      </c>
      <c r="H341">
        <v>4.1100001335143999</v>
      </c>
      <c r="I341">
        <v>2.71000003814697</v>
      </c>
      <c r="J341">
        <v>0</v>
      </c>
      <c r="K341">
        <v>14</v>
      </c>
      <c r="L341">
        <v>88</v>
      </c>
      <c r="M341">
        <v>178</v>
      </c>
      <c r="N341">
        <v>680</v>
      </c>
      <c r="O341">
        <v>1618</v>
      </c>
    </row>
    <row r="342" spans="1:15" x14ac:dyDescent="0.3">
      <c r="A342">
        <v>3977333714</v>
      </c>
      <c r="B342" s="1">
        <v>42496</v>
      </c>
      <c r="C342">
        <v>11677</v>
      </c>
      <c r="D342">
        <v>8.2799997329711896</v>
      </c>
      <c r="E342">
        <v>8.2799997329711896</v>
      </c>
      <c r="F342">
        <v>0</v>
      </c>
      <c r="G342">
        <v>3.1099998950958301</v>
      </c>
      <c r="H342">
        <v>2.5099999904632599</v>
      </c>
      <c r="I342">
        <v>2.6700000762939502</v>
      </c>
      <c r="J342">
        <v>0</v>
      </c>
      <c r="K342">
        <v>29</v>
      </c>
      <c r="L342">
        <v>55</v>
      </c>
      <c r="M342">
        <v>168</v>
      </c>
      <c r="N342">
        <v>676</v>
      </c>
      <c r="O342">
        <v>1590</v>
      </c>
    </row>
    <row r="343" spans="1:15" x14ac:dyDescent="0.3">
      <c r="A343">
        <v>3977333714</v>
      </c>
      <c r="B343" s="1">
        <v>42497</v>
      </c>
      <c r="C343">
        <v>11550</v>
      </c>
      <c r="D343">
        <v>7.7300000190734899</v>
      </c>
      <c r="E343">
        <v>7.7300000190734899</v>
      </c>
      <c r="F343">
        <v>0</v>
      </c>
      <c r="G343">
        <v>0</v>
      </c>
      <c r="H343">
        <v>4.1300001144409197</v>
      </c>
      <c r="I343">
        <v>3.5899999141693102</v>
      </c>
      <c r="J343">
        <v>0</v>
      </c>
      <c r="K343">
        <v>0</v>
      </c>
      <c r="L343">
        <v>86</v>
      </c>
      <c r="M343">
        <v>208</v>
      </c>
      <c r="N343">
        <v>703</v>
      </c>
      <c r="O343">
        <v>1574</v>
      </c>
    </row>
    <row r="344" spans="1:15" x14ac:dyDescent="0.3">
      <c r="A344">
        <v>3977333714</v>
      </c>
      <c r="B344" s="1">
        <v>42498</v>
      </c>
      <c r="C344">
        <v>13585</v>
      </c>
      <c r="D344">
        <v>9.0900001525878906</v>
      </c>
      <c r="E344">
        <v>9.0900001525878906</v>
      </c>
      <c r="F344">
        <v>0</v>
      </c>
      <c r="G344">
        <v>0.68000000715255704</v>
      </c>
      <c r="H344">
        <v>5.2399997711181596</v>
      </c>
      <c r="I344">
        <v>3.1700000762939502</v>
      </c>
      <c r="J344">
        <v>0</v>
      </c>
      <c r="K344">
        <v>9</v>
      </c>
      <c r="L344">
        <v>116</v>
      </c>
      <c r="M344">
        <v>171</v>
      </c>
      <c r="N344">
        <v>688</v>
      </c>
      <c r="O344">
        <v>1633</v>
      </c>
    </row>
    <row r="345" spans="1:15" x14ac:dyDescent="0.3">
      <c r="A345">
        <v>3977333714</v>
      </c>
      <c r="B345" s="1">
        <v>42499</v>
      </c>
      <c r="C345">
        <v>14687</v>
      </c>
      <c r="D345">
        <v>10.079999923706101</v>
      </c>
      <c r="E345">
        <v>10.079999923706101</v>
      </c>
      <c r="F345">
        <v>0</v>
      </c>
      <c r="G345">
        <v>0.769999980926514</v>
      </c>
      <c r="H345">
        <v>5.5999999046325701</v>
      </c>
      <c r="I345">
        <v>3.5499999523162802</v>
      </c>
      <c r="J345">
        <v>0</v>
      </c>
      <c r="K345">
        <v>8</v>
      </c>
      <c r="L345">
        <v>122</v>
      </c>
      <c r="M345">
        <v>151</v>
      </c>
      <c r="N345">
        <v>1159</v>
      </c>
      <c r="O345">
        <v>1667</v>
      </c>
    </row>
    <row r="346" spans="1:15" x14ac:dyDescent="0.3">
      <c r="A346">
        <v>3977333714</v>
      </c>
      <c r="B346" s="1">
        <v>42500</v>
      </c>
      <c r="C346">
        <v>13072</v>
      </c>
      <c r="D346">
        <v>8.7799997329711896</v>
      </c>
      <c r="E346">
        <v>8.7799997329711896</v>
      </c>
      <c r="F346">
        <v>0</v>
      </c>
      <c r="G346">
        <v>7.0000000298023196E-2</v>
      </c>
      <c r="H346">
        <v>5.4000000953674299</v>
      </c>
      <c r="I346">
        <v>3.3099999427795401</v>
      </c>
      <c r="J346">
        <v>0</v>
      </c>
      <c r="K346">
        <v>1</v>
      </c>
      <c r="L346">
        <v>115</v>
      </c>
      <c r="M346">
        <v>196</v>
      </c>
      <c r="N346">
        <v>676</v>
      </c>
      <c r="O346">
        <v>1630</v>
      </c>
    </row>
    <row r="347" spans="1:15" x14ac:dyDescent="0.3">
      <c r="A347">
        <v>3977333714</v>
      </c>
      <c r="B347" s="1">
        <v>42501</v>
      </c>
      <c r="C347">
        <v>746</v>
      </c>
      <c r="D347">
        <v>0.5</v>
      </c>
      <c r="E347">
        <v>0.5</v>
      </c>
      <c r="F347">
        <v>0</v>
      </c>
      <c r="G347">
        <v>0.37000000476837203</v>
      </c>
      <c r="H347">
        <v>0</v>
      </c>
      <c r="I347">
        <v>0.129999995231628</v>
      </c>
      <c r="J347">
        <v>0</v>
      </c>
      <c r="K347">
        <v>4</v>
      </c>
      <c r="L347">
        <v>0</v>
      </c>
      <c r="M347">
        <v>9</v>
      </c>
      <c r="N347">
        <v>13</v>
      </c>
      <c r="O347">
        <v>52</v>
      </c>
    </row>
    <row r="348" spans="1:15" x14ac:dyDescent="0.3">
      <c r="A348">
        <v>4020332650</v>
      </c>
      <c r="B348" s="1">
        <v>42472</v>
      </c>
      <c r="C348">
        <v>8539</v>
      </c>
      <c r="D348">
        <v>6.1199998855590803</v>
      </c>
      <c r="E348">
        <v>6.1199998855590803</v>
      </c>
      <c r="F348">
        <v>0</v>
      </c>
      <c r="G348">
        <v>0.15000000596046401</v>
      </c>
      <c r="H348">
        <v>0.239999994635582</v>
      </c>
      <c r="I348">
        <v>5.6799998283386204</v>
      </c>
      <c r="J348">
        <v>0</v>
      </c>
      <c r="K348">
        <v>4</v>
      </c>
      <c r="L348">
        <v>15</v>
      </c>
      <c r="M348">
        <v>331</v>
      </c>
      <c r="N348">
        <v>712</v>
      </c>
      <c r="O348">
        <v>3654</v>
      </c>
    </row>
    <row r="349" spans="1:15" x14ac:dyDescent="0.3">
      <c r="A349">
        <v>4020332650</v>
      </c>
      <c r="B349" s="1">
        <v>42473</v>
      </c>
      <c r="C349">
        <v>0</v>
      </c>
      <c r="D349">
        <v>0</v>
      </c>
      <c r="E349">
        <v>0</v>
      </c>
      <c r="F349">
        <v>0</v>
      </c>
      <c r="G349">
        <v>0</v>
      </c>
      <c r="H349">
        <v>0</v>
      </c>
      <c r="I349">
        <v>0</v>
      </c>
      <c r="J349">
        <v>0</v>
      </c>
      <c r="K349">
        <v>0</v>
      </c>
      <c r="L349">
        <v>0</v>
      </c>
      <c r="M349">
        <v>0</v>
      </c>
      <c r="N349">
        <v>1440</v>
      </c>
      <c r="O349">
        <v>1981</v>
      </c>
    </row>
    <row r="350" spans="1:15" x14ac:dyDescent="0.3">
      <c r="A350">
        <v>4020332650</v>
      </c>
      <c r="B350" s="1">
        <v>42474</v>
      </c>
      <c r="C350">
        <v>108</v>
      </c>
      <c r="D350">
        <v>7.9999998211860698E-2</v>
      </c>
      <c r="E350">
        <v>7.9999998211860698E-2</v>
      </c>
      <c r="F350">
        <v>0</v>
      </c>
      <c r="G350">
        <v>0</v>
      </c>
      <c r="H350">
        <v>0</v>
      </c>
      <c r="I350">
        <v>2.9999999329447701E-2</v>
      </c>
      <c r="J350">
        <v>0</v>
      </c>
      <c r="K350">
        <v>0</v>
      </c>
      <c r="L350">
        <v>0</v>
      </c>
      <c r="M350">
        <v>3</v>
      </c>
      <c r="N350">
        <v>1437</v>
      </c>
      <c r="O350">
        <v>2011</v>
      </c>
    </row>
    <row r="351" spans="1:15" x14ac:dyDescent="0.3">
      <c r="A351">
        <v>4020332650</v>
      </c>
      <c r="B351" s="1">
        <v>42475</v>
      </c>
      <c r="C351">
        <v>1882</v>
      </c>
      <c r="D351">
        <v>1.3500000238418599</v>
      </c>
      <c r="E351">
        <v>1.3500000238418599</v>
      </c>
      <c r="F351">
        <v>0</v>
      </c>
      <c r="G351">
        <v>0.20999999344348899</v>
      </c>
      <c r="H351">
        <v>0.36000001430511502</v>
      </c>
      <c r="I351">
        <v>0.769999980926514</v>
      </c>
      <c r="J351">
        <v>0</v>
      </c>
      <c r="K351">
        <v>36</v>
      </c>
      <c r="L351">
        <v>18</v>
      </c>
      <c r="M351">
        <v>87</v>
      </c>
      <c r="N351">
        <v>1299</v>
      </c>
      <c r="O351">
        <v>2951</v>
      </c>
    </row>
    <row r="352" spans="1:15" x14ac:dyDescent="0.3">
      <c r="A352">
        <v>4020332650</v>
      </c>
      <c r="B352" s="1">
        <v>42476</v>
      </c>
      <c r="C352">
        <v>1982</v>
      </c>
      <c r="D352">
        <v>1.41999995708466</v>
      </c>
      <c r="E352">
        <v>1.41999995708466</v>
      </c>
      <c r="F352">
        <v>0</v>
      </c>
      <c r="G352">
        <v>0.44999998807907099</v>
      </c>
      <c r="H352">
        <v>0.37000000476837203</v>
      </c>
      <c r="I352">
        <v>0.58999997377395597</v>
      </c>
      <c r="J352">
        <v>0</v>
      </c>
      <c r="K352">
        <v>65</v>
      </c>
      <c r="L352">
        <v>21</v>
      </c>
      <c r="M352">
        <v>55</v>
      </c>
      <c r="N352">
        <v>1222</v>
      </c>
      <c r="O352">
        <v>3051</v>
      </c>
    </row>
    <row r="353" spans="1:15" x14ac:dyDescent="0.3">
      <c r="A353">
        <v>4020332650</v>
      </c>
      <c r="B353" s="1">
        <v>42477</v>
      </c>
      <c r="C353">
        <v>16</v>
      </c>
      <c r="D353">
        <v>9.9999997764825804E-3</v>
      </c>
      <c r="E353">
        <v>9.9999997764825804E-3</v>
      </c>
      <c r="F353">
        <v>0</v>
      </c>
      <c r="G353">
        <v>0</v>
      </c>
      <c r="H353">
        <v>0</v>
      </c>
      <c r="I353">
        <v>9.9999997764825804E-3</v>
      </c>
      <c r="J353">
        <v>0</v>
      </c>
      <c r="K353">
        <v>0</v>
      </c>
      <c r="L353">
        <v>0</v>
      </c>
      <c r="M353">
        <v>2</v>
      </c>
      <c r="N353">
        <v>1438</v>
      </c>
      <c r="O353">
        <v>1990</v>
      </c>
    </row>
    <row r="354" spans="1:15" x14ac:dyDescent="0.3">
      <c r="A354">
        <v>4020332650</v>
      </c>
      <c r="B354" s="1">
        <v>42478</v>
      </c>
      <c r="C354">
        <v>62</v>
      </c>
      <c r="D354">
        <v>3.9999999105930301E-2</v>
      </c>
      <c r="E354">
        <v>3.9999999105930301E-2</v>
      </c>
      <c r="F354">
        <v>0</v>
      </c>
      <c r="G354">
        <v>0</v>
      </c>
      <c r="H354">
        <v>0</v>
      </c>
      <c r="I354">
        <v>3.9999999105930301E-2</v>
      </c>
      <c r="J354">
        <v>0</v>
      </c>
      <c r="K354">
        <v>0</v>
      </c>
      <c r="L354">
        <v>0</v>
      </c>
      <c r="M354">
        <v>2</v>
      </c>
      <c r="N354">
        <v>1438</v>
      </c>
      <c r="O354">
        <v>1995</v>
      </c>
    </row>
    <row r="355" spans="1:15" x14ac:dyDescent="0.3">
      <c r="A355">
        <v>4020332650</v>
      </c>
      <c r="B355" s="1">
        <v>42479</v>
      </c>
      <c r="C355">
        <v>0</v>
      </c>
      <c r="D355">
        <v>0</v>
      </c>
      <c r="E355">
        <v>0</v>
      </c>
      <c r="F355">
        <v>0</v>
      </c>
      <c r="G355">
        <v>0</v>
      </c>
      <c r="H355">
        <v>0</v>
      </c>
      <c r="I355">
        <v>0</v>
      </c>
      <c r="J355">
        <v>0</v>
      </c>
      <c r="K355">
        <v>0</v>
      </c>
      <c r="L355">
        <v>0</v>
      </c>
      <c r="M355">
        <v>0</v>
      </c>
      <c r="N355">
        <v>1440</v>
      </c>
      <c r="O355">
        <v>1980</v>
      </c>
    </row>
    <row r="356" spans="1:15" x14ac:dyDescent="0.3">
      <c r="A356">
        <v>4020332650</v>
      </c>
      <c r="B356" s="1">
        <v>42480</v>
      </c>
      <c r="C356">
        <v>0</v>
      </c>
      <c r="D356">
        <v>0</v>
      </c>
      <c r="E356">
        <v>0</v>
      </c>
      <c r="F356">
        <v>0</v>
      </c>
      <c r="G356">
        <v>0</v>
      </c>
      <c r="H356">
        <v>0</v>
      </c>
      <c r="I356">
        <v>0</v>
      </c>
      <c r="J356">
        <v>0</v>
      </c>
      <c r="K356">
        <v>0</v>
      </c>
      <c r="L356">
        <v>0</v>
      </c>
      <c r="M356">
        <v>0</v>
      </c>
      <c r="N356">
        <v>1440</v>
      </c>
      <c r="O356">
        <v>1980</v>
      </c>
    </row>
    <row r="357" spans="1:15" x14ac:dyDescent="0.3">
      <c r="A357">
        <v>4020332650</v>
      </c>
      <c r="B357" s="1">
        <v>42481</v>
      </c>
      <c r="C357">
        <v>0</v>
      </c>
      <c r="D357">
        <v>0</v>
      </c>
      <c r="E357">
        <v>0</v>
      </c>
      <c r="F357">
        <v>0</v>
      </c>
      <c r="G357">
        <v>0</v>
      </c>
      <c r="H357">
        <v>0</v>
      </c>
      <c r="I357">
        <v>0</v>
      </c>
      <c r="J357">
        <v>0</v>
      </c>
      <c r="K357">
        <v>0</v>
      </c>
      <c r="L357">
        <v>0</v>
      </c>
      <c r="M357">
        <v>0</v>
      </c>
      <c r="N357">
        <v>1440</v>
      </c>
      <c r="O357">
        <v>1980</v>
      </c>
    </row>
    <row r="358" spans="1:15" x14ac:dyDescent="0.3">
      <c r="A358">
        <v>4020332650</v>
      </c>
      <c r="B358" s="1">
        <v>42482</v>
      </c>
      <c r="C358">
        <v>0</v>
      </c>
      <c r="D358">
        <v>0</v>
      </c>
      <c r="E358">
        <v>0</v>
      </c>
      <c r="F358">
        <v>0</v>
      </c>
      <c r="G358">
        <v>0</v>
      </c>
      <c r="H358">
        <v>0</v>
      </c>
      <c r="I358">
        <v>0</v>
      </c>
      <c r="J358">
        <v>0</v>
      </c>
      <c r="K358">
        <v>0</v>
      </c>
      <c r="L358">
        <v>0</v>
      </c>
      <c r="M358">
        <v>0</v>
      </c>
      <c r="N358">
        <v>1440</v>
      </c>
      <c r="O358">
        <v>1980</v>
      </c>
    </row>
    <row r="359" spans="1:15" x14ac:dyDescent="0.3">
      <c r="A359">
        <v>4020332650</v>
      </c>
      <c r="B359" s="1">
        <v>42483</v>
      </c>
      <c r="C359">
        <v>0</v>
      </c>
      <c r="D359">
        <v>0</v>
      </c>
      <c r="E359">
        <v>0</v>
      </c>
      <c r="F359">
        <v>0</v>
      </c>
      <c r="G359">
        <v>0</v>
      </c>
      <c r="H359">
        <v>0</v>
      </c>
      <c r="I359">
        <v>0</v>
      </c>
      <c r="J359">
        <v>0</v>
      </c>
      <c r="K359">
        <v>0</v>
      </c>
      <c r="L359">
        <v>0</v>
      </c>
      <c r="M359">
        <v>0</v>
      </c>
      <c r="N359">
        <v>1440</v>
      </c>
      <c r="O359">
        <v>1980</v>
      </c>
    </row>
    <row r="360" spans="1:15" x14ac:dyDescent="0.3">
      <c r="A360">
        <v>4020332650</v>
      </c>
      <c r="B360" s="1">
        <v>42484</v>
      </c>
      <c r="C360">
        <v>0</v>
      </c>
      <c r="D360">
        <v>0</v>
      </c>
      <c r="E360">
        <v>0</v>
      </c>
      <c r="F360">
        <v>0</v>
      </c>
      <c r="G360">
        <v>0</v>
      </c>
      <c r="H360">
        <v>0</v>
      </c>
      <c r="I360">
        <v>0</v>
      </c>
      <c r="J360">
        <v>0</v>
      </c>
      <c r="K360">
        <v>0</v>
      </c>
      <c r="L360">
        <v>0</v>
      </c>
      <c r="M360">
        <v>0</v>
      </c>
      <c r="N360">
        <v>1440</v>
      </c>
      <c r="O360">
        <v>1980</v>
      </c>
    </row>
    <row r="361" spans="1:15" x14ac:dyDescent="0.3">
      <c r="A361">
        <v>4020332650</v>
      </c>
      <c r="B361" s="1">
        <v>42485</v>
      </c>
      <c r="C361">
        <v>0</v>
      </c>
      <c r="D361">
        <v>0</v>
      </c>
      <c r="E361">
        <v>0</v>
      </c>
      <c r="F361">
        <v>0</v>
      </c>
      <c r="G361">
        <v>0</v>
      </c>
      <c r="H361">
        <v>0</v>
      </c>
      <c r="I361">
        <v>0</v>
      </c>
      <c r="J361">
        <v>0</v>
      </c>
      <c r="K361">
        <v>0</v>
      </c>
      <c r="L361">
        <v>0</v>
      </c>
      <c r="M361">
        <v>0</v>
      </c>
      <c r="N361">
        <v>1440</v>
      </c>
      <c r="O361">
        <v>1980</v>
      </c>
    </row>
    <row r="362" spans="1:15" x14ac:dyDescent="0.3">
      <c r="A362">
        <v>4020332650</v>
      </c>
      <c r="B362" s="1">
        <v>42486</v>
      </c>
      <c r="C362">
        <v>0</v>
      </c>
      <c r="D362">
        <v>0</v>
      </c>
      <c r="E362">
        <v>0</v>
      </c>
      <c r="F362">
        <v>0</v>
      </c>
      <c r="G362">
        <v>0</v>
      </c>
      <c r="H362">
        <v>0</v>
      </c>
      <c r="I362">
        <v>0</v>
      </c>
      <c r="J362">
        <v>0</v>
      </c>
      <c r="K362">
        <v>0</v>
      </c>
      <c r="L362">
        <v>0</v>
      </c>
      <c r="M362">
        <v>0</v>
      </c>
      <c r="N362">
        <v>1440</v>
      </c>
      <c r="O362">
        <v>1980</v>
      </c>
    </row>
    <row r="363" spans="1:15" x14ac:dyDescent="0.3">
      <c r="A363">
        <v>4020332650</v>
      </c>
      <c r="B363" s="1">
        <v>42487</v>
      </c>
      <c r="C363">
        <v>0</v>
      </c>
      <c r="D363">
        <v>0</v>
      </c>
      <c r="E363">
        <v>0</v>
      </c>
      <c r="F363">
        <v>0</v>
      </c>
      <c r="G363">
        <v>0</v>
      </c>
      <c r="H363">
        <v>0</v>
      </c>
      <c r="I363">
        <v>0</v>
      </c>
      <c r="J363">
        <v>0</v>
      </c>
      <c r="K363">
        <v>0</v>
      </c>
      <c r="L363">
        <v>0</v>
      </c>
      <c r="M363">
        <v>0</v>
      </c>
      <c r="N363">
        <v>1440</v>
      </c>
      <c r="O363">
        <v>1980</v>
      </c>
    </row>
    <row r="364" spans="1:15" x14ac:dyDescent="0.3">
      <c r="A364">
        <v>4020332650</v>
      </c>
      <c r="B364" s="1">
        <v>42488</v>
      </c>
      <c r="C364">
        <v>0</v>
      </c>
      <c r="D364">
        <v>0</v>
      </c>
      <c r="E364">
        <v>0</v>
      </c>
      <c r="F364">
        <v>0</v>
      </c>
      <c r="G364">
        <v>0</v>
      </c>
      <c r="H364">
        <v>0</v>
      </c>
      <c r="I364">
        <v>0</v>
      </c>
      <c r="J364">
        <v>0</v>
      </c>
      <c r="K364">
        <v>0</v>
      </c>
      <c r="L364">
        <v>0</v>
      </c>
      <c r="M364">
        <v>0</v>
      </c>
      <c r="N364">
        <v>1440</v>
      </c>
      <c r="O364">
        <v>1980</v>
      </c>
    </row>
    <row r="365" spans="1:15" x14ac:dyDescent="0.3">
      <c r="A365">
        <v>4020332650</v>
      </c>
      <c r="B365" s="1">
        <v>42489</v>
      </c>
      <c r="C365">
        <v>0</v>
      </c>
      <c r="D365">
        <v>0</v>
      </c>
      <c r="E365">
        <v>0</v>
      </c>
      <c r="F365">
        <v>0</v>
      </c>
      <c r="G365">
        <v>0</v>
      </c>
      <c r="H365">
        <v>0</v>
      </c>
      <c r="I365">
        <v>0</v>
      </c>
      <c r="J365">
        <v>0</v>
      </c>
      <c r="K365">
        <v>0</v>
      </c>
      <c r="L365">
        <v>0</v>
      </c>
      <c r="M365">
        <v>0</v>
      </c>
      <c r="N365">
        <v>1440</v>
      </c>
      <c r="O365">
        <v>1980</v>
      </c>
    </row>
    <row r="366" spans="1:15" x14ac:dyDescent="0.3">
      <c r="A366">
        <v>4020332650</v>
      </c>
      <c r="B366" s="1">
        <v>42490</v>
      </c>
      <c r="C366">
        <v>0</v>
      </c>
      <c r="D366">
        <v>0</v>
      </c>
      <c r="E366">
        <v>0</v>
      </c>
      <c r="F366">
        <v>0</v>
      </c>
      <c r="G366">
        <v>0</v>
      </c>
      <c r="H366">
        <v>0</v>
      </c>
      <c r="I366">
        <v>0</v>
      </c>
      <c r="J366">
        <v>0</v>
      </c>
      <c r="K366">
        <v>0</v>
      </c>
      <c r="L366">
        <v>0</v>
      </c>
      <c r="M366">
        <v>0</v>
      </c>
      <c r="N366">
        <v>1440</v>
      </c>
      <c r="O366">
        <v>1980</v>
      </c>
    </row>
    <row r="367" spans="1:15" x14ac:dyDescent="0.3">
      <c r="A367">
        <v>4020332650</v>
      </c>
      <c r="B367" s="1">
        <v>42491</v>
      </c>
      <c r="C367">
        <v>0</v>
      </c>
      <c r="D367">
        <v>0</v>
      </c>
      <c r="E367">
        <v>0</v>
      </c>
      <c r="F367">
        <v>0</v>
      </c>
      <c r="G367">
        <v>0</v>
      </c>
      <c r="H367">
        <v>0</v>
      </c>
      <c r="I367">
        <v>0</v>
      </c>
      <c r="J367">
        <v>0</v>
      </c>
      <c r="K367">
        <v>0</v>
      </c>
      <c r="L367">
        <v>0</v>
      </c>
      <c r="M367">
        <v>0</v>
      </c>
      <c r="N367">
        <v>1440</v>
      </c>
      <c r="O367">
        <v>1980</v>
      </c>
    </row>
    <row r="368" spans="1:15" x14ac:dyDescent="0.3">
      <c r="A368">
        <v>4020332650</v>
      </c>
      <c r="B368" s="1">
        <v>42492</v>
      </c>
      <c r="C368">
        <v>475</v>
      </c>
      <c r="D368">
        <v>0.34000000357627902</v>
      </c>
      <c r="E368">
        <v>0.34000000357627902</v>
      </c>
      <c r="F368">
        <v>0</v>
      </c>
      <c r="G368">
        <v>0</v>
      </c>
      <c r="H368">
        <v>3.9999999105930301E-2</v>
      </c>
      <c r="I368">
        <v>0.28999999165535001</v>
      </c>
      <c r="J368">
        <v>0</v>
      </c>
      <c r="K368">
        <v>0</v>
      </c>
      <c r="L368">
        <v>11</v>
      </c>
      <c r="M368">
        <v>31</v>
      </c>
      <c r="N368">
        <v>1350</v>
      </c>
      <c r="O368">
        <v>2207</v>
      </c>
    </row>
    <row r="369" spans="1:15" x14ac:dyDescent="0.3">
      <c r="A369">
        <v>4020332650</v>
      </c>
      <c r="B369" s="1">
        <v>42493</v>
      </c>
      <c r="C369">
        <v>4496</v>
      </c>
      <c r="D369">
        <v>3.2200000286102299</v>
      </c>
      <c r="E369">
        <v>3.2200000286102299</v>
      </c>
      <c r="F369">
        <v>0</v>
      </c>
      <c r="G369">
        <v>0</v>
      </c>
      <c r="H369">
        <v>0</v>
      </c>
      <c r="I369">
        <v>3.1500000953674299</v>
      </c>
      <c r="J369">
        <v>5.0000000745058101E-2</v>
      </c>
      <c r="K369">
        <v>0</v>
      </c>
      <c r="L369">
        <v>0</v>
      </c>
      <c r="M369">
        <v>174</v>
      </c>
      <c r="N369">
        <v>950</v>
      </c>
      <c r="O369">
        <v>2828</v>
      </c>
    </row>
    <row r="370" spans="1:15" x14ac:dyDescent="0.3">
      <c r="A370">
        <v>4020332650</v>
      </c>
      <c r="B370" s="1">
        <v>42494</v>
      </c>
      <c r="C370">
        <v>10252</v>
      </c>
      <c r="D370">
        <v>7.3499999046325701</v>
      </c>
      <c r="E370">
        <v>7.3499999046325701</v>
      </c>
      <c r="F370">
        <v>0</v>
      </c>
      <c r="G370">
        <v>0.67000001668930098</v>
      </c>
      <c r="H370">
        <v>1.03999996185303</v>
      </c>
      <c r="I370">
        <v>5.5799999237060502</v>
      </c>
      <c r="J370">
        <v>0</v>
      </c>
      <c r="K370">
        <v>13</v>
      </c>
      <c r="L370">
        <v>46</v>
      </c>
      <c r="M370">
        <v>346</v>
      </c>
      <c r="N370">
        <v>531</v>
      </c>
      <c r="O370">
        <v>3879</v>
      </c>
    </row>
    <row r="371" spans="1:15" x14ac:dyDescent="0.3">
      <c r="A371">
        <v>4020332650</v>
      </c>
      <c r="B371" s="1">
        <v>42495</v>
      </c>
      <c r="C371">
        <v>11728</v>
      </c>
      <c r="D371">
        <v>8.4300003051757795</v>
      </c>
      <c r="E371">
        <v>8.4300003051757795</v>
      </c>
      <c r="F371">
        <v>0</v>
      </c>
      <c r="G371">
        <v>2.6199998855590798</v>
      </c>
      <c r="H371">
        <v>1.6799999475479099</v>
      </c>
      <c r="I371">
        <v>4.03999996185303</v>
      </c>
      <c r="J371">
        <v>7.0000000298023196E-2</v>
      </c>
      <c r="K371">
        <v>38</v>
      </c>
      <c r="L371">
        <v>42</v>
      </c>
      <c r="M371">
        <v>196</v>
      </c>
      <c r="N371">
        <v>916</v>
      </c>
      <c r="O371">
        <v>3429</v>
      </c>
    </row>
    <row r="372" spans="1:15" x14ac:dyDescent="0.3">
      <c r="A372">
        <v>4020332650</v>
      </c>
      <c r="B372" s="1">
        <v>42496</v>
      </c>
      <c r="C372">
        <v>4369</v>
      </c>
      <c r="D372">
        <v>3.1300001144409202</v>
      </c>
      <c r="E372">
        <v>3.1300001144409202</v>
      </c>
      <c r="F372">
        <v>0</v>
      </c>
      <c r="G372">
        <v>0</v>
      </c>
      <c r="H372">
        <v>0</v>
      </c>
      <c r="I372">
        <v>3.0999999046325701</v>
      </c>
      <c r="J372">
        <v>9.9999997764825804E-3</v>
      </c>
      <c r="K372">
        <v>0</v>
      </c>
      <c r="L372">
        <v>0</v>
      </c>
      <c r="M372">
        <v>177</v>
      </c>
      <c r="N372">
        <v>855</v>
      </c>
      <c r="O372">
        <v>2704</v>
      </c>
    </row>
    <row r="373" spans="1:15" x14ac:dyDescent="0.3">
      <c r="A373">
        <v>4020332650</v>
      </c>
      <c r="B373" s="1">
        <v>42497</v>
      </c>
      <c r="C373">
        <v>6132</v>
      </c>
      <c r="D373">
        <v>4.4000000953674299</v>
      </c>
      <c r="E373">
        <v>4.4000000953674299</v>
      </c>
      <c r="F373">
        <v>0</v>
      </c>
      <c r="G373">
        <v>0</v>
      </c>
      <c r="H373">
        <v>0</v>
      </c>
      <c r="I373">
        <v>3.5799999237060498</v>
      </c>
      <c r="J373">
        <v>0</v>
      </c>
      <c r="K373">
        <v>0</v>
      </c>
      <c r="L373">
        <v>0</v>
      </c>
      <c r="M373">
        <v>184</v>
      </c>
      <c r="N373">
        <v>1256</v>
      </c>
      <c r="O373">
        <v>2975</v>
      </c>
    </row>
    <row r="374" spans="1:15" x14ac:dyDescent="0.3">
      <c r="A374">
        <v>4020332650</v>
      </c>
      <c r="B374" s="1">
        <v>42498</v>
      </c>
      <c r="C374">
        <v>5862</v>
      </c>
      <c r="D374">
        <v>4.1999998092651403</v>
      </c>
      <c r="E374">
        <v>4.1999998092651403</v>
      </c>
      <c r="F374">
        <v>0</v>
      </c>
      <c r="G374">
        <v>0</v>
      </c>
      <c r="H374">
        <v>0</v>
      </c>
      <c r="I374">
        <v>4.1500000953674299</v>
      </c>
      <c r="J374">
        <v>0</v>
      </c>
      <c r="K374">
        <v>0</v>
      </c>
      <c r="L374">
        <v>0</v>
      </c>
      <c r="M374">
        <v>263</v>
      </c>
      <c r="N374">
        <v>775</v>
      </c>
      <c r="O374">
        <v>3089</v>
      </c>
    </row>
    <row r="375" spans="1:15" x14ac:dyDescent="0.3">
      <c r="A375">
        <v>4020332650</v>
      </c>
      <c r="B375" s="1">
        <v>42499</v>
      </c>
      <c r="C375">
        <v>4556</v>
      </c>
      <c r="D375">
        <v>3.2699999809265101</v>
      </c>
      <c r="E375">
        <v>3.2699999809265101</v>
      </c>
      <c r="F375">
        <v>0</v>
      </c>
      <c r="G375">
        <v>0.20000000298023199</v>
      </c>
      <c r="H375">
        <v>0.119999997317791</v>
      </c>
      <c r="I375">
        <v>2.9400000572204599</v>
      </c>
      <c r="J375">
        <v>0</v>
      </c>
      <c r="K375">
        <v>3</v>
      </c>
      <c r="L375">
        <v>5</v>
      </c>
      <c r="M375">
        <v>173</v>
      </c>
      <c r="N375">
        <v>1225</v>
      </c>
      <c r="O375">
        <v>2785</v>
      </c>
    </row>
    <row r="376" spans="1:15" x14ac:dyDescent="0.3">
      <c r="A376">
        <v>4020332650</v>
      </c>
      <c r="B376" s="1">
        <v>42500</v>
      </c>
      <c r="C376">
        <v>5546</v>
      </c>
      <c r="D376">
        <v>3.9800000190734899</v>
      </c>
      <c r="E376">
        <v>3.9800000190734899</v>
      </c>
      <c r="F376">
        <v>0</v>
      </c>
      <c r="G376">
        <v>0</v>
      </c>
      <c r="H376">
        <v>0</v>
      </c>
      <c r="I376">
        <v>3.8699998855590798</v>
      </c>
      <c r="J376">
        <v>3.9999999105930301E-2</v>
      </c>
      <c r="K376">
        <v>0</v>
      </c>
      <c r="L376">
        <v>0</v>
      </c>
      <c r="M376">
        <v>206</v>
      </c>
      <c r="N376">
        <v>774</v>
      </c>
      <c r="O376">
        <v>2926</v>
      </c>
    </row>
    <row r="377" spans="1:15" x14ac:dyDescent="0.3">
      <c r="A377">
        <v>4020332650</v>
      </c>
      <c r="B377" s="1">
        <v>42501</v>
      </c>
      <c r="C377">
        <v>3689</v>
      </c>
      <c r="D377">
        <v>2.6500000953674299</v>
      </c>
      <c r="E377">
        <v>2.6500000953674299</v>
      </c>
      <c r="F377">
        <v>0</v>
      </c>
      <c r="G377">
        <v>0.109999999403954</v>
      </c>
      <c r="H377">
        <v>0.17000000178813901</v>
      </c>
      <c r="I377">
        <v>2.3299999237060498</v>
      </c>
      <c r="J377">
        <v>0</v>
      </c>
      <c r="K377">
        <v>2</v>
      </c>
      <c r="L377">
        <v>8</v>
      </c>
      <c r="M377">
        <v>134</v>
      </c>
      <c r="N377">
        <v>1296</v>
      </c>
      <c r="O377">
        <v>2645</v>
      </c>
    </row>
    <row r="378" spans="1:15" x14ac:dyDescent="0.3">
      <c r="A378">
        <v>4020332650</v>
      </c>
      <c r="B378" s="1">
        <v>42502</v>
      </c>
      <c r="C378">
        <v>590</v>
      </c>
      <c r="D378">
        <v>0.41999998688697798</v>
      </c>
      <c r="E378">
        <v>0.41999998688697798</v>
      </c>
      <c r="F378">
        <v>0</v>
      </c>
      <c r="G378">
        <v>0</v>
      </c>
      <c r="H378">
        <v>0</v>
      </c>
      <c r="I378">
        <v>0.40999999642372098</v>
      </c>
      <c r="J378">
        <v>0</v>
      </c>
      <c r="K378">
        <v>0</v>
      </c>
      <c r="L378">
        <v>0</v>
      </c>
      <c r="M378">
        <v>21</v>
      </c>
      <c r="N378">
        <v>721</v>
      </c>
      <c r="O378">
        <v>1120</v>
      </c>
    </row>
    <row r="379" spans="1:15" x14ac:dyDescent="0.3">
      <c r="A379">
        <v>4057192912</v>
      </c>
      <c r="B379" s="1">
        <v>42472</v>
      </c>
      <c r="C379">
        <v>5394</v>
      </c>
      <c r="D379">
        <v>4.0300002098083496</v>
      </c>
      <c r="E379">
        <v>4.0300002098083496</v>
      </c>
      <c r="F379">
        <v>0</v>
      </c>
      <c r="G379">
        <v>0</v>
      </c>
      <c r="H379">
        <v>0</v>
      </c>
      <c r="I379">
        <v>3.9400000572204599</v>
      </c>
      <c r="J379">
        <v>0</v>
      </c>
      <c r="K379">
        <v>0</v>
      </c>
      <c r="L379">
        <v>0</v>
      </c>
      <c r="M379">
        <v>164</v>
      </c>
      <c r="N379">
        <v>1276</v>
      </c>
      <c r="O379">
        <v>2286</v>
      </c>
    </row>
    <row r="380" spans="1:15" x14ac:dyDescent="0.3">
      <c r="A380">
        <v>4057192912</v>
      </c>
      <c r="B380" s="1">
        <v>42473</v>
      </c>
      <c r="C380">
        <v>5974</v>
      </c>
      <c r="D380">
        <v>4.4699997901916504</v>
      </c>
      <c r="E380">
        <v>4.4699997901916504</v>
      </c>
      <c r="F380">
        <v>0</v>
      </c>
      <c r="G380">
        <v>0</v>
      </c>
      <c r="H380">
        <v>0</v>
      </c>
      <c r="I380">
        <v>4.3699998855590803</v>
      </c>
      <c r="J380">
        <v>0</v>
      </c>
      <c r="K380">
        <v>0</v>
      </c>
      <c r="L380">
        <v>0</v>
      </c>
      <c r="M380">
        <v>160</v>
      </c>
      <c r="N380">
        <v>1280</v>
      </c>
      <c r="O380">
        <v>2306</v>
      </c>
    </row>
    <row r="381" spans="1:15" x14ac:dyDescent="0.3">
      <c r="A381">
        <v>4057192912</v>
      </c>
      <c r="B381" s="1">
        <v>42474</v>
      </c>
      <c r="C381">
        <v>0</v>
      </c>
      <c r="D381">
        <v>0</v>
      </c>
      <c r="E381">
        <v>0</v>
      </c>
      <c r="F381">
        <v>0</v>
      </c>
      <c r="G381">
        <v>0</v>
      </c>
      <c r="H381">
        <v>0</v>
      </c>
      <c r="I381">
        <v>0</v>
      </c>
      <c r="J381">
        <v>0</v>
      </c>
      <c r="K381">
        <v>0</v>
      </c>
      <c r="L381">
        <v>0</v>
      </c>
      <c r="M381">
        <v>0</v>
      </c>
      <c r="N381">
        <v>1440</v>
      </c>
      <c r="O381">
        <v>1776</v>
      </c>
    </row>
    <row r="382" spans="1:15" x14ac:dyDescent="0.3">
      <c r="A382">
        <v>4057192912</v>
      </c>
      <c r="B382" s="1">
        <v>42475</v>
      </c>
      <c r="C382">
        <v>3984</v>
      </c>
      <c r="D382">
        <v>2.9500000476837198</v>
      </c>
      <c r="E382">
        <v>2.9500000476837198</v>
      </c>
      <c r="F382">
        <v>0</v>
      </c>
      <c r="G382">
        <v>0.20999999344348899</v>
      </c>
      <c r="H382">
        <v>0.259999990463257</v>
      </c>
      <c r="I382">
        <v>2.4400000572204599</v>
      </c>
      <c r="J382">
        <v>0</v>
      </c>
      <c r="K382">
        <v>3</v>
      </c>
      <c r="L382">
        <v>6</v>
      </c>
      <c r="M382">
        <v>88</v>
      </c>
      <c r="N382">
        <v>873</v>
      </c>
      <c r="O382">
        <v>1527</v>
      </c>
    </row>
    <row r="383" spans="1:15" x14ac:dyDescent="0.3">
      <c r="A383">
        <v>4319703577</v>
      </c>
      <c r="B383" s="1">
        <v>42472</v>
      </c>
      <c r="C383">
        <v>7753</v>
      </c>
      <c r="D383">
        <v>5.1999998092651403</v>
      </c>
      <c r="E383">
        <v>5.1999998092651403</v>
      </c>
      <c r="F383">
        <v>0</v>
      </c>
      <c r="G383">
        <v>0</v>
      </c>
      <c r="H383">
        <v>0</v>
      </c>
      <c r="I383">
        <v>0</v>
      </c>
      <c r="J383">
        <v>0</v>
      </c>
      <c r="K383">
        <v>0</v>
      </c>
      <c r="L383">
        <v>0</v>
      </c>
      <c r="M383">
        <v>0</v>
      </c>
      <c r="N383">
        <v>1440</v>
      </c>
      <c r="O383">
        <v>2115</v>
      </c>
    </row>
    <row r="384" spans="1:15" x14ac:dyDescent="0.3">
      <c r="A384">
        <v>4319703577</v>
      </c>
      <c r="B384" s="1">
        <v>42473</v>
      </c>
      <c r="C384">
        <v>8204</v>
      </c>
      <c r="D384">
        <v>5.5</v>
      </c>
      <c r="E384">
        <v>5.5</v>
      </c>
      <c r="F384">
        <v>0</v>
      </c>
      <c r="G384">
        <v>0.52999997138977095</v>
      </c>
      <c r="H384">
        <v>0.58999997377395597</v>
      </c>
      <c r="I384">
        <v>1.3099999427795399</v>
      </c>
      <c r="J384">
        <v>0</v>
      </c>
      <c r="K384">
        <v>8</v>
      </c>
      <c r="L384">
        <v>15</v>
      </c>
      <c r="M384">
        <v>96</v>
      </c>
      <c r="N384">
        <v>1234</v>
      </c>
      <c r="O384">
        <v>2135</v>
      </c>
    </row>
    <row r="385" spans="1:15" x14ac:dyDescent="0.3">
      <c r="A385">
        <v>4319703577</v>
      </c>
      <c r="B385" s="1">
        <v>42474</v>
      </c>
      <c r="C385">
        <v>10210</v>
      </c>
      <c r="D385">
        <v>6.8800001144409197</v>
      </c>
      <c r="E385">
        <v>6.8800001144409197</v>
      </c>
      <c r="F385">
        <v>0</v>
      </c>
      <c r="G385">
        <v>0.109999999403954</v>
      </c>
      <c r="H385">
        <v>0.33000001311302202</v>
      </c>
      <c r="I385">
        <v>6.4400000572204599</v>
      </c>
      <c r="J385">
        <v>0</v>
      </c>
      <c r="K385">
        <v>1</v>
      </c>
      <c r="L385">
        <v>9</v>
      </c>
      <c r="M385">
        <v>339</v>
      </c>
      <c r="N385">
        <v>589</v>
      </c>
      <c r="O385">
        <v>2302</v>
      </c>
    </row>
    <row r="386" spans="1:15" x14ac:dyDescent="0.3">
      <c r="A386">
        <v>4319703577</v>
      </c>
      <c r="B386" s="1">
        <v>42475</v>
      </c>
      <c r="C386">
        <v>5664</v>
      </c>
      <c r="D386">
        <v>3.7999999523162802</v>
      </c>
      <c r="E386">
        <v>3.7999999523162802</v>
      </c>
      <c r="F386">
        <v>0</v>
      </c>
      <c r="G386">
        <v>0</v>
      </c>
      <c r="H386">
        <v>0</v>
      </c>
      <c r="I386">
        <v>3.7999999523162802</v>
      </c>
      <c r="J386">
        <v>0</v>
      </c>
      <c r="K386">
        <v>0</v>
      </c>
      <c r="L386">
        <v>0</v>
      </c>
      <c r="M386">
        <v>228</v>
      </c>
      <c r="N386">
        <v>752</v>
      </c>
      <c r="O386">
        <v>1985</v>
      </c>
    </row>
    <row r="387" spans="1:15" x14ac:dyDescent="0.3">
      <c r="A387">
        <v>4319703577</v>
      </c>
      <c r="B387" s="1">
        <v>42476</v>
      </c>
      <c r="C387">
        <v>4744</v>
      </c>
      <c r="D387">
        <v>3.1800000667571999</v>
      </c>
      <c r="E387">
        <v>3.1800000667571999</v>
      </c>
      <c r="F387">
        <v>0</v>
      </c>
      <c r="G387">
        <v>0</v>
      </c>
      <c r="H387">
        <v>0</v>
      </c>
      <c r="I387">
        <v>3.1800000667571999</v>
      </c>
      <c r="J387">
        <v>0</v>
      </c>
      <c r="K387">
        <v>0</v>
      </c>
      <c r="L387">
        <v>0</v>
      </c>
      <c r="M387">
        <v>194</v>
      </c>
      <c r="N387">
        <v>724</v>
      </c>
      <c r="O387">
        <v>1884</v>
      </c>
    </row>
    <row r="388" spans="1:15" x14ac:dyDescent="0.3">
      <c r="A388">
        <v>4319703577</v>
      </c>
      <c r="B388" s="1">
        <v>42477</v>
      </c>
      <c r="C388">
        <v>29</v>
      </c>
      <c r="D388">
        <v>1.9999999552965199E-2</v>
      </c>
      <c r="E388">
        <v>1.9999999552965199E-2</v>
      </c>
      <c r="F388">
        <v>0</v>
      </c>
      <c r="G388">
        <v>0</v>
      </c>
      <c r="H388">
        <v>0</v>
      </c>
      <c r="I388">
        <v>1.9999999552965199E-2</v>
      </c>
      <c r="J388">
        <v>0</v>
      </c>
      <c r="K388">
        <v>0</v>
      </c>
      <c r="L388">
        <v>0</v>
      </c>
      <c r="M388">
        <v>3</v>
      </c>
      <c r="N388">
        <v>1363</v>
      </c>
      <c r="O388">
        <v>1464</v>
      </c>
    </row>
    <row r="389" spans="1:15" x14ac:dyDescent="0.3">
      <c r="A389">
        <v>4319703577</v>
      </c>
      <c r="B389" s="1">
        <v>42478</v>
      </c>
      <c r="C389">
        <v>2276</v>
      </c>
      <c r="D389">
        <v>1.54999995231628</v>
      </c>
      <c r="E389">
        <v>1.54999995231628</v>
      </c>
      <c r="F389">
        <v>0</v>
      </c>
      <c r="G389">
        <v>7.0000000298023196E-2</v>
      </c>
      <c r="H389">
        <v>0.33000001311302202</v>
      </c>
      <c r="I389">
        <v>1.12000000476837</v>
      </c>
      <c r="J389">
        <v>0</v>
      </c>
      <c r="K389">
        <v>1</v>
      </c>
      <c r="L389">
        <v>9</v>
      </c>
      <c r="M389">
        <v>58</v>
      </c>
      <c r="N389">
        <v>824</v>
      </c>
      <c r="O389">
        <v>1632</v>
      </c>
    </row>
    <row r="390" spans="1:15" x14ac:dyDescent="0.3">
      <c r="A390">
        <v>4319703577</v>
      </c>
      <c r="B390" s="1">
        <v>42479</v>
      </c>
      <c r="C390">
        <v>8925</v>
      </c>
      <c r="D390">
        <v>5.9899997711181596</v>
      </c>
      <c r="E390">
        <v>5.9899997711181596</v>
      </c>
      <c r="F390">
        <v>0</v>
      </c>
      <c r="G390">
        <v>0</v>
      </c>
      <c r="H390">
        <v>0</v>
      </c>
      <c r="I390">
        <v>5.9899997711181596</v>
      </c>
      <c r="J390">
        <v>0</v>
      </c>
      <c r="K390">
        <v>0</v>
      </c>
      <c r="L390">
        <v>0</v>
      </c>
      <c r="M390">
        <v>311</v>
      </c>
      <c r="N390">
        <v>604</v>
      </c>
      <c r="O390">
        <v>2200</v>
      </c>
    </row>
    <row r="391" spans="1:15" x14ac:dyDescent="0.3">
      <c r="A391">
        <v>4319703577</v>
      </c>
      <c r="B391" s="1">
        <v>42480</v>
      </c>
      <c r="C391">
        <v>8954</v>
      </c>
      <c r="D391">
        <v>6.0100002288818404</v>
      </c>
      <c r="E391">
        <v>6.0100002288818404</v>
      </c>
      <c r="F391">
        <v>0</v>
      </c>
      <c r="G391">
        <v>0</v>
      </c>
      <c r="H391">
        <v>0.68000000715255704</v>
      </c>
      <c r="I391">
        <v>5.3099999427795401</v>
      </c>
      <c r="J391">
        <v>0</v>
      </c>
      <c r="K391">
        <v>0</v>
      </c>
      <c r="L391">
        <v>18</v>
      </c>
      <c r="M391">
        <v>306</v>
      </c>
      <c r="N391">
        <v>671</v>
      </c>
      <c r="O391">
        <v>2220</v>
      </c>
    </row>
    <row r="392" spans="1:15" x14ac:dyDescent="0.3">
      <c r="A392">
        <v>4319703577</v>
      </c>
      <c r="B392" s="1">
        <v>42481</v>
      </c>
      <c r="C392">
        <v>3702</v>
      </c>
      <c r="D392">
        <v>2.4800000190734899</v>
      </c>
      <c r="E392">
        <v>2.4800000190734899</v>
      </c>
      <c r="F392">
        <v>0</v>
      </c>
      <c r="G392">
        <v>0</v>
      </c>
      <c r="H392">
        <v>0</v>
      </c>
      <c r="I392">
        <v>0.34999999403953602</v>
      </c>
      <c r="J392">
        <v>0</v>
      </c>
      <c r="K392">
        <v>0</v>
      </c>
      <c r="L392">
        <v>0</v>
      </c>
      <c r="M392">
        <v>34</v>
      </c>
      <c r="N392">
        <v>1265</v>
      </c>
      <c r="O392">
        <v>1792</v>
      </c>
    </row>
    <row r="393" spans="1:15" x14ac:dyDescent="0.3">
      <c r="A393">
        <v>4319703577</v>
      </c>
      <c r="B393" s="1">
        <v>42482</v>
      </c>
      <c r="C393">
        <v>4500</v>
      </c>
      <c r="D393">
        <v>3.0199999809265101</v>
      </c>
      <c r="E393">
        <v>3.0199999809265101</v>
      </c>
      <c r="F393">
        <v>0</v>
      </c>
      <c r="G393">
        <v>5.9999998658895499E-2</v>
      </c>
      <c r="H393">
        <v>0.81000000238418601</v>
      </c>
      <c r="I393">
        <v>2.1500000953674299</v>
      </c>
      <c r="J393">
        <v>0</v>
      </c>
      <c r="K393">
        <v>1</v>
      </c>
      <c r="L393">
        <v>19</v>
      </c>
      <c r="M393">
        <v>176</v>
      </c>
      <c r="N393">
        <v>709</v>
      </c>
      <c r="O393">
        <v>1886</v>
      </c>
    </row>
    <row r="394" spans="1:15" x14ac:dyDescent="0.3">
      <c r="A394">
        <v>4319703577</v>
      </c>
      <c r="B394" s="1">
        <v>42483</v>
      </c>
      <c r="C394">
        <v>4935</v>
      </c>
      <c r="D394">
        <v>3.3099999427795401</v>
      </c>
      <c r="E394">
        <v>3.3099999427795401</v>
      </c>
      <c r="F394">
        <v>0</v>
      </c>
      <c r="G394">
        <v>0</v>
      </c>
      <c r="H394">
        <v>0</v>
      </c>
      <c r="I394">
        <v>3.3099999427795401</v>
      </c>
      <c r="J394">
        <v>0</v>
      </c>
      <c r="K394">
        <v>0</v>
      </c>
      <c r="L394">
        <v>0</v>
      </c>
      <c r="M394">
        <v>233</v>
      </c>
      <c r="N394">
        <v>546</v>
      </c>
      <c r="O394">
        <v>1945</v>
      </c>
    </row>
    <row r="395" spans="1:15" x14ac:dyDescent="0.3">
      <c r="A395">
        <v>4319703577</v>
      </c>
      <c r="B395" s="1">
        <v>42484</v>
      </c>
      <c r="C395">
        <v>4081</v>
      </c>
      <c r="D395">
        <v>2.7400000095367401</v>
      </c>
      <c r="E395">
        <v>2.7400000095367401</v>
      </c>
      <c r="F395">
        <v>0</v>
      </c>
      <c r="G395">
        <v>5.9999998658895499E-2</v>
      </c>
      <c r="H395">
        <v>0.20000000298023199</v>
      </c>
      <c r="I395">
        <v>2.4700000286102299</v>
      </c>
      <c r="J395">
        <v>0</v>
      </c>
      <c r="K395">
        <v>1</v>
      </c>
      <c r="L395">
        <v>5</v>
      </c>
      <c r="M395">
        <v>191</v>
      </c>
      <c r="N395">
        <v>692</v>
      </c>
      <c r="O395">
        <v>1880</v>
      </c>
    </row>
    <row r="396" spans="1:15" x14ac:dyDescent="0.3">
      <c r="A396">
        <v>4319703577</v>
      </c>
      <c r="B396" s="1">
        <v>42485</v>
      </c>
      <c r="C396">
        <v>9259</v>
      </c>
      <c r="D396">
        <v>6.21000003814697</v>
      </c>
      <c r="E396">
        <v>6.21000003814697</v>
      </c>
      <c r="F396">
        <v>0</v>
      </c>
      <c r="G396">
        <v>0</v>
      </c>
      <c r="H396">
        <v>0.28000000119209301</v>
      </c>
      <c r="I396">
        <v>5.9299998283386204</v>
      </c>
      <c r="J396">
        <v>0</v>
      </c>
      <c r="K396">
        <v>0</v>
      </c>
      <c r="L396">
        <v>8</v>
      </c>
      <c r="M396">
        <v>390</v>
      </c>
      <c r="N396">
        <v>544</v>
      </c>
      <c r="O396">
        <v>2314</v>
      </c>
    </row>
    <row r="397" spans="1:15" x14ac:dyDescent="0.3">
      <c r="A397">
        <v>4319703577</v>
      </c>
      <c r="B397" s="1">
        <v>42486</v>
      </c>
      <c r="C397">
        <v>9899</v>
      </c>
      <c r="D397">
        <v>6.6399998664856001</v>
      </c>
      <c r="E397">
        <v>6.6399998664856001</v>
      </c>
      <c r="F397">
        <v>0</v>
      </c>
      <c r="G397">
        <v>0.56999999284744296</v>
      </c>
      <c r="H397">
        <v>0.92000001668930098</v>
      </c>
      <c r="I397">
        <v>5.1500000953674299</v>
      </c>
      <c r="J397">
        <v>0</v>
      </c>
      <c r="K397">
        <v>8</v>
      </c>
      <c r="L397">
        <v>21</v>
      </c>
      <c r="M397">
        <v>288</v>
      </c>
      <c r="N397">
        <v>649</v>
      </c>
      <c r="O397">
        <v>2236</v>
      </c>
    </row>
    <row r="398" spans="1:15" x14ac:dyDescent="0.3">
      <c r="A398">
        <v>4319703577</v>
      </c>
      <c r="B398" s="1">
        <v>42487</v>
      </c>
      <c r="C398">
        <v>10780</v>
      </c>
      <c r="D398">
        <v>7.2300000190734899</v>
      </c>
      <c r="E398">
        <v>7.2300000190734899</v>
      </c>
      <c r="F398">
        <v>0</v>
      </c>
      <c r="G398">
        <v>0.40999999642372098</v>
      </c>
      <c r="H398">
        <v>1.91999995708466</v>
      </c>
      <c r="I398">
        <v>4.9099998474121103</v>
      </c>
      <c r="J398">
        <v>0</v>
      </c>
      <c r="K398">
        <v>6</v>
      </c>
      <c r="L398">
        <v>47</v>
      </c>
      <c r="M398">
        <v>300</v>
      </c>
      <c r="N398">
        <v>680</v>
      </c>
      <c r="O398">
        <v>2324</v>
      </c>
    </row>
    <row r="399" spans="1:15" x14ac:dyDescent="0.3">
      <c r="A399">
        <v>4319703577</v>
      </c>
      <c r="B399" s="1">
        <v>42488</v>
      </c>
      <c r="C399">
        <v>10817</v>
      </c>
      <c r="D399">
        <v>7.2800002098083496</v>
      </c>
      <c r="E399">
        <v>7.2800002098083496</v>
      </c>
      <c r="F399">
        <v>0</v>
      </c>
      <c r="G399">
        <v>1.0099999904632599</v>
      </c>
      <c r="H399">
        <v>0.33000001311302202</v>
      </c>
      <c r="I399">
        <v>5.9400000572204599</v>
      </c>
      <c r="J399">
        <v>0</v>
      </c>
      <c r="K399">
        <v>13</v>
      </c>
      <c r="L399">
        <v>8</v>
      </c>
      <c r="M399">
        <v>359</v>
      </c>
      <c r="N399">
        <v>552</v>
      </c>
      <c r="O399">
        <v>2367</v>
      </c>
    </row>
    <row r="400" spans="1:15" x14ac:dyDescent="0.3">
      <c r="A400">
        <v>4319703577</v>
      </c>
      <c r="B400" s="1">
        <v>42489</v>
      </c>
      <c r="C400">
        <v>7990</v>
      </c>
      <c r="D400">
        <v>5.3600001335143999</v>
      </c>
      <c r="E400">
        <v>5.3600001335143999</v>
      </c>
      <c r="F400">
        <v>0</v>
      </c>
      <c r="G400">
        <v>0.44999998807907099</v>
      </c>
      <c r="H400">
        <v>0.79000002145767201</v>
      </c>
      <c r="I400">
        <v>4.1199998855590803</v>
      </c>
      <c r="J400">
        <v>0</v>
      </c>
      <c r="K400">
        <v>6</v>
      </c>
      <c r="L400">
        <v>18</v>
      </c>
      <c r="M400">
        <v>289</v>
      </c>
      <c r="N400">
        <v>624</v>
      </c>
      <c r="O400">
        <v>2175</v>
      </c>
    </row>
    <row r="401" spans="1:15" x14ac:dyDescent="0.3">
      <c r="A401">
        <v>4319703577</v>
      </c>
      <c r="B401" s="1">
        <v>42490</v>
      </c>
      <c r="C401">
        <v>8221</v>
      </c>
      <c r="D401">
        <v>5.5199999809265101</v>
      </c>
      <c r="E401">
        <v>5.5199999809265101</v>
      </c>
      <c r="F401">
        <v>0</v>
      </c>
      <c r="G401">
        <v>0.40000000596046398</v>
      </c>
      <c r="H401">
        <v>1.6100000143051101</v>
      </c>
      <c r="I401">
        <v>3.5099999904632599</v>
      </c>
      <c r="J401">
        <v>0</v>
      </c>
      <c r="K401">
        <v>6</v>
      </c>
      <c r="L401">
        <v>38</v>
      </c>
      <c r="M401">
        <v>196</v>
      </c>
      <c r="N401">
        <v>695</v>
      </c>
      <c r="O401">
        <v>2092</v>
      </c>
    </row>
    <row r="402" spans="1:15" x14ac:dyDescent="0.3">
      <c r="A402">
        <v>4319703577</v>
      </c>
      <c r="B402" s="1">
        <v>42491</v>
      </c>
      <c r="C402">
        <v>1251</v>
      </c>
      <c r="D402">
        <v>0.83999997377395597</v>
      </c>
      <c r="E402">
        <v>0.83999997377395597</v>
      </c>
      <c r="F402">
        <v>0</v>
      </c>
      <c r="G402">
        <v>0</v>
      </c>
      <c r="H402">
        <v>0</v>
      </c>
      <c r="I402">
        <v>0.83999997377395597</v>
      </c>
      <c r="J402">
        <v>0</v>
      </c>
      <c r="K402">
        <v>0</v>
      </c>
      <c r="L402">
        <v>0</v>
      </c>
      <c r="M402">
        <v>67</v>
      </c>
      <c r="N402">
        <v>836</v>
      </c>
      <c r="O402">
        <v>1593</v>
      </c>
    </row>
    <row r="403" spans="1:15" x14ac:dyDescent="0.3">
      <c r="A403">
        <v>4319703577</v>
      </c>
      <c r="B403" s="1">
        <v>42492</v>
      </c>
      <c r="C403">
        <v>9261</v>
      </c>
      <c r="D403">
        <v>6.2399997711181596</v>
      </c>
      <c r="E403">
        <v>6.2399997711181596</v>
      </c>
      <c r="F403">
        <v>0</v>
      </c>
      <c r="G403">
        <v>0</v>
      </c>
      <c r="H403">
        <v>0.43999999761581399</v>
      </c>
      <c r="I403">
        <v>5.71000003814697</v>
      </c>
      <c r="J403">
        <v>0</v>
      </c>
      <c r="K403">
        <v>0</v>
      </c>
      <c r="L403">
        <v>11</v>
      </c>
      <c r="M403">
        <v>344</v>
      </c>
      <c r="N403">
        <v>585</v>
      </c>
      <c r="O403">
        <v>2270</v>
      </c>
    </row>
    <row r="404" spans="1:15" x14ac:dyDescent="0.3">
      <c r="A404">
        <v>4319703577</v>
      </c>
      <c r="B404" s="1">
        <v>42493</v>
      </c>
      <c r="C404">
        <v>9648</v>
      </c>
      <c r="D404">
        <v>6.4699997901916504</v>
      </c>
      <c r="E404">
        <v>6.4699997901916504</v>
      </c>
      <c r="F404">
        <v>0</v>
      </c>
      <c r="G404">
        <v>0.57999998331069902</v>
      </c>
      <c r="H404">
        <v>1.0700000524520901</v>
      </c>
      <c r="I404">
        <v>4.8299999237060502</v>
      </c>
      <c r="J404">
        <v>0</v>
      </c>
      <c r="K404">
        <v>8</v>
      </c>
      <c r="L404">
        <v>26</v>
      </c>
      <c r="M404">
        <v>287</v>
      </c>
      <c r="N404">
        <v>669</v>
      </c>
      <c r="O404">
        <v>2235</v>
      </c>
    </row>
    <row r="405" spans="1:15" x14ac:dyDescent="0.3">
      <c r="A405">
        <v>4319703577</v>
      </c>
      <c r="B405" s="1">
        <v>42494</v>
      </c>
      <c r="C405">
        <v>10429</v>
      </c>
      <c r="D405">
        <v>7.0199999809265101</v>
      </c>
      <c r="E405">
        <v>7.0199999809265101</v>
      </c>
      <c r="F405">
        <v>0</v>
      </c>
      <c r="G405">
        <v>0.58999997377395597</v>
      </c>
      <c r="H405">
        <v>0.57999998331069902</v>
      </c>
      <c r="I405">
        <v>5.8499999046325701</v>
      </c>
      <c r="J405">
        <v>0</v>
      </c>
      <c r="K405">
        <v>8</v>
      </c>
      <c r="L405">
        <v>13</v>
      </c>
      <c r="M405">
        <v>313</v>
      </c>
      <c r="N405">
        <v>1106</v>
      </c>
      <c r="O405">
        <v>2282</v>
      </c>
    </row>
    <row r="406" spans="1:15" x14ac:dyDescent="0.3">
      <c r="A406">
        <v>4319703577</v>
      </c>
      <c r="B406" s="1">
        <v>42495</v>
      </c>
      <c r="C406">
        <v>13658</v>
      </c>
      <c r="D406">
        <v>9.4899997711181605</v>
      </c>
      <c r="E406">
        <v>9.4899997711181605</v>
      </c>
      <c r="F406">
        <v>0</v>
      </c>
      <c r="G406">
        <v>2.6300001144409202</v>
      </c>
      <c r="H406">
        <v>1.4099999666214</v>
      </c>
      <c r="I406">
        <v>5.4499998092651403</v>
      </c>
      <c r="J406">
        <v>0</v>
      </c>
      <c r="K406">
        <v>27</v>
      </c>
      <c r="L406">
        <v>34</v>
      </c>
      <c r="M406">
        <v>328</v>
      </c>
      <c r="N406">
        <v>957</v>
      </c>
      <c r="O406">
        <v>2530</v>
      </c>
    </row>
    <row r="407" spans="1:15" x14ac:dyDescent="0.3">
      <c r="A407">
        <v>4319703577</v>
      </c>
      <c r="B407" s="1">
        <v>42496</v>
      </c>
      <c r="C407">
        <v>9524</v>
      </c>
      <c r="D407">
        <v>6.4200000762939498</v>
      </c>
      <c r="E407">
        <v>6.4200000762939498</v>
      </c>
      <c r="F407">
        <v>0</v>
      </c>
      <c r="G407">
        <v>0.40999999642372098</v>
      </c>
      <c r="H407">
        <v>0.46999999880790699</v>
      </c>
      <c r="I407">
        <v>5.46000003814697</v>
      </c>
      <c r="J407">
        <v>0</v>
      </c>
      <c r="K407">
        <v>6</v>
      </c>
      <c r="L407">
        <v>11</v>
      </c>
      <c r="M407">
        <v>314</v>
      </c>
      <c r="N407">
        <v>692</v>
      </c>
      <c r="O407">
        <v>2266</v>
      </c>
    </row>
    <row r="408" spans="1:15" x14ac:dyDescent="0.3">
      <c r="A408">
        <v>4319703577</v>
      </c>
      <c r="B408" s="1">
        <v>42497</v>
      </c>
      <c r="C408">
        <v>7937</v>
      </c>
      <c r="D408">
        <v>5.3299999237060502</v>
      </c>
      <c r="E408">
        <v>5.3299999237060502</v>
      </c>
      <c r="F408">
        <v>0</v>
      </c>
      <c r="G408">
        <v>0.18999999761581399</v>
      </c>
      <c r="H408">
        <v>1.04999995231628</v>
      </c>
      <c r="I408">
        <v>4.0799999237060502</v>
      </c>
      <c r="J408">
        <v>0</v>
      </c>
      <c r="K408">
        <v>3</v>
      </c>
      <c r="L408">
        <v>28</v>
      </c>
      <c r="M408">
        <v>279</v>
      </c>
      <c r="N408">
        <v>586</v>
      </c>
      <c r="O408">
        <v>2158</v>
      </c>
    </row>
    <row r="409" spans="1:15" x14ac:dyDescent="0.3">
      <c r="A409">
        <v>4319703577</v>
      </c>
      <c r="B409" s="1">
        <v>42498</v>
      </c>
      <c r="C409">
        <v>3672</v>
      </c>
      <c r="D409">
        <v>2.46000003814697</v>
      </c>
      <c r="E409">
        <v>2.46000003814697</v>
      </c>
      <c r="F409">
        <v>0</v>
      </c>
      <c r="G409">
        <v>0</v>
      </c>
      <c r="H409">
        <v>0</v>
      </c>
      <c r="I409">
        <v>2.46000003814697</v>
      </c>
      <c r="J409">
        <v>0</v>
      </c>
      <c r="K409">
        <v>0</v>
      </c>
      <c r="L409">
        <v>0</v>
      </c>
      <c r="M409">
        <v>153</v>
      </c>
      <c r="N409">
        <v>603</v>
      </c>
      <c r="O409">
        <v>1792</v>
      </c>
    </row>
    <row r="410" spans="1:15" x14ac:dyDescent="0.3">
      <c r="A410">
        <v>4319703577</v>
      </c>
      <c r="B410" s="1">
        <v>42499</v>
      </c>
      <c r="C410">
        <v>10378</v>
      </c>
      <c r="D410">
        <v>6.96000003814697</v>
      </c>
      <c r="E410">
        <v>6.96000003814697</v>
      </c>
      <c r="F410">
        <v>0</v>
      </c>
      <c r="G410">
        <v>0.140000000596046</v>
      </c>
      <c r="H410">
        <v>0.56000000238418601</v>
      </c>
      <c r="I410">
        <v>6.25</v>
      </c>
      <c r="J410">
        <v>0</v>
      </c>
      <c r="K410">
        <v>2</v>
      </c>
      <c r="L410">
        <v>14</v>
      </c>
      <c r="M410">
        <v>374</v>
      </c>
      <c r="N410">
        <v>490</v>
      </c>
      <c r="O410">
        <v>2345</v>
      </c>
    </row>
    <row r="411" spans="1:15" x14ac:dyDescent="0.3">
      <c r="A411">
        <v>4319703577</v>
      </c>
      <c r="B411" s="1">
        <v>42500</v>
      </c>
      <c r="C411">
        <v>9487</v>
      </c>
      <c r="D411">
        <v>6.3699998855590803</v>
      </c>
      <c r="E411">
        <v>6.3699998855590803</v>
      </c>
      <c r="F411">
        <v>0</v>
      </c>
      <c r="G411">
        <v>0.20999999344348899</v>
      </c>
      <c r="H411">
        <v>0.46000000834464999</v>
      </c>
      <c r="I411">
        <v>5.6999998092651403</v>
      </c>
      <c r="J411">
        <v>0</v>
      </c>
      <c r="K411">
        <v>3</v>
      </c>
      <c r="L411">
        <v>12</v>
      </c>
      <c r="M411">
        <v>329</v>
      </c>
      <c r="N411">
        <v>555</v>
      </c>
      <c r="O411">
        <v>2260</v>
      </c>
    </row>
    <row r="412" spans="1:15" x14ac:dyDescent="0.3">
      <c r="A412">
        <v>4319703577</v>
      </c>
      <c r="B412" s="1">
        <v>42501</v>
      </c>
      <c r="C412">
        <v>9129</v>
      </c>
      <c r="D412">
        <v>6.1300001144409197</v>
      </c>
      <c r="E412">
        <v>6.1300001144409197</v>
      </c>
      <c r="F412">
        <v>0</v>
      </c>
      <c r="G412">
        <v>0.20000000298023199</v>
      </c>
      <c r="H412">
        <v>0.74000000953674305</v>
      </c>
      <c r="I412">
        <v>5.1799998283386204</v>
      </c>
      <c r="J412">
        <v>0</v>
      </c>
      <c r="K412">
        <v>3</v>
      </c>
      <c r="L412">
        <v>18</v>
      </c>
      <c r="M412">
        <v>311</v>
      </c>
      <c r="N412">
        <v>574</v>
      </c>
      <c r="O412">
        <v>2232</v>
      </c>
    </row>
    <row r="413" spans="1:15" x14ac:dyDescent="0.3">
      <c r="A413">
        <v>4319703577</v>
      </c>
      <c r="B413" s="1">
        <v>42502</v>
      </c>
      <c r="C413">
        <v>17</v>
      </c>
      <c r="D413">
        <v>9.9999997764825804E-3</v>
      </c>
      <c r="E413">
        <v>9.9999997764825804E-3</v>
      </c>
      <c r="F413">
        <v>0</v>
      </c>
      <c r="G413">
        <v>0</v>
      </c>
      <c r="H413">
        <v>0</v>
      </c>
      <c r="I413">
        <v>9.9999997764825804E-3</v>
      </c>
      <c r="J413">
        <v>0</v>
      </c>
      <c r="K413">
        <v>0</v>
      </c>
      <c r="L413">
        <v>0</v>
      </c>
      <c r="M413">
        <v>2</v>
      </c>
      <c r="N413">
        <v>0</v>
      </c>
      <c r="O413">
        <v>257</v>
      </c>
    </row>
    <row r="414" spans="1:15" x14ac:dyDescent="0.3">
      <c r="A414">
        <v>4388161847</v>
      </c>
      <c r="B414" s="1">
        <v>42472</v>
      </c>
      <c r="C414">
        <v>10122</v>
      </c>
      <c r="D414">
        <v>7.7800002098083496</v>
      </c>
      <c r="E414">
        <v>7.7800002098083496</v>
      </c>
      <c r="F414">
        <v>0</v>
      </c>
      <c r="G414">
        <v>0</v>
      </c>
      <c r="H414">
        <v>0</v>
      </c>
      <c r="I414">
        <v>0</v>
      </c>
      <c r="J414">
        <v>0</v>
      </c>
      <c r="K414">
        <v>0</v>
      </c>
      <c r="L414">
        <v>0</v>
      </c>
      <c r="M414">
        <v>0</v>
      </c>
      <c r="N414">
        <v>1440</v>
      </c>
      <c r="O414">
        <v>2955</v>
      </c>
    </row>
    <row r="415" spans="1:15" x14ac:dyDescent="0.3">
      <c r="A415">
        <v>4388161847</v>
      </c>
      <c r="B415" s="1">
        <v>42473</v>
      </c>
      <c r="C415">
        <v>10993</v>
      </c>
      <c r="D415">
        <v>8.4499998092651403</v>
      </c>
      <c r="E415">
        <v>8.4499998092651403</v>
      </c>
      <c r="F415">
        <v>0</v>
      </c>
      <c r="G415">
        <v>5.9999998658895499E-2</v>
      </c>
      <c r="H415">
        <v>0.62999999523162797</v>
      </c>
      <c r="I415">
        <v>3.8800001144409202</v>
      </c>
      <c r="J415">
        <v>0</v>
      </c>
      <c r="K415">
        <v>1</v>
      </c>
      <c r="L415">
        <v>14</v>
      </c>
      <c r="M415">
        <v>150</v>
      </c>
      <c r="N415">
        <v>1275</v>
      </c>
      <c r="O415">
        <v>3092</v>
      </c>
    </row>
    <row r="416" spans="1:15" x14ac:dyDescent="0.3">
      <c r="A416">
        <v>4388161847</v>
      </c>
      <c r="B416" s="1">
        <v>42474</v>
      </c>
      <c r="C416">
        <v>8863</v>
      </c>
      <c r="D416">
        <v>6.8200001716613796</v>
      </c>
      <c r="E416">
        <v>6.8200001716613796</v>
      </c>
      <c r="F416">
        <v>0</v>
      </c>
      <c r="G416">
        <v>0.129999995231628</v>
      </c>
      <c r="H416">
        <v>1.0700000524520901</v>
      </c>
      <c r="I416">
        <v>5.6199998855590803</v>
      </c>
      <c r="J416">
        <v>0</v>
      </c>
      <c r="K416">
        <v>10</v>
      </c>
      <c r="L416">
        <v>35</v>
      </c>
      <c r="M416">
        <v>219</v>
      </c>
      <c r="N416">
        <v>945</v>
      </c>
      <c r="O416">
        <v>2998</v>
      </c>
    </row>
    <row r="417" spans="1:15" x14ac:dyDescent="0.3">
      <c r="A417">
        <v>4388161847</v>
      </c>
      <c r="B417" s="1">
        <v>42475</v>
      </c>
      <c r="C417">
        <v>8758</v>
      </c>
      <c r="D417">
        <v>6.7300000190734899</v>
      </c>
      <c r="E417">
        <v>6.7300000190734899</v>
      </c>
      <c r="F417">
        <v>0</v>
      </c>
      <c r="G417">
        <v>0</v>
      </c>
      <c r="H417">
        <v>0</v>
      </c>
      <c r="I417">
        <v>6.7300000190734899</v>
      </c>
      <c r="J417">
        <v>0</v>
      </c>
      <c r="K417">
        <v>0</v>
      </c>
      <c r="L417">
        <v>0</v>
      </c>
      <c r="M417">
        <v>299</v>
      </c>
      <c r="N417">
        <v>837</v>
      </c>
      <c r="O417">
        <v>3066</v>
      </c>
    </row>
    <row r="418" spans="1:15" x14ac:dyDescent="0.3">
      <c r="A418">
        <v>4388161847</v>
      </c>
      <c r="B418" s="1">
        <v>42476</v>
      </c>
      <c r="C418">
        <v>6580</v>
      </c>
      <c r="D418">
        <v>5.0599999427795401</v>
      </c>
      <c r="E418">
        <v>5.0599999427795401</v>
      </c>
      <c r="F418">
        <v>0</v>
      </c>
      <c r="G418">
        <v>0.20999999344348899</v>
      </c>
      <c r="H418">
        <v>0.40000000596046398</v>
      </c>
      <c r="I418">
        <v>4.4499998092651403</v>
      </c>
      <c r="J418">
        <v>0</v>
      </c>
      <c r="K418">
        <v>6</v>
      </c>
      <c r="L418">
        <v>9</v>
      </c>
      <c r="M418">
        <v>253</v>
      </c>
      <c r="N418">
        <v>609</v>
      </c>
      <c r="O418">
        <v>3073</v>
      </c>
    </row>
    <row r="419" spans="1:15" x14ac:dyDescent="0.3">
      <c r="A419">
        <v>4388161847</v>
      </c>
      <c r="B419" s="1">
        <v>42477</v>
      </c>
      <c r="C419">
        <v>4660</v>
      </c>
      <c r="D419">
        <v>3.5799999237060498</v>
      </c>
      <c r="E419">
        <v>3.5799999237060498</v>
      </c>
      <c r="F419">
        <v>0</v>
      </c>
      <c r="G419">
        <v>0</v>
      </c>
      <c r="H419">
        <v>0</v>
      </c>
      <c r="I419">
        <v>3.5799999237060498</v>
      </c>
      <c r="J419">
        <v>0</v>
      </c>
      <c r="K419">
        <v>0</v>
      </c>
      <c r="L419">
        <v>0</v>
      </c>
      <c r="M419">
        <v>201</v>
      </c>
      <c r="N419">
        <v>721</v>
      </c>
      <c r="O419">
        <v>2572</v>
      </c>
    </row>
    <row r="420" spans="1:15" x14ac:dyDescent="0.3">
      <c r="A420">
        <v>4388161847</v>
      </c>
      <c r="B420" s="1">
        <v>42478</v>
      </c>
      <c r="C420">
        <v>11009</v>
      </c>
      <c r="D420">
        <v>9.1000003814697301</v>
      </c>
      <c r="E420">
        <v>9.1000003814697301</v>
      </c>
      <c r="F420">
        <v>0</v>
      </c>
      <c r="G420">
        <v>3.5599999427795401</v>
      </c>
      <c r="H420">
        <v>0.40000000596046398</v>
      </c>
      <c r="I420">
        <v>5.1399998664856001</v>
      </c>
      <c r="J420">
        <v>0</v>
      </c>
      <c r="K420">
        <v>27</v>
      </c>
      <c r="L420">
        <v>8</v>
      </c>
      <c r="M420">
        <v>239</v>
      </c>
      <c r="N420">
        <v>1017</v>
      </c>
      <c r="O420">
        <v>3274</v>
      </c>
    </row>
    <row r="421" spans="1:15" x14ac:dyDescent="0.3">
      <c r="A421">
        <v>4388161847</v>
      </c>
      <c r="B421" s="1">
        <v>42479</v>
      </c>
      <c r="C421">
        <v>10181</v>
      </c>
      <c r="D421">
        <v>7.8299999237060502</v>
      </c>
      <c r="E421">
        <v>7.8299999237060502</v>
      </c>
      <c r="F421">
        <v>0</v>
      </c>
      <c r="G421">
        <v>1.37000000476837</v>
      </c>
      <c r="H421">
        <v>0.68999999761581399</v>
      </c>
      <c r="I421">
        <v>5.7699999809265101</v>
      </c>
      <c r="J421">
        <v>0</v>
      </c>
      <c r="K421">
        <v>20</v>
      </c>
      <c r="L421">
        <v>16</v>
      </c>
      <c r="M421">
        <v>249</v>
      </c>
      <c r="N421">
        <v>704</v>
      </c>
      <c r="O421">
        <v>3015</v>
      </c>
    </row>
    <row r="422" spans="1:15" x14ac:dyDescent="0.3">
      <c r="A422">
        <v>4388161847</v>
      </c>
      <c r="B422" s="1">
        <v>42480</v>
      </c>
      <c r="C422">
        <v>10553</v>
      </c>
      <c r="D422">
        <v>8.1199998855590803</v>
      </c>
      <c r="E422">
        <v>8.1199998855590803</v>
      </c>
      <c r="F422">
        <v>0</v>
      </c>
      <c r="G422">
        <v>1.1000000238418599</v>
      </c>
      <c r="H422">
        <v>1.7200000286102299</v>
      </c>
      <c r="I422">
        <v>5.28999996185303</v>
      </c>
      <c r="J422">
        <v>0</v>
      </c>
      <c r="K422">
        <v>19</v>
      </c>
      <c r="L422">
        <v>42</v>
      </c>
      <c r="M422">
        <v>228</v>
      </c>
      <c r="N422">
        <v>696</v>
      </c>
      <c r="O422">
        <v>3083</v>
      </c>
    </row>
    <row r="423" spans="1:15" x14ac:dyDescent="0.3">
      <c r="A423">
        <v>4388161847</v>
      </c>
      <c r="B423" s="1">
        <v>42481</v>
      </c>
      <c r="C423">
        <v>10055</v>
      </c>
      <c r="D423">
        <v>7.7300000190734899</v>
      </c>
      <c r="E423">
        <v>7.7300000190734899</v>
      </c>
      <c r="F423">
        <v>0</v>
      </c>
      <c r="G423">
        <v>0.37000000476837203</v>
      </c>
      <c r="H423">
        <v>0.38999998569488498</v>
      </c>
      <c r="I423">
        <v>6.9800000190734899</v>
      </c>
      <c r="J423">
        <v>0</v>
      </c>
      <c r="K423">
        <v>7</v>
      </c>
      <c r="L423">
        <v>12</v>
      </c>
      <c r="M423">
        <v>272</v>
      </c>
      <c r="N423">
        <v>853</v>
      </c>
      <c r="O423">
        <v>3069</v>
      </c>
    </row>
    <row r="424" spans="1:15" x14ac:dyDescent="0.3">
      <c r="A424">
        <v>4388161847</v>
      </c>
      <c r="B424" s="1">
        <v>42482</v>
      </c>
      <c r="C424">
        <v>12139</v>
      </c>
      <c r="D424">
        <v>9.3400001525878906</v>
      </c>
      <c r="E424">
        <v>9.3400001525878906</v>
      </c>
      <c r="F424">
        <v>0</v>
      </c>
      <c r="G424">
        <v>3.2999999523162802</v>
      </c>
      <c r="H424">
        <v>1.1100000143051101</v>
      </c>
      <c r="I424">
        <v>4.9200000762939498</v>
      </c>
      <c r="J424">
        <v>0</v>
      </c>
      <c r="K424">
        <v>77</v>
      </c>
      <c r="L424">
        <v>25</v>
      </c>
      <c r="M424">
        <v>220</v>
      </c>
      <c r="N424">
        <v>945</v>
      </c>
      <c r="O424">
        <v>3544</v>
      </c>
    </row>
    <row r="425" spans="1:15" x14ac:dyDescent="0.3">
      <c r="A425">
        <v>4388161847</v>
      </c>
      <c r="B425" s="1">
        <v>42483</v>
      </c>
      <c r="C425">
        <v>13236</v>
      </c>
      <c r="D425">
        <v>10.180000305175801</v>
      </c>
      <c r="E425">
        <v>10.180000305175801</v>
      </c>
      <c r="F425">
        <v>0</v>
      </c>
      <c r="G425">
        <v>4.5</v>
      </c>
      <c r="H425">
        <v>0.31999999284744302</v>
      </c>
      <c r="I425">
        <v>5.3499999046325701</v>
      </c>
      <c r="J425">
        <v>0</v>
      </c>
      <c r="K425">
        <v>58</v>
      </c>
      <c r="L425">
        <v>5</v>
      </c>
      <c r="M425">
        <v>215</v>
      </c>
      <c r="N425">
        <v>749</v>
      </c>
      <c r="O425">
        <v>3306</v>
      </c>
    </row>
    <row r="426" spans="1:15" x14ac:dyDescent="0.3">
      <c r="A426">
        <v>4388161847</v>
      </c>
      <c r="B426" s="1">
        <v>42484</v>
      </c>
      <c r="C426">
        <v>10243</v>
      </c>
      <c r="D426">
        <v>7.8800001144409197</v>
      </c>
      <c r="E426">
        <v>7.8800001144409197</v>
      </c>
      <c r="F426">
        <v>0</v>
      </c>
      <c r="G426">
        <v>1.08000004291534</v>
      </c>
      <c r="H426">
        <v>0.50999999046325695</v>
      </c>
      <c r="I426">
        <v>6.3000001907348597</v>
      </c>
      <c r="J426">
        <v>0</v>
      </c>
      <c r="K426">
        <v>14</v>
      </c>
      <c r="L426">
        <v>8</v>
      </c>
      <c r="M426">
        <v>239</v>
      </c>
      <c r="N426">
        <v>584</v>
      </c>
      <c r="O426">
        <v>2885</v>
      </c>
    </row>
    <row r="427" spans="1:15" x14ac:dyDescent="0.3">
      <c r="A427">
        <v>4388161847</v>
      </c>
      <c r="B427" s="1">
        <v>42485</v>
      </c>
      <c r="C427">
        <v>12961</v>
      </c>
      <c r="D427">
        <v>9.9700002670288104</v>
      </c>
      <c r="E427">
        <v>9.9700002670288104</v>
      </c>
      <c r="F427">
        <v>0</v>
      </c>
      <c r="G427">
        <v>0.730000019073486</v>
      </c>
      <c r="H427">
        <v>1.3999999761581401</v>
      </c>
      <c r="I427">
        <v>7.8400001525878897</v>
      </c>
      <c r="J427">
        <v>0</v>
      </c>
      <c r="K427">
        <v>11</v>
      </c>
      <c r="L427">
        <v>31</v>
      </c>
      <c r="M427">
        <v>301</v>
      </c>
      <c r="N427">
        <v>1054</v>
      </c>
      <c r="O427">
        <v>3288</v>
      </c>
    </row>
    <row r="428" spans="1:15" x14ac:dyDescent="0.3">
      <c r="A428">
        <v>4388161847</v>
      </c>
      <c r="B428" s="1">
        <v>42486</v>
      </c>
      <c r="C428">
        <v>9461</v>
      </c>
      <c r="D428">
        <v>7.2800002098083496</v>
      </c>
      <c r="E428">
        <v>7.2800002098083496</v>
      </c>
      <c r="F428">
        <v>0</v>
      </c>
      <c r="G428">
        <v>0.93999999761581399</v>
      </c>
      <c r="H428">
        <v>1.0599999427795399</v>
      </c>
      <c r="I428">
        <v>5.2699999809265101</v>
      </c>
      <c r="J428">
        <v>0</v>
      </c>
      <c r="K428">
        <v>14</v>
      </c>
      <c r="L428">
        <v>23</v>
      </c>
      <c r="M428">
        <v>224</v>
      </c>
      <c r="N428">
        <v>673</v>
      </c>
      <c r="O428">
        <v>2929</v>
      </c>
    </row>
    <row r="429" spans="1:15" x14ac:dyDescent="0.3">
      <c r="A429">
        <v>4388161847</v>
      </c>
      <c r="B429" s="1">
        <v>42487</v>
      </c>
      <c r="C429">
        <v>11193</v>
      </c>
      <c r="D429">
        <v>8.6099996566772496</v>
      </c>
      <c r="E429">
        <v>8.6099996566772496</v>
      </c>
      <c r="F429">
        <v>0</v>
      </c>
      <c r="G429">
        <v>0.69999998807907104</v>
      </c>
      <c r="H429">
        <v>2.5099999904632599</v>
      </c>
      <c r="I429">
        <v>5.3899998664856001</v>
      </c>
      <c r="J429">
        <v>0</v>
      </c>
      <c r="K429">
        <v>11</v>
      </c>
      <c r="L429">
        <v>48</v>
      </c>
      <c r="M429">
        <v>241</v>
      </c>
      <c r="N429">
        <v>684</v>
      </c>
      <c r="O429">
        <v>3074</v>
      </c>
    </row>
    <row r="430" spans="1:15" x14ac:dyDescent="0.3">
      <c r="A430">
        <v>4388161847</v>
      </c>
      <c r="B430" s="1">
        <v>42488</v>
      </c>
      <c r="C430">
        <v>10074</v>
      </c>
      <c r="D430">
        <v>7.75</v>
      </c>
      <c r="E430">
        <v>7.75</v>
      </c>
      <c r="F430">
        <v>0</v>
      </c>
      <c r="G430">
        <v>1.28999996185303</v>
      </c>
      <c r="H430">
        <v>0.43000000715255698</v>
      </c>
      <c r="I430">
        <v>6.0300002098083496</v>
      </c>
      <c r="J430">
        <v>0</v>
      </c>
      <c r="K430">
        <v>19</v>
      </c>
      <c r="L430">
        <v>9</v>
      </c>
      <c r="M430">
        <v>234</v>
      </c>
      <c r="N430">
        <v>878</v>
      </c>
      <c r="O430">
        <v>2969</v>
      </c>
    </row>
    <row r="431" spans="1:15" x14ac:dyDescent="0.3">
      <c r="A431">
        <v>4388161847</v>
      </c>
      <c r="B431" s="1">
        <v>42489</v>
      </c>
      <c r="C431">
        <v>9232</v>
      </c>
      <c r="D431">
        <v>7.0999999046325701</v>
      </c>
      <c r="E431">
        <v>7.0999999046325701</v>
      </c>
      <c r="F431">
        <v>0</v>
      </c>
      <c r="G431">
        <v>0.80000001192092896</v>
      </c>
      <c r="H431">
        <v>0.88999998569488503</v>
      </c>
      <c r="I431">
        <v>5.4200000762939498</v>
      </c>
      <c r="J431">
        <v>0</v>
      </c>
      <c r="K431">
        <v>13</v>
      </c>
      <c r="L431">
        <v>16</v>
      </c>
      <c r="M431">
        <v>236</v>
      </c>
      <c r="N431">
        <v>1175</v>
      </c>
      <c r="O431">
        <v>2979</v>
      </c>
    </row>
    <row r="432" spans="1:15" x14ac:dyDescent="0.3">
      <c r="A432">
        <v>4388161847</v>
      </c>
      <c r="B432" s="1">
        <v>42490</v>
      </c>
      <c r="C432">
        <v>12533</v>
      </c>
      <c r="D432">
        <v>9.6400003433227504</v>
      </c>
      <c r="E432">
        <v>9.6400003433227504</v>
      </c>
      <c r="F432">
        <v>0</v>
      </c>
      <c r="G432">
        <v>0.69999998807907104</v>
      </c>
      <c r="H432">
        <v>2</v>
      </c>
      <c r="I432">
        <v>6.9400000572204599</v>
      </c>
      <c r="J432">
        <v>0</v>
      </c>
      <c r="K432">
        <v>14</v>
      </c>
      <c r="L432">
        <v>43</v>
      </c>
      <c r="M432">
        <v>300</v>
      </c>
      <c r="N432">
        <v>537</v>
      </c>
      <c r="O432">
        <v>3283</v>
      </c>
    </row>
    <row r="433" spans="1:15" x14ac:dyDescent="0.3">
      <c r="A433">
        <v>4388161847</v>
      </c>
      <c r="B433" s="1">
        <v>42491</v>
      </c>
      <c r="C433">
        <v>10255</v>
      </c>
      <c r="D433">
        <v>7.8899998664856001</v>
      </c>
      <c r="E433">
        <v>7.8899998664856001</v>
      </c>
      <c r="F433">
        <v>0</v>
      </c>
      <c r="G433">
        <v>1.0099999904632599</v>
      </c>
      <c r="H433">
        <v>0.68000000715255704</v>
      </c>
      <c r="I433">
        <v>6.1999998092651403</v>
      </c>
      <c r="J433">
        <v>0</v>
      </c>
      <c r="K433">
        <v>12</v>
      </c>
      <c r="L433">
        <v>15</v>
      </c>
      <c r="M433">
        <v>241</v>
      </c>
      <c r="N433">
        <v>579</v>
      </c>
      <c r="O433">
        <v>2926</v>
      </c>
    </row>
    <row r="434" spans="1:15" x14ac:dyDescent="0.3">
      <c r="A434">
        <v>4388161847</v>
      </c>
      <c r="B434" s="1">
        <v>42492</v>
      </c>
      <c r="C434">
        <v>10096</v>
      </c>
      <c r="D434">
        <v>8.3999996185302699</v>
      </c>
      <c r="E434">
        <v>8.3999996185302699</v>
      </c>
      <c r="F434">
        <v>0</v>
      </c>
      <c r="G434">
        <v>3.7699999809265101</v>
      </c>
      <c r="H434">
        <v>7.9999998211860698E-2</v>
      </c>
      <c r="I434">
        <v>4.5500001907348597</v>
      </c>
      <c r="J434">
        <v>0</v>
      </c>
      <c r="K434">
        <v>33</v>
      </c>
      <c r="L434">
        <v>4</v>
      </c>
      <c r="M434">
        <v>204</v>
      </c>
      <c r="N434">
        <v>935</v>
      </c>
      <c r="O434">
        <v>3147</v>
      </c>
    </row>
    <row r="435" spans="1:15" x14ac:dyDescent="0.3">
      <c r="A435">
        <v>4388161847</v>
      </c>
      <c r="B435" s="1">
        <v>42493</v>
      </c>
      <c r="C435">
        <v>12727</v>
      </c>
      <c r="D435">
        <v>9.7899999618530291</v>
      </c>
      <c r="E435">
        <v>9.7899999618530291</v>
      </c>
      <c r="F435">
        <v>0</v>
      </c>
      <c r="G435">
        <v>1.12999999523163</v>
      </c>
      <c r="H435">
        <v>0.77999997138977095</v>
      </c>
      <c r="I435">
        <v>7.8800001144409197</v>
      </c>
      <c r="J435">
        <v>0</v>
      </c>
      <c r="K435">
        <v>18</v>
      </c>
      <c r="L435">
        <v>18</v>
      </c>
      <c r="M435">
        <v>306</v>
      </c>
      <c r="N435">
        <v>984</v>
      </c>
      <c r="O435">
        <v>3290</v>
      </c>
    </row>
    <row r="436" spans="1:15" x14ac:dyDescent="0.3">
      <c r="A436">
        <v>4388161847</v>
      </c>
      <c r="B436" s="1">
        <v>42494</v>
      </c>
      <c r="C436">
        <v>12375</v>
      </c>
      <c r="D436">
        <v>9.5200004577636701</v>
      </c>
      <c r="E436">
        <v>9.5200004577636701</v>
      </c>
      <c r="F436">
        <v>0</v>
      </c>
      <c r="G436">
        <v>2.78999996185303</v>
      </c>
      <c r="H436">
        <v>0.93000000715255704</v>
      </c>
      <c r="I436">
        <v>5.8000001907348597</v>
      </c>
      <c r="J436">
        <v>0</v>
      </c>
      <c r="K436">
        <v>35</v>
      </c>
      <c r="L436">
        <v>21</v>
      </c>
      <c r="M436">
        <v>251</v>
      </c>
      <c r="N436">
        <v>632</v>
      </c>
      <c r="O436">
        <v>3162</v>
      </c>
    </row>
    <row r="437" spans="1:15" x14ac:dyDescent="0.3">
      <c r="A437">
        <v>4388161847</v>
      </c>
      <c r="B437" s="1">
        <v>42495</v>
      </c>
      <c r="C437">
        <v>9603</v>
      </c>
      <c r="D437">
        <v>7.3800001144409197</v>
      </c>
      <c r="E437">
        <v>7.3800001144409197</v>
      </c>
      <c r="F437">
        <v>0</v>
      </c>
      <c r="G437">
        <v>0.62999999523162797</v>
      </c>
      <c r="H437">
        <v>1.66999995708466</v>
      </c>
      <c r="I437">
        <v>5.0900001525878897</v>
      </c>
      <c r="J437">
        <v>0</v>
      </c>
      <c r="K437">
        <v>12</v>
      </c>
      <c r="L437">
        <v>39</v>
      </c>
      <c r="M437">
        <v>199</v>
      </c>
      <c r="N437">
        <v>896</v>
      </c>
      <c r="O437">
        <v>2899</v>
      </c>
    </row>
    <row r="438" spans="1:15" x14ac:dyDescent="0.3">
      <c r="A438">
        <v>4388161847</v>
      </c>
      <c r="B438" s="1">
        <v>42496</v>
      </c>
      <c r="C438">
        <v>13175</v>
      </c>
      <c r="D438">
        <v>10.1300001144409</v>
      </c>
      <c r="E438">
        <v>10.1300001144409</v>
      </c>
      <c r="F438">
        <v>0</v>
      </c>
      <c r="G438">
        <v>2.1099998950958301</v>
      </c>
      <c r="H438">
        <v>2.0899999141693102</v>
      </c>
      <c r="I438">
        <v>5.9299998283386204</v>
      </c>
      <c r="J438">
        <v>0</v>
      </c>
      <c r="K438">
        <v>33</v>
      </c>
      <c r="L438">
        <v>45</v>
      </c>
      <c r="M438">
        <v>262</v>
      </c>
      <c r="N438">
        <v>1100</v>
      </c>
      <c r="O438">
        <v>3425</v>
      </c>
    </row>
    <row r="439" spans="1:15" x14ac:dyDescent="0.3">
      <c r="A439">
        <v>4388161847</v>
      </c>
      <c r="B439" s="1">
        <v>42497</v>
      </c>
      <c r="C439">
        <v>22770</v>
      </c>
      <c r="D439">
        <v>17.540000915527301</v>
      </c>
      <c r="E439">
        <v>17.540000915527301</v>
      </c>
      <c r="F439">
        <v>0</v>
      </c>
      <c r="G439">
        <v>9.4499998092651403</v>
      </c>
      <c r="H439">
        <v>2.7699999809265101</v>
      </c>
      <c r="I439">
        <v>5.3299999237060502</v>
      </c>
      <c r="J439">
        <v>0</v>
      </c>
      <c r="K439">
        <v>120</v>
      </c>
      <c r="L439">
        <v>56</v>
      </c>
      <c r="M439">
        <v>260</v>
      </c>
      <c r="N439">
        <v>508</v>
      </c>
      <c r="O439">
        <v>4022</v>
      </c>
    </row>
    <row r="440" spans="1:15" x14ac:dyDescent="0.3">
      <c r="A440">
        <v>4388161847</v>
      </c>
      <c r="B440" s="1">
        <v>42498</v>
      </c>
      <c r="C440">
        <v>17298</v>
      </c>
      <c r="D440">
        <v>14.3800001144409</v>
      </c>
      <c r="E440">
        <v>14.3800001144409</v>
      </c>
      <c r="F440">
        <v>0</v>
      </c>
      <c r="G440">
        <v>9.8900003433227504</v>
      </c>
      <c r="H440">
        <v>1.2599999904632599</v>
      </c>
      <c r="I440">
        <v>3.2300000190734899</v>
      </c>
      <c r="J440">
        <v>0</v>
      </c>
      <c r="K440">
        <v>107</v>
      </c>
      <c r="L440">
        <v>38</v>
      </c>
      <c r="M440">
        <v>178</v>
      </c>
      <c r="N440">
        <v>576</v>
      </c>
      <c r="O440">
        <v>3934</v>
      </c>
    </row>
    <row r="441" spans="1:15" x14ac:dyDescent="0.3">
      <c r="A441">
        <v>4388161847</v>
      </c>
      <c r="B441" s="1">
        <v>42499</v>
      </c>
      <c r="C441">
        <v>10218</v>
      </c>
      <c r="D441">
        <v>7.8600001335143999</v>
      </c>
      <c r="E441">
        <v>7.8600001335143999</v>
      </c>
      <c r="F441">
        <v>0</v>
      </c>
      <c r="G441">
        <v>0.34000000357627902</v>
      </c>
      <c r="H441">
        <v>0.730000019073486</v>
      </c>
      <c r="I441">
        <v>6.78999996185303</v>
      </c>
      <c r="J441">
        <v>0</v>
      </c>
      <c r="K441">
        <v>6</v>
      </c>
      <c r="L441">
        <v>19</v>
      </c>
      <c r="M441">
        <v>258</v>
      </c>
      <c r="N441">
        <v>1020</v>
      </c>
      <c r="O441">
        <v>3013</v>
      </c>
    </row>
    <row r="442" spans="1:15" x14ac:dyDescent="0.3">
      <c r="A442">
        <v>4388161847</v>
      </c>
      <c r="B442" s="1">
        <v>42500</v>
      </c>
      <c r="C442">
        <v>10299</v>
      </c>
      <c r="D442">
        <v>7.9200000762939498</v>
      </c>
      <c r="E442">
        <v>7.9200000762939498</v>
      </c>
      <c r="F442">
        <v>0</v>
      </c>
      <c r="G442">
        <v>0.81000000238418601</v>
      </c>
      <c r="H442">
        <v>0.64999997615814198</v>
      </c>
      <c r="I442">
        <v>6.46000003814697</v>
      </c>
      <c r="J442">
        <v>0</v>
      </c>
      <c r="K442">
        <v>13</v>
      </c>
      <c r="L442">
        <v>14</v>
      </c>
      <c r="M442">
        <v>267</v>
      </c>
      <c r="N442">
        <v>648</v>
      </c>
      <c r="O442">
        <v>3061</v>
      </c>
    </row>
    <row r="443" spans="1:15" x14ac:dyDescent="0.3">
      <c r="A443">
        <v>4388161847</v>
      </c>
      <c r="B443" s="1">
        <v>42501</v>
      </c>
      <c r="C443">
        <v>10201</v>
      </c>
      <c r="D443">
        <v>7.8400001525878897</v>
      </c>
      <c r="E443">
        <v>7.8400001525878897</v>
      </c>
      <c r="F443">
        <v>0</v>
      </c>
      <c r="G443">
        <v>0.52999997138977095</v>
      </c>
      <c r="H443">
        <v>0.79000002145767201</v>
      </c>
      <c r="I443">
        <v>6.5300002098083496</v>
      </c>
      <c r="J443">
        <v>0</v>
      </c>
      <c r="K443">
        <v>8</v>
      </c>
      <c r="L443">
        <v>18</v>
      </c>
      <c r="M443">
        <v>256</v>
      </c>
      <c r="N443">
        <v>858</v>
      </c>
      <c r="O443">
        <v>2954</v>
      </c>
    </row>
    <row r="444" spans="1:15" x14ac:dyDescent="0.3">
      <c r="A444">
        <v>4388161847</v>
      </c>
      <c r="B444" s="1">
        <v>42502</v>
      </c>
      <c r="C444">
        <v>3369</v>
      </c>
      <c r="D444">
        <v>2.5899999141693102</v>
      </c>
      <c r="E444">
        <v>2.5899999141693102</v>
      </c>
      <c r="F444">
        <v>0</v>
      </c>
      <c r="G444">
        <v>0</v>
      </c>
      <c r="H444">
        <v>0</v>
      </c>
      <c r="I444">
        <v>2.5899999141693102</v>
      </c>
      <c r="J444">
        <v>0</v>
      </c>
      <c r="K444">
        <v>0</v>
      </c>
      <c r="L444">
        <v>0</v>
      </c>
      <c r="M444">
        <v>108</v>
      </c>
      <c r="N444">
        <v>825</v>
      </c>
      <c r="O444">
        <v>1623</v>
      </c>
    </row>
    <row r="445" spans="1:15" x14ac:dyDescent="0.3">
      <c r="A445">
        <v>4445114986</v>
      </c>
      <c r="B445" s="1">
        <v>42472</v>
      </c>
      <c r="C445">
        <v>3276</v>
      </c>
      <c r="D445">
        <v>2.2000000476837198</v>
      </c>
      <c r="E445">
        <v>2.2000000476837198</v>
      </c>
      <c r="F445">
        <v>0</v>
      </c>
      <c r="G445">
        <v>0</v>
      </c>
      <c r="H445">
        <v>0</v>
      </c>
      <c r="I445">
        <v>2.2000000476837198</v>
      </c>
      <c r="J445">
        <v>0</v>
      </c>
      <c r="K445">
        <v>0</v>
      </c>
      <c r="L445">
        <v>0</v>
      </c>
      <c r="M445">
        <v>196</v>
      </c>
      <c r="N445">
        <v>787</v>
      </c>
      <c r="O445">
        <v>2113</v>
      </c>
    </row>
    <row r="446" spans="1:15" x14ac:dyDescent="0.3">
      <c r="A446">
        <v>4445114986</v>
      </c>
      <c r="B446" s="1">
        <v>42473</v>
      </c>
      <c r="C446">
        <v>2961</v>
      </c>
      <c r="D446">
        <v>1.9900000095367401</v>
      </c>
      <c r="E446">
        <v>1.9900000095367401</v>
      </c>
      <c r="F446">
        <v>0</v>
      </c>
      <c r="G446">
        <v>0</v>
      </c>
      <c r="H446">
        <v>0</v>
      </c>
      <c r="I446">
        <v>1.9900000095367401</v>
      </c>
      <c r="J446">
        <v>0</v>
      </c>
      <c r="K446">
        <v>0</v>
      </c>
      <c r="L446">
        <v>0</v>
      </c>
      <c r="M446">
        <v>194</v>
      </c>
      <c r="N446">
        <v>840</v>
      </c>
      <c r="O446">
        <v>2095</v>
      </c>
    </row>
    <row r="447" spans="1:15" x14ac:dyDescent="0.3">
      <c r="A447">
        <v>4445114986</v>
      </c>
      <c r="B447" s="1">
        <v>42474</v>
      </c>
      <c r="C447">
        <v>3974</v>
      </c>
      <c r="D447">
        <v>2.6700000762939502</v>
      </c>
      <c r="E447">
        <v>2.6700000762939502</v>
      </c>
      <c r="F447">
        <v>0</v>
      </c>
      <c r="G447">
        <v>0</v>
      </c>
      <c r="H447">
        <v>0</v>
      </c>
      <c r="I447">
        <v>2.6700000762939502</v>
      </c>
      <c r="J447">
        <v>0</v>
      </c>
      <c r="K447">
        <v>0</v>
      </c>
      <c r="L447">
        <v>0</v>
      </c>
      <c r="M447">
        <v>231</v>
      </c>
      <c r="N447">
        <v>717</v>
      </c>
      <c r="O447">
        <v>2194</v>
      </c>
    </row>
    <row r="448" spans="1:15" x14ac:dyDescent="0.3">
      <c r="A448">
        <v>4445114986</v>
      </c>
      <c r="B448" s="1">
        <v>42475</v>
      </c>
      <c r="C448">
        <v>7198</v>
      </c>
      <c r="D448">
        <v>4.8299999237060502</v>
      </c>
      <c r="E448">
        <v>4.8299999237060502</v>
      </c>
      <c r="F448">
        <v>0</v>
      </c>
      <c r="G448">
        <v>0</v>
      </c>
      <c r="H448">
        <v>0</v>
      </c>
      <c r="I448">
        <v>4.8299999237060502</v>
      </c>
      <c r="J448">
        <v>0</v>
      </c>
      <c r="K448">
        <v>0</v>
      </c>
      <c r="L448">
        <v>0</v>
      </c>
      <c r="M448">
        <v>350</v>
      </c>
      <c r="N448">
        <v>711</v>
      </c>
      <c r="O448">
        <v>2496</v>
      </c>
    </row>
    <row r="449" spans="1:15" x14ac:dyDescent="0.3">
      <c r="A449">
        <v>4445114986</v>
      </c>
      <c r="B449" s="1">
        <v>42476</v>
      </c>
      <c r="C449">
        <v>3945</v>
      </c>
      <c r="D449">
        <v>2.6500000953674299</v>
      </c>
      <c r="E449">
        <v>2.6500000953674299</v>
      </c>
      <c r="F449">
        <v>0</v>
      </c>
      <c r="G449">
        <v>0</v>
      </c>
      <c r="H449">
        <v>0</v>
      </c>
      <c r="I449">
        <v>2.6500000953674299</v>
      </c>
      <c r="J449">
        <v>0</v>
      </c>
      <c r="K449">
        <v>0</v>
      </c>
      <c r="L449">
        <v>0</v>
      </c>
      <c r="M449">
        <v>225</v>
      </c>
      <c r="N449">
        <v>716</v>
      </c>
      <c r="O449">
        <v>2180</v>
      </c>
    </row>
    <row r="450" spans="1:15" x14ac:dyDescent="0.3">
      <c r="A450">
        <v>4445114986</v>
      </c>
      <c r="B450" s="1">
        <v>42477</v>
      </c>
      <c r="C450">
        <v>2268</v>
      </c>
      <c r="D450">
        <v>1.5199999809265099</v>
      </c>
      <c r="E450">
        <v>1.5199999809265099</v>
      </c>
      <c r="F450">
        <v>0</v>
      </c>
      <c r="G450">
        <v>0</v>
      </c>
      <c r="H450">
        <v>0</v>
      </c>
      <c r="I450">
        <v>1.5199999809265099</v>
      </c>
      <c r="J450">
        <v>0</v>
      </c>
      <c r="K450">
        <v>0</v>
      </c>
      <c r="L450">
        <v>0</v>
      </c>
      <c r="M450">
        <v>114</v>
      </c>
      <c r="N450">
        <v>1219</v>
      </c>
      <c r="O450">
        <v>1933</v>
      </c>
    </row>
    <row r="451" spans="1:15" x14ac:dyDescent="0.3">
      <c r="A451">
        <v>4445114986</v>
      </c>
      <c r="B451" s="1">
        <v>42478</v>
      </c>
      <c r="C451">
        <v>6155</v>
      </c>
      <c r="D451">
        <v>4.2399997711181596</v>
      </c>
      <c r="E451">
        <v>4.2399997711181596</v>
      </c>
      <c r="F451">
        <v>0</v>
      </c>
      <c r="G451">
        <v>2</v>
      </c>
      <c r="H451">
        <v>0.28999999165535001</v>
      </c>
      <c r="I451">
        <v>1.95000004768372</v>
      </c>
      <c r="J451">
        <v>0</v>
      </c>
      <c r="K451">
        <v>25</v>
      </c>
      <c r="L451">
        <v>6</v>
      </c>
      <c r="M451">
        <v>162</v>
      </c>
      <c r="N451">
        <v>1247</v>
      </c>
      <c r="O451">
        <v>2248</v>
      </c>
    </row>
    <row r="452" spans="1:15" x14ac:dyDescent="0.3">
      <c r="A452">
        <v>4445114986</v>
      </c>
      <c r="B452" s="1">
        <v>42479</v>
      </c>
      <c r="C452">
        <v>2064</v>
      </c>
      <c r="D452">
        <v>1.3899999856948899</v>
      </c>
      <c r="E452">
        <v>1.3899999856948899</v>
      </c>
      <c r="F452">
        <v>0</v>
      </c>
      <c r="G452">
        <v>0</v>
      </c>
      <c r="H452">
        <v>0</v>
      </c>
      <c r="I452">
        <v>1.3899999856948899</v>
      </c>
      <c r="J452">
        <v>0</v>
      </c>
      <c r="K452">
        <v>0</v>
      </c>
      <c r="L452">
        <v>0</v>
      </c>
      <c r="M452">
        <v>121</v>
      </c>
      <c r="N452">
        <v>895</v>
      </c>
      <c r="O452">
        <v>1954</v>
      </c>
    </row>
    <row r="453" spans="1:15" x14ac:dyDescent="0.3">
      <c r="A453">
        <v>4445114986</v>
      </c>
      <c r="B453" s="1">
        <v>42480</v>
      </c>
      <c r="C453">
        <v>2072</v>
      </c>
      <c r="D453">
        <v>1.3899999856948899</v>
      </c>
      <c r="E453">
        <v>1.3899999856948899</v>
      </c>
      <c r="F453">
        <v>0</v>
      </c>
      <c r="G453">
        <v>0</v>
      </c>
      <c r="H453">
        <v>0</v>
      </c>
      <c r="I453">
        <v>1.3899999856948899</v>
      </c>
      <c r="J453">
        <v>0</v>
      </c>
      <c r="K453">
        <v>0</v>
      </c>
      <c r="L453">
        <v>0</v>
      </c>
      <c r="M453">
        <v>137</v>
      </c>
      <c r="N453">
        <v>841</v>
      </c>
      <c r="O453">
        <v>1974</v>
      </c>
    </row>
    <row r="454" spans="1:15" x14ac:dyDescent="0.3">
      <c r="A454">
        <v>4445114986</v>
      </c>
      <c r="B454" s="1">
        <v>42481</v>
      </c>
      <c r="C454">
        <v>3809</v>
      </c>
      <c r="D454">
        <v>2.5599999427795401</v>
      </c>
      <c r="E454">
        <v>2.5599999427795401</v>
      </c>
      <c r="F454">
        <v>0</v>
      </c>
      <c r="G454">
        <v>0</v>
      </c>
      <c r="H454">
        <v>0</v>
      </c>
      <c r="I454">
        <v>2.53999996185303</v>
      </c>
      <c r="J454">
        <v>0</v>
      </c>
      <c r="K454">
        <v>0</v>
      </c>
      <c r="L454">
        <v>0</v>
      </c>
      <c r="M454">
        <v>215</v>
      </c>
      <c r="N454">
        <v>756</v>
      </c>
      <c r="O454">
        <v>2150</v>
      </c>
    </row>
    <row r="455" spans="1:15" x14ac:dyDescent="0.3">
      <c r="A455">
        <v>4445114986</v>
      </c>
      <c r="B455" s="1">
        <v>42482</v>
      </c>
      <c r="C455">
        <v>6831</v>
      </c>
      <c r="D455">
        <v>4.5799999237060502</v>
      </c>
      <c r="E455">
        <v>4.5799999237060502</v>
      </c>
      <c r="F455">
        <v>0</v>
      </c>
      <c r="G455">
        <v>0</v>
      </c>
      <c r="H455">
        <v>0</v>
      </c>
      <c r="I455">
        <v>4.5799999237060502</v>
      </c>
      <c r="J455">
        <v>0</v>
      </c>
      <c r="K455">
        <v>0</v>
      </c>
      <c r="L455">
        <v>0</v>
      </c>
      <c r="M455">
        <v>317</v>
      </c>
      <c r="N455">
        <v>706</v>
      </c>
      <c r="O455">
        <v>2432</v>
      </c>
    </row>
    <row r="456" spans="1:15" x14ac:dyDescent="0.3">
      <c r="A456">
        <v>4445114986</v>
      </c>
      <c r="B456" s="1">
        <v>42483</v>
      </c>
      <c r="C456">
        <v>4363</v>
      </c>
      <c r="D456">
        <v>2.9300000667571999</v>
      </c>
      <c r="E456">
        <v>2.9300000667571999</v>
      </c>
      <c r="F456">
        <v>0</v>
      </c>
      <c r="G456">
        <v>0</v>
      </c>
      <c r="H456">
        <v>0</v>
      </c>
      <c r="I456">
        <v>2.9300000667571999</v>
      </c>
      <c r="J456">
        <v>0</v>
      </c>
      <c r="K456">
        <v>0</v>
      </c>
      <c r="L456">
        <v>0</v>
      </c>
      <c r="M456">
        <v>201</v>
      </c>
      <c r="N456">
        <v>1239</v>
      </c>
      <c r="O456">
        <v>2149</v>
      </c>
    </row>
    <row r="457" spans="1:15" x14ac:dyDescent="0.3">
      <c r="A457">
        <v>4445114986</v>
      </c>
      <c r="B457" s="1">
        <v>42484</v>
      </c>
      <c r="C457">
        <v>5002</v>
      </c>
      <c r="D457">
        <v>3.3599998950958301</v>
      </c>
      <c r="E457">
        <v>3.3599998950958301</v>
      </c>
      <c r="F457">
        <v>0</v>
      </c>
      <c r="G457">
        <v>0</v>
      </c>
      <c r="H457">
        <v>0</v>
      </c>
      <c r="I457">
        <v>3.3599998950958301</v>
      </c>
      <c r="J457">
        <v>0</v>
      </c>
      <c r="K457">
        <v>0</v>
      </c>
      <c r="L457">
        <v>0</v>
      </c>
      <c r="M457">
        <v>244</v>
      </c>
      <c r="N457">
        <v>1196</v>
      </c>
      <c r="O457">
        <v>2247</v>
      </c>
    </row>
    <row r="458" spans="1:15" x14ac:dyDescent="0.3">
      <c r="A458">
        <v>4445114986</v>
      </c>
      <c r="B458" s="1">
        <v>42485</v>
      </c>
      <c r="C458">
        <v>3385</v>
      </c>
      <c r="D458">
        <v>2.2699999809265101</v>
      </c>
      <c r="E458">
        <v>2.2699999809265101</v>
      </c>
      <c r="F458">
        <v>0</v>
      </c>
      <c r="G458">
        <v>0</v>
      </c>
      <c r="H458">
        <v>0</v>
      </c>
      <c r="I458">
        <v>2.2699999809265101</v>
      </c>
      <c r="J458">
        <v>0</v>
      </c>
      <c r="K458">
        <v>0</v>
      </c>
      <c r="L458">
        <v>0</v>
      </c>
      <c r="M458">
        <v>179</v>
      </c>
      <c r="N458">
        <v>916</v>
      </c>
      <c r="O458">
        <v>2070</v>
      </c>
    </row>
    <row r="459" spans="1:15" x14ac:dyDescent="0.3">
      <c r="A459">
        <v>4445114986</v>
      </c>
      <c r="B459" s="1">
        <v>42486</v>
      </c>
      <c r="C459">
        <v>6326</v>
      </c>
      <c r="D459">
        <v>4.4099998474121103</v>
      </c>
      <c r="E459">
        <v>4.4099998474121103</v>
      </c>
      <c r="F459">
        <v>0</v>
      </c>
      <c r="G459">
        <v>2.4100000858306898</v>
      </c>
      <c r="H459">
        <v>3.9999999105930301E-2</v>
      </c>
      <c r="I459">
        <v>1.96000003814697</v>
      </c>
      <c r="J459">
        <v>0</v>
      </c>
      <c r="K459">
        <v>29</v>
      </c>
      <c r="L459">
        <v>1</v>
      </c>
      <c r="M459">
        <v>180</v>
      </c>
      <c r="N459">
        <v>839</v>
      </c>
      <c r="O459">
        <v>2291</v>
      </c>
    </row>
    <row r="460" spans="1:15" x14ac:dyDescent="0.3">
      <c r="A460">
        <v>4445114986</v>
      </c>
      <c r="B460" s="1">
        <v>42487</v>
      </c>
      <c r="C460">
        <v>7243</v>
      </c>
      <c r="D460">
        <v>5.0300002098083496</v>
      </c>
      <c r="E460">
        <v>5.0300002098083496</v>
      </c>
      <c r="F460">
        <v>0</v>
      </c>
      <c r="G460">
        <v>2.6199998855590798</v>
      </c>
      <c r="H460">
        <v>2.9999999329447701E-2</v>
      </c>
      <c r="I460">
        <v>2.3800001144409202</v>
      </c>
      <c r="J460">
        <v>0</v>
      </c>
      <c r="K460">
        <v>32</v>
      </c>
      <c r="L460">
        <v>1</v>
      </c>
      <c r="M460">
        <v>194</v>
      </c>
      <c r="N460">
        <v>839</v>
      </c>
      <c r="O460">
        <v>2361</v>
      </c>
    </row>
    <row r="461" spans="1:15" x14ac:dyDescent="0.3">
      <c r="A461">
        <v>4445114986</v>
      </c>
      <c r="B461" s="1">
        <v>42488</v>
      </c>
      <c r="C461">
        <v>4493</v>
      </c>
      <c r="D461">
        <v>3.0099999904632599</v>
      </c>
      <c r="E461">
        <v>3.0099999904632599</v>
      </c>
      <c r="F461">
        <v>0</v>
      </c>
      <c r="G461">
        <v>0</v>
      </c>
      <c r="H461">
        <v>0</v>
      </c>
      <c r="I461">
        <v>3.0099999904632599</v>
      </c>
      <c r="J461">
        <v>0</v>
      </c>
      <c r="K461">
        <v>0</v>
      </c>
      <c r="L461">
        <v>0</v>
      </c>
      <c r="M461">
        <v>236</v>
      </c>
      <c r="N461">
        <v>762</v>
      </c>
      <c r="O461">
        <v>2203</v>
      </c>
    </row>
    <row r="462" spans="1:15" x14ac:dyDescent="0.3">
      <c r="A462">
        <v>4445114986</v>
      </c>
      <c r="B462" s="1">
        <v>42489</v>
      </c>
      <c r="C462">
        <v>4676</v>
      </c>
      <c r="D462">
        <v>3.1400001049041699</v>
      </c>
      <c r="E462">
        <v>3.1400001049041699</v>
      </c>
      <c r="F462">
        <v>0</v>
      </c>
      <c r="G462">
        <v>0</v>
      </c>
      <c r="H462">
        <v>0</v>
      </c>
      <c r="I462">
        <v>3.1300001144409202</v>
      </c>
      <c r="J462">
        <v>0</v>
      </c>
      <c r="K462">
        <v>0</v>
      </c>
      <c r="L462">
        <v>0</v>
      </c>
      <c r="M462">
        <v>226</v>
      </c>
      <c r="N462">
        <v>1106</v>
      </c>
      <c r="O462">
        <v>2196</v>
      </c>
    </row>
    <row r="463" spans="1:15" x14ac:dyDescent="0.3">
      <c r="A463">
        <v>4445114986</v>
      </c>
      <c r="B463" s="1">
        <v>42490</v>
      </c>
      <c r="C463">
        <v>6222</v>
      </c>
      <c r="D463">
        <v>4.1799998283386204</v>
      </c>
      <c r="E463">
        <v>4.1799998283386204</v>
      </c>
      <c r="F463">
        <v>0</v>
      </c>
      <c r="G463">
        <v>0</v>
      </c>
      <c r="H463">
        <v>0</v>
      </c>
      <c r="I463">
        <v>4.1799998283386204</v>
      </c>
      <c r="J463">
        <v>0</v>
      </c>
      <c r="K463">
        <v>0</v>
      </c>
      <c r="L463">
        <v>0</v>
      </c>
      <c r="M463">
        <v>290</v>
      </c>
      <c r="N463">
        <v>797</v>
      </c>
      <c r="O463">
        <v>2363</v>
      </c>
    </row>
    <row r="464" spans="1:15" x14ac:dyDescent="0.3">
      <c r="A464">
        <v>4445114986</v>
      </c>
      <c r="B464" s="1">
        <v>42491</v>
      </c>
      <c r="C464">
        <v>5232</v>
      </c>
      <c r="D464">
        <v>3.5099999904632599</v>
      </c>
      <c r="E464">
        <v>3.5099999904632599</v>
      </c>
      <c r="F464">
        <v>0</v>
      </c>
      <c r="G464">
        <v>0</v>
      </c>
      <c r="H464">
        <v>0</v>
      </c>
      <c r="I464">
        <v>3.5099999904632599</v>
      </c>
      <c r="J464">
        <v>0</v>
      </c>
      <c r="K464">
        <v>0</v>
      </c>
      <c r="L464">
        <v>0</v>
      </c>
      <c r="M464">
        <v>240</v>
      </c>
      <c r="N464">
        <v>741</v>
      </c>
      <c r="O464">
        <v>2246</v>
      </c>
    </row>
    <row r="465" spans="1:15" x14ac:dyDescent="0.3">
      <c r="A465">
        <v>4445114986</v>
      </c>
      <c r="B465" s="1">
        <v>42492</v>
      </c>
      <c r="C465">
        <v>6910</v>
      </c>
      <c r="D465">
        <v>4.75</v>
      </c>
      <c r="E465">
        <v>4.75</v>
      </c>
      <c r="F465">
        <v>0</v>
      </c>
      <c r="G465">
        <v>2.21000003814697</v>
      </c>
      <c r="H465">
        <v>0.18999999761581399</v>
      </c>
      <c r="I465">
        <v>2.3499999046325701</v>
      </c>
      <c r="J465">
        <v>0</v>
      </c>
      <c r="K465">
        <v>27</v>
      </c>
      <c r="L465">
        <v>4</v>
      </c>
      <c r="M465">
        <v>200</v>
      </c>
      <c r="N465">
        <v>667</v>
      </c>
      <c r="O465">
        <v>2336</v>
      </c>
    </row>
    <row r="466" spans="1:15" x14ac:dyDescent="0.3">
      <c r="A466">
        <v>4445114986</v>
      </c>
      <c r="B466" s="1">
        <v>42493</v>
      </c>
      <c r="C466">
        <v>7502</v>
      </c>
      <c r="D466">
        <v>5.1799998283386204</v>
      </c>
      <c r="E466">
        <v>5.1799998283386204</v>
      </c>
      <c r="F466">
        <v>0</v>
      </c>
      <c r="G466">
        <v>2.4800000190734899</v>
      </c>
      <c r="H466">
        <v>0.109999999403954</v>
      </c>
      <c r="I466">
        <v>2.5799999237060498</v>
      </c>
      <c r="J466">
        <v>0</v>
      </c>
      <c r="K466">
        <v>30</v>
      </c>
      <c r="L466">
        <v>2</v>
      </c>
      <c r="M466">
        <v>233</v>
      </c>
      <c r="N466">
        <v>725</v>
      </c>
      <c r="O466">
        <v>2421</v>
      </c>
    </row>
    <row r="467" spans="1:15" x14ac:dyDescent="0.3">
      <c r="A467">
        <v>4445114986</v>
      </c>
      <c r="B467" s="1">
        <v>42494</v>
      </c>
      <c r="C467">
        <v>2923</v>
      </c>
      <c r="D467">
        <v>1.96000003814697</v>
      </c>
      <c r="E467">
        <v>1.96000003814697</v>
      </c>
      <c r="F467">
        <v>0</v>
      </c>
      <c r="G467">
        <v>0</v>
      </c>
      <c r="H467">
        <v>0</v>
      </c>
      <c r="I467">
        <v>1.96000003814697</v>
      </c>
      <c r="J467">
        <v>0</v>
      </c>
      <c r="K467">
        <v>0</v>
      </c>
      <c r="L467">
        <v>0</v>
      </c>
      <c r="M467">
        <v>180</v>
      </c>
      <c r="N467">
        <v>897</v>
      </c>
      <c r="O467">
        <v>2070</v>
      </c>
    </row>
    <row r="468" spans="1:15" x14ac:dyDescent="0.3">
      <c r="A468">
        <v>4445114986</v>
      </c>
      <c r="B468" s="1">
        <v>42495</v>
      </c>
      <c r="C468">
        <v>3800</v>
      </c>
      <c r="D468">
        <v>2.5499999523162802</v>
      </c>
      <c r="E468">
        <v>2.5499999523162802</v>
      </c>
      <c r="F468">
        <v>0</v>
      </c>
      <c r="G468">
        <v>0.119999997317791</v>
      </c>
      <c r="H468">
        <v>0.239999994635582</v>
      </c>
      <c r="I468">
        <v>2.1800000667571999</v>
      </c>
      <c r="J468">
        <v>0</v>
      </c>
      <c r="K468">
        <v>2</v>
      </c>
      <c r="L468">
        <v>6</v>
      </c>
      <c r="M468">
        <v>185</v>
      </c>
      <c r="N468">
        <v>734</v>
      </c>
      <c r="O468">
        <v>2120</v>
      </c>
    </row>
    <row r="469" spans="1:15" x14ac:dyDescent="0.3">
      <c r="A469">
        <v>4445114986</v>
      </c>
      <c r="B469" s="1">
        <v>42496</v>
      </c>
      <c r="C469">
        <v>4514</v>
      </c>
      <c r="D469">
        <v>3.0299999713897701</v>
      </c>
      <c r="E469">
        <v>3.0299999713897701</v>
      </c>
      <c r="F469">
        <v>0</v>
      </c>
      <c r="G469">
        <v>0</v>
      </c>
      <c r="H469">
        <v>0</v>
      </c>
      <c r="I469">
        <v>3.0299999713897701</v>
      </c>
      <c r="J469">
        <v>0</v>
      </c>
      <c r="K469">
        <v>0</v>
      </c>
      <c r="L469">
        <v>0</v>
      </c>
      <c r="M469">
        <v>229</v>
      </c>
      <c r="N469">
        <v>809</v>
      </c>
      <c r="O469">
        <v>2211</v>
      </c>
    </row>
    <row r="470" spans="1:15" x14ac:dyDescent="0.3">
      <c r="A470">
        <v>4445114986</v>
      </c>
      <c r="B470" s="1">
        <v>42497</v>
      </c>
      <c r="C470">
        <v>5183</v>
      </c>
      <c r="D470">
        <v>3.5899999141693102</v>
      </c>
      <c r="E470">
        <v>3.5899999141693102</v>
      </c>
      <c r="F470">
        <v>0</v>
      </c>
      <c r="G470">
        <v>2.1300001144409202</v>
      </c>
      <c r="H470">
        <v>0.18999999761581399</v>
      </c>
      <c r="I470">
        <v>1.25</v>
      </c>
      <c r="J470">
        <v>0</v>
      </c>
      <c r="K470">
        <v>26</v>
      </c>
      <c r="L470">
        <v>4</v>
      </c>
      <c r="M470">
        <v>108</v>
      </c>
      <c r="N470">
        <v>866</v>
      </c>
      <c r="O470">
        <v>2123</v>
      </c>
    </row>
    <row r="471" spans="1:15" x14ac:dyDescent="0.3">
      <c r="A471">
        <v>4445114986</v>
      </c>
      <c r="B471" s="1">
        <v>42498</v>
      </c>
      <c r="C471">
        <v>7303</v>
      </c>
      <c r="D471">
        <v>4.9000000953674299</v>
      </c>
      <c r="E471">
        <v>4.9000000953674299</v>
      </c>
      <c r="F471">
        <v>0</v>
      </c>
      <c r="G471">
        <v>0</v>
      </c>
      <c r="H471">
        <v>0.25</v>
      </c>
      <c r="I471">
        <v>4.6500000953674299</v>
      </c>
      <c r="J471">
        <v>0</v>
      </c>
      <c r="K471">
        <v>0</v>
      </c>
      <c r="L471">
        <v>8</v>
      </c>
      <c r="M471">
        <v>308</v>
      </c>
      <c r="N471">
        <v>733</v>
      </c>
      <c r="O471">
        <v>2423</v>
      </c>
    </row>
    <row r="472" spans="1:15" x14ac:dyDescent="0.3">
      <c r="A472">
        <v>4445114986</v>
      </c>
      <c r="B472" s="1">
        <v>42499</v>
      </c>
      <c r="C472">
        <v>5275</v>
      </c>
      <c r="D472">
        <v>3.53999996185303</v>
      </c>
      <c r="E472">
        <v>3.53999996185303</v>
      </c>
      <c r="F472">
        <v>0</v>
      </c>
      <c r="G472">
        <v>0</v>
      </c>
      <c r="H472">
        <v>0</v>
      </c>
      <c r="I472">
        <v>3.53999996185303</v>
      </c>
      <c r="J472">
        <v>0</v>
      </c>
      <c r="K472">
        <v>0</v>
      </c>
      <c r="L472">
        <v>0</v>
      </c>
      <c r="M472">
        <v>266</v>
      </c>
      <c r="N472">
        <v>641</v>
      </c>
      <c r="O472">
        <v>2281</v>
      </c>
    </row>
    <row r="473" spans="1:15" x14ac:dyDescent="0.3">
      <c r="A473">
        <v>4445114986</v>
      </c>
      <c r="B473" s="1">
        <v>42500</v>
      </c>
      <c r="C473">
        <v>3915</v>
      </c>
      <c r="D473">
        <v>2.6300001144409202</v>
      </c>
      <c r="E473">
        <v>2.6300001144409202</v>
      </c>
      <c r="F473">
        <v>0</v>
      </c>
      <c r="G473">
        <v>0</v>
      </c>
      <c r="H473">
        <v>0</v>
      </c>
      <c r="I473">
        <v>2.6300001144409202</v>
      </c>
      <c r="J473">
        <v>0</v>
      </c>
      <c r="K473">
        <v>0</v>
      </c>
      <c r="L473">
        <v>0</v>
      </c>
      <c r="M473">
        <v>231</v>
      </c>
      <c r="N473">
        <v>783</v>
      </c>
      <c r="O473">
        <v>2181</v>
      </c>
    </row>
    <row r="474" spans="1:15" x14ac:dyDescent="0.3">
      <c r="A474">
        <v>4445114986</v>
      </c>
      <c r="B474" s="1">
        <v>42501</v>
      </c>
      <c r="C474">
        <v>9105</v>
      </c>
      <c r="D474">
        <v>6.1100001335143999</v>
      </c>
      <c r="E474">
        <v>6.1100001335143999</v>
      </c>
      <c r="F474">
        <v>0</v>
      </c>
      <c r="G474">
        <v>2.25</v>
      </c>
      <c r="H474">
        <v>1</v>
      </c>
      <c r="I474">
        <v>2.8599998950958301</v>
      </c>
      <c r="J474">
        <v>0</v>
      </c>
      <c r="K474">
        <v>34</v>
      </c>
      <c r="L474">
        <v>22</v>
      </c>
      <c r="M474">
        <v>232</v>
      </c>
      <c r="N474">
        <v>622</v>
      </c>
      <c r="O474">
        <v>2499</v>
      </c>
    </row>
    <row r="475" spans="1:15" x14ac:dyDescent="0.3">
      <c r="A475">
        <v>4445114986</v>
      </c>
      <c r="B475" s="1">
        <v>42502</v>
      </c>
      <c r="C475">
        <v>768</v>
      </c>
      <c r="D475">
        <v>0.519999980926514</v>
      </c>
      <c r="E475">
        <v>0.519999980926514</v>
      </c>
      <c r="F475">
        <v>0</v>
      </c>
      <c r="G475">
        <v>0</v>
      </c>
      <c r="H475">
        <v>0</v>
      </c>
      <c r="I475">
        <v>0.519999980926514</v>
      </c>
      <c r="J475">
        <v>0</v>
      </c>
      <c r="K475">
        <v>0</v>
      </c>
      <c r="L475">
        <v>0</v>
      </c>
      <c r="M475">
        <v>58</v>
      </c>
      <c r="N475">
        <v>380</v>
      </c>
      <c r="O475">
        <v>1212</v>
      </c>
    </row>
    <row r="476" spans="1:15" x14ac:dyDescent="0.3">
      <c r="A476">
        <v>4558609924</v>
      </c>
      <c r="B476" s="1">
        <v>42472</v>
      </c>
      <c r="C476">
        <v>5135</v>
      </c>
      <c r="D476">
        <v>3.3900001049041699</v>
      </c>
      <c r="E476">
        <v>3.3900001049041699</v>
      </c>
      <c r="F476">
        <v>0</v>
      </c>
      <c r="G476">
        <v>0</v>
      </c>
      <c r="H476">
        <v>0</v>
      </c>
      <c r="I476">
        <v>3.3900001049041699</v>
      </c>
      <c r="J476">
        <v>0</v>
      </c>
      <c r="K476">
        <v>0</v>
      </c>
      <c r="L476">
        <v>0</v>
      </c>
      <c r="M476">
        <v>318</v>
      </c>
      <c r="N476">
        <v>1122</v>
      </c>
      <c r="O476">
        <v>1909</v>
      </c>
    </row>
    <row r="477" spans="1:15" x14ac:dyDescent="0.3">
      <c r="A477">
        <v>4558609924</v>
      </c>
      <c r="B477" s="1">
        <v>42473</v>
      </c>
      <c r="C477">
        <v>4978</v>
      </c>
      <c r="D477">
        <v>3.28999996185303</v>
      </c>
      <c r="E477">
        <v>3.28999996185303</v>
      </c>
      <c r="F477">
        <v>0</v>
      </c>
      <c r="G477">
        <v>1.2400000095367401</v>
      </c>
      <c r="H477">
        <v>0.43999999761581399</v>
      </c>
      <c r="I477">
        <v>1.6100000143051101</v>
      </c>
      <c r="J477">
        <v>0</v>
      </c>
      <c r="K477">
        <v>19</v>
      </c>
      <c r="L477">
        <v>7</v>
      </c>
      <c r="M477">
        <v>127</v>
      </c>
      <c r="N477">
        <v>1287</v>
      </c>
      <c r="O477">
        <v>1722</v>
      </c>
    </row>
    <row r="478" spans="1:15" x14ac:dyDescent="0.3">
      <c r="A478">
        <v>4558609924</v>
      </c>
      <c r="B478" s="1">
        <v>42474</v>
      </c>
      <c r="C478">
        <v>6799</v>
      </c>
      <c r="D478">
        <v>4.4899997711181596</v>
      </c>
      <c r="E478">
        <v>4.4899997711181596</v>
      </c>
      <c r="F478">
        <v>0</v>
      </c>
      <c r="G478">
        <v>0</v>
      </c>
      <c r="H478">
        <v>0</v>
      </c>
      <c r="I478">
        <v>4.4899997711181596</v>
      </c>
      <c r="J478">
        <v>0</v>
      </c>
      <c r="K478">
        <v>0</v>
      </c>
      <c r="L478">
        <v>0</v>
      </c>
      <c r="M478">
        <v>279</v>
      </c>
      <c r="N478">
        <v>1161</v>
      </c>
      <c r="O478">
        <v>1922</v>
      </c>
    </row>
    <row r="479" spans="1:15" x14ac:dyDescent="0.3">
      <c r="A479">
        <v>4558609924</v>
      </c>
      <c r="B479" s="1">
        <v>42475</v>
      </c>
      <c r="C479">
        <v>7795</v>
      </c>
      <c r="D479">
        <v>5.1500000953674299</v>
      </c>
      <c r="E479">
        <v>5.1500000953674299</v>
      </c>
      <c r="F479">
        <v>0</v>
      </c>
      <c r="G479">
        <v>0.58999997377395597</v>
      </c>
      <c r="H479">
        <v>0.83999997377395597</v>
      </c>
      <c r="I479">
        <v>3.7300000190734899</v>
      </c>
      <c r="J479">
        <v>0</v>
      </c>
      <c r="K479">
        <v>17</v>
      </c>
      <c r="L479">
        <v>30</v>
      </c>
      <c r="M479">
        <v>262</v>
      </c>
      <c r="N479">
        <v>1131</v>
      </c>
      <c r="O479">
        <v>2121</v>
      </c>
    </row>
    <row r="480" spans="1:15" x14ac:dyDescent="0.3">
      <c r="A480">
        <v>4558609924</v>
      </c>
      <c r="B480" s="1">
        <v>42476</v>
      </c>
      <c r="C480">
        <v>7289</v>
      </c>
      <c r="D480">
        <v>4.8200001716613796</v>
      </c>
      <c r="E480">
        <v>4.8200001716613796</v>
      </c>
      <c r="F480">
        <v>0</v>
      </c>
      <c r="G480">
        <v>0.55000001192092896</v>
      </c>
      <c r="H480">
        <v>0.75</v>
      </c>
      <c r="I480">
        <v>3.5</v>
      </c>
      <c r="J480">
        <v>0</v>
      </c>
      <c r="K480">
        <v>8</v>
      </c>
      <c r="L480">
        <v>12</v>
      </c>
      <c r="M480">
        <v>308</v>
      </c>
      <c r="N480">
        <v>1112</v>
      </c>
      <c r="O480">
        <v>1997</v>
      </c>
    </row>
    <row r="481" spans="1:15" x14ac:dyDescent="0.3">
      <c r="A481">
        <v>4558609924</v>
      </c>
      <c r="B481" s="1">
        <v>42477</v>
      </c>
      <c r="C481">
        <v>9634</v>
      </c>
      <c r="D481">
        <v>6.4000000953674299</v>
      </c>
      <c r="E481">
        <v>6.4000000953674299</v>
      </c>
      <c r="F481">
        <v>0</v>
      </c>
      <c r="G481">
        <v>0.55000001192092896</v>
      </c>
      <c r="H481">
        <v>1.1399999856948899</v>
      </c>
      <c r="I481">
        <v>4.71000003814697</v>
      </c>
      <c r="J481">
        <v>0</v>
      </c>
      <c r="K481">
        <v>7</v>
      </c>
      <c r="L481">
        <v>19</v>
      </c>
      <c r="M481">
        <v>304</v>
      </c>
      <c r="N481">
        <v>1110</v>
      </c>
      <c r="O481">
        <v>2117</v>
      </c>
    </row>
    <row r="482" spans="1:15" x14ac:dyDescent="0.3">
      <c r="A482">
        <v>4558609924</v>
      </c>
      <c r="B482" s="1">
        <v>42478</v>
      </c>
      <c r="C482">
        <v>8940</v>
      </c>
      <c r="D482">
        <v>5.9099998474121103</v>
      </c>
      <c r="E482">
        <v>5.9099998474121103</v>
      </c>
      <c r="F482">
        <v>0</v>
      </c>
      <c r="G482">
        <v>0.980000019073486</v>
      </c>
      <c r="H482">
        <v>0.93000000715255704</v>
      </c>
      <c r="I482">
        <v>4</v>
      </c>
      <c r="J482">
        <v>0</v>
      </c>
      <c r="K482">
        <v>14</v>
      </c>
      <c r="L482">
        <v>15</v>
      </c>
      <c r="M482">
        <v>331</v>
      </c>
      <c r="N482">
        <v>1080</v>
      </c>
      <c r="O482">
        <v>2116</v>
      </c>
    </row>
    <row r="483" spans="1:15" x14ac:dyDescent="0.3">
      <c r="A483">
        <v>4558609924</v>
      </c>
      <c r="B483" s="1">
        <v>42479</v>
      </c>
      <c r="C483">
        <v>5401</v>
      </c>
      <c r="D483">
        <v>3.5699999332428001</v>
      </c>
      <c r="E483">
        <v>3.5699999332428001</v>
      </c>
      <c r="F483">
        <v>0</v>
      </c>
      <c r="G483">
        <v>5.0000000745058101E-2</v>
      </c>
      <c r="H483">
        <v>0.36000001430511502</v>
      </c>
      <c r="I483">
        <v>3.1600000858306898</v>
      </c>
      <c r="J483">
        <v>0</v>
      </c>
      <c r="K483">
        <v>1</v>
      </c>
      <c r="L483">
        <v>9</v>
      </c>
      <c r="M483">
        <v>248</v>
      </c>
      <c r="N483">
        <v>1182</v>
      </c>
      <c r="O483">
        <v>1876</v>
      </c>
    </row>
    <row r="484" spans="1:15" x14ac:dyDescent="0.3">
      <c r="A484">
        <v>4558609924</v>
      </c>
      <c r="B484" s="1">
        <v>42480</v>
      </c>
      <c r="C484">
        <v>4803</v>
      </c>
      <c r="D484">
        <v>3.1700000762939502</v>
      </c>
      <c r="E484">
        <v>3.1700000762939502</v>
      </c>
      <c r="F484">
        <v>0</v>
      </c>
      <c r="G484">
        <v>0</v>
      </c>
      <c r="H484">
        <v>0</v>
      </c>
      <c r="I484">
        <v>3.1700000762939502</v>
      </c>
      <c r="J484">
        <v>0</v>
      </c>
      <c r="K484">
        <v>0</v>
      </c>
      <c r="L484">
        <v>0</v>
      </c>
      <c r="M484">
        <v>222</v>
      </c>
      <c r="N484">
        <v>1218</v>
      </c>
      <c r="O484">
        <v>1788</v>
      </c>
    </row>
    <row r="485" spans="1:15" x14ac:dyDescent="0.3">
      <c r="A485">
        <v>4558609924</v>
      </c>
      <c r="B485" s="1">
        <v>42481</v>
      </c>
      <c r="C485">
        <v>13743</v>
      </c>
      <c r="D485">
        <v>9.0799999237060494</v>
      </c>
      <c r="E485">
        <v>9.0799999237060494</v>
      </c>
      <c r="F485">
        <v>0</v>
      </c>
      <c r="G485">
        <v>0.41999998688697798</v>
      </c>
      <c r="H485">
        <v>0.97000002861022905</v>
      </c>
      <c r="I485">
        <v>7.6999998092651403</v>
      </c>
      <c r="J485">
        <v>0</v>
      </c>
      <c r="K485">
        <v>6</v>
      </c>
      <c r="L485">
        <v>21</v>
      </c>
      <c r="M485">
        <v>432</v>
      </c>
      <c r="N485">
        <v>844</v>
      </c>
      <c r="O485">
        <v>2486</v>
      </c>
    </row>
    <row r="486" spans="1:15" x14ac:dyDescent="0.3">
      <c r="A486">
        <v>4558609924</v>
      </c>
      <c r="B486" s="1">
        <v>42482</v>
      </c>
      <c r="C486">
        <v>9601</v>
      </c>
      <c r="D486">
        <v>6.3499999046325701</v>
      </c>
      <c r="E486">
        <v>6.3499999046325701</v>
      </c>
      <c r="F486">
        <v>0</v>
      </c>
      <c r="G486">
        <v>1.37000000476837</v>
      </c>
      <c r="H486">
        <v>1.5</v>
      </c>
      <c r="I486">
        <v>3.4700000286102299</v>
      </c>
      <c r="J486">
        <v>0</v>
      </c>
      <c r="K486">
        <v>20</v>
      </c>
      <c r="L486">
        <v>25</v>
      </c>
      <c r="M486">
        <v>273</v>
      </c>
      <c r="N486">
        <v>1122</v>
      </c>
      <c r="O486">
        <v>2094</v>
      </c>
    </row>
    <row r="487" spans="1:15" x14ac:dyDescent="0.3">
      <c r="A487">
        <v>4558609924</v>
      </c>
      <c r="B487" s="1">
        <v>42483</v>
      </c>
      <c r="C487">
        <v>6890</v>
      </c>
      <c r="D487">
        <v>4.5500001907348597</v>
      </c>
      <c r="E487">
        <v>4.5500001907348597</v>
      </c>
      <c r="F487">
        <v>0</v>
      </c>
      <c r="G487">
        <v>0.34000000357627902</v>
      </c>
      <c r="H487">
        <v>0.20000000298023199</v>
      </c>
      <c r="I487">
        <v>4.0100002288818404</v>
      </c>
      <c r="J487">
        <v>0</v>
      </c>
      <c r="K487">
        <v>5</v>
      </c>
      <c r="L487">
        <v>5</v>
      </c>
      <c r="M487">
        <v>308</v>
      </c>
      <c r="N487">
        <v>1122</v>
      </c>
      <c r="O487">
        <v>2085</v>
      </c>
    </row>
    <row r="488" spans="1:15" x14ac:dyDescent="0.3">
      <c r="A488">
        <v>4558609924</v>
      </c>
      <c r="B488" s="1">
        <v>42484</v>
      </c>
      <c r="C488">
        <v>8563</v>
      </c>
      <c r="D488">
        <v>5.6599998474121103</v>
      </c>
      <c r="E488">
        <v>5.6599998474121103</v>
      </c>
      <c r="F488">
        <v>0</v>
      </c>
      <c r="G488">
        <v>0</v>
      </c>
      <c r="H488">
        <v>0</v>
      </c>
      <c r="I488">
        <v>5.6500000953674299</v>
      </c>
      <c r="J488">
        <v>0</v>
      </c>
      <c r="K488">
        <v>0</v>
      </c>
      <c r="L488">
        <v>0</v>
      </c>
      <c r="M488">
        <v>395</v>
      </c>
      <c r="N488">
        <v>1045</v>
      </c>
      <c r="O488">
        <v>2173</v>
      </c>
    </row>
    <row r="489" spans="1:15" x14ac:dyDescent="0.3">
      <c r="A489">
        <v>4558609924</v>
      </c>
      <c r="B489" s="1">
        <v>42485</v>
      </c>
      <c r="C489">
        <v>8095</v>
      </c>
      <c r="D489">
        <v>5.3499999046325701</v>
      </c>
      <c r="E489">
        <v>5.3499999046325701</v>
      </c>
      <c r="F489">
        <v>0</v>
      </c>
      <c r="G489">
        <v>0.58999997377395597</v>
      </c>
      <c r="H489">
        <v>0.25</v>
      </c>
      <c r="I489">
        <v>4.5100002288818404</v>
      </c>
      <c r="J489">
        <v>0</v>
      </c>
      <c r="K489">
        <v>18</v>
      </c>
      <c r="L489">
        <v>10</v>
      </c>
      <c r="M489">
        <v>340</v>
      </c>
      <c r="N489">
        <v>993</v>
      </c>
      <c r="O489">
        <v>2225</v>
      </c>
    </row>
    <row r="490" spans="1:15" x14ac:dyDescent="0.3">
      <c r="A490">
        <v>4558609924</v>
      </c>
      <c r="B490" s="1">
        <v>42486</v>
      </c>
      <c r="C490">
        <v>9148</v>
      </c>
      <c r="D490">
        <v>6.0500001907348597</v>
      </c>
      <c r="E490">
        <v>6.0500001907348597</v>
      </c>
      <c r="F490">
        <v>0</v>
      </c>
      <c r="G490">
        <v>0.43000000715255698</v>
      </c>
      <c r="H490">
        <v>2.0299999713897701</v>
      </c>
      <c r="I490">
        <v>3.5899999141693102</v>
      </c>
      <c r="J490">
        <v>0</v>
      </c>
      <c r="K490">
        <v>12</v>
      </c>
      <c r="L490">
        <v>41</v>
      </c>
      <c r="M490">
        <v>283</v>
      </c>
      <c r="N490">
        <v>1062</v>
      </c>
      <c r="O490">
        <v>2223</v>
      </c>
    </row>
    <row r="491" spans="1:15" x14ac:dyDescent="0.3">
      <c r="A491">
        <v>4558609924</v>
      </c>
      <c r="B491" s="1">
        <v>42487</v>
      </c>
      <c r="C491">
        <v>9557</v>
      </c>
      <c r="D491">
        <v>6.3200001716613796</v>
      </c>
      <c r="E491">
        <v>6.3200001716613796</v>
      </c>
      <c r="F491">
        <v>0</v>
      </c>
      <c r="G491">
        <v>1.96000003814697</v>
      </c>
      <c r="H491">
        <v>0.88999998569488503</v>
      </c>
      <c r="I491">
        <v>3.46000003814697</v>
      </c>
      <c r="J491">
        <v>0</v>
      </c>
      <c r="K491">
        <v>27</v>
      </c>
      <c r="L491">
        <v>14</v>
      </c>
      <c r="M491">
        <v>312</v>
      </c>
      <c r="N491">
        <v>1087</v>
      </c>
      <c r="O491">
        <v>2098</v>
      </c>
    </row>
    <row r="492" spans="1:15" x14ac:dyDescent="0.3">
      <c r="A492">
        <v>4558609924</v>
      </c>
      <c r="B492" s="1">
        <v>42488</v>
      </c>
      <c r="C492">
        <v>9451</v>
      </c>
      <c r="D492">
        <v>6.25</v>
      </c>
      <c r="E492">
        <v>6.25</v>
      </c>
      <c r="F492">
        <v>0</v>
      </c>
      <c r="G492">
        <v>1.9999999552965199E-2</v>
      </c>
      <c r="H492">
        <v>0.270000010728836</v>
      </c>
      <c r="I492">
        <v>5.9499998092651403</v>
      </c>
      <c r="J492">
        <v>0</v>
      </c>
      <c r="K492">
        <v>1</v>
      </c>
      <c r="L492">
        <v>11</v>
      </c>
      <c r="M492">
        <v>367</v>
      </c>
      <c r="N492">
        <v>985</v>
      </c>
      <c r="O492">
        <v>2185</v>
      </c>
    </row>
    <row r="493" spans="1:15" x14ac:dyDescent="0.3">
      <c r="A493">
        <v>4558609924</v>
      </c>
      <c r="B493" s="1">
        <v>42489</v>
      </c>
      <c r="C493">
        <v>7833</v>
      </c>
      <c r="D493">
        <v>5.1799998283386204</v>
      </c>
      <c r="E493">
        <v>5.1799998283386204</v>
      </c>
      <c r="F493">
        <v>0</v>
      </c>
      <c r="G493">
        <v>1.0199999809265099</v>
      </c>
      <c r="H493">
        <v>1.8500000238418599</v>
      </c>
      <c r="I493">
        <v>2.3099999427795401</v>
      </c>
      <c r="J493">
        <v>0</v>
      </c>
      <c r="K493">
        <v>15</v>
      </c>
      <c r="L493">
        <v>29</v>
      </c>
      <c r="M493">
        <v>197</v>
      </c>
      <c r="N493">
        <v>1096</v>
      </c>
      <c r="O493">
        <v>1918</v>
      </c>
    </row>
    <row r="494" spans="1:15" x14ac:dyDescent="0.3">
      <c r="A494">
        <v>4558609924</v>
      </c>
      <c r="B494" s="1">
        <v>42490</v>
      </c>
      <c r="C494">
        <v>10319</v>
      </c>
      <c r="D494">
        <v>6.8200001716613796</v>
      </c>
      <c r="E494">
        <v>6.8200001716613796</v>
      </c>
      <c r="F494">
        <v>0</v>
      </c>
      <c r="G494">
        <v>0.46999999880790699</v>
      </c>
      <c r="H494">
        <v>1.8899999856948899</v>
      </c>
      <c r="I494">
        <v>4.46000003814697</v>
      </c>
      <c r="J494">
        <v>0</v>
      </c>
      <c r="K494">
        <v>7</v>
      </c>
      <c r="L494">
        <v>29</v>
      </c>
      <c r="M494">
        <v>293</v>
      </c>
      <c r="N494">
        <v>1111</v>
      </c>
      <c r="O494">
        <v>2105</v>
      </c>
    </row>
    <row r="495" spans="1:15" x14ac:dyDescent="0.3">
      <c r="A495">
        <v>4558609924</v>
      </c>
      <c r="B495" s="1">
        <v>42491</v>
      </c>
      <c r="C495">
        <v>3428</v>
      </c>
      <c r="D495">
        <v>2.2699999809265101</v>
      </c>
      <c r="E495">
        <v>2.2699999809265101</v>
      </c>
      <c r="F495">
        <v>0</v>
      </c>
      <c r="G495">
        <v>0</v>
      </c>
      <c r="H495">
        <v>0</v>
      </c>
      <c r="I495">
        <v>2.2699999809265101</v>
      </c>
      <c r="J495">
        <v>0</v>
      </c>
      <c r="K495">
        <v>0</v>
      </c>
      <c r="L495">
        <v>0</v>
      </c>
      <c r="M495">
        <v>190</v>
      </c>
      <c r="N495">
        <v>1121</v>
      </c>
      <c r="O495">
        <v>1692</v>
      </c>
    </row>
    <row r="496" spans="1:15" x14ac:dyDescent="0.3">
      <c r="A496">
        <v>4558609924</v>
      </c>
      <c r="B496" s="1">
        <v>42492</v>
      </c>
      <c r="C496">
        <v>7891</v>
      </c>
      <c r="D496">
        <v>5.2199997901916504</v>
      </c>
      <c r="E496">
        <v>5.2199997901916504</v>
      </c>
      <c r="F496">
        <v>0</v>
      </c>
      <c r="G496">
        <v>0</v>
      </c>
      <c r="H496">
        <v>0</v>
      </c>
      <c r="I496">
        <v>5.2199997901916504</v>
      </c>
      <c r="J496">
        <v>0</v>
      </c>
      <c r="K496">
        <v>0</v>
      </c>
      <c r="L496">
        <v>0</v>
      </c>
      <c r="M496">
        <v>383</v>
      </c>
      <c r="N496">
        <v>1057</v>
      </c>
      <c r="O496">
        <v>2066</v>
      </c>
    </row>
    <row r="497" spans="1:15" x14ac:dyDescent="0.3">
      <c r="A497">
        <v>4558609924</v>
      </c>
      <c r="B497" s="1">
        <v>42493</v>
      </c>
      <c r="C497">
        <v>5267</v>
      </c>
      <c r="D497">
        <v>3.4800000190734899</v>
      </c>
      <c r="E497">
        <v>3.4800000190734899</v>
      </c>
      <c r="F497">
        <v>0</v>
      </c>
      <c r="G497">
        <v>0.60000002384185802</v>
      </c>
      <c r="H497">
        <v>0.28000000119209301</v>
      </c>
      <c r="I497">
        <v>2.5999999046325701</v>
      </c>
      <c r="J497">
        <v>0</v>
      </c>
      <c r="K497">
        <v>21</v>
      </c>
      <c r="L497">
        <v>10</v>
      </c>
      <c r="M497">
        <v>237</v>
      </c>
      <c r="N497">
        <v>1172</v>
      </c>
      <c r="O497">
        <v>1953</v>
      </c>
    </row>
    <row r="498" spans="1:15" x14ac:dyDescent="0.3">
      <c r="A498">
        <v>4558609924</v>
      </c>
      <c r="B498" s="1">
        <v>42494</v>
      </c>
      <c r="C498">
        <v>5232</v>
      </c>
      <c r="D498">
        <v>3.46000003814697</v>
      </c>
      <c r="E498">
        <v>3.46000003814697</v>
      </c>
      <c r="F498">
        <v>0</v>
      </c>
      <c r="G498">
        <v>0</v>
      </c>
      <c r="H498">
        <v>0</v>
      </c>
      <c r="I498">
        <v>3.46000003814697</v>
      </c>
      <c r="J498">
        <v>0</v>
      </c>
      <c r="K498">
        <v>0</v>
      </c>
      <c r="L498">
        <v>0</v>
      </c>
      <c r="M498">
        <v>252</v>
      </c>
      <c r="N498">
        <v>1188</v>
      </c>
      <c r="O498">
        <v>1842</v>
      </c>
    </row>
    <row r="499" spans="1:15" x14ac:dyDescent="0.3">
      <c r="A499">
        <v>4558609924</v>
      </c>
      <c r="B499" s="1">
        <v>42495</v>
      </c>
      <c r="C499">
        <v>10611</v>
      </c>
      <c r="D499">
        <v>7.0100002288818404</v>
      </c>
      <c r="E499">
        <v>7.0100002288818404</v>
      </c>
      <c r="F499">
        <v>0</v>
      </c>
      <c r="G499">
        <v>1.0099999904632599</v>
      </c>
      <c r="H499">
        <v>0.5</v>
      </c>
      <c r="I499">
        <v>5.5100002288818404</v>
      </c>
      <c r="J499">
        <v>0</v>
      </c>
      <c r="K499">
        <v>14</v>
      </c>
      <c r="L499">
        <v>8</v>
      </c>
      <c r="M499">
        <v>370</v>
      </c>
      <c r="N499">
        <v>1048</v>
      </c>
      <c r="O499">
        <v>2262</v>
      </c>
    </row>
    <row r="500" spans="1:15" x14ac:dyDescent="0.3">
      <c r="A500">
        <v>4558609924</v>
      </c>
      <c r="B500" s="1">
        <v>42496</v>
      </c>
      <c r="C500">
        <v>3755</v>
      </c>
      <c r="D500">
        <v>2.4800000190734899</v>
      </c>
      <c r="E500">
        <v>2.4800000190734899</v>
      </c>
      <c r="F500">
        <v>0</v>
      </c>
      <c r="G500">
        <v>0</v>
      </c>
      <c r="H500">
        <v>0</v>
      </c>
      <c r="I500">
        <v>2.4800000190734899</v>
      </c>
      <c r="J500">
        <v>0</v>
      </c>
      <c r="K500">
        <v>0</v>
      </c>
      <c r="L500">
        <v>0</v>
      </c>
      <c r="M500">
        <v>202</v>
      </c>
      <c r="N500">
        <v>1238</v>
      </c>
      <c r="O500">
        <v>1722</v>
      </c>
    </row>
    <row r="501" spans="1:15" x14ac:dyDescent="0.3">
      <c r="A501">
        <v>4558609924</v>
      </c>
      <c r="B501" s="1">
        <v>42497</v>
      </c>
      <c r="C501">
        <v>8237</v>
      </c>
      <c r="D501">
        <v>5.4400000572204599</v>
      </c>
      <c r="E501">
        <v>5.4400000572204599</v>
      </c>
      <c r="F501">
        <v>0</v>
      </c>
      <c r="G501">
        <v>1.6100000143051101</v>
      </c>
      <c r="H501">
        <v>1</v>
      </c>
      <c r="I501">
        <v>2.8299999237060498</v>
      </c>
      <c r="J501">
        <v>0</v>
      </c>
      <c r="K501">
        <v>23</v>
      </c>
      <c r="L501">
        <v>16</v>
      </c>
      <c r="M501">
        <v>233</v>
      </c>
      <c r="N501">
        <v>1116</v>
      </c>
      <c r="O501">
        <v>1973</v>
      </c>
    </row>
    <row r="502" spans="1:15" x14ac:dyDescent="0.3">
      <c r="A502">
        <v>4558609924</v>
      </c>
      <c r="B502" s="1">
        <v>42498</v>
      </c>
      <c r="C502">
        <v>6543</v>
      </c>
      <c r="D502">
        <v>4.3299999237060502</v>
      </c>
      <c r="E502">
        <v>4.3299999237060502</v>
      </c>
      <c r="F502">
        <v>0</v>
      </c>
      <c r="G502">
        <v>1.79999995231628</v>
      </c>
      <c r="H502">
        <v>0.5</v>
      </c>
      <c r="I502">
        <v>2.0199999809265101</v>
      </c>
      <c r="J502">
        <v>0</v>
      </c>
      <c r="K502">
        <v>66</v>
      </c>
      <c r="L502">
        <v>35</v>
      </c>
      <c r="M502">
        <v>238</v>
      </c>
      <c r="N502">
        <v>1019</v>
      </c>
      <c r="O502">
        <v>2666</v>
      </c>
    </row>
    <row r="503" spans="1:15" x14ac:dyDescent="0.3">
      <c r="A503">
        <v>4558609924</v>
      </c>
      <c r="B503" s="1">
        <v>42499</v>
      </c>
      <c r="C503">
        <v>11451</v>
      </c>
      <c r="D503">
        <v>7.5700001716613796</v>
      </c>
      <c r="E503">
        <v>7.5700001716613796</v>
      </c>
      <c r="F503">
        <v>0</v>
      </c>
      <c r="G503">
        <v>0.43000000715255698</v>
      </c>
      <c r="H503">
        <v>1.62000000476837</v>
      </c>
      <c r="I503">
        <v>5.5199999809265101</v>
      </c>
      <c r="J503">
        <v>0</v>
      </c>
      <c r="K503">
        <v>6</v>
      </c>
      <c r="L503">
        <v>30</v>
      </c>
      <c r="M503">
        <v>339</v>
      </c>
      <c r="N503">
        <v>1065</v>
      </c>
      <c r="O503">
        <v>2223</v>
      </c>
    </row>
    <row r="504" spans="1:15" x14ac:dyDescent="0.3">
      <c r="A504">
        <v>4558609924</v>
      </c>
      <c r="B504" s="1">
        <v>42500</v>
      </c>
      <c r="C504">
        <v>6435</v>
      </c>
      <c r="D504">
        <v>4.25</v>
      </c>
      <c r="E504">
        <v>4.25</v>
      </c>
      <c r="F504">
        <v>0</v>
      </c>
      <c r="G504">
        <v>0.74000000953674305</v>
      </c>
      <c r="H504">
        <v>1.12000000476837</v>
      </c>
      <c r="I504">
        <v>2.3900001049041699</v>
      </c>
      <c r="J504">
        <v>0</v>
      </c>
      <c r="K504">
        <v>11</v>
      </c>
      <c r="L504">
        <v>18</v>
      </c>
      <c r="M504">
        <v>220</v>
      </c>
      <c r="N504">
        <v>1191</v>
      </c>
      <c r="O504">
        <v>1889</v>
      </c>
    </row>
    <row r="505" spans="1:15" x14ac:dyDescent="0.3">
      <c r="A505">
        <v>4558609924</v>
      </c>
      <c r="B505" s="1">
        <v>42501</v>
      </c>
      <c r="C505">
        <v>9108</v>
      </c>
      <c r="D505">
        <v>6.0199999809265101</v>
      </c>
      <c r="E505">
        <v>6.0199999809265101</v>
      </c>
      <c r="F505">
        <v>0</v>
      </c>
      <c r="G505">
        <v>0.259999990463257</v>
      </c>
      <c r="H505">
        <v>1.8200000524520901</v>
      </c>
      <c r="I505">
        <v>3.9400000572204599</v>
      </c>
      <c r="J505">
        <v>0</v>
      </c>
      <c r="K505">
        <v>4</v>
      </c>
      <c r="L505">
        <v>31</v>
      </c>
      <c r="M505">
        <v>324</v>
      </c>
      <c r="N505">
        <v>1081</v>
      </c>
      <c r="O505">
        <v>2131</v>
      </c>
    </row>
    <row r="506" spans="1:15" x14ac:dyDescent="0.3">
      <c r="A506">
        <v>4558609924</v>
      </c>
      <c r="B506" s="1">
        <v>42502</v>
      </c>
      <c r="C506">
        <v>6307</v>
      </c>
      <c r="D506">
        <v>4.1700000762939498</v>
      </c>
      <c r="E506">
        <v>4.1700000762939498</v>
      </c>
      <c r="F506">
        <v>0</v>
      </c>
      <c r="G506">
        <v>0</v>
      </c>
      <c r="H506">
        <v>0</v>
      </c>
      <c r="I506">
        <v>4.1700000762939498</v>
      </c>
      <c r="J506">
        <v>0</v>
      </c>
      <c r="K506">
        <v>0</v>
      </c>
      <c r="L506">
        <v>0</v>
      </c>
      <c r="M506">
        <v>247</v>
      </c>
      <c r="N506">
        <v>736</v>
      </c>
      <c r="O506">
        <v>1452</v>
      </c>
    </row>
    <row r="507" spans="1:15" x14ac:dyDescent="0.3">
      <c r="A507">
        <v>4702921684</v>
      </c>
      <c r="B507" s="1">
        <v>42472</v>
      </c>
      <c r="C507">
        <v>7213</v>
      </c>
      <c r="D507">
        <v>5.8800001144409197</v>
      </c>
      <c r="E507">
        <v>5.8800001144409197</v>
      </c>
      <c r="F507">
        <v>0</v>
      </c>
      <c r="G507">
        <v>0</v>
      </c>
      <c r="H507">
        <v>0</v>
      </c>
      <c r="I507">
        <v>5.8499999046325701</v>
      </c>
      <c r="J507">
        <v>0</v>
      </c>
      <c r="K507">
        <v>0</v>
      </c>
      <c r="L507">
        <v>0</v>
      </c>
      <c r="M507">
        <v>263</v>
      </c>
      <c r="N507">
        <v>718</v>
      </c>
      <c r="O507">
        <v>2947</v>
      </c>
    </row>
    <row r="508" spans="1:15" x14ac:dyDescent="0.3">
      <c r="A508">
        <v>4702921684</v>
      </c>
      <c r="B508" s="1">
        <v>42473</v>
      </c>
      <c r="C508">
        <v>6877</v>
      </c>
      <c r="D508">
        <v>5.5799999237060502</v>
      </c>
      <c r="E508">
        <v>5.5799999237060502</v>
      </c>
      <c r="F508">
        <v>0</v>
      </c>
      <c r="G508">
        <v>0</v>
      </c>
      <c r="H508">
        <v>0</v>
      </c>
      <c r="I508">
        <v>5.5799999237060502</v>
      </c>
      <c r="J508">
        <v>0</v>
      </c>
      <c r="K508">
        <v>0</v>
      </c>
      <c r="L508">
        <v>0</v>
      </c>
      <c r="M508">
        <v>258</v>
      </c>
      <c r="N508">
        <v>777</v>
      </c>
      <c r="O508">
        <v>2898</v>
      </c>
    </row>
    <row r="509" spans="1:15" x14ac:dyDescent="0.3">
      <c r="A509">
        <v>4702921684</v>
      </c>
      <c r="B509" s="1">
        <v>42474</v>
      </c>
      <c r="C509">
        <v>7860</v>
      </c>
      <c r="D509">
        <v>6.3699998855590803</v>
      </c>
      <c r="E509">
        <v>6.3699998855590803</v>
      </c>
      <c r="F509">
        <v>0</v>
      </c>
      <c r="G509">
        <v>0</v>
      </c>
      <c r="H509">
        <v>0</v>
      </c>
      <c r="I509">
        <v>6.3699998855590803</v>
      </c>
      <c r="J509">
        <v>0</v>
      </c>
      <c r="K509">
        <v>0</v>
      </c>
      <c r="L509">
        <v>0</v>
      </c>
      <c r="M509">
        <v>271</v>
      </c>
      <c r="N509">
        <v>772</v>
      </c>
      <c r="O509">
        <v>2984</v>
      </c>
    </row>
    <row r="510" spans="1:15" x14ac:dyDescent="0.3">
      <c r="A510">
        <v>4702921684</v>
      </c>
      <c r="B510" s="1">
        <v>42475</v>
      </c>
      <c r="C510">
        <v>6506</v>
      </c>
      <c r="D510">
        <v>5.2800002098083496</v>
      </c>
      <c r="E510">
        <v>5.2800002098083496</v>
      </c>
      <c r="F510">
        <v>0</v>
      </c>
      <c r="G510">
        <v>7.0000000298023196E-2</v>
      </c>
      <c r="H510">
        <v>0.41999998688697798</v>
      </c>
      <c r="I510">
        <v>4.78999996185303</v>
      </c>
      <c r="J510">
        <v>0</v>
      </c>
      <c r="K510">
        <v>1</v>
      </c>
      <c r="L510">
        <v>8</v>
      </c>
      <c r="M510">
        <v>256</v>
      </c>
      <c r="N510">
        <v>944</v>
      </c>
      <c r="O510">
        <v>2896</v>
      </c>
    </row>
    <row r="511" spans="1:15" x14ac:dyDescent="0.3">
      <c r="A511">
        <v>4702921684</v>
      </c>
      <c r="B511" s="1">
        <v>42476</v>
      </c>
      <c r="C511">
        <v>11140</v>
      </c>
      <c r="D511">
        <v>9.0299997329711896</v>
      </c>
      <c r="E511">
        <v>9.0299997329711896</v>
      </c>
      <c r="F511">
        <v>0</v>
      </c>
      <c r="G511">
        <v>0.239999994635582</v>
      </c>
      <c r="H511">
        <v>1.25</v>
      </c>
      <c r="I511">
        <v>7.53999996185303</v>
      </c>
      <c r="J511">
        <v>0</v>
      </c>
      <c r="K511">
        <v>3</v>
      </c>
      <c r="L511">
        <v>24</v>
      </c>
      <c r="M511">
        <v>335</v>
      </c>
      <c r="N511">
        <v>556</v>
      </c>
      <c r="O511">
        <v>3328</v>
      </c>
    </row>
    <row r="512" spans="1:15" x14ac:dyDescent="0.3">
      <c r="A512">
        <v>4702921684</v>
      </c>
      <c r="B512" s="1">
        <v>42477</v>
      </c>
      <c r="C512">
        <v>12692</v>
      </c>
      <c r="D512">
        <v>10.289999961853001</v>
      </c>
      <c r="E512">
        <v>10.289999961853001</v>
      </c>
      <c r="F512">
        <v>0</v>
      </c>
      <c r="G512">
        <v>0.95999997854232799</v>
      </c>
      <c r="H512">
        <v>3.46000003814697</v>
      </c>
      <c r="I512">
        <v>5.8800001144409197</v>
      </c>
      <c r="J512">
        <v>0</v>
      </c>
      <c r="K512">
        <v>12</v>
      </c>
      <c r="L512">
        <v>66</v>
      </c>
      <c r="M512">
        <v>302</v>
      </c>
      <c r="N512">
        <v>437</v>
      </c>
      <c r="O512">
        <v>3394</v>
      </c>
    </row>
    <row r="513" spans="1:15" x14ac:dyDescent="0.3">
      <c r="A513">
        <v>4702921684</v>
      </c>
      <c r="B513" s="1">
        <v>42478</v>
      </c>
      <c r="C513">
        <v>9105</v>
      </c>
      <c r="D513">
        <v>7.3800001144409197</v>
      </c>
      <c r="E513">
        <v>7.3800001144409197</v>
      </c>
      <c r="F513">
        <v>0</v>
      </c>
      <c r="G513">
        <v>1.8200000524520901</v>
      </c>
      <c r="H513">
        <v>1.4900000095367401</v>
      </c>
      <c r="I513">
        <v>4.0700001716613796</v>
      </c>
      <c r="J513">
        <v>0</v>
      </c>
      <c r="K513">
        <v>22</v>
      </c>
      <c r="L513">
        <v>30</v>
      </c>
      <c r="M513">
        <v>191</v>
      </c>
      <c r="N513">
        <v>890</v>
      </c>
      <c r="O513">
        <v>3013</v>
      </c>
    </row>
    <row r="514" spans="1:15" x14ac:dyDescent="0.3">
      <c r="A514">
        <v>4702921684</v>
      </c>
      <c r="B514" s="1">
        <v>42479</v>
      </c>
      <c r="C514">
        <v>6708</v>
      </c>
      <c r="D514">
        <v>5.4400000572204599</v>
      </c>
      <c r="E514">
        <v>5.4400000572204599</v>
      </c>
      <c r="F514">
        <v>0</v>
      </c>
      <c r="G514">
        <v>0.87999999523162797</v>
      </c>
      <c r="H514">
        <v>0.37000000476837203</v>
      </c>
      <c r="I514">
        <v>4.1900000572204599</v>
      </c>
      <c r="J514">
        <v>0</v>
      </c>
      <c r="K514">
        <v>10</v>
      </c>
      <c r="L514">
        <v>8</v>
      </c>
      <c r="M514">
        <v>179</v>
      </c>
      <c r="N514">
        <v>757</v>
      </c>
      <c r="O514">
        <v>2812</v>
      </c>
    </row>
    <row r="515" spans="1:15" x14ac:dyDescent="0.3">
      <c r="A515">
        <v>4702921684</v>
      </c>
      <c r="B515" s="1">
        <v>42480</v>
      </c>
      <c r="C515">
        <v>8793</v>
      </c>
      <c r="D515">
        <v>7.1300001144409197</v>
      </c>
      <c r="E515">
        <v>7.1300001144409197</v>
      </c>
      <c r="F515">
        <v>0</v>
      </c>
      <c r="G515">
        <v>0.15999999642372101</v>
      </c>
      <c r="H515">
        <v>1.2300000190734901</v>
      </c>
      <c r="I515">
        <v>5.7300000190734899</v>
      </c>
      <c r="J515">
        <v>0</v>
      </c>
      <c r="K515">
        <v>2</v>
      </c>
      <c r="L515">
        <v>29</v>
      </c>
      <c r="M515">
        <v>260</v>
      </c>
      <c r="N515">
        <v>717</v>
      </c>
      <c r="O515">
        <v>3061</v>
      </c>
    </row>
    <row r="516" spans="1:15" x14ac:dyDescent="0.3">
      <c r="A516">
        <v>4702921684</v>
      </c>
      <c r="B516" s="1">
        <v>42481</v>
      </c>
      <c r="C516">
        <v>6530</v>
      </c>
      <c r="D516">
        <v>5.3000001907348597</v>
      </c>
      <c r="E516">
        <v>5.3000001907348597</v>
      </c>
      <c r="F516">
        <v>0</v>
      </c>
      <c r="G516">
        <v>0.31000000238418601</v>
      </c>
      <c r="H516">
        <v>2.0499999523162802</v>
      </c>
      <c r="I516">
        <v>2.9400000572204599</v>
      </c>
      <c r="J516">
        <v>0</v>
      </c>
      <c r="K516">
        <v>4</v>
      </c>
      <c r="L516">
        <v>41</v>
      </c>
      <c r="M516">
        <v>144</v>
      </c>
      <c r="N516">
        <v>901</v>
      </c>
      <c r="O516">
        <v>2729</v>
      </c>
    </row>
    <row r="517" spans="1:15" x14ac:dyDescent="0.3">
      <c r="A517">
        <v>4702921684</v>
      </c>
      <c r="B517" s="1">
        <v>42482</v>
      </c>
      <c r="C517">
        <v>1664</v>
      </c>
      <c r="D517">
        <v>1.3500000238418599</v>
      </c>
      <c r="E517">
        <v>1.3500000238418599</v>
      </c>
      <c r="F517">
        <v>0</v>
      </c>
      <c r="G517">
        <v>0</v>
      </c>
      <c r="H517">
        <v>0</v>
      </c>
      <c r="I517">
        <v>1.3500000238418599</v>
      </c>
      <c r="J517">
        <v>0</v>
      </c>
      <c r="K517">
        <v>0</v>
      </c>
      <c r="L517">
        <v>0</v>
      </c>
      <c r="M517">
        <v>72</v>
      </c>
      <c r="N517">
        <v>1341</v>
      </c>
      <c r="O517">
        <v>2241</v>
      </c>
    </row>
    <row r="518" spans="1:15" x14ac:dyDescent="0.3">
      <c r="A518">
        <v>4702921684</v>
      </c>
      <c r="B518" s="1">
        <v>42483</v>
      </c>
      <c r="C518">
        <v>15126</v>
      </c>
      <c r="D518">
        <v>12.2700004577637</v>
      </c>
      <c r="E518">
        <v>12.2700004577637</v>
      </c>
      <c r="F518">
        <v>0</v>
      </c>
      <c r="G518">
        <v>0.75999999046325695</v>
      </c>
      <c r="H518">
        <v>3.2400000095367401</v>
      </c>
      <c r="I518">
        <v>8.2700004577636701</v>
      </c>
      <c r="J518">
        <v>0</v>
      </c>
      <c r="K518">
        <v>9</v>
      </c>
      <c r="L518">
        <v>66</v>
      </c>
      <c r="M518">
        <v>408</v>
      </c>
      <c r="N518">
        <v>469</v>
      </c>
      <c r="O518">
        <v>3691</v>
      </c>
    </row>
    <row r="519" spans="1:15" x14ac:dyDescent="0.3">
      <c r="A519">
        <v>4702921684</v>
      </c>
      <c r="B519" s="1">
        <v>42484</v>
      </c>
      <c r="C519">
        <v>15050</v>
      </c>
      <c r="D519">
        <v>12.2200002670288</v>
      </c>
      <c r="E519">
        <v>12.2200002670288</v>
      </c>
      <c r="F519">
        <v>0</v>
      </c>
      <c r="G519">
        <v>1.20000004768372</v>
      </c>
      <c r="H519">
        <v>5.1199998855590803</v>
      </c>
      <c r="I519">
        <v>5.8800001144409197</v>
      </c>
      <c r="J519">
        <v>0</v>
      </c>
      <c r="K519">
        <v>15</v>
      </c>
      <c r="L519">
        <v>95</v>
      </c>
      <c r="M519">
        <v>281</v>
      </c>
      <c r="N519">
        <v>542</v>
      </c>
      <c r="O519">
        <v>3538</v>
      </c>
    </row>
    <row r="520" spans="1:15" x14ac:dyDescent="0.3">
      <c r="A520">
        <v>4702921684</v>
      </c>
      <c r="B520" s="1">
        <v>42485</v>
      </c>
      <c r="C520">
        <v>9167</v>
      </c>
      <c r="D520">
        <v>7.4299998283386204</v>
      </c>
      <c r="E520">
        <v>7.4299998283386204</v>
      </c>
      <c r="F520">
        <v>0</v>
      </c>
      <c r="G520">
        <v>0.490000009536743</v>
      </c>
      <c r="H520">
        <v>0.81999999284744296</v>
      </c>
      <c r="I520">
        <v>6.1100001335143999</v>
      </c>
      <c r="J520">
        <v>0</v>
      </c>
      <c r="K520">
        <v>6</v>
      </c>
      <c r="L520">
        <v>15</v>
      </c>
      <c r="M520">
        <v>270</v>
      </c>
      <c r="N520">
        <v>730</v>
      </c>
      <c r="O520">
        <v>3064</v>
      </c>
    </row>
    <row r="521" spans="1:15" x14ac:dyDescent="0.3">
      <c r="A521">
        <v>4702921684</v>
      </c>
      <c r="B521" s="1">
        <v>42486</v>
      </c>
      <c r="C521">
        <v>6108</v>
      </c>
      <c r="D521">
        <v>4.9499998092651403</v>
      </c>
      <c r="E521">
        <v>4.9499998092651403</v>
      </c>
      <c r="F521">
        <v>0</v>
      </c>
      <c r="G521">
        <v>7.0000000298023196E-2</v>
      </c>
      <c r="H521">
        <v>0.34999999403953602</v>
      </c>
      <c r="I521">
        <v>4.53999996185303</v>
      </c>
      <c r="J521">
        <v>0</v>
      </c>
      <c r="K521">
        <v>1</v>
      </c>
      <c r="L521">
        <v>8</v>
      </c>
      <c r="M521">
        <v>216</v>
      </c>
      <c r="N521">
        <v>765</v>
      </c>
      <c r="O521">
        <v>2784</v>
      </c>
    </row>
    <row r="522" spans="1:15" x14ac:dyDescent="0.3">
      <c r="A522">
        <v>4702921684</v>
      </c>
      <c r="B522" s="1">
        <v>42487</v>
      </c>
      <c r="C522">
        <v>7047</v>
      </c>
      <c r="D522">
        <v>5.7199997901916504</v>
      </c>
      <c r="E522">
        <v>5.7199997901916504</v>
      </c>
      <c r="F522">
        <v>0</v>
      </c>
      <c r="G522">
        <v>9.00000035762787E-2</v>
      </c>
      <c r="H522">
        <v>0.80000001192092896</v>
      </c>
      <c r="I522">
        <v>4.7800002098083496</v>
      </c>
      <c r="J522">
        <v>0</v>
      </c>
      <c r="K522">
        <v>1</v>
      </c>
      <c r="L522">
        <v>16</v>
      </c>
      <c r="M522">
        <v>238</v>
      </c>
      <c r="N522">
        <v>733</v>
      </c>
      <c r="O522">
        <v>2908</v>
      </c>
    </row>
    <row r="523" spans="1:15" x14ac:dyDescent="0.3">
      <c r="A523">
        <v>4702921684</v>
      </c>
      <c r="B523" s="1">
        <v>42488</v>
      </c>
      <c r="C523">
        <v>9023</v>
      </c>
      <c r="D523">
        <v>7.3200001716613796</v>
      </c>
      <c r="E523">
        <v>7.3200001716613796</v>
      </c>
      <c r="F523">
        <v>0</v>
      </c>
      <c r="G523">
        <v>1.12999999523163</v>
      </c>
      <c r="H523">
        <v>0.41999998688697798</v>
      </c>
      <c r="I523">
        <v>5.7699999809265101</v>
      </c>
      <c r="J523">
        <v>0</v>
      </c>
      <c r="K523">
        <v>14</v>
      </c>
      <c r="L523">
        <v>9</v>
      </c>
      <c r="M523">
        <v>232</v>
      </c>
      <c r="N523">
        <v>738</v>
      </c>
      <c r="O523">
        <v>3033</v>
      </c>
    </row>
    <row r="524" spans="1:15" x14ac:dyDescent="0.3">
      <c r="A524">
        <v>4702921684</v>
      </c>
      <c r="B524" s="1">
        <v>42489</v>
      </c>
      <c r="C524">
        <v>9930</v>
      </c>
      <c r="D524">
        <v>8.0500001907348597</v>
      </c>
      <c r="E524">
        <v>8.0500001907348597</v>
      </c>
      <c r="F524">
        <v>0</v>
      </c>
      <c r="G524">
        <v>1.0599999427795399</v>
      </c>
      <c r="H524">
        <v>0.92000001668930098</v>
      </c>
      <c r="I524">
        <v>6.0700001716613796</v>
      </c>
      <c r="J524">
        <v>0</v>
      </c>
      <c r="K524">
        <v>12</v>
      </c>
      <c r="L524">
        <v>19</v>
      </c>
      <c r="M524">
        <v>267</v>
      </c>
      <c r="N524">
        <v>692</v>
      </c>
      <c r="O524">
        <v>3165</v>
      </c>
    </row>
    <row r="525" spans="1:15" x14ac:dyDescent="0.3">
      <c r="A525">
        <v>4702921684</v>
      </c>
      <c r="B525" s="1">
        <v>42490</v>
      </c>
      <c r="C525">
        <v>10144</v>
      </c>
      <c r="D525">
        <v>8.2299995422363299</v>
      </c>
      <c r="E525">
        <v>8.2299995422363299</v>
      </c>
      <c r="F525">
        <v>0</v>
      </c>
      <c r="G525">
        <v>0.31999999284744302</v>
      </c>
      <c r="H525">
        <v>2.0299999713897701</v>
      </c>
      <c r="I525">
        <v>5.8800001144409197</v>
      </c>
      <c r="J525">
        <v>0</v>
      </c>
      <c r="K525">
        <v>4</v>
      </c>
      <c r="L525">
        <v>36</v>
      </c>
      <c r="M525">
        <v>263</v>
      </c>
      <c r="N525">
        <v>728</v>
      </c>
      <c r="O525">
        <v>3115</v>
      </c>
    </row>
    <row r="526" spans="1:15" x14ac:dyDescent="0.3">
      <c r="A526">
        <v>4702921684</v>
      </c>
      <c r="B526" s="1">
        <v>42491</v>
      </c>
      <c r="C526">
        <v>0</v>
      </c>
      <c r="D526">
        <v>0</v>
      </c>
      <c r="E526">
        <v>0</v>
      </c>
      <c r="F526">
        <v>0</v>
      </c>
      <c r="G526">
        <v>0</v>
      </c>
      <c r="H526">
        <v>0</v>
      </c>
      <c r="I526">
        <v>0</v>
      </c>
      <c r="J526">
        <v>0</v>
      </c>
      <c r="K526">
        <v>0</v>
      </c>
      <c r="L526">
        <v>0</v>
      </c>
      <c r="M526">
        <v>0</v>
      </c>
      <c r="N526">
        <v>1440</v>
      </c>
      <c r="O526">
        <v>2017</v>
      </c>
    </row>
    <row r="527" spans="1:15" x14ac:dyDescent="0.3">
      <c r="A527">
        <v>4702921684</v>
      </c>
      <c r="B527" s="1">
        <v>42492</v>
      </c>
      <c r="C527">
        <v>7245</v>
      </c>
      <c r="D527">
        <v>5.9200000762939498</v>
      </c>
      <c r="E527">
        <v>5.9200000762939498</v>
      </c>
      <c r="F527">
        <v>0</v>
      </c>
      <c r="G527">
        <v>0.37999999523162797</v>
      </c>
      <c r="H527">
        <v>1.7400000095367401</v>
      </c>
      <c r="I527">
        <v>3.7599999904632599</v>
      </c>
      <c r="J527">
        <v>0</v>
      </c>
      <c r="K527">
        <v>5</v>
      </c>
      <c r="L527">
        <v>40</v>
      </c>
      <c r="M527">
        <v>195</v>
      </c>
      <c r="N527">
        <v>1131</v>
      </c>
      <c r="O527">
        <v>2859</v>
      </c>
    </row>
    <row r="528" spans="1:15" x14ac:dyDescent="0.3">
      <c r="A528">
        <v>4702921684</v>
      </c>
      <c r="B528" s="1">
        <v>42493</v>
      </c>
      <c r="C528">
        <v>9454</v>
      </c>
      <c r="D528">
        <v>7.6700000762939498</v>
      </c>
      <c r="E528">
        <v>7.6700000762939498</v>
      </c>
      <c r="F528">
        <v>0</v>
      </c>
      <c r="G528">
        <v>0</v>
      </c>
      <c r="H528">
        <v>0</v>
      </c>
      <c r="I528">
        <v>7.6700000762939498</v>
      </c>
      <c r="J528">
        <v>0</v>
      </c>
      <c r="K528">
        <v>0</v>
      </c>
      <c r="L528">
        <v>0</v>
      </c>
      <c r="M528">
        <v>313</v>
      </c>
      <c r="N528">
        <v>729</v>
      </c>
      <c r="O528">
        <v>3145</v>
      </c>
    </row>
    <row r="529" spans="1:15" x14ac:dyDescent="0.3">
      <c r="A529">
        <v>4702921684</v>
      </c>
      <c r="B529" s="1">
        <v>42494</v>
      </c>
      <c r="C529">
        <v>8161</v>
      </c>
      <c r="D529">
        <v>6.6199998855590803</v>
      </c>
      <c r="E529">
        <v>6.6199998855590803</v>
      </c>
      <c r="F529">
        <v>0</v>
      </c>
      <c r="G529">
        <v>0.34000000357627902</v>
      </c>
      <c r="H529">
        <v>0.730000019073486</v>
      </c>
      <c r="I529">
        <v>5.53999996185303</v>
      </c>
      <c r="J529">
        <v>0</v>
      </c>
      <c r="K529">
        <v>4</v>
      </c>
      <c r="L529">
        <v>15</v>
      </c>
      <c r="M529">
        <v>251</v>
      </c>
      <c r="N529">
        <v>757</v>
      </c>
      <c r="O529">
        <v>3004</v>
      </c>
    </row>
    <row r="530" spans="1:15" x14ac:dyDescent="0.3">
      <c r="A530">
        <v>4702921684</v>
      </c>
      <c r="B530" s="1">
        <v>42495</v>
      </c>
      <c r="C530">
        <v>8614</v>
      </c>
      <c r="D530">
        <v>6.9899997711181596</v>
      </c>
      <c r="E530">
        <v>6.9899997711181596</v>
      </c>
      <c r="F530">
        <v>0</v>
      </c>
      <c r="G530">
        <v>0.67000001668930098</v>
      </c>
      <c r="H530">
        <v>0.21999999880790699</v>
      </c>
      <c r="I530">
        <v>6.0900001525878897</v>
      </c>
      <c r="J530">
        <v>0</v>
      </c>
      <c r="K530">
        <v>8</v>
      </c>
      <c r="L530">
        <v>5</v>
      </c>
      <c r="M530">
        <v>241</v>
      </c>
      <c r="N530">
        <v>745</v>
      </c>
      <c r="O530">
        <v>3006</v>
      </c>
    </row>
    <row r="531" spans="1:15" x14ac:dyDescent="0.3">
      <c r="A531">
        <v>4702921684</v>
      </c>
      <c r="B531" s="1">
        <v>42496</v>
      </c>
      <c r="C531">
        <v>6943</v>
      </c>
      <c r="D531">
        <v>5.6300001144409197</v>
      </c>
      <c r="E531">
        <v>5.6300001144409197</v>
      </c>
      <c r="F531">
        <v>0</v>
      </c>
      <c r="G531">
        <v>7.9999998211860698E-2</v>
      </c>
      <c r="H531">
        <v>0.66000002622604403</v>
      </c>
      <c r="I531">
        <v>4.8699998855590803</v>
      </c>
      <c r="J531">
        <v>0</v>
      </c>
      <c r="K531">
        <v>1</v>
      </c>
      <c r="L531">
        <v>16</v>
      </c>
      <c r="M531">
        <v>207</v>
      </c>
      <c r="N531">
        <v>682</v>
      </c>
      <c r="O531">
        <v>2859</v>
      </c>
    </row>
    <row r="532" spans="1:15" x14ac:dyDescent="0.3">
      <c r="A532">
        <v>4702921684</v>
      </c>
      <c r="B532" s="1">
        <v>42497</v>
      </c>
      <c r="C532">
        <v>14370</v>
      </c>
      <c r="D532">
        <v>11.6499996185303</v>
      </c>
      <c r="E532">
        <v>11.6499996185303</v>
      </c>
      <c r="F532">
        <v>0</v>
      </c>
      <c r="G532">
        <v>0.37000000476837203</v>
      </c>
      <c r="H532">
        <v>2.3099999427795401</v>
      </c>
      <c r="I532">
        <v>8.9700002670288104</v>
      </c>
      <c r="J532">
        <v>0</v>
      </c>
      <c r="K532">
        <v>5</v>
      </c>
      <c r="L532">
        <v>46</v>
      </c>
      <c r="M532">
        <v>439</v>
      </c>
      <c r="N532">
        <v>577</v>
      </c>
      <c r="O532">
        <v>3683</v>
      </c>
    </row>
    <row r="533" spans="1:15" x14ac:dyDescent="0.3">
      <c r="A533">
        <v>4702921684</v>
      </c>
      <c r="B533" s="1">
        <v>42498</v>
      </c>
      <c r="C533">
        <v>12857</v>
      </c>
      <c r="D533">
        <v>10.430000305175801</v>
      </c>
      <c r="E533">
        <v>10.430000305175801</v>
      </c>
      <c r="F533">
        <v>0</v>
      </c>
      <c r="G533">
        <v>0.68000000715255704</v>
      </c>
      <c r="H533">
        <v>6.21000003814697</v>
      </c>
      <c r="I533">
        <v>3.53999996185303</v>
      </c>
      <c r="J533">
        <v>0</v>
      </c>
      <c r="K533">
        <v>9</v>
      </c>
      <c r="L533">
        <v>125</v>
      </c>
      <c r="M533">
        <v>192</v>
      </c>
      <c r="N533">
        <v>1019</v>
      </c>
      <c r="O533">
        <v>3287</v>
      </c>
    </row>
    <row r="534" spans="1:15" x14ac:dyDescent="0.3">
      <c r="A534">
        <v>4702921684</v>
      </c>
      <c r="B534" s="1">
        <v>42499</v>
      </c>
      <c r="C534">
        <v>8232</v>
      </c>
      <c r="D534">
        <v>6.6799998283386204</v>
      </c>
      <c r="E534">
        <v>6.6799998283386204</v>
      </c>
      <c r="F534">
        <v>0</v>
      </c>
      <c r="G534">
        <v>0</v>
      </c>
      <c r="H534">
        <v>0.56999999284744296</v>
      </c>
      <c r="I534">
        <v>6.0999999046325701</v>
      </c>
      <c r="J534">
        <v>0</v>
      </c>
      <c r="K534">
        <v>0</v>
      </c>
      <c r="L534">
        <v>12</v>
      </c>
      <c r="M534">
        <v>253</v>
      </c>
      <c r="N534">
        <v>746</v>
      </c>
      <c r="O534">
        <v>2990</v>
      </c>
    </row>
    <row r="535" spans="1:15" x14ac:dyDescent="0.3">
      <c r="A535">
        <v>4702921684</v>
      </c>
      <c r="B535" s="1">
        <v>42500</v>
      </c>
      <c r="C535">
        <v>10613</v>
      </c>
      <c r="D535">
        <v>8.6099996566772496</v>
      </c>
      <c r="E535">
        <v>8.6099996566772496</v>
      </c>
      <c r="F535">
        <v>0</v>
      </c>
      <c r="G535">
        <v>7.9999998211860698E-2</v>
      </c>
      <c r="H535">
        <v>1.87999999523163</v>
      </c>
      <c r="I535">
        <v>6.6500000953674299</v>
      </c>
      <c r="J535">
        <v>0</v>
      </c>
      <c r="K535">
        <v>1</v>
      </c>
      <c r="L535">
        <v>37</v>
      </c>
      <c r="M535">
        <v>262</v>
      </c>
      <c r="N535">
        <v>701</v>
      </c>
      <c r="O535">
        <v>3172</v>
      </c>
    </row>
    <row r="536" spans="1:15" x14ac:dyDescent="0.3">
      <c r="A536">
        <v>4702921684</v>
      </c>
      <c r="B536" s="1">
        <v>42501</v>
      </c>
      <c r="C536">
        <v>9810</v>
      </c>
      <c r="D536">
        <v>7.96000003814697</v>
      </c>
      <c r="E536">
        <v>7.96000003814697</v>
      </c>
      <c r="F536">
        <v>0</v>
      </c>
      <c r="G536">
        <v>0.77999997138977095</v>
      </c>
      <c r="H536">
        <v>2.1600000858306898</v>
      </c>
      <c r="I536">
        <v>4.9800000190734899</v>
      </c>
      <c r="J536">
        <v>0</v>
      </c>
      <c r="K536">
        <v>10</v>
      </c>
      <c r="L536">
        <v>41</v>
      </c>
      <c r="M536">
        <v>235</v>
      </c>
      <c r="N536">
        <v>784</v>
      </c>
      <c r="O536">
        <v>3069</v>
      </c>
    </row>
    <row r="537" spans="1:15" x14ac:dyDescent="0.3">
      <c r="A537">
        <v>4702921684</v>
      </c>
      <c r="B537" s="1">
        <v>42502</v>
      </c>
      <c r="C537">
        <v>2752</v>
      </c>
      <c r="D537">
        <v>2.2300000190734899</v>
      </c>
      <c r="E537">
        <v>2.2300000190734899</v>
      </c>
      <c r="F537">
        <v>0</v>
      </c>
      <c r="G537">
        <v>0</v>
      </c>
      <c r="H537">
        <v>0</v>
      </c>
      <c r="I537">
        <v>2.2300000190734899</v>
      </c>
      <c r="J537">
        <v>0</v>
      </c>
      <c r="K537">
        <v>0</v>
      </c>
      <c r="L537">
        <v>0</v>
      </c>
      <c r="M537">
        <v>68</v>
      </c>
      <c r="N537">
        <v>241</v>
      </c>
      <c r="O537">
        <v>1240</v>
      </c>
    </row>
    <row r="538" spans="1:15" x14ac:dyDescent="0.3">
      <c r="A538">
        <v>5553957443</v>
      </c>
      <c r="B538" s="1">
        <v>42472</v>
      </c>
      <c r="C538">
        <v>11596</v>
      </c>
      <c r="D538">
        <v>7.5700001716613796</v>
      </c>
      <c r="E538">
        <v>7.5700001716613796</v>
      </c>
      <c r="F538">
        <v>0</v>
      </c>
      <c r="G538">
        <v>1.37000000476837</v>
      </c>
      <c r="H538">
        <v>0.79000002145767201</v>
      </c>
      <c r="I538">
        <v>5.4099998474121103</v>
      </c>
      <c r="J538">
        <v>0</v>
      </c>
      <c r="K538">
        <v>19</v>
      </c>
      <c r="L538">
        <v>13</v>
      </c>
      <c r="M538">
        <v>277</v>
      </c>
      <c r="N538">
        <v>767</v>
      </c>
      <c r="O538">
        <v>2026</v>
      </c>
    </row>
    <row r="539" spans="1:15" x14ac:dyDescent="0.3">
      <c r="A539">
        <v>5553957443</v>
      </c>
      <c r="B539" s="1">
        <v>42473</v>
      </c>
      <c r="C539">
        <v>4832</v>
      </c>
      <c r="D539">
        <v>3.1600000858306898</v>
      </c>
      <c r="E539">
        <v>3.1600000858306898</v>
      </c>
      <c r="F539">
        <v>0</v>
      </c>
      <c r="G539">
        <v>0</v>
      </c>
      <c r="H539">
        <v>0</v>
      </c>
      <c r="I539">
        <v>3.1600000858306898</v>
      </c>
      <c r="J539">
        <v>0</v>
      </c>
      <c r="K539">
        <v>0</v>
      </c>
      <c r="L539">
        <v>0</v>
      </c>
      <c r="M539">
        <v>226</v>
      </c>
      <c r="N539">
        <v>647</v>
      </c>
      <c r="O539">
        <v>1718</v>
      </c>
    </row>
    <row r="540" spans="1:15" x14ac:dyDescent="0.3">
      <c r="A540">
        <v>5553957443</v>
      </c>
      <c r="B540" s="1">
        <v>42474</v>
      </c>
      <c r="C540">
        <v>17022</v>
      </c>
      <c r="D540">
        <v>11.1199998855591</v>
      </c>
      <c r="E540">
        <v>11.1199998855591</v>
      </c>
      <c r="F540">
        <v>0</v>
      </c>
      <c r="G540">
        <v>4</v>
      </c>
      <c r="H540">
        <v>2.4500000476837198</v>
      </c>
      <c r="I540">
        <v>4.6700000762939498</v>
      </c>
      <c r="J540">
        <v>0</v>
      </c>
      <c r="K540">
        <v>61</v>
      </c>
      <c r="L540">
        <v>41</v>
      </c>
      <c r="M540">
        <v>256</v>
      </c>
      <c r="N540">
        <v>693</v>
      </c>
      <c r="O540">
        <v>2324</v>
      </c>
    </row>
    <row r="541" spans="1:15" x14ac:dyDescent="0.3">
      <c r="A541">
        <v>5553957443</v>
      </c>
      <c r="B541" s="1">
        <v>42475</v>
      </c>
      <c r="C541">
        <v>16556</v>
      </c>
      <c r="D541">
        <v>10.8599996566772</v>
      </c>
      <c r="E541">
        <v>10.8599996566772</v>
      </c>
      <c r="F541">
        <v>0</v>
      </c>
      <c r="G541">
        <v>4.1599998474121103</v>
      </c>
      <c r="H541">
        <v>1.9800000190734901</v>
      </c>
      <c r="I541">
        <v>4.71000003814697</v>
      </c>
      <c r="J541">
        <v>0</v>
      </c>
      <c r="K541">
        <v>58</v>
      </c>
      <c r="L541">
        <v>38</v>
      </c>
      <c r="M541">
        <v>239</v>
      </c>
      <c r="N541">
        <v>689</v>
      </c>
      <c r="O541">
        <v>2254</v>
      </c>
    </row>
    <row r="542" spans="1:15" x14ac:dyDescent="0.3">
      <c r="A542">
        <v>5553957443</v>
      </c>
      <c r="B542" s="1">
        <v>42476</v>
      </c>
      <c r="C542">
        <v>5771</v>
      </c>
      <c r="D542">
        <v>3.7699999809265101</v>
      </c>
      <c r="E542">
        <v>3.7699999809265101</v>
      </c>
      <c r="F542">
        <v>0</v>
      </c>
      <c r="G542">
        <v>0</v>
      </c>
      <c r="H542">
        <v>0</v>
      </c>
      <c r="I542">
        <v>3.7699999809265101</v>
      </c>
      <c r="J542">
        <v>0</v>
      </c>
      <c r="K542">
        <v>0</v>
      </c>
      <c r="L542">
        <v>0</v>
      </c>
      <c r="M542">
        <v>288</v>
      </c>
      <c r="N542">
        <v>521</v>
      </c>
      <c r="O542">
        <v>1831</v>
      </c>
    </row>
    <row r="543" spans="1:15" x14ac:dyDescent="0.3">
      <c r="A543">
        <v>5553957443</v>
      </c>
      <c r="B543" s="1">
        <v>42477</v>
      </c>
      <c r="C543">
        <v>655</v>
      </c>
      <c r="D543">
        <v>0.43000000715255698</v>
      </c>
      <c r="E543">
        <v>0.43000000715255698</v>
      </c>
      <c r="F543">
        <v>0</v>
      </c>
      <c r="G543">
        <v>0</v>
      </c>
      <c r="H543">
        <v>0</v>
      </c>
      <c r="I543">
        <v>0.43000000715255698</v>
      </c>
      <c r="J543">
        <v>0</v>
      </c>
      <c r="K543">
        <v>0</v>
      </c>
      <c r="L543">
        <v>0</v>
      </c>
      <c r="M543">
        <v>46</v>
      </c>
      <c r="N543">
        <v>943</v>
      </c>
      <c r="O543">
        <v>1397</v>
      </c>
    </row>
    <row r="544" spans="1:15" x14ac:dyDescent="0.3">
      <c r="A544">
        <v>5553957443</v>
      </c>
      <c r="B544" s="1">
        <v>42478</v>
      </c>
      <c r="C544">
        <v>3727</v>
      </c>
      <c r="D544">
        <v>2.4300000667571999</v>
      </c>
      <c r="E544">
        <v>2.4300000667571999</v>
      </c>
      <c r="F544">
        <v>0</v>
      </c>
      <c r="G544">
        <v>0</v>
      </c>
      <c r="H544">
        <v>0</v>
      </c>
      <c r="I544">
        <v>2.4300000667571999</v>
      </c>
      <c r="J544">
        <v>0</v>
      </c>
      <c r="K544">
        <v>0</v>
      </c>
      <c r="L544">
        <v>0</v>
      </c>
      <c r="M544">
        <v>206</v>
      </c>
      <c r="N544">
        <v>622</v>
      </c>
      <c r="O544">
        <v>1683</v>
      </c>
    </row>
    <row r="545" spans="1:15" x14ac:dyDescent="0.3">
      <c r="A545">
        <v>5553957443</v>
      </c>
      <c r="B545" s="1">
        <v>42479</v>
      </c>
      <c r="C545">
        <v>15482</v>
      </c>
      <c r="D545">
        <v>10.1099996566772</v>
      </c>
      <c r="E545">
        <v>10.1099996566772</v>
      </c>
      <c r="F545">
        <v>0</v>
      </c>
      <c r="G545">
        <v>4.2800002098083496</v>
      </c>
      <c r="H545">
        <v>1.6599999666214</v>
      </c>
      <c r="I545">
        <v>4.1799998283386204</v>
      </c>
      <c r="J545">
        <v>0</v>
      </c>
      <c r="K545">
        <v>69</v>
      </c>
      <c r="L545">
        <v>28</v>
      </c>
      <c r="M545">
        <v>249</v>
      </c>
      <c r="N545">
        <v>756</v>
      </c>
      <c r="O545">
        <v>2284</v>
      </c>
    </row>
    <row r="546" spans="1:15" x14ac:dyDescent="0.3">
      <c r="A546">
        <v>5553957443</v>
      </c>
      <c r="B546" s="1">
        <v>42480</v>
      </c>
      <c r="C546">
        <v>2713</v>
      </c>
      <c r="D546">
        <v>1.7699999809265099</v>
      </c>
      <c r="E546">
        <v>1.7699999809265099</v>
      </c>
      <c r="F546">
        <v>0</v>
      </c>
      <c r="G546">
        <v>0</v>
      </c>
      <c r="H546">
        <v>0</v>
      </c>
      <c r="I546">
        <v>1.7699999809265099</v>
      </c>
      <c r="J546">
        <v>0</v>
      </c>
      <c r="K546">
        <v>0</v>
      </c>
      <c r="L546">
        <v>0</v>
      </c>
      <c r="M546">
        <v>148</v>
      </c>
      <c r="N546">
        <v>598</v>
      </c>
      <c r="O546">
        <v>1570</v>
      </c>
    </row>
    <row r="547" spans="1:15" x14ac:dyDescent="0.3">
      <c r="A547">
        <v>5553957443</v>
      </c>
      <c r="B547" s="1">
        <v>42481</v>
      </c>
      <c r="C547">
        <v>12346</v>
      </c>
      <c r="D547">
        <v>8.0600004196166992</v>
      </c>
      <c r="E547">
        <v>8.0600004196166992</v>
      </c>
      <c r="F547">
        <v>0</v>
      </c>
      <c r="G547">
        <v>2.9500000476837198</v>
      </c>
      <c r="H547">
        <v>2.1600000858306898</v>
      </c>
      <c r="I547">
        <v>2.96000003814697</v>
      </c>
      <c r="J547">
        <v>0</v>
      </c>
      <c r="K547">
        <v>47</v>
      </c>
      <c r="L547">
        <v>42</v>
      </c>
      <c r="M547">
        <v>177</v>
      </c>
      <c r="N547">
        <v>801</v>
      </c>
      <c r="O547">
        <v>2066</v>
      </c>
    </row>
    <row r="548" spans="1:15" x14ac:dyDescent="0.3">
      <c r="A548">
        <v>5553957443</v>
      </c>
      <c r="B548" s="1">
        <v>42482</v>
      </c>
      <c r="C548">
        <v>11682</v>
      </c>
      <c r="D548">
        <v>7.6300001144409197</v>
      </c>
      <c r="E548">
        <v>7.6300001144409197</v>
      </c>
      <c r="F548">
        <v>0</v>
      </c>
      <c r="G548">
        <v>1.37999999523163</v>
      </c>
      <c r="H548">
        <v>0.62999999523162797</v>
      </c>
      <c r="I548">
        <v>5.5999999046325701</v>
      </c>
      <c r="J548">
        <v>0</v>
      </c>
      <c r="K548">
        <v>25</v>
      </c>
      <c r="L548">
        <v>16</v>
      </c>
      <c r="M548">
        <v>270</v>
      </c>
      <c r="N548">
        <v>781</v>
      </c>
      <c r="O548">
        <v>2105</v>
      </c>
    </row>
    <row r="549" spans="1:15" x14ac:dyDescent="0.3">
      <c r="A549">
        <v>5553957443</v>
      </c>
      <c r="B549" s="1">
        <v>42483</v>
      </c>
      <c r="C549">
        <v>4112</v>
      </c>
      <c r="D549">
        <v>2.6900000572204599</v>
      </c>
      <c r="E549">
        <v>2.6900000572204599</v>
      </c>
      <c r="F549">
        <v>0</v>
      </c>
      <c r="G549">
        <v>0</v>
      </c>
      <c r="H549">
        <v>0</v>
      </c>
      <c r="I549">
        <v>2.6800000667571999</v>
      </c>
      <c r="J549">
        <v>0</v>
      </c>
      <c r="K549">
        <v>0</v>
      </c>
      <c r="L549">
        <v>0</v>
      </c>
      <c r="M549">
        <v>272</v>
      </c>
      <c r="N549">
        <v>443</v>
      </c>
      <c r="O549">
        <v>1776</v>
      </c>
    </row>
    <row r="550" spans="1:15" x14ac:dyDescent="0.3">
      <c r="A550">
        <v>5553957443</v>
      </c>
      <c r="B550" s="1">
        <v>42484</v>
      </c>
      <c r="C550">
        <v>1807</v>
      </c>
      <c r="D550">
        <v>1.1799999475479099</v>
      </c>
      <c r="E550">
        <v>1.1799999475479099</v>
      </c>
      <c r="F550">
        <v>0</v>
      </c>
      <c r="G550">
        <v>0</v>
      </c>
      <c r="H550">
        <v>0</v>
      </c>
      <c r="I550">
        <v>1.1799999475479099</v>
      </c>
      <c r="J550">
        <v>0</v>
      </c>
      <c r="K550">
        <v>0</v>
      </c>
      <c r="L550">
        <v>0</v>
      </c>
      <c r="M550">
        <v>104</v>
      </c>
      <c r="N550">
        <v>582</v>
      </c>
      <c r="O550">
        <v>1507</v>
      </c>
    </row>
    <row r="551" spans="1:15" x14ac:dyDescent="0.3">
      <c r="A551">
        <v>5553957443</v>
      </c>
      <c r="B551" s="1">
        <v>42485</v>
      </c>
      <c r="C551">
        <v>10946</v>
      </c>
      <c r="D551">
        <v>7.1900000572204599</v>
      </c>
      <c r="E551">
        <v>7.1900000572204599</v>
      </c>
      <c r="F551">
        <v>0</v>
      </c>
      <c r="G551">
        <v>2.9300000667571999</v>
      </c>
      <c r="H551">
        <v>0.56999999284744296</v>
      </c>
      <c r="I551">
        <v>3.6900000572204599</v>
      </c>
      <c r="J551">
        <v>0</v>
      </c>
      <c r="K551">
        <v>51</v>
      </c>
      <c r="L551">
        <v>11</v>
      </c>
      <c r="M551">
        <v>201</v>
      </c>
      <c r="N551">
        <v>732</v>
      </c>
      <c r="O551">
        <v>2033</v>
      </c>
    </row>
    <row r="552" spans="1:15" x14ac:dyDescent="0.3">
      <c r="A552">
        <v>5553957443</v>
      </c>
      <c r="B552" s="1">
        <v>42486</v>
      </c>
      <c r="C552">
        <v>11886</v>
      </c>
      <c r="D552">
        <v>7.7600002288818404</v>
      </c>
      <c r="E552">
        <v>7.7600002288818404</v>
      </c>
      <c r="F552">
        <v>0</v>
      </c>
      <c r="G552">
        <v>2.3699998855590798</v>
      </c>
      <c r="H552">
        <v>0.93000000715255704</v>
      </c>
      <c r="I552">
        <v>4.46000003814697</v>
      </c>
      <c r="J552">
        <v>0</v>
      </c>
      <c r="K552">
        <v>40</v>
      </c>
      <c r="L552">
        <v>18</v>
      </c>
      <c r="M552">
        <v>238</v>
      </c>
      <c r="N552">
        <v>750</v>
      </c>
      <c r="O552">
        <v>2093</v>
      </c>
    </row>
    <row r="553" spans="1:15" x14ac:dyDescent="0.3">
      <c r="A553">
        <v>5553957443</v>
      </c>
      <c r="B553" s="1">
        <v>42487</v>
      </c>
      <c r="C553">
        <v>10538</v>
      </c>
      <c r="D553">
        <v>6.8800001144409197</v>
      </c>
      <c r="E553">
        <v>6.8800001144409197</v>
      </c>
      <c r="F553">
        <v>0</v>
      </c>
      <c r="G553">
        <v>1.1399999856948899</v>
      </c>
      <c r="H553">
        <v>1</v>
      </c>
      <c r="I553">
        <v>4.7399997711181596</v>
      </c>
      <c r="J553">
        <v>0</v>
      </c>
      <c r="K553">
        <v>16</v>
      </c>
      <c r="L553">
        <v>16</v>
      </c>
      <c r="M553">
        <v>206</v>
      </c>
      <c r="N553">
        <v>745</v>
      </c>
      <c r="O553">
        <v>1922</v>
      </c>
    </row>
    <row r="554" spans="1:15" x14ac:dyDescent="0.3">
      <c r="A554">
        <v>5553957443</v>
      </c>
      <c r="B554" s="1">
        <v>42488</v>
      </c>
      <c r="C554">
        <v>11393</v>
      </c>
      <c r="D554">
        <v>7.6300001144409197</v>
      </c>
      <c r="E554">
        <v>7.6300001144409197</v>
      </c>
      <c r="F554">
        <v>0</v>
      </c>
      <c r="G554">
        <v>3.71000003814697</v>
      </c>
      <c r="H554">
        <v>0.75</v>
      </c>
      <c r="I554">
        <v>3.1700000762939502</v>
      </c>
      <c r="J554">
        <v>0</v>
      </c>
      <c r="K554">
        <v>49</v>
      </c>
      <c r="L554">
        <v>13</v>
      </c>
      <c r="M554">
        <v>165</v>
      </c>
      <c r="N554">
        <v>727</v>
      </c>
      <c r="O554">
        <v>1999</v>
      </c>
    </row>
    <row r="555" spans="1:15" x14ac:dyDescent="0.3">
      <c r="A555">
        <v>5553957443</v>
      </c>
      <c r="B555" s="1">
        <v>42489</v>
      </c>
      <c r="C555">
        <v>12764</v>
      </c>
      <c r="D555">
        <v>8.3299999237060494</v>
      </c>
      <c r="E555">
        <v>8.3299999237060494</v>
      </c>
      <c r="F555">
        <v>0</v>
      </c>
      <c r="G555">
        <v>2.78999996185303</v>
      </c>
      <c r="H555">
        <v>0.63999998569488503</v>
      </c>
      <c r="I555">
        <v>4.9099998474121103</v>
      </c>
      <c r="J555">
        <v>0</v>
      </c>
      <c r="K555">
        <v>46</v>
      </c>
      <c r="L555">
        <v>15</v>
      </c>
      <c r="M555">
        <v>270</v>
      </c>
      <c r="N555">
        <v>709</v>
      </c>
      <c r="O555">
        <v>2169</v>
      </c>
    </row>
    <row r="556" spans="1:15" x14ac:dyDescent="0.3">
      <c r="A556">
        <v>5553957443</v>
      </c>
      <c r="B556" s="1">
        <v>42490</v>
      </c>
      <c r="C556">
        <v>1202</v>
      </c>
      <c r="D556">
        <v>0.77999997138977095</v>
      </c>
      <c r="E556">
        <v>0.77999997138977095</v>
      </c>
      <c r="F556">
        <v>0</v>
      </c>
      <c r="G556">
        <v>0</v>
      </c>
      <c r="H556">
        <v>0</v>
      </c>
      <c r="I556">
        <v>0.77999997138977095</v>
      </c>
      <c r="J556">
        <v>0</v>
      </c>
      <c r="K556">
        <v>0</v>
      </c>
      <c r="L556">
        <v>0</v>
      </c>
      <c r="M556">
        <v>84</v>
      </c>
      <c r="N556">
        <v>506</v>
      </c>
      <c r="O556">
        <v>1463</v>
      </c>
    </row>
    <row r="557" spans="1:15" x14ac:dyDescent="0.3">
      <c r="A557">
        <v>5553957443</v>
      </c>
      <c r="B557" s="1">
        <v>42491</v>
      </c>
      <c r="C557">
        <v>5164</v>
      </c>
      <c r="D557">
        <v>3.3699998855590798</v>
      </c>
      <c r="E557">
        <v>3.3699998855590798</v>
      </c>
      <c r="F557">
        <v>0</v>
      </c>
      <c r="G557">
        <v>0</v>
      </c>
      <c r="H557">
        <v>0</v>
      </c>
      <c r="I557">
        <v>3.3699998855590798</v>
      </c>
      <c r="J557">
        <v>0</v>
      </c>
      <c r="K557">
        <v>0</v>
      </c>
      <c r="L557">
        <v>0</v>
      </c>
      <c r="M557">
        <v>237</v>
      </c>
      <c r="N557">
        <v>436</v>
      </c>
      <c r="O557">
        <v>1747</v>
      </c>
    </row>
    <row r="558" spans="1:15" x14ac:dyDescent="0.3">
      <c r="A558">
        <v>5553957443</v>
      </c>
      <c r="B558" s="1">
        <v>42492</v>
      </c>
      <c r="C558">
        <v>9769</v>
      </c>
      <c r="D558">
        <v>6.3800001144409197</v>
      </c>
      <c r="E558">
        <v>6.3800001144409197</v>
      </c>
      <c r="F558">
        <v>0</v>
      </c>
      <c r="G558">
        <v>1.0599999427795399</v>
      </c>
      <c r="H558">
        <v>0.40999999642372098</v>
      </c>
      <c r="I558">
        <v>4.9000000953674299</v>
      </c>
      <c r="J558">
        <v>0</v>
      </c>
      <c r="K558">
        <v>23</v>
      </c>
      <c r="L558">
        <v>9</v>
      </c>
      <c r="M558">
        <v>227</v>
      </c>
      <c r="N558">
        <v>724</v>
      </c>
      <c r="O558">
        <v>1996</v>
      </c>
    </row>
    <row r="559" spans="1:15" x14ac:dyDescent="0.3">
      <c r="A559">
        <v>5553957443</v>
      </c>
      <c r="B559" s="1">
        <v>42493</v>
      </c>
      <c r="C559">
        <v>12848</v>
      </c>
      <c r="D559">
        <v>8.3900003433227504</v>
      </c>
      <c r="E559">
        <v>8.3900003433227504</v>
      </c>
      <c r="F559">
        <v>0</v>
      </c>
      <c r="G559">
        <v>1.5</v>
      </c>
      <c r="H559">
        <v>1.20000004768372</v>
      </c>
      <c r="I559">
        <v>5.6799998283386204</v>
      </c>
      <c r="J559">
        <v>0</v>
      </c>
      <c r="K559">
        <v>26</v>
      </c>
      <c r="L559">
        <v>29</v>
      </c>
      <c r="M559">
        <v>247</v>
      </c>
      <c r="N559">
        <v>812</v>
      </c>
      <c r="O559">
        <v>2116</v>
      </c>
    </row>
    <row r="560" spans="1:15" x14ac:dyDescent="0.3">
      <c r="A560">
        <v>5553957443</v>
      </c>
      <c r="B560" s="1">
        <v>42494</v>
      </c>
      <c r="C560">
        <v>4249</v>
      </c>
      <c r="D560">
        <v>2.7699999809265101</v>
      </c>
      <c r="E560">
        <v>2.7699999809265101</v>
      </c>
      <c r="F560">
        <v>0</v>
      </c>
      <c r="G560">
        <v>0</v>
      </c>
      <c r="H560">
        <v>0</v>
      </c>
      <c r="I560">
        <v>2.7699999809265101</v>
      </c>
      <c r="J560">
        <v>0</v>
      </c>
      <c r="K560">
        <v>0</v>
      </c>
      <c r="L560">
        <v>0</v>
      </c>
      <c r="M560">
        <v>224</v>
      </c>
      <c r="N560">
        <v>651</v>
      </c>
      <c r="O560">
        <v>1698</v>
      </c>
    </row>
    <row r="561" spans="1:15" x14ac:dyDescent="0.3">
      <c r="A561">
        <v>5553957443</v>
      </c>
      <c r="B561" s="1">
        <v>42495</v>
      </c>
      <c r="C561">
        <v>14331</v>
      </c>
      <c r="D561">
        <v>9.5100002288818395</v>
      </c>
      <c r="E561">
        <v>9.5100002288818395</v>
      </c>
      <c r="F561">
        <v>0</v>
      </c>
      <c r="G561">
        <v>3.4300000667571999</v>
      </c>
      <c r="H561">
        <v>1.6599999666214</v>
      </c>
      <c r="I561">
        <v>4.4299998283386204</v>
      </c>
      <c r="J561">
        <v>0</v>
      </c>
      <c r="K561">
        <v>44</v>
      </c>
      <c r="L561">
        <v>29</v>
      </c>
      <c r="M561">
        <v>241</v>
      </c>
      <c r="N561">
        <v>692</v>
      </c>
      <c r="O561">
        <v>2156</v>
      </c>
    </row>
    <row r="562" spans="1:15" x14ac:dyDescent="0.3">
      <c r="A562">
        <v>5553957443</v>
      </c>
      <c r="B562" s="1">
        <v>42496</v>
      </c>
      <c r="C562">
        <v>9632</v>
      </c>
      <c r="D562">
        <v>6.28999996185303</v>
      </c>
      <c r="E562">
        <v>6.28999996185303</v>
      </c>
      <c r="F562">
        <v>0</v>
      </c>
      <c r="G562">
        <v>1.5199999809265099</v>
      </c>
      <c r="H562">
        <v>0.54000002145767201</v>
      </c>
      <c r="I562">
        <v>4.2300000190734899</v>
      </c>
      <c r="J562">
        <v>0</v>
      </c>
      <c r="K562">
        <v>21</v>
      </c>
      <c r="L562">
        <v>9</v>
      </c>
      <c r="M562">
        <v>229</v>
      </c>
      <c r="N562">
        <v>761</v>
      </c>
      <c r="O562">
        <v>1916</v>
      </c>
    </row>
    <row r="563" spans="1:15" x14ac:dyDescent="0.3">
      <c r="A563">
        <v>5553957443</v>
      </c>
      <c r="B563" s="1">
        <v>42497</v>
      </c>
      <c r="C563">
        <v>1868</v>
      </c>
      <c r="D563">
        <v>1.2200000286102299</v>
      </c>
      <c r="E563">
        <v>1.2200000286102299</v>
      </c>
      <c r="F563">
        <v>0</v>
      </c>
      <c r="G563">
        <v>0</v>
      </c>
      <c r="H563">
        <v>0</v>
      </c>
      <c r="I563">
        <v>1.2200000286102299</v>
      </c>
      <c r="J563">
        <v>0</v>
      </c>
      <c r="K563">
        <v>0</v>
      </c>
      <c r="L563">
        <v>0</v>
      </c>
      <c r="M563">
        <v>96</v>
      </c>
      <c r="N563">
        <v>902</v>
      </c>
      <c r="O563">
        <v>1494</v>
      </c>
    </row>
    <row r="564" spans="1:15" x14ac:dyDescent="0.3">
      <c r="A564">
        <v>5553957443</v>
      </c>
      <c r="B564" s="1">
        <v>42498</v>
      </c>
      <c r="C564">
        <v>6083</v>
      </c>
      <c r="D564">
        <v>4</v>
      </c>
      <c r="E564">
        <v>4</v>
      </c>
      <c r="F564">
        <v>0</v>
      </c>
      <c r="G564">
        <v>0.21999999880790699</v>
      </c>
      <c r="H564">
        <v>0.46999999880790699</v>
      </c>
      <c r="I564">
        <v>3.2999999523162802</v>
      </c>
      <c r="J564">
        <v>0</v>
      </c>
      <c r="K564">
        <v>3</v>
      </c>
      <c r="L564">
        <v>8</v>
      </c>
      <c r="M564">
        <v>210</v>
      </c>
      <c r="N564">
        <v>505</v>
      </c>
      <c r="O564">
        <v>1762</v>
      </c>
    </row>
    <row r="565" spans="1:15" x14ac:dyDescent="0.3">
      <c r="A565">
        <v>5553957443</v>
      </c>
      <c r="B565" s="1">
        <v>42499</v>
      </c>
      <c r="C565">
        <v>11611</v>
      </c>
      <c r="D565">
        <v>7.5799999237060502</v>
      </c>
      <c r="E565">
        <v>7.5799999237060502</v>
      </c>
      <c r="F565">
        <v>0</v>
      </c>
      <c r="G565">
        <v>2.1300001144409202</v>
      </c>
      <c r="H565">
        <v>0.88999998569488503</v>
      </c>
      <c r="I565">
        <v>4.5599999427795401</v>
      </c>
      <c r="J565">
        <v>0</v>
      </c>
      <c r="K565">
        <v>59</v>
      </c>
      <c r="L565">
        <v>22</v>
      </c>
      <c r="M565">
        <v>251</v>
      </c>
      <c r="N565">
        <v>667</v>
      </c>
      <c r="O565">
        <v>2272</v>
      </c>
    </row>
    <row r="566" spans="1:15" x14ac:dyDescent="0.3">
      <c r="A566">
        <v>5553957443</v>
      </c>
      <c r="B566" s="1">
        <v>42500</v>
      </c>
      <c r="C566">
        <v>16358</v>
      </c>
      <c r="D566">
        <v>10.710000038146999</v>
      </c>
      <c r="E566">
        <v>10.710000038146999</v>
      </c>
      <c r="F566">
        <v>0</v>
      </c>
      <c r="G566">
        <v>3.8699998855590798</v>
      </c>
      <c r="H566">
        <v>1.6100000143051101</v>
      </c>
      <c r="I566">
        <v>5.1999998092651403</v>
      </c>
      <c r="J566">
        <v>0</v>
      </c>
      <c r="K566">
        <v>61</v>
      </c>
      <c r="L566">
        <v>40</v>
      </c>
      <c r="M566">
        <v>265</v>
      </c>
      <c r="N566">
        <v>707</v>
      </c>
      <c r="O566">
        <v>2335</v>
      </c>
    </row>
    <row r="567" spans="1:15" x14ac:dyDescent="0.3">
      <c r="A567">
        <v>5553957443</v>
      </c>
      <c r="B567" s="1">
        <v>42501</v>
      </c>
      <c r="C567">
        <v>4926</v>
      </c>
      <c r="D567">
        <v>3.2200000286102299</v>
      </c>
      <c r="E567">
        <v>3.2200000286102299</v>
      </c>
      <c r="F567">
        <v>0</v>
      </c>
      <c r="G567">
        <v>0</v>
      </c>
      <c r="H567">
        <v>0</v>
      </c>
      <c r="I567">
        <v>3.2200000286102299</v>
      </c>
      <c r="J567">
        <v>0</v>
      </c>
      <c r="K567">
        <v>0</v>
      </c>
      <c r="L567">
        <v>0</v>
      </c>
      <c r="M567">
        <v>195</v>
      </c>
      <c r="N567">
        <v>628</v>
      </c>
      <c r="O567">
        <v>1693</v>
      </c>
    </row>
    <row r="568" spans="1:15" x14ac:dyDescent="0.3">
      <c r="A568">
        <v>5553957443</v>
      </c>
      <c r="B568" s="1">
        <v>42502</v>
      </c>
      <c r="C568">
        <v>3121</v>
      </c>
      <c r="D568">
        <v>2.03999996185303</v>
      </c>
      <c r="E568">
        <v>2.03999996185303</v>
      </c>
      <c r="F568">
        <v>0</v>
      </c>
      <c r="G568">
        <v>0.57999998331069902</v>
      </c>
      <c r="H568">
        <v>0.40000000596046398</v>
      </c>
      <c r="I568">
        <v>1.0599999427795399</v>
      </c>
      <c r="J568">
        <v>0</v>
      </c>
      <c r="K568">
        <v>8</v>
      </c>
      <c r="L568">
        <v>6</v>
      </c>
      <c r="M568">
        <v>48</v>
      </c>
      <c r="N568">
        <v>222</v>
      </c>
      <c r="O568">
        <v>741</v>
      </c>
    </row>
    <row r="569" spans="1:15" x14ac:dyDescent="0.3">
      <c r="A569">
        <v>5577150313</v>
      </c>
      <c r="B569" s="1">
        <v>42472</v>
      </c>
      <c r="C569">
        <v>8135</v>
      </c>
      <c r="D569">
        <v>6.0799999237060502</v>
      </c>
      <c r="E569">
        <v>6.0799999237060502</v>
      </c>
      <c r="F569">
        <v>0</v>
      </c>
      <c r="G569">
        <v>3.5999999046325701</v>
      </c>
      <c r="H569">
        <v>0.37999999523162797</v>
      </c>
      <c r="I569">
        <v>2.0999999046325701</v>
      </c>
      <c r="J569">
        <v>0</v>
      </c>
      <c r="K569">
        <v>86</v>
      </c>
      <c r="L569">
        <v>16</v>
      </c>
      <c r="M569">
        <v>140</v>
      </c>
      <c r="N569">
        <v>728</v>
      </c>
      <c r="O569">
        <v>3405</v>
      </c>
    </row>
    <row r="570" spans="1:15" x14ac:dyDescent="0.3">
      <c r="A570">
        <v>5577150313</v>
      </c>
      <c r="B570" s="1">
        <v>42473</v>
      </c>
      <c r="C570">
        <v>5077</v>
      </c>
      <c r="D570">
        <v>3.78999996185303</v>
      </c>
      <c r="E570">
        <v>3.78999996185303</v>
      </c>
      <c r="F570">
        <v>0</v>
      </c>
      <c r="G570">
        <v>0.31999999284744302</v>
      </c>
      <c r="H570">
        <v>0.21999999880790699</v>
      </c>
      <c r="I570">
        <v>3.25</v>
      </c>
      <c r="J570">
        <v>0</v>
      </c>
      <c r="K570">
        <v>15</v>
      </c>
      <c r="L570">
        <v>11</v>
      </c>
      <c r="M570">
        <v>144</v>
      </c>
      <c r="N570">
        <v>776</v>
      </c>
      <c r="O570">
        <v>2551</v>
      </c>
    </row>
    <row r="571" spans="1:15" x14ac:dyDescent="0.3">
      <c r="A571">
        <v>5577150313</v>
      </c>
      <c r="B571" s="1">
        <v>42474</v>
      </c>
      <c r="C571">
        <v>8596</v>
      </c>
      <c r="D571">
        <v>6.4200000762939498</v>
      </c>
      <c r="E571">
        <v>6.4200000762939498</v>
      </c>
      <c r="F571">
        <v>0</v>
      </c>
      <c r="G571">
        <v>3.3299999237060498</v>
      </c>
      <c r="H571">
        <v>0.31000000238418601</v>
      </c>
      <c r="I571">
        <v>2.7799999713897701</v>
      </c>
      <c r="J571">
        <v>0</v>
      </c>
      <c r="K571">
        <v>118</v>
      </c>
      <c r="L571">
        <v>30</v>
      </c>
      <c r="M571">
        <v>176</v>
      </c>
      <c r="N571">
        <v>662</v>
      </c>
      <c r="O571">
        <v>4022</v>
      </c>
    </row>
    <row r="572" spans="1:15" x14ac:dyDescent="0.3">
      <c r="A572">
        <v>5577150313</v>
      </c>
      <c r="B572" s="1">
        <v>42475</v>
      </c>
      <c r="C572">
        <v>12087</v>
      </c>
      <c r="D572">
        <v>9.0799999237060494</v>
      </c>
      <c r="E572">
        <v>9.0799999237060494</v>
      </c>
      <c r="F572">
        <v>0</v>
      </c>
      <c r="G572">
        <v>3.9200000762939502</v>
      </c>
      <c r="H572">
        <v>1.6000000238418599</v>
      </c>
      <c r="I572">
        <v>3.5599999427795401</v>
      </c>
      <c r="J572">
        <v>0</v>
      </c>
      <c r="K572">
        <v>115</v>
      </c>
      <c r="L572">
        <v>54</v>
      </c>
      <c r="M572">
        <v>199</v>
      </c>
      <c r="N572">
        <v>695</v>
      </c>
      <c r="O572">
        <v>4005</v>
      </c>
    </row>
    <row r="573" spans="1:15" x14ac:dyDescent="0.3">
      <c r="A573">
        <v>5577150313</v>
      </c>
      <c r="B573" s="1">
        <v>42476</v>
      </c>
      <c r="C573">
        <v>14269</v>
      </c>
      <c r="D573">
        <v>10.6599998474121</v>
      </c>
      <c r="E573">
        <v>10.6599998474121</v>
      </c>
      <c r="F573">
        <v>0</v>
      </c>
      <c r="G573">
        <v>6.6399998664856001</v>
      </c>
      <c r="H573">
        <v>1.2799999713897701</v>
      </c>
      <c r="I573">
        <v>2.7300000190734899</v>
      </c>
      <c r="J573">
        <v>0</v>
      </c>
      <c r="K573">
        <v>184</v>
      </c>
      <c r="L573">
        <v>56</v>
      </c>
      <c r="M573">
        <v>158</v>
      </c>
      <c r="N573">
        <v>472</v>
      </c>
      <c r="O573">
        <v>4274</v>
      </c>
    </row>
    <row r="574" spans="1:15" x14ac:dyDescent="0.3">
      <c r="A574">
        <v>5577150313</v>
      </c>
      <c r="B574" s="1">
        <v>42477</v>
      </c>
      <c r="C574">
        <v>12231</v>
      </c>
      <c r="D574">
        <v>9.1400003433227504</v>
      </c>
      <c r="E574">
        <v>9.1400003433227504</v>
      </c>
      <c r="F574">
        <v>0</v>
      </c>
      <c r="G574">
        <v>5.9800000190734899</v>
      </c>
      <c r="H574">
        <v>0.82999998331069902</v>
      </c>
      <c r="I574">
        <v>2.3199999332428001</v>
      </c>
      <c r="J574">
        <v>0</v>
      </c>
      <c r="K574">
        <v>200</v>
      </c>
      <c r="L574">
        <v>37</v>
      </c>
      <c r="M574">
        <v>159</v>
      </c>
      <c r="N574">
        <v>525</v>
      </c>
      <c r="O574">
        <v>4552</v>
      </c>
    </row>
    <row r="575" spans="1:15" x14ac:dyDescent="0.3">
      <c r="A575">
        <v>5577150313</v>
      </c>
      <c r="B575" s="1">
        <v>42478</v>
      </c>
      <c r="C575">
        <v>9893</v>
      </c>
      <c r="D575">
        <v>7.3899998664856001</v>
      </c>
      <c r="E575">
        <v>7.3899998664856001</v>
      </c>
      <c r="F575">
        <v>0</v>
      </c>
      <c r="G575">
        <v>4.8600001335143999</v>
      </c>
      <c r="H575">
        <v>0.72000002861022905</v>
      </c>
      <c r="I575">
        <v>1.8200000524520901</v>
      </c>
      <c r="J575">
        <v>0</v>
      </c>
      <c r="K575">
        <v>114</v>
      </c>
      <c r="L575">
        <v>32</v>
      </c>
      <c r="M575">
        <v>130</v>
      </c>
      <c r="N575">
        <v>623</v>
      </c>
      <c r="O575">
        <v>3625</v>
      </c>
    </row>
    <row r="576" spans="1:15" x14ac:dyDescent="0.3">
      <c r="A576">
        <v>5577150313</v>
      </c>
      <c r="B576" s="1">
        <v>42479</v>
      </c>
      <c r="C576">
        <v>12574</v>
      </c>
      <c r="D576">
        <v>9.4200000762939506</v>
      </c>
      <c r="E576">
        <v>9.4200000762939506</v>
      </c>
      <c r="F576">
        <v>0</v>
      </c>
      <c r="G576">
        <v>7.0199999809265101</v>
      </c>
      <c r="H576">
        <v>0.63999998569488503</v>
      </c>
      <c r="I576">
        <v>1.7599999904632599</v>
      </c>
      <c r="J576">
        <v>0</v>
      </c>
      <c r="K576">
        <v>108</v>
      </c>
      <c r="L576">
        <v>23</v>
      </c>
      <c r="M576">
        <v>111</v>
      </c>
      <c r="N576">
        <v>733</v>
      </c>
      <c r="O576">
        <v>3501</v>
      </c>
    </row>
    <row r="577" spans="1:15" x14ac:dyDescent="0.3">
      <c r="A577">
        <v>5577150313</v>
      </c>
      <c r="B577" s="1">
        <v>42480</v>
      </c>
      <c r="C577">
        <v>8330</v>
      </c>
      <c r="D577">
        <v>6.2199997901916504</v>
      </c>
      <c r="E577">
        <v>6.2199997901916504</v>
      </c>
      <c r="F577">
        <v>0</v>
      </c>
      <c r="G577">
        <v>4.1199998855590803</v>
      </c>
      <c r="H577">
        <v>0.34000000357627902</v>
      </c>
      <c r="I577">
        <v>1.7599999904632599</v>
      </c>
      <c r="J577">
        <v>0</v>
      </c>
      <c r="K577">
        <v>87</v>
      </c>
      <c r="L577">
        <v>16</v>
      </c>
      <c r="M577">
        <v>113</v>
      </c>
      <c r="N577">
        <v>773</v>
      </c>
      <c r="O577">
        <v>3192</v>
      </c>
    </row>
    <row r="578" spans="1:15" x14ac:dyDescent="0.3">
      <c r="A578">
        <v>5577150313</v>
      </c>
      <c r="B578" s="1">
        <v>42481</v>
      </c>
      <c r="C578">
        <v>10830</v>
      </c>
      <c r="D578">
        <v>8.0900001525878906</v>
      </c>
      <c r="E578">
        <v>8.0900001525878906</v>
      </c>
      <c r="F578">
        <v>0</v>
      </c>
      <c r="G578">
        <v>3.6500000953674299</v>
      </c>
      <c r="H578">
        <v>1.6599999666214</v>
      </c>
      <c r="I578">
        <v>2.7799999713897701</v>
      </c>
      <c r="J578">
        <v>0</v>
      </c>
      <c r="K578">
        <v>110</v>
      </c>
      <c r="L578">
        <v>74</v>
      </c>
      <c r="M578">
        <v>175</v>
      </c>
      <c r="N578">
        <v>670</v>
      </c>
      <c r="O578">
        <v>4018</v>
      </c>
    </row>
    <row r="579" spans="1:15" x14ac:dyDescent="0.3">
      <c r="A579">
        <v>5577150313</v>
      </c>
      <c r="B579" s="1">
        <v>42482</v>
      </c>
      <c r="C579">
        <v>9172</v>
      </c>
      <c r="D579">
        <v>6.8499999046325701</v>
      </c>
      <c r="E579">
        <v>6.8499999046325701</v>
      </c>
      <c r="F579">
        <v>0</v>
      </c>
      <c r="G579">
        <v>2.4200000762939502</v>
      </c>
      <c r="H579">
        <v>0.79000002145767201</v>
      </c>
      <c r="I579">
        <v>3.2999999523162802</v>
      </c>
      <c r="J579">
        <v>0</v>
      </c>
      <c r="K579">
        <v>62</v>
      </c>
      <c r="L579">
        <v>30</v>
      </c>
      <c r="M579">
        <v>200</v>
      </c>
      <c r="N579">
        <v>823</v>
      </c>
      <c r="O579">
        <v>3329</v>
      </c>
    </row>
    <row r="580" spans="1:15" x14ac:dyDescent="0.3">
      <c r="A580">
        <v>5577150313</v>
      </c>
      <c r="B580" s="1">
        <v>42483</v>
      </c>
      <c r="C580">
        <v>7638</v>
      </c>
      <c r="D580">
        <v>5.71000003814697</v>
      </c>
      <c r="E580">
        <v>5.71000003814697</v>
      </c>
      <c r="F580">
        <v>0</v>
      </c>
      <c r="G580">
        <v>1.21000003814697</v>
      </c>
      <c r="H580">
        <v>0.36000001430511502</v>
      </c>
      <c r="I580">
        <v>4.1399998664856001</v>
      </c>
      <c r="J580">
        <v>0</v>
      </c>
      <c r="K580">
        <v>24</v>
      </c>
      <c r="L580">
        <v>24</v>
      </c>
      <c r="M580">
        <v>223</v>
      </c>
      <c r="N580">
        <v>627</v>
      </c>
      <c r="O580">
        <v>3152</v>
      </c>
    </row>
    <row r="581" spans="1:15" x14ac:dyDescent="0.3">
      <c r="A581">
        <v>5577150313</v>
      </c>
      <c r="B581" s="1">
        <v>42484</v>
      </c>
      <c r="C581">
        <v>15764</v>
      </c>
      <c r="D581">
        <v>11.7799997329712</v>
      </c>
      <c r="E581">
        <v>11.7799997329712</v>
      </c>
      <c r="F581">
        <v>0</v>
      </c>
      <c r="G581">
        <v>7.6500000953674299</v>
      </c>
      <c r="H581">
        <v>2.1500000953674299</v>
      </c>
      <c r="I581">
        <v>1.9800000190734901</v>
      </c>
      <c r="J581">
        <v>0</v>
      </c>
      <c r="K581">
        <v>210</v>
      </c>
      <c r="L581">
        <v>65</v>
      </c>
      <c r="M581">
        <v>141</v>
      </c>
      <c r="N581">
        <v>425</v>
      </c>
      <c r="O581">
        <v>4392</v>
      </c>
    </row>
    <row r="582" spans="1:15" x14ac:dyDescent="0.3">
      <c r="A582">
        <v>5577150313</v>
      </c>
      <c r="B582" s="1">
        <v>42485</v>
      </c>
      <c r="C582">
        <v>6393</v>
      </c>
      <c r="D582">
        <v>4.7800002098083496</v>
      </c>
      <c r="E582">
        <v>4.7800002098083496</v>
      </c>
      <c r="F582">
        <v>0</v>
      </c>
      <c r="G582">
        <v>1.3500000238418599</v>
      </c>
      <c r="H582">
        <v>0.67000001668930098</v>
      </c>
      <c r="I582">
        <v>2.7599999904632599</v>
      </c>
      <c r="J582">
        <v>0</v>
      </c>
      <c r="K582">
        <v>61</v>
      </c>
      <c r="L582">
        <v>38</v>
      </c>
      <c r="M582">
        <v>214</v>
      </c>
      <c r="N582">
        <v>743</v>
      </c>
      <c r="O582">
        <v>3374</v>
      </c>
    </row>
    <row r="583" spans="1:15" x14ac:dyDescent="0.3">
      <c r="A583">
        <v>5577150313</v>
      </c>
      <c r="B583" s="1">
        <v>42486</v>
      </c>
      <c r="C583">
        <v>5325</v>
      </c>
      <c r="D583">
        <v>3.9800000190734899</v>
      </c>
      <c r="E583">
        <v>3.9800000190734899</v>
      </c>
      <c r="F583">
        <v>0</v>
      </c>
      <c r="G583">
        <v>0.85000002384185802</v>
      </c>
      <c r="H583">
        <v>0.64999997615814198</v>
      </c>
      <c r="I583">
        <v>2.4700000286102299</v>
      </c>
      <c r="J583">
        <v>0</v>
      </c>
      <c r="K583">
        <v>38</v>
      </c>
      <c r="L583">
        <v>32</v>
      </c>
      <c r="M583">
        <v>181</v>
      </c>
      <c r="N583">
        <v>759</v>
      </c>
      <c r="O583">
        <v>3088</v>
      </c>
    </row>
    <row r="584" spans="1:15" x14ac:dyDescent="0.3">
      <c r="A584">
        <v>5577150313</v>
      </c>
      <c r="B584" s="1">
        <v>42487</v>
      </c>
      <c r="C584">
        <v>6805</v>
      </c>
      <c r="D584">
        <v>5.1399998664856001</v>
      </c>
      <c r="E584">
        <v>5.1399998664856001</v>
      </c>
      <c r="F584">
        <v>0</v>
      </c>
      <c r="G584">
        <v>1.8099999427795399</v>
      </c>
      <c r="H584">
        <v>0.40000000596046398</v>
      </c>
      <c r="I584">
        <v>2.9300000667571999</v>
      </c>
      <c r="J584">
        <v>0</v>
      </c>
      <c r="K584">
        <v>63</v>
      </c>
      <c r="L584">
        <v>16</v>
      </c>
      <c r="M584">
        <v>190</v>
      </c>
      <c r="N584">
        <v>773</v>
      </c>
      <c r="O584">
        <v>3294</v>
      </c>
    </row>
    <row r="585" spans="1:15" x14ac:dyDescent="0.3">
      <c r="A585">
        <v>5577150313</v>
      </c>
      <c r="B585" s="1">
        <v>42488</v>
      </c>
      <c r="C585">
        <v>9841</v>
      </c>
      <c r="D585">
        <v>7.4299998283386204</v>
      </c>
      <c r="E585">
        <v>7.4299998283386204</v>
      </c>
      <c r="F585">
        <v>0</v>
      </c>
      <c r="G585">
        <v>3.25</v>
      </c>
      <c r="H585">
        <v>1.16999995708466</v>
      </c>
      <c r="I585">
        <v>3.0099999904632599</v>
      </c>
      <c r="J585">
        <v>0</v>
      </c>
      <c r="K585">
        <v>99</v>
      </c>
      <c r="L585">
        <v>51</v>
      </c>
      <c r="M585">
        <v>141</v>
      </c>
      <c r="N585">
        <v>692</v>
      </c>
      <c r="O585">
        <v>3580</v>
      </c>
    </row>
    <row r="586" spans="1:15" x14ac:dyDescent="0.3">
      <c r="A586">
        <v>5577150313</v>
      </c>
      <c r="B586" s="1">
        <v>42489</v>
      </c>
      <c r="C586">
        <v>7924</v>
      </c>
      <c r="D586">
        <v>5.9200000762939498</v>
      </c>
      <c r="E586">
        <v>5.9200000762939498</v>
      </c>
      <c r="F586">
        <v>0</v>
      </c>
      <c r="G586">
        <v>2.8399999141693102</v>
      </c>
      <c r="H586">
        <v>0.61000001430511497</v>
      </c>
      <c r="I586">
        <v>2.4700000286102299</v>
      </c>
      <c r="J586">
        <v>0</v>
      </c>
      <c r="K586">
        <v>97</v>
      </c>
      <c r="L586">
        <v>36</v>
      </c>
      <c r="M586">
        <v>165</v>
      </c>
      <c r="N586">
        <v>739</v>
      </c>
      <c r="O586">
        <v>3544</v>
      </c>
    </row>
    <row r="587" spans="1:15" x14ac:dyDescent="0.3">
      <c r="A587">
        <v>5577150313</v>
      </c>
      <c r="B587" s="1">
        <v>42490</v>
      </c>
      <c r="C587">
        <v>12363</v>
      </c>
      <c r="D587">
        <v>9.2399997711181605</v>
      </c>
      <c r="E587">
        <v>9.2399997711181605</v>
      </c>
      <c r="F587">
        <v>0</v>
      </c>
      <c r="G587">
        <v>5.8299999237060502</v>
      </c>
      <c r="H587">
        <v>0.79000002145767201</v>
      </c>
      <c r="I587">
        <v>2.6099998950958301</v>
      </c>
      <c r="J587">
        <v>0</v>
      </c>
      <c r="K587">
        <v>207</v>
      </c>
      <c r="L587">
        <v>45</v>
      </c>
      <c r="M587">
        <v>163</v>
      </c>
      <c r="N587">
        <v>621</v>
      </c>
      <c r="O587">
        <v>4501</v>
      </c>
    </row>
    <row r="588" spans="1:15" x14ac:dyDescent="0.3">
      <c r="A588">
        <v>5577150313</v>
      </c>
      <c r="B588" s="1">
        <v>42491</v>
      </c>
      <c r="C588">
        <v>13368</v>
      </c>
      <c r="D588">
        <v>9.9899997711181605</v>
      </c>
      <c r="E588">
        <v>9.9899997711181605</v>
      </c>
      <c r="F588">
        <v>0</v>
      </c>
      <c r="G588">
        <v>5.3099999427795401</v>
      </c>
      <c r="H588">
        <v>1.4400000572204601</v>
      </c>
      <c r="I588">
        <v>3.2400000095367401</v>
      </c>
      <c r="J588">
        <v>0</v>
      </c>
      <c r="K588">
        <v>194</v>
      </c>
      <c r="L588">
        <v>72</v>
      </c>
      <c r="M588">
        <v>178</v>
      </c>
      <c r="N588">
        <v>499</v>
      </c>
      <c r="O588">
        <v>4546</v>
      </c>
    </row>
    <row r="589" spans="1:15" x14ac:dyDescent="0.3">
      <c r="A589">
        <v>5577150313</v>
      </c>
      <c r="B589" s="1">
        <v>42492</v>
      </c>
      <c r="C589">
        <v>7439</v>
      </c>
      <c r="D589">
        <v>5.5599999427795401</v>
      </c>
      <c r="E589">
        <v>5.5599999427795401</v>
      </c>
      <c r="F589">
        <v>0</v>
      </c>
      <c r="G589">
        <v>1.12000000476837</v>
      </c>
      <c r="H589">
        <v>0.34999999403953602</v>
      </c>
      <c r="I589">
        <v>4.0700001716613796</v>
      </c>
      <c r="J589">
        <v>0</v>
      </c>
      <c r="K589">
        <v>37</v>
      </c>
      <c r="L589">
        <v>20</v>
      </c>
      <c r="M589">
        <v>235</v>
      </c>
      <c r="N589">
        <v>732</v>
      </c>
      <c r="O589">
        <v>3014</v>
      </c>
    </row>
    <row r="590" spans="1:15" x14ac:dyDescent="0.3">
      <c r="A590">
        <v>5577150313</v>
      </c>
      <c r="B590" s="1">
        <v>42493</v>
      </c>
      <c r="C590">
        <v>11045</v>
      </c>
      <c r="D590">
        <v>8.25</v>
      </c>
      <c r="E590">
        <v>8.25</v>
      </c>
      <c r="F590">
        <v>0</v>
      </c>
      <c r="G590">
        <v>4.5199999809265101</v>
      </c>
      <c r="H590">
        <v>0.15000000596046401</v>
      </c>
      <c r="I590">
        <v>3.5699999332428001</v>
      </c>
      <c r="J590">
        <v>0</v>
      </c>
      <c r="K590">
        <v>97</v>
      </c>
      <c r="L590">
        <v>8</v>
      </c>
      <c r="M590">
        <v>212</v>
      </c>
      <c r="N590">
        <v>580</v>
      </c>
      <c r="O590">
        <v>3795</v>
      </c>
    </row>
    <row r="591" spans="1:15" x14ac:dyDescent="0.3">
      <c r="A591">
        <v>5577150313</v>
      </c>
      <c r="B591" s="1">
        <v>42494</v>
      </c>
      <c r="C591">
        <v>5206</v>
      </c>
      <c r="D591">
        <v>3.8900001049041699</v>
      </c>
      <c r="E591">
        <v>3.8900001049041699</v>
      </c>
      <c r="F591">
        <v>0</v>
      </c>
      <c r="G591">
        <v>1.5599999427795399</v>
      </c>
      <c r="H591">
        <v>0.25</v>
      </c>
      <c r="I591">
        <v>2.0799999237060498</v>
      </c>
      <c r="J591">
        <v>0</v>
      </c>
      <c r="K591">
        <v>25</v>
      </c>
      <c r="L591">
        <v>9</v>
      </c>
      <c r="M591">
        <v>141</v>
      </c>
      <c r="N591">
        <v>631</v>
      </c>
      <c r="O591">
        <v>2755</v>
      </c>
    </row>
    <row r="592" spans="1:15" x14ac:dyDescent="0.3">
      <c r="A592">
        <v>5577150313</v>
      </c>
      <c r="B592" s="1">
        <v>42495</v>
      </c>
      <c r="C592">
        <v>7550</v>
      </c>
      <c r="D592">
        <v>5.6399998664856001</v>
      </c>
      <c r="E592">
        <v>5.6399998664856001</v>
      </c>
      <c r="F592">
        <v>0</v>
      </c>
      <c r="G592">
        <v>2.5</v>
      </c>
      <c r="H592">
        <v>0.46999999880790699</v>
      </c>
      <c r="I592">
        <v>2.6700000762939502</v>
      </c>
      <c r="J592">
        <v>0</v>
      </c>
      <c r="K592">
        <v>45</v>
      </c>
      <c r="L592">
        <v>21</v>
      </c>
      <c r="M592">
        <v>143</v>
      </c>
      <c r="N592">
        <v>1153</v>
      </c>
      <c r="O592">
        <v>3004</v>
      </c>
    </row>
    <row r="593" spans="1:15" x14ac:dyDescent="0.3">
      <c r="A593">
        <v>5577150313</v>
      </c>
      <c r="B593" s="1">
        <v>42496</v>
      </c>
      <c r="C593">
        <v>4950</v>
      </c>
      <c r="D593">
        <v>3.7000000476837198</v>
      </c>
      <c r="E593">
        <v>3.7000000476837198</v>
      </c>
      <c r="F593">
        <v>0</v>
      </c>
      <c r="G593">
        <v>1.9299999475479099</v>
      </c>
      <c r="H593">
        <v>0.31999999284744302</v>
      </c>
      <c r="I593">
        <v>1.45000004768372</v>
      </c>
      <c r="J593">
        <v>0</v>
      </c>
      <c r="K593">
        <v>41</v>
      </c>
      <c r="L593">
        <v>16</v>
      </c>
      <c r="M593">
        <v>79</v>
      </c>
      <c r="N593">
        <v>1304</v>
      </c>
      <c r="O593">
        <v>2643</v>
      </c>
    </row>
    <row r="594" spans="1:15" x14ac:dyDescent="0.3">
      <c r="A594">
        <v>5577150313</v>
      </c>
      <c r="B594" s="1">
        <v>42497</v>
      </c>
      <c r="C594">
        <v>0</v>
      </c>
      <c r="D594">
        <v>0</v>
      </c>
      <c r="E594">
        <v>0</v>
      </c>
      <c r="F594">
        <v>0</v>
      </c>
      <c r="G594">
        <v>0</v>
      </c>
      <c r="H594">
        <v>0</v>
      </c>
      <c r="I594">
        <v>0</v>
      </c>
      <c r="J594">
        <v>0</v>
      </c>
      <c r="K594">
        <v>0</v>
      </c>
      <c r="L594">
        <v>0</v>
      </c>
      <c r="M594">
        <v>0</v>
      </c>
      <c r="N594">
        <v>1440</v>
      </c>
      <c r="O594">
        <v>1819</v>
      </c>
    </row>
    <row r="595" spans="1:15" x14ac:dyDescent="0.3">
      <c r="A595">
        <v>5577150313</v>
      </c>
      <c r="B595" s="1">
        <v>42498</v>
      </c>
      <c r="C595">
        <v>0</v>
      </c>
      <c r="D595">
        <v>0</v>
      </c>
      <c r="E595">
        <v>0</v>
      </c>
      <c r="F595">
        <v>0</v>
      </c>
      <c r="G595">
        <v>0</v>
      </c>
      <c r="H595">
        <v>0</v>
      </c>
      <c r="I595">
        <v>0</v>
      </c>
      <c r="J595">
        <v>0</v>
      </c>
      <c r="K595">
        <v>0</v>
      </c>
      <c r="L595">
        <v>0</v>
      </c>
      <c r="M595">
        <v>0</v>
      </c>
      <c r="N595">
        <v>1440</v>
      </c>
      <c r="O595">
        <v>1819</v>
      </c>
    </row>
    <row r="596" spans="1:15" x14ac:dyDescent="0.3">
      <c r="A596">
        <v>5577150313</v>
      </c>
      <c r="B596" s="1">
        <v>42499</v>
      </c>
      <c r="C596">
        <v>3421</v>
      </c>
      <c r="D596">
        <v>2.5599999427795401</v>
      </c>
      <c r="E596">
        <v>2.5599999427795401</v>
      </c>
      <c r="F596">
        <v>0</v>
      </c>
      <c r="G596">
        <v>1.4299999475479099</v>
      </c>
      <c r="H596">
        <v>0.140000000596046</v>
      </c>
      <c r="I596">
        <v>0.99000000953674305</v>
      </c>
      <c r="J596">
        <v>0</v>
      </c>
      <c r="K596">
        <v>34</v>
      </c>
      <c r="L596">
        <v>11</v>
      </c>
      <c r="M596">
        <v>70</v>
      </c>
      <c r="N596">
        <v>1099</v>
      </c>
      <c r="O596">
        <v>2489</v>
      </c>
    </row>
    <row r="597" spans="1:15" x14ac:dyDescent="0.3">
      <c r="A597">
        <v>5577150313</v>
      </c>
      <c r="B597" s="1">
        <v>42500</v>
      </c>
      <c r="C597">
        <v>8869</v>
      </c>
      <c r="D597">
        <v>6.6500000953674299</v>
      </c>
      <c r="E597">
        <v>6.6500000953674299</v>
      </c>
      <c r="F597">
        <v>0</v>
      </c>
      <c r="G597">
        <v>2.5599999427795401</v>
      </c>
      <c r="H597">
        <v>0.75</v>
      </c>
      <c r="I597">
        <v>3.3499999046325701</v>
      </c>
      <c r="J597">
        <v>0</v>
      </c>
      <c r="K597">
        <v>104</v>
      </c>
      <c r="L597">
        <v>37</v>
      </c>
      <c r="M597">
        <v>194</v>
      </c>
      <c r="N597">
        <v>639</v>
      </c>
      <c r="O597">
        <v>3841</v>
      </c>
    </row>
    <row r="598" spans="1:15" x14ac:dyDescent="0.3">
      <c r="A598">
        <v>5577150313</v>
      </c>
      <c r="B598" s="1">
        <v>42501</v>
      </c>
      <c r="C598">
        <v>4038</v>
      </c>
      <c r="D598">
        <v>3.03999996185303</v>
      </c>
      <c r="E598">
        <v>3.03999996185303</v>
      </c>
      <c r="F598">
        <v>0</v>
      </c>
      <c r="G598">
        <v>1.83000004291534</v>
      </c>
      <c r="H598">
        <v>0.30000001192092901</v>
      </c>
      <c r="I598">
        <v>0.88999998569488503</v>
      </c>
      <c r="J598">
        <v>0</v>
      </c>
      <c r="K598">
        <v>45</v>
      </c>
      <c r="L598">
        <v>15</v>
      </c>
      <c r="M598">
        <v>63</v>
      </c>
      <c r="N598">
        <v>257</v>
      </c>
      <c r="O598">
        <v>1665</v>
      </c>
    </row>
    <row r="599" spans="1:15" x14ac:dyDescent="0.3">
      <c r="A599">
        <v>6117666160</v>
      </c>
      <c r="B599" s="1">
        <v>42472</v>
      </c>
      <c r="C599">
        <v>0</v>
      </c>
      <c r="D599">
        <v>0</v>
      </c>
      <c r="E599">
        <v>0</v>
      </c>
      <c r="F599">
        <v>0</v>
      </c>
      <c r="G599">
        <v>0</v>
      </c>
      <c r="H599">
        <v>0</v>
      </c>
      <c r="I599">
        <v>0</v>
      </c>
      <c r="J599">
        <v>0</v>
      </c>
      <c r="K599">
        <v>0</v>
      </c>
      <c r="L599">
        <v>0</v>
      </c>
      <c r="M599">
        <v>0</v>
      </c>
      <c r="N599">
        <v>1440</v>
      </c>
      <c r="O599">
        <v>1496</v>
      </c>
    </row>
    <row r="600" spans="1:15" x14ac:dyDescent="0.3">
      <c r="A600">
        <v>6117666160</v>
      </c>
      <c r="B600" s="1">
        <v>42473</v>
      </c>
      <c r="C600">
        <v>0</v>
      </c>
      <c r="D600">
        <v>0</v>
      </c>
      <c r="E600">
        <v>0</v>
      </c>
      <c r="F600">
        <v>0</v>
      </c>
      <c r="G600">
        <v>0</v>
      </c>
      <c r="H600">
        <v>0</v>
      </c>
      <c r="I600">
        <v>0</v>
      </c>
      <c r="J600">
        <v>0</v>
      </c>
      <c r="K600">
        <v>0</v>
      </c>
      <c r="L600">
        <v>0</v>
      </c>
      <c r="M600">
        <v>0</v>
      </c>
      <c r="N600">
        <v>1440</v>
      </c>
      <c r="O600">
        <v>1496</v>
      </c>
    </row>
    <row r="601" spans="1:15" x14ac:dyDescent="0.3">
      <c r="A601">
        <v>6117666160</v>
      </c>
      <c r="B601" s="1">
        <v>42474</v>
      </c>
      <c r="C601">
        <v>0</v>
      </c>
      <c r="D601">
        <v>0</v>
      </c>
      <c r="E601">
        <v>0</v>
      </c>
      <c r="F601">
        <v>0</v>
      </c>
      <c r="G601">
        <v>0</v>
      </c>
      <c r="H601">
        <v>0</v>
      </c>
      <c r="I601">
        <v>0</v>
      </c>
      <c r="J601">
        <v>0</v>
      </c>
      <c r="K601">
        <v>0</v>
      </c>
      <c r="L601">
        <v>0</v>
      </c>
      <c r="M601">
        <v>0</v>
      </c>
      <c r="N601">
        <v>1440</v>
      </c>
      <c r="O601">
        <v>1496</v>
      </c>
    </row>
    <row r="602" spans="1:15" x14ac:dyDescent="0.3">
      <c r="A602">
        <v>6117666160</v>
      </c>
      <c r="B602" s="1">
        <v>42475</v>
      </c>
      <c r="C602">
        <v>14019</v>
      </c>
      <c r="D602">
        <v>10.5900001525879</v>
      </c>
      <c r="E602">
        <v>10.5900001525879</v>
      </c>
      <c r="F602">
        <v>0</v>
      </c>
      <c r="G602">
        <v>0</v>
      </c>
      <c r="H602">
        <v>0.28000000119209301</v>
      </c>
      <c r="I602">
        <v>10.300000190734901</v>
      </c>
      <c r="J602">
        <v>0</v>
      </c>
      <c r="K602">
        <v>0</v>
      </c>
      <c r="L602">
        <v>6</v>
      </c>
      <c r="M602">
        <v>513</v>
      </c>
      <c r="N602">
        <v>921</v>
      </c>
      <c r="O602">
        <v>2865</v>
      </c>
    </row>
    <row r="603" spans="1:15" x14ac:dyDescent="0.3">
      <c r="A603">
        <v>6117666160</v>
      </c>
      <c r="B603" s="1">
        <v>42476</v>
      </c>
      <c r="C603">
        <v>14450</v>
      </c>
      <c r="D603">
        <v>10.9099998474121</v>
      </c>
      <c r="E603">
        <v>10.9099998474121</v>
      </c>
      <c r="F603">
        <v>0</v>
      </c>
      <c r="G603">
        <v>0.57999998331069902</v>
      </c>
      <c r="H603">
        <v>0.85000002384185802</v>
      </c>
      <c r="I603">
        <v>9.4799995422363299</v>
      </c>
      <c r="J603">
        <v>0</v>
      </c>
      <c r="K603">
        <v>7</v>
      </c>
      <c r="L603">
        <v>15</v>
      </c>
      <c r="M603">
        <v>518</v>
      </c>
      <c r="N603">
        <v>502</v>
      </c>
      <c r="O603">
        <v>2828</v>
      </c>
    </row>
    <row r="604" spans="1:15" x14ac:dyDescent="0.3">
      <c r="A604">
        <v>6117666160</v>
      </c>
      <c r="B604" s="1">
        <v>42477</v>
      </c>
      <c r="C604">
        <v>7150</v>
      </c>
      <c r="D604">
        <v>5.4000000953674299</v>
      </c>
      <c r="E604">
        <v>5.4000000953674299</v>
      </c>
      <c r="F604">
        <v>0</v>
      </c>
      <c r="G604">
        <v>0</v>
      </c>
      <c r="H604">
        <v>0</v>
      </c>
      <c r="I604">
        <v>5.4000000953674299</v>
      </c>
      <c r="J604">
        <v>0</v>
      </c>
      <c r="K604">
        <v>0</v>
      </c>
      <c r="L604">
        <v>0</v>
      </c>
      <c r="M604">
        <v>312</v>
      </c>
      <c r="N604">
        <v>702</v>
      </c>
      <c r="O604">
        <v>2225</v>
      </c>
    </row>
    <row r="605" spans="1:15" x14ac:dyDescent="0.3">
      <c r="A605">
        <v>6117666160</v>
      </c>
      <c r="B605" s="1">
        <v>42478</v>
      </c>
      <c r="C605">
        <v>5153</v>
      </c>
      <c r="D605">
        <v>3.9100000858306898</v>
      </c>
      <c r="E605">
        <v>3.9100000858306898</v>
      </c>
      <c r="F605">
        <v>0</v>
      </c>
      <c r="G605">
        <v>0</v>
      </c>
      <c r="H605">
        <v>0</v>
      </c>
      <c r="I605">
        <v>3.8900001049041699</v>
      </c>
      <c r="J605">
        <v>0</v>
      </c>
      <c r="K605">
        <v>0</v>
      </c>
      <c r="L605">
        <v>0</v>
      </c>
      <c r="M605">
        <v>241</v>
      </c>
      <c r="N605">
        <v>759</v>
      </c>
      <c r="O605">
        <v>2018</v>
      </c>
    </row>
    <row r="606" spans="1:15" x14ac:dyDescent="0.3">
      <c r="A606">
        <v>6117666160</v>
      </c>
      <c r="B606" s="1">
        <v>42479</v>
      </c>
      <c r="C606">
        <v>11135</v>
      </c>
      <c r="D606">
        <v>8.4099998474121094</v>
      </c>
      <c r="E606">
        <v>8.4099998474121094</v>
      </c>
      <c r="F606">
        <v>0</v>
      </c>
      <c r="G606">
        <v>0</v>
      </c>
      <c r="H606">
        <v>0</v>
      </c>
      <c r="I606">
        <v>8.4099998474121094</v>
      </c>
      <c r="J606">
        <v>0</v>
      </c>
      <c r="K606">
        <v>0</v>
      </c>
      <c r="L606">
        <v>0</v>
      </c>
      <c r="M606">
        <v>480</v>
      </c>
      <c r="N606">
        <v>425</v>
      </c>
      <c r="O606">
        <v>2606</v>
      </c>
    </row>
    <row r="607" spans="1:15" x14ac:dyDescent="0.3">
      <c r="A607">
        <v>6117666160</v>
      </c>
      <c r="B607" s="1">
        <v>42480</v>
      </c>
      <c r="C607">
        <v>10449</v>
      </c>
      <c r="D607">
        <v>8.0200004577636701</v>
      </c>
      <c r="E607">
        <v>8.0200004577636701</v>
      </c>
      <c r="F607">
        <v>0</v>
      </c>
      <c r="G607">
        <v>2.0299999713897701</v>
      </c>
      <c r="H607">
        <v>0.479999989271164</v>
      </c>
      <c r="I607">
        <v>5.5199999809265101</v>
      </c>
      <c r="J607">
        <v>0</v>
      </c>
      <c r="K607">
        <v>26</v>
      </c>
      <c r="L607">
        <v>10</v>
      </c>
      <c r="M607">
        <v>349</v>
      </c>
      <c r="N607">
        <v>587</v>
      </c>
      <c r="O607">
        <v>2536</v>
      </c>
    </row>
    <row r="608" spans="1:15" x14ac:dyDescent="0.3">
      <c r="A608">
        <v>6117666160</v>
      </c>
      <c r="B608" s="1">
        <v>42481</v>
      </c>
      <c r="C608">
        <v>19542</v>
      </c>
      <c r="D608">
        <v>15.0100002288818</v>
      </c>
      <c r="E608">
        <v>15.0100002288818</v>
      </c>
      <c r="F608">
        <v>0</v>
      </c>
      <c r="G608">
        <v>0.980000019073486</v>
      </c>
      <c r="H608">
        <v>0.40000000596046398</v>
      </c>
      <c r="I608">
        <v>5.6199998855590803</v>
      </c>
      <c r="J608">
        <v>0</v>
      </c>
      <c r="K608">
        <v>11</v>
      </c>
      <c r="L608">
        <v>19</v>
      </c>
      <c r="M608">
        <v>294</v>
      </c>
      <c r="N608">
        <v>579</v>
      </c>
      <c r="O608">
        <v>4900</v>
      </c>
    </row>
    <row r="609" spans="1:15" x14ac:dyDescent="0.3">
      <c r="A609">
        <v>6117666160</v>
      </c>
      <c r="B609" s="1">
        <v>42482</v>
      </c>
      <c r="C609">
        <v>8206</v>
      </c>
      <c r="D609">
        <v>6.1999998092651403</v>
      </c>
      <c r="E609">
        <v>6.1999998092651403</v>
      </c>
      <c r="F609">
        <v>0</v>
      </c>
      <c r="G609">
        <v>0</v>
      </c>
      <c r="H609">
        <v>0</v>
      </c>
      <c r="I609">
        <v>6.1999998092651403</v>
      </c>
      <c r="J609">
        <v>0</v>
      </c>
      <c r="K609">
        <v>0</v>
      </c>
      <c r="L609">
        <v>0</v>
      </c>
      <c r="M609">
        <v>402</v>
      </c>
      <c r="N609">
        <v>413</v>
      </c>
      <c r="O609">
        <v>2409</v>
      </c>
    </row>
    <row r="610" spans="1:15" x14ac:dyDescent="0.3">
      <c r="A610">
        <v>6117666160</v>
      </c>
      <c r="B610" s="1">
        <v>42483</v>
      </c>
      <c r="C610">
        <v>11495</v>
      </c>
      <c r="D610">
        <v>8.6800003051757795</v>
      </c>
      <c r="E610">
        <v>8.6800003051757795</v>
      </c>
      <c r="F610">
        <v>0</v>
      </c>
      <c r="G610">
        <v>0</v>
      </c>
      <c r="H610">
        <v>0</v>
      </c>
      <c r="I610">
        <v>8.6800003051757795</v>
      </c>
      <c r="J610">
        <v>0</v>
      </c>
      <c r="K610">
        <v>0</v>
      </c>
      <c r="L610">
        <v>0</v>
      </c>
      <c r="M610">
        <v>512</v>
      </c>
      <c r="N610">
        <v>468</v>
      </c>
      <c r="O610">
        <v>2651</v>
      </c>
    </row>
    <row r="611" spans="1:15" x14ac:dyDescent="0.3">
      <c r="A611">
        <v>6117666160</v>
      </c>
      <c r="B611" s="1">
        <v>42484</v>
      </c>
      <c r="C611">
        <v>7623</v>
      </c>
      <c r="D611">
        <v>5.7600002288818404</v>
      </c>
      <c r="E611">
        <v>5.7600002288818404</v>
      </c>
      <c r="F611">
        <v>0</v>
      </c>
      <c r="G611">
        <v>0</v>
      </c>
      <c r="H611">
        <v>0</v>
      </c>
      <c r="I611">
        <v>5.7600002288818404</v>
      </c>
      <c r="J611">
        <v>0</v>
      </c>
      <c r="K611">
        <v>0</v>
      </c>
      <c r="L611">
        <v>0</v>
      </c>
      <c r="M611">
        <v>362</v>
      </c>
      <c r="N611">
        <v>711</v>
      </c>
      <c r="O611">
        <v>2305</v>
      </c>
    </row>
    <row r="612" spans="1:15" x14ac:dyDescent="0.3">
      <c r="A612">
        <v>6117666160</v>
      </c>
      <c r="B612" s="1">
        <v>42485</v>
      </c>
      <c r="C612">
        <v>0</v>
      </c>
      <c r="D612">
        <v>0</v>
      </c>
      <c r="E612">
        <v>0</v>
      </c>
      <c r="F612">
        <v>0</v>
      </c>
      <c r="G612">
        <v>0</v>
      </c>
      <c r="H612">
        <v>0</v>
      </c>
      <c r="I612">
        <v>0</v>
      </c>
      <c r="J612">
        <v>0</v>
      </c>
      <c r="K612">
        <v>0</v>
      </c>
      <c r="L612">
        <v>0</v>
      </c>
      <c r="M612">
        <v>0</v>
      </c>
      <c r="N612">
        <v>1440</v>
      </c>
      <c r="O612">
        <v>1497</v>
      </c>
    </row>
    <row r="613" spans="1:15" x14ac:dyDescent="0.3">
      <c r="A613">
        <v>6117666160</v>
      </c>
      <c r="B613" s="1">
        <v>42486</v>
      </c>
      <c r="C613">
        <v>9543</v>
      </c>
      <c r="D613">
        <v>7.21000003814697</v>
      </c>
      <c r="E613">
        <v>7.21000003814697</v>
      </c>
      <c r="F613">
        <v>0</v>
      </c>
      <c r="G613">
        <v>0</v>
      </c>
      <c r="H613">
        <v>0.34000000357627902</v>
      </c>
      <c r="I613">
        <v>6.8699998855590803</v>
      </c>
      <c r="J613">
        <v>0</v>
      </c>
      <c r="K613">
        <v>0</v>
      </c>
      <c r="L613">
        <v>7</v>
      </c>
      <c r="M613">
        <v>352</v>
      </c>
      <c r="N613">
        <v>1077</v>
      </c>
      <c r="O613">
        <v>2450</v>
      </c>
    </row>
    <row r="614" spans="1:15" x14ac:dyDescent="0.3">
      <c r="A614">
        <v>6117666160</v>
      </c>
      <c r="B614" s="1">
        <v>42487</v>
      </c>
      <c r="C614">
        <v>9411</v>
      </c>
      <c r="D614">
        <v>7.1100001335143999</v>
      </c>
      <c r="E614">
        <v>7.1100001335143999</v>
      </c>
      <c r="F614">
        <v>0</v>
      </c>
      <c r="G614">
        <v>0</v>
      </c>
      <c r="H614">
        <v>0</v>
      </c>
      <c r="I614">
        <v>7.1100001335143999</v>
      </c>
      <c r="J614">
        <v>0</v>
      </c>
      <c r="K614">
        <v>0</v>
      </c>
      <c r="L614">
        <v>0</v>
      </c>
      <c r="M614">
        <v>458</v>
      </c>
      <c r="N614">
        <v>417</v>
      </c>
      <c r="O614">
        <v>2576</v>
      </c>
    </row>
    <row r="615" spans="1:15" x14ac:dyDescent="0.3">
      <c r="A615">
        <v>6117666160</v>
      </c>
      <c r="B615" s="1">
        <v>42488</v>
      </c>
      <c r="C615">
        <v>3403</v>
      </c>
      <c r="D615">
        <v>2.5999999046325701</v>
      </c>
      <c r="E615">
        <v>2.5999999046325701</v>
      </c>
      <c r="F615">
        <v>0</v>
      </c>
      <c r="G615">
        <v>0</v>
      </c>
      <c r="H615">
        <v>0</v>
      </c>
      <c r="I615">
        <v>2.5999999046325701</v>
      </c>
      <c r="J615">
        <v>0</v>
      </c>
      <c r="K615">
        <v>0</v>
      </c>
      <c r="L615">
        <v>0</v>
      </c>
      <c r="M615">
        <v>141</v>
      </c>
      <c r="N615">
        <v>758</v>
      </c>
      <c r="O615">
        <v>1879</v>
      </c>
    </row>
    <row r="616" spans="1:15" x14ac:dyDescent="0.3">
      <c r="A616">
        <v>6117666160</v>
      </c>
      <c r="B616" s="1">
        <v>42489</v>
      </c>
      <c r="C616">
        <v>9592</v>
      </c>
      <c r="D616">
        <v>7.2399997711181596</v>
      </c>
      <c r="E616">
        <v>7.2399997711181596</v>
      </c>
      <c r="F616">
        <v>0</v>
      </c>
      <c r="G616">
        <v>0</v>
      </c>
      <c r="H616">
        <v>0</v>
      </c>
      <c r="I616">
        <v>7.2399997711181596</v>
      </c>
      <c r="J616">
        <v>0</v>
      </c>
      <c r="K616">
        <v>0</v>
      </c>
      <c r="L616">
        <v>0</v>
      </c>
      <c r="M616">
        <v>461</v>
      </c>
      <c r="N616">
        <v>479</v>
      </c>
      <c r="O616">
        <v>2560</v>
      </c>
    </row>
    <row r="617" spans="1:15" x14ac:dyDescent="0.3">
      <c r="A617">
        <v>6117666160</v>
      </c>
      <c r="B617" s="1">
        <v>42490</v>
      </c>
      <c r="C617">
        <v>6987</v>
      </c>
      <c r="D617">
        <v>5.2800002098083496</v>
      </c>
      <c r="E617">
        <v>5.2800002098083496</v>
      </c>
      <c r="F617">
        <v>0</v>
      </c>
      <c r="G617">
        <v>0</v>
      </c>
      <c r="H617">
        <v>0</v>
      </c>
      <c r="I617">
        <v>5.2800002098083496</v>
      </c>
      <c r="J617">
        <v>0</v>
      </c>
      <c r="K617">
        <v>0</v>
      </c>
      <c r="L617">
        <v>0</v>
      </c>
      <c r="M617">
        <v>343</v>
      </c>
      <c r="N617">
        <v>1040</v>
      </c>
      <c r="O617">
        <v>2275</v>
      </c>
    </row>
    <row r="618" spans="1:15" x14ac:dyDescent="0.3">
      <c r="A618">
        <v>6117666160</v>
      </c>
      <c r="B618" s="1">
        <v>42491</v>
      </c>
      <c r="C618">
        <v>8915</v>
      </c>
      <c r="D618">
        <v>6.7300000190734899</v>
      </c>
      <c r="E618">
        <v>6.7300000190734899</v>
      </c>
      <c r="F618">
        <v>0</v>
      </c>
      <c r="G618">
        <v>0</v>
      </c>
      <c r="H618">
        <v>0</v>
      </c>
      <c r="I618">
        <v>6.7300000190734899</v>
      </c>
      <c r="J618">
        <v>0</v>
      </c>
      <c r="K618">
        <v>0</v>
      </c>
      <c r="L618">
        <v>0</v>
      </c>
      <c r="M618">
        <v>397</v>
      </c>
      <c r="N618">
        <v>525</v>
      </c>
      <c r="O618">
        <v>2361</v>
      </c>
    </row>
    <row r="619" spans="1:15" x14ac:dyDescent="0.3">
      <c r="A619">
        <v>6117666160</v>
      </c>
      <c r="B619" s="1">
        <v>42492</v>
      </c>
      <c r="C619">
        <v>4933</v>
      </c>
      <c r="D619">
        <v>3.7300000190734899</v>
      </c>
      <c r="E619">
        <v>3.7300000190734899</v>
      </c>
      <c r="F619">
        <v>0</v>
      </c>
      <c r="G619">
        <v>0</v>
      </c>
      <c r="H619">
        <v>0</v>
      </c>
      <c r="I619">
        <v>3.7300000190734899</v>
      </c>
      <c r="J619">
        <v>0</v>
      </c>
      <c r="K619">
        <v>0</v>
      </c>
      <c r="L619">
        <v>0</v>
      </c>
      <c r="M619">
        <v>236</v>
      </c>
      <c r="N619">
        <v>1204</v>
      </c>
      <c r="O619">
        <v>2044</v>
      </c>
    </row>
    <row r="620" spans="1:15" x14ac:dyDescent="0.3">
      <c r="A620">
        <v>6117666160</v>
      </c>
      <c r="B620" s="1">
        <v>42493</v>
      </c>
      <c r="C620">
        <v>0</v>
      </c>
      <c r="D620">
        <v>0</v>
      </c>
      <c r="E620">
        <v>0</v>
      </c>
      <c r="F620">
        <v>0</v>
      </c>
      <c r="G620">
        <v>0</v>
      </c>
      <c r="H620">
        <v>0</v>
      </c>
      <c r="I620">
        <v>0</v>
      </c>
      <c r="J620">
        <v>0</v>
      </c>
      <c r="K620">
        <v>0</v>
      </c>
      <c r="L620">
        <v>0</v>
      </c>
      <c r="M620">
        <v>0</v>
      </c>
      <c r="N620">
        <v>1440</v>
      </c>
      <c r="O620">
        <v>1496</v>
      </c>
    </row>
    <row r="621" spans="1:15" x14ac:dyDescent="0.3">
      <c r="A621">
        <v>6117666160</v>
      </c>
      <c r="B621" s="1">
        <v>42494</v>
      </c>
      <c r="C621">
        <v>2997</v>
      </c>
      <c r="D621">
        <v>2.2599999904632599</v>
      </c>
      <c r="E621">
        <v>2.2599999904632599</v>
      </c>
      <c r="F621">
        <v>0</v>
      </c>
      <c r="G621">
        <v>0</v>
      </c>
      <c r="H621">
        <v>0</v>
      </c>
      <c r="I621">
        <v>2.2599999904632599</v>
      </c>
      <c r="J621">
        <v>0</v>
      </c>
      <c r="K621">
        <v>0</v>
      </c>
      <c r="L621">
        <v>0</v>
      </c>
      <c r="M621">
        <v>156</v>
      </c>
      <c r="N621">
        <v>1279</v>
      </c>
      <c r="O621">
        <v>1902</v>
      </c>
    </row>
    <row r="622" spans="1:15" x14ac:dyDescent="0.3">
      <c r="A622">
        <v>6117666160</v>
      </c>
      <c r="B622" s="1">
        <v>42495</v>
      </c>
      <c r="C622">
        <v>9799</v>
      </c>
      <c r="D622">
        <v>7.4000000953674299</v>
      </c>
      <c r="E622">
        <v>7.4000000953674299</v>
      </c>
      <c r="F622">
        <v>0</v>
      </c>
      <c r="G622">
        <v>0</v>
      </c>
      <c r="H622">
        <v>0</v>
      </c>
      <c r="I622">
        <v>7.4000000953674299</v>
      </c>
      <c r="J622">
        <v>0</v>
      </c>
      <c r="K622">
        <v>0</v>
      </c>
      <c r="L622">
        <v>0</v>
      </c>
      <c r="M622">
        <v>487</v>
      </c>
      <c r="N622">
        <v>479</v>
      </c>
      <c r="O622">
        <v>2636</v>
      </c>
    </row>
    <row r="623" spans="1:15" x14ac:dyDescent="0.3">
      <c r="A623">
        <v>6117666160</v>
      </c>
      <c r="B623" s="1">
        <v>42496</v>
      </c>
      <c r="C623">
        <v>3365</v>
      </c>
      <c r="D623">
        <v>2.6800000667571999</v>
      </c>
      <c r="E623">
        <v>2.6800000667571999</v>
      </c>
      <c r="F623">
        <v>0</v>
      </c>
      <c r="G623">
        <v>0</v>
      </c>
      <c r="H623">
        <v>0</v>
      </c>
      <c r="I623">
        <v>2.6800000667571999</v>
      </c>
      <c r="J623">
        <v>0</v>
      </c>
      <c r="K623">
        <v>0</v>
      </c>
      <c r="L623">
        <v>0</v>
      </c>
      <c r="M623">
        <v>133</v>
      </c>
      <c r="N623">
        <v>673</v>
      </c>
      <c r="O623">
        <v>1838</v>
      </c>
    </row>
    <row r="624" spans="1:15" x14ac:dyDescent="0.3">
      <c r="A624">
        <v>6117666160</v>
      </c>
      <c r="B624" s="1">
        <v>42497</v>
      </c>
      <c r="C624">
        <v>7336</v>
      </c>
      <c r="D624">
        <v>5.53999996185303</v>
      </c>
      <c r="E624">
        <v>5.53999996185303</v>
      </c>
      <c r="F624">
        <v>0</v>
      </c>
      <c r="G624">
        <v>0</v>
      </c>
      <c r="H624">
        <v>0</v>
      </c>
      <c r="I624">
        <v>5.53999996185303</v>
      </c>
      <c r="J624">
        <v>0</v>
      </c>
      <c r="K624">
        <v>0</v>
      </c>
      <c r="L624">
        <v>0</v>
      </c>
      <c r="M624">
        <v>412</v>
      </c>
      <c r="N624">
        <v>456</v>
      </c>
      <c r="O624">
        <v>2469</v>
      </c>
    </row>
    <row r="625" spans="1:15" x14ac:dyDescent="0.3">
      <c r="A625">
        <v>6117666160</v>
      </c>
      <c r="B625" s="1">
        <v>42498</v>
      </c>
      <c r="C625">
        <v>7328</v>
      </c>
      <c r="D625">
        <v>5.5300002098083496</v>
      </c>
      <c r="E625">
        <v>5.5300002098083496</v>
      </c>
      <c r="F625">
        <v>0</v>
      </c>
      <c r="G625">
        <v>0</v>
      </c>
      <c r="H625">
        <v>0</v>
      </c>
      <c r="I625">
        <v>5.5300002098083496</v>
      </c>
      <c r="J625">
        <v>0</v>
      </c>
      <c r="K625">
        <v>0</v>
      </c>
      <c r="L625">
        <v>0</v>
      </c>
      <c r="M625">
        <v>318</v>
      </c>
      <c r="N625">
        <v>517</v>
      </c>
      <c r="O625">
        <v>2250</v>
      </c>
    </row>
    <row r="626" spans="1:15" x14ac:dyDescent="0.3">
      <c r="A626">
        <v>6117666160</v>
      </c>
      <c r="B626" s="1">
        <v>42499</v>
      </c>
      <c r="C626">
        <v>4477</v>
      </c>
      <c r="D626">
        <v>3.3800001144409202</v>
      </c>
      <c r="E626">
        <v>3.3800001144409202</v>
      </c>
      <c r="F626">
        <v>0</v>
      </c>
      <c r="G626">
        <v>0</v>
      </c>
      <c r="H626">
        <v>0</v>
      </c>
      <c r="I626">
        <v>3.3800001144409202</v>
      </c>
      <c r="J626">
        <v>0</v>
      </c>
      <c r="K626">
        <v>0</v>
      </c>
      <c r="L626">
        <v>0</v>
      </c>
      <c r="M626">
        <v>197</v>
      </c>
      <c r="N626">
        <v>125</v>
      </c>
      <c r="O626">
        <v>1248</v>
      </c>
    </row>
    <row r="627" spans="1:15" x14ac:dyDescent="0.3">
      <c r="A627">
        <v>6290855005</v>
      </c>
      <c r="B627" s="1">
        <v>42472</v>
      </c>
      <c r="C627">
        <v>4562</v>
      </c>
      <c r="D627">
        <v>3.4500000476837198</v>
      </c>
      <c r="E627">
        <v>3.4500000476837198</v>
      </c>
      <c r="F627">
        <v>0</v>
      </c>
      <c r="G627">
        <v>0</v>
      </c>
      <c r="H627">
        <v>0</v>
      </c>
      <c r="I627">
        <v>3.4500000476837198</v>
      </c>
      <c r="J627">
        <v>0</v>
      </c>
      <c r="K627">
        <v>0</v>
      </c>
      <c r="L627">
        <v>0</v>
      </c>
      <c r="M627">
        <v>199</v>
      </c>
      <c r="N627">
        <v>1241</v>
      </c>
      <c r="O627">
        <v>2560</v>
      </c>
    </row>
    <row r="628" spans="1:15" x14ac:dyDescent="0.3">
      <c r="A628">
        <v>6290855005</v>
      </c>
      <c r="B628" s="1">
        <v>42473</v>
      </c>
      <c r="C628">
        <v>7142</v>
      </c>
      <c r="D628">
        <v>5.4000000953674299</v>
      </c>
      <c r="E628">
        <v>5.4000000953674299</v>
      </c>
      <c r="F628">
        <v>0</v>
      </c>
      <c r="G628">
        <v>0</v>
      </c>
      <c r="H628">
        <v>0</v>
      </c>
      <c r="I628">
        <v>5.3899998664856001</v>
      </c>
      <c r="J628">
        <v>9.9999997764825804E-3</v>
      </c>
      <c r="K628">
        <v>0</v>
      </c>
      <c r="L628">
        <v>0</v>
      </c>
      <c r="M628">
        <v>350</v>
      </c>
      <c r="N628">
        <v>1090</v>
      </c>
      <c r="O628">
        <v>2905</v>
      </c>
    </row>
    <row r="629" spans="1:15" x14ac:dyDescent="0.3">
      <c r="A629">
        <v>6290855005</v>
      </c>
      <c r="B629" s="1">
        <v>42474</v>
      </c>
      <c r="C629">
        <v>7671</v>
      </c>
      <c r="D629">
        <v>5.8000001907348597</v>
      </c>
      <c r="E629">
        <v>5.8000001907348597</v>
      </c>
      <c r="F629">
        <v>0</v>
      </c>
      <c r="G629">
        <v>0</v>
      </c>
      <c r="H629">
        <v>0</v>
      </c>
      <c r="I629">
        <v>5.7699999809265101</v>
      </c>
      <c r="J629">
        <v>2.9999999329447701E-2</v>
      </c>
      <c r="K629">
        <v>0</v>
      </c>
      <c r="L629">
        <v>0</v>
      </c>
      <c r="M629">
        <v>363</v>
      </c>
      <c r="N629">
        <v>1077</v>
      </c>
      <c r="O629">
        <v>2952</v>
      </c>
    </row>
    <row r="630" spans="1:15" x14ac:dyDescent="0.3">
      <c r="A630">
        <v>6290855005</v>
      </c>
      <c r="B630" s="1">
        <v>42475</v>
      </c>
      <c r="C630">
        <v>9501</v>
      </c>
      <c r="D630">
        <v>7.1799998283386204</v>
      </c>
      <c r="E630">
        <v>7.1799998283386204</v>
      </c>
      <c r="F630">
        <v>0</v>
      </c>
      <c r="G630">
        <v>0</v>
      </c>
      <c r="H630">
        <v>0</v>
      </c>
      <c r="I630">
        <v>7.1700000762939498</v>
      </c>
      <c r="J630">
        <v>9.9999997764825804E-3</v>
      </c>
      <c r="K630">
        <v>0</v>
      </c>
      <c r="L630">
        <v>0</v>
      </c>
      <c r="M630">
        <v>328</v>
      </c>
      <c r="N630">
        <v>1112</v>
      </c>
      <c r="O630">
        <v>2896</v>
      </c>
    </row>
    <row r="631" spans="1:15" x14ac:dyDescent="0.3">
      <c r="A631">
        <v>6290855005</v>
      </c>
      <c r="B631" s="1">
        <v>42476</v>
      </c>
      <c r="C631">
        <v>8301</v>
      </c>
      <c r="D631">
        <v>6.2800002098083496</v>
      </c>
      <c r="E631">
        <v>6.2800002098083496</v>
      </c>
      <c r="F631">
        <v>0</v>
      </c>
      <c r="G631">
        <v>0</v>
      </c>
      <c r="H631">
        <v>0</v>
      </c>
      <c r="I631">
        <v>6.2699999809265101</v>
      </c>
      <c r="J631">
        <v>9.9999997764825804E-3</v>
      </c>
      <c r="K631">
        <v>0</v>
      </c>
      <c r="L631">
        <v>0</v>
      </c>
      <c r="M631">
        <v>258</v>
      </c>
      <c r="N631">
        <v>1182</v>
      </c>
      <c r="O631">
        <v>2783</v>
      </c>
    </row>
    <row r="632" spans="1:15" x14ac:dyDescent="0.3">
      <c r="A632">
        <v>6290855005</v>
      </c>
      <c r="B632" s="1">
        <v>42477</v>
      </c>
      <c r="C632">
        <v>7851</v>
      </c>
      <c r="D632">
        <v>5.9400000572204599</v>
      </c>
      <c r="E632">
        <v>5.9400000572204599</v>
      </c>
      <c r="F632">
        <v>0</v>
      </c>
      <c r="G632">
        <v>1.1399999856948899</v>
      </c>
      <c r="H632">
        <v>0.79000002145767201</v>
      </c>
      <c r="I632">
        <v>4</v>
      </c>
      <c r="J632">
        <v>0</v>
      </c>
      <c r="K632">
        <v>31</v>
      </c>
      <c r="L632">
        <v>12</v>
      </c>
      <c r="M632">
        <v>225</v>
      </c>
      <c r="N632">
        <v>1172</v>
      </c>
      <c r="O632">
        <v>3171</v>
      </c>
    </row>
    <row r="633" spans="1:15" x14ac:dyDescent="0.3">
      <c r="A633">
        <v>6290855005</v>
      </c>
      <c r="B633" s="1">
        <v>42478</v>
      </c>
      <c r="C633">
        <v>6885</v>
      </c>
      <c r="D633">
        <v>5.21000003814697</v>
      </c>
      <c r="E633">
        <v>5.21000003814697</v>
      </c>
      <c r="F633">
        <v>0</v>
      </c>
      <c r="G633">
        <v>0</v>
      </c>
      <c r="H633">
        <v>0</v>
      </c>
      <c r="I633">
        <v>5.1900000572204599</v>
      </c>
      <c r="J633">
        <v>1.9999999552965199E-2</v>
      </c>
      <c r="K633">
        <v>0</v>
      </c>
      <c r="L633">
        <v>0</v>
      </c>
      <c r="M633">
        <v>271</v>
      </c>
      <c r="N633">
        <v>1169</v>
      </c>
      <c r="O633">
        <v>2766</v>
      </c>
    </row>
    <row r="634" spans="1:15" x14ac:dyDescent="0.3">
      <c r="A634">
        <v>6290855005</v>
      </c>
      <c r="B634" s="1">
        <v>42479</v>
      </c>
      <c r="C634">
        <v>7142</v>
      </c>
      <c r="D634">
        <v>5.4000000953674299</v>
      </c>
      <c r="E634">
        <v>5.4000000953674299</v>
      </c>
      <c r="F634">
        <v>0</v>
      </c>
      <c r="G634">
        <v>0</v>
      </c>
      <c r="H634">
        <v>0</v>
      </c>
      <c r="I634">
        <v>5.3899998664856001</v>
      </c>
      <c r="J634">
        <v>9.9999997764825804E-3</v>
      </c>
      <c r="K634">
        <v>0</v>
      </c>
      <c r="L634">
        <v>0</v>
      </c>
      <c r="M634">
        <v>321</v>
      </c>
      <c r="N634">
        <v>1119</v>
      </c>
      <c r="O634">
        <v>2839</v>
      </c>
    </row>
    <row r="635" spans="1:15" x14ac:dyDescent="0.3">
      <c r="A635">
        <v>6290855005</v>
      </c>
      <c r="B635" s="1">
        <v>42480</v>
      </c>
      <c r="C635">
        <v>6361</v>
      </c>
      <c r="D635">
        <v>4.8099999427795401</v>
      </c>
      <c r="E635">
        <v>4.8099999427795401</v>
      </c>
      <c r="F635">
        <v>0</v>
      </c>
      <c r="G635">
        <v>0</v>
      </c>
      <c r="H635">
        <v>0</v>
      </c>
      <c r="I635">
        <v>4.8000001907348597</v>
      </c>
      <c r="J635">
        <v>9.9999997764825804E-3</v>
      </c>
      <c r="K635">
        <v>0</v>
      </c>
      <c r="L635">
        <v>0</v>
      </c>
      <c r="M635">
        <v>258</v>
      </c>
      <c r="N635">
        <v>1182</v>
      </c>
      <c r="O635">
        <v>2701</v>
      </c>
    </row>
    <row r="636" spans="1:15" x14ac:dyDescent="0.3">
      <c r="A636">
        <v>6290855005</v>
      </c>
      <c r="B636" s="1">
        <v>42481</v>
      </c>
      <c r="C636">
        <v>0</v>
      </c>
      <c r="D636">
        <v>0</v>
      </c>
      <c r="E636">
        <v>0</v>
      </c>
      <c r="F636">
        <v>0</v>
      </c>
      <c r="G636">
        <v>0</v>
      </c>
      <c r="H636">
        <v>0</v>
      </c>
      <c r="I636">
        <v>0</v>
      </c>
      <c r="J636">
        <v>0</v>
      </c>
      <c r="K636">
        <v>0</v>
      </c>
      <c r="L636">
        <v>0</v>
      </c>
      <c r="M636">
        <v>0</v>
      </c>
      <c r="N636">
        <v>1440</v>
      </c>
      <c r="O636">
        <v>2060</v>
      </c>
    </row>
    <row r="637" spans="1:15" x14ac:dyDescent="0.3">
      <c r="A637">
        <v>6290855005</v>
      </c>
      <c r="B637" s="1">
        <v>42482</v>
      </c>
      <c r="C637">
        <v>6238</v>
      </c>
      <c r="D637">
        <v>4.7199997901916504</v>
      </c>
      <c r="E637">
        <v>4.7199997901916504</v>
      </c>
      <c r="F637">
        <v>0</v>
      </c>
      <c r="G637">
        <v>0</v>
      </c>
      <c r="H637">
        <v>0</v>
      </c>
      <c r="I637">
        <v>4.7199997901916504</v>
      </c>
      <c r="J637">
        <v>0</v>
      </c>
      <c r="K637">
        <v>0</v>
      </c>
      <c r="L637">
        <v>0</v>
      </c>
      <c r="M637">
        <v>302</v>
      </c>
      <c r="N637">
        <v>1138</v>
      </c>
      <c r="O637">
        <v>2796</v>
      </c>
    </row>
    <row r="638" spans="1:15" x14ac:dyDescent="0.3">
      <c r="A638">
        <v>6290855005</v>
      </c>
      <c r="B638" s="1">
        <v>42483</v>
      </c>
      <c r="C638">
        <v>0</v>
      </c>
      <c r="D638">
        <v>0</v>
      </c>
      <c r="E638">
        <v>0</v>
      </c>
      <c r="F638">
        <v>0</v>
      </c>
      <c r="G638">
        <v>0</v>
      </c>
      <c r="H638">
        <v>0</v>
      </c>
      <c r="I638">
        <v>0</v>
      </c>
      <c r="J638">
        <v>0</v>
      </c>
      <c r="K638">
        <v>33</v>
      </c>
      <c r="L638">
        <v>0</v>
      </c>
      <c r="M638">
        <v>0</v>
      </c>
      <c r="N638">
        <v>1407</v>
      </c>
      <c r="O638">
        <v>2664</v>
      </c>
    </row>
    <row r="639" spans="1:15" x14ac:dyDescent="0.3">
      <c r="A639">
        <v>6290855005</v>
      </c>
      <c r="B639" s="1">
        <v>42484</v>
      </c>
      <c r="C639">
        <v>5896</v>
      </c>
      <c r="D639">
        <v>4.46000003814697</v>
      </c>
      <c r="E639">
        <v>4.46000003814697</v>
      </c>
      <c r="F639">
        <v>0</v>
      </c>
      <c r="G639">
        <v>0</v>
      </c>
      <c r="H639">
        <v>0</v>
      </c>
      <c r="I639">
        <v>4.46000003814697</v>
      </c>
      <c r="J639">
        <v>0</v>
      </c>
      <c r="K639">
        <v>0</v>
      </c>
      <c r="L639">
        <v>0</v>
      </c>
      <c r="M639">
        <v>258</v>
      </c>
      <c r="N639">
        <v>1182</v>
      </c>
      <c r="O639">
        <v>2703</v>
      </c>
    </row>
    <row r="640" spans="1:15" x14ac:dyDescent="0.3">
      <c r="A640">
        <v>6290855005</v>
      </c>
      <c r="B640" s="1">
        <v>42485</v>
      </c>
      <c r="C640">
        <v>7802</v>
      </c>
      <c r="D640">
        <v>5.9000000953674299</v>
      </c>
      <c r="E640">
        <v>5.9000000953674299</v>
      </c>
      <c r="F640">
        <v>0</v>
      </c>
      <c r="G640">
        <v>0.68000000715255704</v>
      </c>
      <c r="H640">
        <v>0.18000000715255701</v>
      </c>
      <c r="I640">
        <v>5.0300002098083496</v>
      </c>
      <c r="J640">
        <v>9.9999997764825804E-3</v>
      </c>
      <c r="K640">
        <v>8</v>
      </c>
      <c r="L640">
        <v>3</v>
      </c>
      <c r="M640">
        <v>249</v>
      </c>
      <c r="N640">
        <v>1180</v>
      </c>
      <c r="O640">
        <v>2771</v>
      </c>
    </row>
    <row r="641" spans="1:15" x14ac:dyDescent="0.3">
      <c r="A641">
        <v>6290855005</v>
      </c>
      <c r="B641" s="1">
        <v>42486</v>
      </c>
      <c r="C641">
        <v>0</v>
      </c>
      <c r="D641">
        <v>0</v>
      </c>
      <c r="E641">
        <v>0</v>
      </c>
      <c r="F641">
        <v>0</v>
      </c>
      <c r="G641">
        <v>0</v>
      </c>
      <c r="H641">
        <v>0</v>
      </c>
      <c r="I641">
        <v>0</v>
      </c>
      <c r="J641">
        <v>0</v>
      </c>
      <c r="K641">
        <v>0</v>
      </c>
      <c r="L641">
        <v>0</v>
      </c>
      <c r="M641">
        <v>0</v>
      </c>
      <c r="N641">
        <v>1440</v>
      </c>
      <c r="O641">
        <v>2060</v>
      </c>
    </row>
    <row r="642" spans="1:15" x14ac:dyDescent="0.3">
      <c r="A642">
        <v>6290855005</v>
      </c>
      <c r="B642" s="1">
        <v>42487</v>
      </c>
      <c r="C642">
        <v>5565</v>
      </c>
      <c r="D642">
        <v>4.21000003814697</v>
      </c>
      <c r="E642">
        <v>4.21000003814697</v>
      </c>
      <c r="F642">
        <v>0</v>
      </c>
      <c r="G642">
        <v>0</v>
      </c>
      <c r="H642">
        <v>0</v>
      </c>
      <c r="I642">
        <v>4.1799998283386204</v>
      </c>
      <c r="J642">
        <v>2.9999999329447701E-2</v>
      </c>
      <c r="K642">
        <v>0</v>
      </c>
      <c r="L642">
        <v>0</v>
      </c>
      <c r="M642">
        <v>287</v>
      </c>
      <c r="N642">
        <v>1153</v>
      </c>
      <c r="O642">
        <v>2743</v>
      </c>
    </row>
    <row r="643" spans="1:15" x14ac:dyDescent="0.3">
      <c r="A643">
        <v>6290855005</v>
      </c>
      <c r="B643" s="1">
        <v>42488</v>
      </c>
      <c r="C643">
        <v>5731</v>
      </c>
      <c r="D643">
        <v>4.3299999237060502</v>
      </c>
      <c r="E643">
        <v>4.3299999237060502</v>
      </c>
      <c r="F643">
        <v>0</v>
      </c>
      <c r="G643">
        <v>0</v>
      </c>
      <c r="H643">
        <v>0</v>
      </c>
      <c r="I643">
        <v>4.3299999237060502</v>
      </c>
      <c r="J643">
        <v>0</v>
      </c>
      <c r="K643">
        <v>0</v>
      </c>
      <c r="L643">
        <v>0</v>
      </c>
      <c r="M643">
        <v>255</v>
      </c>
      <c r="N643">
        <v>1185</v>
      </c>
      <c r="O643">
        <v>2687</v>
      </c>
    </row>
    <row r="644" spans="1:15" x14ac:dyDescent="0.3">
      <c r="A644">
        <v>6290855005</v>
      </c>
      <c r="B644" s="1">
        <v>42489</v>
      </c>
      <c r="C644">
        <v>0</v>
      </c>
      <c r="D644">
        <v>0</v>
      </c>
      <c r="E644">
        <v>0</v>
      </c>
      <c r="F644">
        <v>0</v>
      </c>
      <c r="G644">
        <v>0</v>
      </c>
      <c r="H644">
        <v>0</v>
      </c>
      <c r="I644">
        <v>0</v>
      </c>
      <c r="J644">
        <v>0</v>
      </c>
      <c r="K644">
        <v>0</v>
      </c>
      <c r="L644">
        <v>0</v>
      </c>
      <c r="M644">
        <v>0</v>
      </c>
      <c r="N644">
        <v>1440</v>
      </c>
      <c r="O644">
        <v>2060</v>
      </c>
    </row>
    <row r="645" spans="1:15" x14ac:dyDescent="0.3">
      <c r="A645">
        <v>6290855005</v>
      </c>
      <c r="B645" s="1">
        <v>42490</v>
      </c>
      <c r="C645">
        <v>6744</v>
      </c>
      <c r="D645">
        <v>5.0999999046325701</v>
      </c>
      <c r="E645">
        <v>5.0999999046325701</v>
      </c>
      <c r="F645">
        <v>0</v>
      </c>
      <c r="G645">
        <v>0</v>
      </c>
      <c r="H645">
        <v>0</v>
      </c>
      <c r="I645">
        <v>5.0900001525878897</v>
      </c>
      <c r="J645">
        <v>9.9999997764825804E-3</v>
      </c>
      <c r="K645">
        <v>0</v>
      </c>
      <c r="L645">
        <v>0</v>
      </c>
      <c r="M645">
        <v>324</v>
      </c>
      <c r="N645">
        <v>1116</v>
      </c>
      <c r="O645">
        <v>2843</v>
      </c>
    </row>
    <row r="646" spans="1:15" x14ac:dyDescent="0.3">
      <c r="A646">
        <v>6290855005</v>
      </c>
      <c r="B646" s="1">
        <v>42491</v>
      </c>
      <c r="C646">
        <v>9837</v>
      </c>
      <c r="D646">
        <v>7.4400000572204599</v>
      </c>
      <c r="E646">
        <v>7.4400000572204599</v>
      </c>
      <c r="F646">
        <v>0</v>
      </c>
      <c r="G646">
        <v>0.66000002622604403</v>
      </c>
      <c r="H646">
        <v>2.75</v>
      </c>
      <c r="I646">
        <v>4</v>
      </c>
      <c r="J646">
        <v>1.9999999552965199E-2</v>
      </c>
      <c r="K646">
        <v>8</v>
      </c>
      <c r="L646">
        <v>95</v>
      </c>
      <c r="M646">
        <v>282</v>
      </c>
      <c r="N646">
        <v>1055</v>
      </c>
      <c r="O646">
        <v>3327</v>
      </c>
    </row>
    <row r="647" spans="1:15" x14ac:dyDescent="0.3">
      <c r="A647">
        <v>6290855005</v>
      </c>
      <c r="B647" s="1">
        <v>42492</v>
      </c>
      <c r="C647">
        <v>6781</v>
      </c>
      <c r="D647">
        <v>5.1300001144409197</v>
      </c>
      <c r="E647">
        <v>5.1300001144409197</v>
      </c>
      <c r="F647">
        <v>0</v>
      </c>
      <c r="G647">
        <v>0</v>
      </c>
      <c r="H647">
        <v>0</v>
      </c>
      <c r="I647">
        <v>5.1100001335143999</v>
      </c>
      <c r="J647">
        <v>1.9999999552965199E-2</v>
      </c>
      <c r="K647">
        <v>0</v>
      </c>
      <c r="L647">
        <v>0</v>
      </c>
      <c r="M647">
        <v>268</v>
      </c>
      <c r="N647">
        <v>1172</v>
      </c>
      <c r="O647">
        <v>2725</v>
      </c>
    </row>
    <row r="648" spans="1:15" x14ac:dyDescent="0.3">
      <c r="A648">
        <v>6290855005</v>
      </c>
      <c r="B648" s="1">
        <v>42493</v>
      </c>
      <c r="C648">
        <v>6047</v>
      </c>
      <c r="D648">
        <v>4.5700001716613796</v>
      </c>
      <c r="E648">
        <v>4.5700001716613796</v>
      </c>
      <c r="F648">
        <v>0</v>
      </c>
      <c r="G648">
        <v>0</v>
      </c>
      <c r="H648">
        <v>0</v>
      </c>
      <c r="I648">
        <v>4.5700001716613796</v>
      </c>
      <c r="J648">
        <v>0</v>
      </c>
      <c r="K648">
        <v>0</v>
      </c>
      <c r="L648">
        <v>0</v>
      </c>
      <c r="M648">
        <v>240</v>
      </c>
      <c r="N648">
        <v>1200</v>
      </c>
      <c r="O648">
        <v>2671</v>
      </c>
    </row>
    <row r="649" spans="1:15" x14ac:dyDescent="0.3">
      <c r="A649">
        <v>6290855005</v>
      </c>
      <c r="B649" s="1">
        <v>42494</v>
      </c>
      <c r="C649">
        <v>5832</v>
      </c>
      <c r="D649">
        <v>4.4099998474121103</v>
      </c>
      <c r="E649">
        <v>4.4099998474121103</v>
      </c>
      <c r="F649">
        <v>0</v>
      </c>
      <c r="G649">
        <v>0</v>
      </c>
      <c r="H649">
        <v>0</v>
      </c>
      <c r="I649">
        <v>4.4000000953674299</v>
      </c>
      <c r="J649">
        <v>9.9999997764825804E-3</v>
      </c>
      <c r="K649">
        <v>0</v>
      </c>
      <c r="L649">
        <v>0</v>
      </c>
      <c r="M649">
        <v>272</v>
      </c>
      <c r="N649">
        <v>1168</v>
      </c>
      <c r="O649">
        <v>2718</v>
      </c>
    </row>
    <row r="650" spans="1:15" x14ac:dyDescent="0.3">
      <c r="A650">
        <v>6290855005</v>
      </c>
      <c r="B650" s="1">
        <v>42495</v>
      </c>
      <c r="C650">
        <v>6339</v>
      </c>
      <c r="D650">
        <v>4.78999996185303</v>
      </c>
      <c r="E650">
        <v>4.78999996185303</v>
      </c>
      <c r="F650">
        <v>0</v>
      </c>
      <c r="G650">
        <v>0</v>
      </c>
      <c r="H650">
        <v>0</v>
      </c>
      <c r="I650">
        <v>4.78999996185303</v>
      </c>
      <c r="J650">
        <v>0</v>
      </c>
      <c r="K650">
        <v>0</v>
      </c>
      <c r="L650">
        <v>0</v>
      </c>
      <c r="M650">
        <v>239</v>
      </c>
      <c r="N650">
        <v>1201</v>
      </c>
      <c r="O650">
        <v>2682</v>
      </c>
    </row>
    <row r="651" spans="1:15" x14ac:dyDescent="0.3">
      <c r="A651">
        <v>6290855005</v>
      </c>
      <c r="B651" s="1">
        <v>42496</v>
      </c>
      <c r="C651">
        <v>6116</v>
      </c>
      <c r="D651">
        <v>4.6199998855590803</v>
      </c>
      <c r="E651">
        <v>4.6199998855590803</v>
      </c>
      <c r="F651">
        <v>0</v>
      </c>
      <c r="G651">
        <v>0</v>
      </c>
      <c r="H651">
        <v>0</v>
      </c>
      <c r="I651">
        <v>4.5900001525878897</v>
      </c>
      <c r="J651">
        <v>2.9999999329447701E-2</v>
      </c>
      <c r="K651">
        <v>0</v>
      </c>
      <c r="L651">
        <v>0</v>
      </c>
      <c r="M651">
        <v>305</v>
      </c>
      <c r="N651">
        <v>1135</v>
      </c>
      <c r="O651">
        <v>2806</v>
      </c>
    </row>
    <row r="652" spans="1:15" x14ac:dyDescent="0.3">
      <c r="A652">
        <v>6290855005</v>
      </c>
      <c r="B652" s="1">
        <v>42497</v>
      </c>
      <c r="C652">
        <v>5510</v>
      </c>
      <c r="D652">
        <v>4.1700000762939498</v>
      </c>
      <c r="E652">
        <v>4.1700000762939498</v>
      </c>
      <c r="F652">
        <v>0</v>
      </c>
      <c r="G652">
        <v>0</v>
      </c>
      <c r="H652">
        <v>0</v>
      </c>
      <c r="I652">
        <v>4.1599998474121103</v>
      </c>
      <c r="J652">
        <v>0</v>
      </c>
      <c r="K652">
        <v>0</v>
      </c>
      <c r="L652">
        <v>0</v>
      </c>
      <c r="M652">
        <v>227</v>
      </c>
      <c r="N652">
        <v>1213</v>
      </c>
      <c r="O652">
        <v>2613</v>
      </c>
    </row>
    <row r="653" spans="1:15" x14ac:dyDescent="0.3">
      <c r="A653">
        <v>6290855005</v>
      </c>
      <c r="B653" s="1">
        <v>42498</v>
      </c>
      <c r="C653">
        <v>7706</v>
      </c>
      <c r="D653">
        <v>5.8299999237060502</v>
      </c>
      <c r="E653">
        <v>5.8299999237060502</v>
      </c>
      <c r="F653">
        <v>0</v>
      </c>
      <c r="G653">
        <v>0</v>
      </c>
      <c r="H653">
        <v>0</v>
      </c>
      <c r="I653">
        <v>5.8200001716613796</v>
      </c>
      <c r="J653">
        <v>0</v>
      </c>
      <c r="K653">
        <v>0</v>
      </c>
      <c r="L653">
        <v>0</v>
      </c>
      <c r="M653">
        <v>251</v>
      </c>
      <c r="N653">
        <v>1189</v>
      </c>
      <c r="O653">
        <v>2712</v>
      </c>
    </row>
    <row r="654" spans="1:15" x14ac:dyDescent="0.3">
      <c r="A654">
        <v>6290855005</v>
      </c>
      <c r="B654" s="1">
        <v>42499</v>
      </c>
      <c r="C654">
        <v>6277</v>
      </c>
      <c r="D654">
        <v>4.75</v>
      </c>
      <c r="E654">
        <v>4.75</v>
      </c>
      <c r="F654">
        <v>0</v>
      </c>
      <c r="G654">
        <v>0</v>
      </c>
      <c r="H654">
        <v>0</v>
      </c>
      <c r="I654">
        <v>4.7300000190734899</v>
      </c>
      <c r="J654">
        <v>1.9999999552965199E-2</v>
      </c>
      <c r="K654">
        <v>0</v>
      </c>
      <c r="L654">
        <v>0</v>
      </c>
      <c r="M654">
        <v>264</v>
      </c>
      <c r="N654">
        <v>800</v>
      </c>
      <c r="O654">
        <v>2175</v>
      </c>
    </row>
    <row r="655" spans="1:15" x14ac:dyDescent="0.3">
      <c r="A655">
        <v>6290855005</v>
      </c>
      <c r="B655" s="1">
        <v>42500</v>
      </c>
      <c r="C655">
        <v>0</v>
      </c>
      <c r="D655">
        <v>0</v>
      </c>
      <c r="E655">
        <v>0</v>
      </c>
      <c r="F655">
        <v>0</v>
      </c>
      <c r="G655">
        <v>0</v>
      </c>
      <c r="H655">
        <v>0</v>
      </c>
      <c r="I655">
        <v>0</v>
      </c>
      <c r="J655">
        <v>0</v>
      </c>
      <c r="K655">
        <v>0</v>
      </c>
      <c r="L655">
        <v>0</v>
      </c>
      <c r="M655">
        <v>0</v>
      </c>
      <c r="N655">
        <v>1440</v>
      </c>
      <c r="O655">
        <v>0</v>
      </c>
    </row>
    <row r="656" spans="1:15" x14ac:dyDescent="0.3">
      <c r="A656">
        <v>6775888955</v>
      </c>
      <c r="B656" s="1">
        <v>42472</v>
      </c>
      <c r="C656">
        <v>0</v>
      </c>
      <c r="D656">
        <v>0</v>
      </c>
      <c r="E656">
        <v>0</v>
      </c>
      <c r="F656">
        <v>0</v>
      </c>
      <c r="G656">
        <v>0</v>
      </c>
      <c r="H656">
        <v>0</v>
      </c>
      <c r="I656">
        <v>0</v>
      </c>
      <c r="J656">
        <v>0</v>
      </c>
      <c r="K656">
        <v>0</v>
      </c>
      <c r="L656">
        <v>0</v>
      </c>
      <c r="M656">
        <v>0</v>
      </c>
      <c r="N656">
        <v>1440</v>
      </c>
      <c r="O656">
        <v>1841</v>
      </c>
    </row>
    <row r="657" spans="1:15" x14ac:dyDescent="0.3">
      <c r="A657">
        <v>6775888955</v>
      </c>
      <c r="B657" s="1">
        <v>42473</v>
      </c>
      <c r="C657">
        <v>4053</v>
      </c>
      <c r="D657">
        <v>2.9100000858306898</v>
      </c>
      <c r="E657">
        <v>2.9100000858306898</v>
      </c>
      <c r="F657">
        <v>0</v>
      </c>
      <c r="G657">
        <v>1.1100000143051101</v>
      </c>
      <c r="H657">
        <v>0.57999998331069902</v>
      </c>
      <c r="I657">
        <v>1.2200000286102299</v>
      </c>
      <c r="J657">
        <v>0</v>
      </c>
      <c r="K657">
        <v>17</v>
      </c>
      <c r="L657">
        <v>18</v>
      </c>
      <c r="M657">
        <v>85</v>
      </c>
      <c r="N657">
        <v>1053</v>
      </c>
      <c r="O657">
        <v>2400</v>
      </c>
    </row>
    <row r="658" spans="1:15" x14ac:dyDescent="0.3">
      <c r="A658">
        <v>6775888955</v>
      </c>
      <c r="B658" s="1">
        <v>42474</v>
      </c>
      <c r="C658">
        <v>5162</v>
      </c>
      <c r="D658">
        <v>3.7000000476837198</v>
      </c>
      <c r="E658">
        <v>3.7000000476837198</v>
      </c>
      <c r="F658">
        <v>0</v>
      </c>
      <c r="G658">
        <v>0.87000000476837203</v>
      </c>
      <c r="H658">
        <v>0.86000001430511497</v>
      </c>
      <c r="I658">
        <v>1.9700000286102299</v>
      </c>
      <c r="J658">
        <v>0</v>
      </c>
      <c r="K658">
        <v>14</v>
      </c>
      <c r="L658">
        <v>24</v>
      </c>
      <c r="M658">
        <v>105</v>
      </c>
      <c r="N658">
        <v>863</v>
      </c>
      <c r="O658">
        <v>2507</v>
      </c>
    </row>
    <row r="659" spans="1:15" x14ac:dyDescent="0.3">
      <c r="A659">
        <v>6775888955</v>
      </c>
      <c r="B659" s="1">
        <v>42475</v>
      </c>
      <c r="C659">
        <v>1282</v>
      </c>
      <c r="D659">
        <v>0.92000001668930098</v>
      </c>
      <c r="E659">
        <v>0.92000001668930098</v>
      </c>
      <c r="F659">
        <v>0</v>
      </c>
      <c r="G659">
        <v>0</v>
      </c>
      <c r="H659">
        <v>0</v>
      </c>
      <c r="I659">
        <v>0.92000001668930098</v>
      </c>
      <c r="J659">
        <v>0</v>
      </c>
      <c r="K659">
        <v>0</v>
      </c>
      <c r="L659">
        <v>0</v>
      </c>
      <c r="M659">
        <v>58</v>
      </c>
      <c r="N659">
        <v>976</v>
      </c>
      <c r="O659">
        <v>2127</v>
      </c>
    </row>
    <row r="660" spans="1:15" x14ac:dyDescent="0.3">
      <c r="A660">
        <v>6775888955</v>
      </c>
      <c r="B660" s="1">
        <v>42476</v>
      </c>
      <c r="C660">
        <v>4732</v>
      </c>
      <c r="D660">
        <v>3.3900001049041699</v>
      </c>
      <c r="E660">
        <v>3.3900001049041699</v>
      </c>
      <c r="F660">
        <v>0</v>
      </c>
      <c r="G660">
        <v>2.5199999809265101</v>
      </c>
      <c r="H660">
        <v>0.81000000238418601</v>
      </c>
      <c r="I660">
        <v>5.9999998658895499E-2</v>
      </c>
      <c r="J660">
        <v>0</v>
      </c>
      <c r="K660">
        <v>36</v>
      </c>
      <c r="L660">
        <v>18</v>
      </c>
      <c r="M660">
        <v>9</v>
      </c>
      <c r="N660">
        <v>1377</v>
      </c>
      <c r="O660">
        <v>2225</v>
      </c>
    </row>
    <row r="661" spans="1:15" x14ac:dyDescent="0.3">
      <c r="A661">
        <v>6775888955</v>
      </c>
      <c r="B661" s="1">
        <v>42477</v>
      </c>
      <c r="C661">
        <v>2497</v>
      </c>
      <c r="D661">
        <v>1.78999996185303</v>
      </c>
      <c r="E661">
        <v>1.78999996185303</v>
      </c>
      <c r="F661">
        <v>0</v>
      </c>
      <c r="G661">
        <v>0.34999999403953602</v>
      </c>
      <c r="H661">
        <v>1.12999999523163</v>
      </c>
      <c r="I661">
        <v>0.31000000238418601</v>
      </c>
      <c r="J661">
        <v>0</v>
      </c>
      <c r="K661">
        <v>5</v>
      </c>
      <c r="L661">
        <v>24</v>
      </c>
      <c r="M661">
        <v>19</v>
      </c>
      <c r="N661">
        <v>1392</v>
      </c>
      <c r="O661">
        <v>2067</v>
      </c>
    </row>
    <row r="662" spans="1:15" x14ac:dyDescent="0.3">
      <c r="A662">
        <v>6775888955</v>
      </c>
      <c r="B662" s="1">
        <v>42478</v>
      </c>
      <c r="C662">
        <v>8294</v>
      </c>
      <c r="D662">
        <v>5.9499998092651403</v>
      </c>
      <c r="E662">
        <v>5.9499998092651403</v>
      </c>
      <c r="F662">
        <v>0</v>
      </c>
      <c r="G662">
        <v>2</v>
      </c>
      <c r="H662">
        <v>0.769999980926514</v>
      </c>
      <c r="I662">
        <v>3.1700000762939502</v>
      </c>
      <c r="J662">
        <v>0</v>
      </c>
      <c r="K662">
        <v>30</v>
      </c>
      <c r="L662">
        <v>31</v>
      </c>
      <c r="M662">
        <v>146</v>
      </c>
      <c r="N662">
        <v>1233</v>
      </c>
      <c r="O662">
        <v>2798</v>
      </c>
    </row>
    <row r="663" spans="1:15" x14ac:dyDescent="0.3">
      <c r="A663">
        <v>6775888955</v>
      </c>
      <c r="B663" s="1">
        <v>42479</v>
      </c>
      <c r="C663">
        <v>0</v>
      </c>
      <c r="D663">
        <v>0</v>
      </c>
      <c r="E663">
        <v>0</v>
      </c>
      <c r="F663">
        <v>0</v>
      </c>
      <c r="G663">
        <v>0</v>
      </c>
      <c r="H663">
        <v>0</v>
      </c>
      <c r="I663">
        <v>0</v>
      </c>
      <c r="J663">
        <v>0</v>
      </c>
      <c r="K663">
        <v>0</v>
      </c>
      <c r="L663">
        <v>0</v>
      </c>
      <c r="M663">
        <v>0</v>
      </c>
      <c r="N663">
        <v>1440</v>
      </c>
      <c r="O663">
        <v>1841</v>
      </c>
    </row>
    <row r="664" spans="1:15" x14ac:dyDescent="0.3">
      <c r="A664">
        <v>6775888955</v>
      </c>
      <c r="B664" s="1">
        <v>42480</v>
      </c>
      <c r="C664">
        <v>10771</v>
      </c>
      <c r="D664">
        <v>7.7199997901916504</v>
      </c>
      <c r="E664">
        <v>7.7199997901916504</v>
      </c>
      <c r="F664">
        <v>0</v>
      </c>
      <c r="G664">
        <v>3.7699999809265101</v>
      </c>
      <c r="H664">
        <v>1.7400000095367401</v>
      </c>
      <c r="I664">
        <v>2.2200000286102299</v>
      </c>
      <c r="J664">
        <v>0</v>
      </c>
      <c r="K664">
        <v>70</v>
      </c>
      <c r="L664">
        <v>113</v>
      </c>
      <c r="M664">
        <v>178</v>
      </c>
      <c r="N664">
        <v>1079</v>
      </c>
      <c r="O664">
        <v>3727</v>
      </c>
    </row>
    <row r="665" spans="1:15" x14ac:dyDescent="0.3">
      <c r="A665">
        <v>6775888955</v>
      </c>
      <c r="B665" s="1">
        <v>42481</v>
      </c>
      <c r="C665">
        <v>0</v>
      </c>
      <c r="D665">
        <v>0</v>
      </c>
      <c r="E665">
        <v>0</v>
      </c>
      <c r="F665">
        <v>0</v>
      </c>
      <c r="G665">
        <v>0</v>
      </c>
      <c r="H665">
        <v>0</v>
      </c>
      <c r="I665">
        <v>0</v>
      </c>
      <c r="J665">
        <v>0</v>
      </c>
      <c r="K665">
        <v>0</v>
      </c>
      <c r="L665">
        <v>0</v>
      </c>
      <c r="M665">
        <v>0</v>
      </c>
      <c r="N665">
        <v>1440</v>
      </c>
      <c r="O665">
        <v>1841</v>
      </c>
    </row>
    <row r="666" spans="1:15" x14ac:dyDescent="0.3">
      <c r="A666">
        <v>6775888955</v>
      </c>
      <c r="B666" s="1">
        <v>42482</v>
      </c>
      <c r="C666">
        <v>637</v>
      </c>
      <c r="D666">
        <v>0.46000000834464999</v>
      </c>
      <c r="E666">
        <v>0.46000000834464999</v>
      </c>
      <c r="F666">
        <v>0</v>
      </c>
      <c r="G666">
        <v>0</v>
      </c>
      <c r="H666">
        <v>0</v>
      </c>
      <c r="I666">
        <v>0.46000000834464999</v>
      </c>
      <c r="J666">
        <v>0</v>
      </c>
      <c r="K666">
        <v>0</v>
      </c>
      <c r="L666">
        <v>0</v>
      </c>
      <c r="M666">
        <v>20</v>
      </c>
      <c r="N666">
        <v>1420</v>
      </c>
      <c r="O666">
        <v>1922</v>
      </c>
    </row>
    <row r="667" spans="1:15" x14ac:dyDescent="0.3">
      <c r="A667">
        <v>6775888955</v>
      </c>
      <c r="B667" s="1">
        <v>42483</v>
      </c>
      <c r="C667">
        <v>0</v>
      </c>
      <c r="D667">
        <v>0</v>
      </c>
      <c r="E667">
        <v>0</v>
      </c>
      <c r="F667">
        <v>0</v>
      </c>
      <c r="G667">
        <v>0</v>
      </c>
      <c r="H667">
        <v>0</v>
      </c>
      <c r="I667">
        <v>0</v>
      </c>
      <c r="J667">
        <v>0</v>
      </c>
      <c r="K667">
        <v>0</v>
      </c>
      <c r="L667">
        <v>0</v>
      </c>
      <c r="M667">
        <v>0</v>
      </c>
      <c r="N667">
        <v>1440</v>
      </c>
      <c r="O667">
        <v>1841</v>
      </c>
    </row>
    <row r="668" spans="1:15" x14ac:dyDescent="0.3">
      <c r="A668">
        <v>6775888955</v>
      </c>
      <c r="B668" s="1">
        <v>42484</v>
      </c>
      <c r="C668">
        <v>2153</v>
      </c>
      <c r="D668">
        <v>1.53999996185303</v>
      </c>
      <c r="E668">
        <v>1.53999996185303</v>
      </c>
      <c r="F668">
        <v>0</v>
      </c>
      <c r="G668">
        <v>0.769999980926514</v>
      </c>
      <c r="H668">
        <v>0.62000000476837203</v>
      </c>
      <c r="I668">
        <v>0.15000000596046401</v>
      </c>
      <c r="J668">
        <v>0</v>
      </c>
      <c r="K668">
        <v>11</v>
      </c>
      <c r="L668">
        <v>18</v>
      </c>
      <c r="M668">
        <v>11</v>
      </c>
      <c r="N668">
        <v>1400</v>
      </c>
      <c r="O668">
        <v>2053</v>
      </c>
    </row>
    <row r="669" spans="1:15" x14ac:dyDescent="0.3">
      <c r="A669">
        <v>6775888955</v>
      </c>
      <c r="B669" s="1">
        <v>42485</v>
      </c>
      <c r="C669">
        <v>6474</v>
      </c>
      <c r="D669">
        <v>4.6399998664856001</v>
      </c>
      <c r="E669">
        <v>4.6399998664856001</v>
      </c>
      <c r="F669">
        <v>0</v>
      </c>
      <c r="G669">
        <v>2.2699999809265101</v>
      </c>
      <c r="H669">
        <v>0.46000000834464999</v>
      </c>
      <c r="I669">
        <v>1.8999999761581401</v>
      </c>
      <c r="J669">
        <v>0</v>
      </c>
      <c r="K669">
        <v>33</v>
      </c>
      <c r="L669">
        <v>13</v>
      </c>
      <c r="M669">
        <v>92</v>
      </c>
      <c r="N669">
        <v>1302</v>
      </c>
      <c r="O669">
        <v>2484</v>
      </c>
    </row>
    <row r="670" spans="1:15" x14ac:dyDescent="0.3">
      <c r="A670">
        <v>6775888955</v>
      </c>
      <c r="B670" s="1">
        <v>42486</v>
      </c>
      <c r="C670">
        <v>7091</v>
      </c>
      <c r="D670">
        <v>5.2699999809265101</v>
      </c>
      <c r="E670">
        <v>5.2699999809265101</v>
      </c>
      <c r="F670">
        <v>1.9595960378646899</v>
      </c>
      <c r="G670">
        <v>3.4800000190734899</v>
      </c>
      <c r="H670">
        <v>0.87000000476837203</v>
      </c>
      <c r="I670">
        <v>0.730000019073486</v>
      </c>
      <c r="J670">
        <v>0</v>
      </c>
      <c r="K670">
        <v>42</v>
      </c>
      <c r="L670">
        <v>30</v>
      </c>
      <c r="M670">
        <v>47</v>
      </c>
      <c r="N670">
        <v>1321</v>
      </c>
      <c r="O670">
        <v>2584</v>
      </c>
    </row>
    <row r="671" spans="1:15" x14ac:dyDescent="0.3">
      <c r="A671">
        <v>6775888955</v>
      </c>
      <c r="B671" s="1">
        <v>42487</v>
      </c>
      <c r="C671">
        <v>0</v>
      </c>
      <c r="D671">
        <v>0</v>
      </c>
      <c r="E671">
        <v>0</v>
      </c>
      <c r="F671">
        <v>0</v>
      </c>
      <c r="G671">
        <v>0</v>
      </c>
      <c r="H671">
        <v>0</v>
      </c>
      <c r="I671">
        <v>0</v>
      </c>
      <c r="J671">
        <v>0</v>
      </c>
      <c r="K671">
        <v>0</v>
      </c>
      <c r="L671">
        <v>0</v>
      </c>
      <c r="M671">
        <v>0</v>
      </c>
      <c r="N671">
        <v>1440</v>
      </c>
      <c r="O671">
        <v>1841</v>
      </c>
    </row>
    <row r="672" spans="1:15" x14ac:dyDescent="0.3">
      <c r="A672">
        <v>6775888955</v>
      </c>
      <c r="B672" s="1">
        <v>42488</v>
      </c>
      <c r="C672">
        <v>703</v>
      </c>
      <c r="D672">
        <v>0.5</v>
      </c>
      <c r="E672">
        <v>0.5</v>
      </c>
      <c r="F672">
        <v>0</v>
      </c>
      <c r="G672">
        <v>5.9999998658895499E-2</v>
      </c>
      <c r="H672">
        <v>0.20000000298023199</v>
      </c>
      <c r="I672">
        <v>0.239999994635582</v>
      </c>
      <c r="J672">
        <v>0</v>
      </c>
      <c r="K672">
        <v>2</v>
      </c>
      <c r="L672">
        <v>13</v>
      </c>
      <c r="M672">
        <v>15</v>
      </c>
      <c r="N672">
        <v>1410</v>
      </c>
      <c r="O672">
        <v>1993</v>
      </c>
    </row>
    <row r="673" spans="1:15" x14ac:dyDescent="0.3">
      <c r="A673">
        <v>6775888955</v>
      </c>
      <c r="B673" s="1">
        <v>42489</v>
      </c>
      <c r="C673">
        <v>0</v>
      </c>
      <c r="D673">
        <v>0</v>
      </c>
      <c r="E673">
        <v>0</v>
      </c>
      <c r="F673">
        <v>0</v>
      </c>
      <c r="G673">
        <v>0</v>
      </c>
      <c r="H673">
        <v>0</v>
      </c>
      <c r="I673">
        <v>0</v>
      </c>
      <c r="J673">
        <v>0</v>
      </c>
      <c r="K673">
        <v>0</v>
      </c>
      <c r="L673">
        <v>0</v>
      </c>
      <c r="M673">
        <v>0</v>
      </c>
      <c r="N673">
        <v>1440</v>
      </c>
      <c r="O673">
        <v>1841</v>
      </c>
    </row>
    <row r="674" spans="1:15" x14ac:dyDescent="0.3">
      <c r="A674">
        <v>6775888955</v>
      </c>
      <c r="B674" s="1">
        <v>42490</v>
      </c>
      <c r="C674">
        <v>2503</v>
      </c>
      <c r="D674">
        <v>1.78999996185303</v>
      </c>
      <c r="E674">
        <v>1.78999996185303</v>
      </c>
      <c r="F674">
        <v>0</v>
      </c>
      <c r="G674">
        <v>0.15999999642372101</v>
      </c>
      <c r="H674">
        <v>0.15999999642372101</v>
      </c>
      <c r="I674">
        <v>1.4800000190734901</v>
      </c>
      <c r="J674">
        <v>0</v>
      </c>
      <c r="K674">
        <v>3</v>
      </c>
      <c r="L674">
        <v>9</v>
      </c>
      <c r="M674">
        <v>84</v>
      </c>
      <c r="N674">
        <v>1344</v>
      </c>
      <c r="O674">
        <v>2280</v>
      </c>
    </row>
    <row r="675" spans="1:15" x14ac:dyDescent="0.3">
      <c r="A675">
        <v>6775888955</v>
      </c>
      <c r="B675" s="1">
        <v>42491</v>
      </c>
      <c r="C675">
        <v>2487</v>
      </c>
      <c r="D675">
        <v>1.7799999713897701</v>
      </c>
      <c r="E675">
        <v>1.7799999713897701</v>
      </c>
      <c r="F675">
        <v>0</v>
      </c>
      <c r="G675">
        <v>0.479999989271164</v>
      </c>
      <c r="H675">
        <v>0.62000000476837203</v>
      </c>
      <c r="I675">
        <v>0.68000000715255704</v>
      </c>
      <c r="J675">
        <v>0</v>
      </c>
      <c r="K675">
        <v>9</v>
      </c>
      <c r="L675">
        <v>34</v>
      </c>
      <c r="M675">
        <v>50</v>
      </c>
      <c r="N675">
        <v>1347</v>
      </c>
      <c r="O675">
        <v>2319</v>
      </c>
    </row>
    <row r="676" spans="1:15" x14ac:dyDescent="0.3">
      <c r="A676">
        <v>6775888955</v>
      </c>
      <c r="B676" s="1">
        <v>42492</v>
      </c>
      <c r="C676">
        <v>0</v>
      </c>
      <c r="D676">
        <v>0</v>
      </c>
      <c r="E676">
        <v>0</v>
      </c>
      <c r="F676">
        <v>0</v>
      </c>
      <c r="G676">
        <v>0</v>
      </c>
      <c r="H676">
        <v>0</v>
      </c>
      <c r="I676">
        <v>0</v>
      </c>
      <c r="J676">
        <v>0</v>
      </c>
      <c r="K676">
        <v>0</v>
      </c>
      <c r="L676">
        <v>0</v>
      </c>
      <c r="M676">
        <v>0</v>
      </c>
      <c r="N676">
        <v>1440</v>
      </c>
      <c r="O676">
        <v>1841</v>
      </c>
    </row>
    <row r="677" spans="1:15" x14ac:dyDescent="0.3">
      <c r="A677">
        <v>6775888955</v>
      </c>
      <c r="B677" s="1">
        <v>42493</v>
      </c>
      <c r="C677">
        <v>9</v>
      </c>
      <c r="D677">
        <v>9.9999997764825804E-3</v>
      </c>
      <c r="E677">
        <v>9.9999997764825804E-3</v>
      </c>
      <c r="F677">
        <v>0</v>
      </c>
      <c r="G677">
        <v>0</v>
      </c>
      <c r="H677">
        <v>0</v>
      </c>
      <c r="I677">
        <v>9.9999997764825804E-3</v>
      </c>
      <c r="J677">
        <v>0</v>
      </c>
      <c r="K677">
        <v>0</v>
      </c>
      <c r="L677">
        <v>0</v>
      </c>
      <c r="M677">
        <v>1</v>
      </c>
      <c r="N677">
        <v>1439</v>
      </c>
      <c r="O677">
        <v>1843</v>
      </c>
    </row>
    <row r="678" spans="1:15" x14ac:dyDescent="0.3">
      <c r="A678">
        <v>6775888955</v>
      </c>
      <c r="B678" s="1">
        <v>42494</v>
      </c>
      <c r="C678">
        <v>0</v>
      </c>
      <c r="D678">
        <v>0</v>
      </c>
      <c r="E678">
        <v>0</v>
      </c>
      <c r="F678">
        <v>0</v>
      </c>
      <c r="G678">
        <v>0</v>
      </c>
      <c r="H678">
        <v>0</v>
      </c>
      <c r="I678">
        <v>0</v>
      </c>
      <c r="J678">
        <v>0</v>
      </c>
      <c r="K678">
        <v>0</v>
      </c>
      <c r="L678">
        <v>0</v>
      </c>
      <c r="M678">
        <v>0</v>
      </c>
      <c r="N678">
        <v>1440</v>
      </c>
      <c r="O678">
        <v>1841</v>
      </c>
    </row>
    <row r="679" spans="1:15" x14ac:dyDescent="0.3">
      <c r="A679">
        <v>6775888955</v>
      </c>
      <c r="B679" s="1">
        <v>42495</v>
      </c>
      <c r="C679">
        <v>0</v>
      </c>
      <c r="D679">
        <v>0</v>
      </c>
      <c r="E679">
        <v>0</v>
      </c>
      <c r="F679">
        <v>0</v>
      </c>
      <c r="G679">
        <v>0</v>
      </c>
      <c r="H679">
        <v>0</v>
      </c>
      <c r="I679">
        <v>0</v>
      </c>
      <c r="J679">
        <v>0</v>
      </c>
      <c r="K679">
        <v>0</v>
      </c>
      <c r="L679">
        <v>0</v>
      </c>
      <c r="M679">
        <v>0</v>
      </c>
      <c r="N679">
        <v>1440</v>
      </c>
      <c r="O679">
        <v>1841</v>
      </c>
    </row>
    <row r="680" spans="1:15" x14ac:dyDescent="0.3">
      <c r="A680">
        <v>6775888955</v>
      </c>
      <c r="B680" s="1">
        <v>42496</v>
      </c>
      <c r="C680">
        <v>4697</v>
      </c>
      <c r="D680">
        <v>3.3699998855590798</v>
      </c>
      <c r="E680">
        <v>3.3699998855590798</v>
      </c>
      <c r="F680">
        <v>0</v>
      </c>
      <c r="G680">
        <v>0.46999999880790699</v>
      </c>
      <c r="H680">
        <v>0.93000000715255704</v>
      </c>
      <c r="I680">
        <v>1.9299999475479099</v>
      </c>
      <c r="J680">
        <v>0</v>
      </c>
      <c r="K680">
        <v>12</v>
      </c>
      <c r="L680">
        <v>35</v>
      </c>
      <c r="M680">
        <v>75</v>
      </c>
      <c r="N680">
        <v>1318</v>
      </c>
      <c r="O680">
        <v>2496</v>
      </c>
    </row>
    <row r="681" spans="1:15" x14ac:dyDescent="0.3">
      <c r="A681">
        <v>6775888955</v>
      </c>
      <c r="B681" s="1">
        <v>42497</v>
      </c>
      <c r="C681">
        <v>1967</v>
      </c>
      <c r="D681">
        <v>1.4099999666214</v>
      </c>
      <c r="E681">
        <v>1.4099999666214</v>
      </c>
      <c r="F681">
        <v>0</v>
      </c>
      <c r="G681">
        <v>0.129999995231628</v>
      </c>
      <c r="H681">
        <v>0.239999994635582</v>
      </c>
      <c r="I681">
        <v>1.04999995231628</v>
      </c>
      <c r="J681">
        <v>0</v>
      </c>
      <c r="K681">
        <v>2</v>
      </c>
      <c r="L681">
        <v>5</v>
      </c>
      <c r="M681">
        <v>49</v>
      </c>
      <c r="N681">
        <v>551</v>
      </c>
      <c r="O681">
        <v>1032</v>
      </c>
    </row>
    <row r="682" spans="1:15" x14ac:dyDescent="0.3">
      <c r="A682">
        <v>6962181067</v>
      </c>
      <c r="B682" s="1">
        <v>42472</v>
      </c>
      <c r="C682">
        <v>10199</v>
      </c>
      <c r="D682">
        <v>6.7399997711181596</v>
      </c>
      <c r="E682">
        <v>6.7399997711181596</v>
      </c>
      <c r="F682">
        <v>0</v>
      </c>
      <c r="G682">
        <v>3.4000000953674299</v>
      </c>
      <c r="H682">
        <v>0.82999998331069902</v>
      </c>
      <c r="I682">
        <v>2.5099999904632599</v>
      </c>
      <c r="J682">
        <v>0</v>
      </c>
      <c r="K682">
        <v>50</v>
      </c>
      <c r="L682">
        <v>14</v>
      </c>
      <c r="M682">
        <v>189</v>
      </c>
      <c r="N682">
        <v>796</v>
      </c>
      <c r="O682">
        <v>1994</v>
      </c>
    </row>
    <row r="683" spans="1:15" x14ac:dyDescent="0.3">
      <c r="A683">
        <v>6962181067</v>
      </c>
      <c r="B683" s="1">
        <v>42473</v>
      </c>
      <c r="C683">
        <v>5652</v>
      </c>
      <c r="D683">
        <v>3.7400000095367401</v>
      </c>
      <c r="E683">
        <v>3.7400000095367401</v>
      </c>
      <c r="F683">
        <v>0</v>
      </c>
      <c r="G683">
        <v>0.56999999284744296</v>
      </c>
      <c r="H683">
        <v>1.21000003814697</v>
      </c>
      <c r="I683">
        <v>1.96000003814697</v>
      </c>
      <c r="J683">
        <v>0</v>
      </c>
      <c r="K683">
        <v>8</v>
      </c>
      <c r="L683">
        <v>24</v>
      </c>
      <c r="M683">
        <v>142</v>
      </c>
      <c r="N683">
        <v>548</v>
      </c>
      <c r="O683">
        <v>1718</v>
      </c>
    </row>
    <row r="684" spans="1:15" x14ac:dyDescent="0.3">
      <c r="A684">
        <v>6962181067</v>
      </c>
      <c r="B684" s="1">
        <v>42474</v>
      </c>
      <c r="C684">
        <v>1551</v>
      </c>
      <c r="D684">
        <v>1.0299999713897701</v>
      </c>
      <c r="E684">
        <v>1.0299999713897701</v>
      </c>
      <c r="F684">
        <v>0</v>
      </c>
      <c r="G684">
        <v>0</v>
      </c>
      <c r="H684">
        <v>0</v>
      </c>
      <c r="I684">
        <v>1.0299999713897701</v>
      </c>
      <c r="J684">
        <v>0</v>
      </c>
      <c r="K684">
        <v>0</v>
      </c>
      <c r="L684">
        <v>0</v>
      </c>
      <c r="M684">
        <v>86</v>
      </c>
      <c r="N684">
        <v>862</v>
      </c>
      <c r="O684">
        <v>1466</v>
      </c>
    </row>
    <row r="685" spans="1:15" x14ac:dyDescent="0.3">
      <c r="A685">
        <v>6962181067</v>
      </c>
      <c r="B685" s="1">
        <v>42475</v>
      </c>
      <c r="C685">
        <v>5563</v>
      </c>
      <c r="D685">
        <v>3.6800000667571999</v>
      </c>
      <c r="E685">
        <v>3.6800000667571999</v>
      </c>
      <c r="F685">
        <v>0</v>
      </c>
      <c r="G685">
        <v>0</v>
      </c>
      <c r="H685">
        <v>0</v>
      </c>
      <c r="I685">
        <v>3.6800000667571999</v>
      </c>
      <c r="J685">
        <v>0</v>
      </c>
      <c r="K685">
        <v>0</v>
      </c>
      <c r="L685">
        <v>0</v>
      </c>
      <c r="M685">
        <v>217</v>
      </c>
      <c r="N685">
        <v>837</v>
      </c>
      <c r="O685">
        <v>1756</v>
      </c>
    </row>
    <row r="686" spans="1:15" x14ac:dyDescent="0.3">
      <c r="A686">
        <v>6962181067</v>
      </c>
      <c r="B686" s="1">
        <v>42476</v>
      </c>
      <c r="C686">
        <v>13217</v>
      </c>
      <c r="D686">
        <v>8.7399997711181605</v>
      </c>
      <c r="E686">
        <v>8.7399997711181605</v>
      </c>
      <c r="F686">
        <v>0</v>
      </c>
      <c r="G686">
        <v>3.6600000858306898</v>
      </c>
      <c r="H686">
        <v>0.18999999761581399</v>
      </c>
      <c r="I686">
        <v>4.8800001144409197</v>
      </c>
      <c r="J686">
        <v>0</v>
      </c>
      <c r="K686">
        <v>50</v>
      </c>
      <c r="L686">
        <v>3</v>
      </c>
      <c r="M686">
        <v>280</v>
      </c>
      <c r="N686">
        <v>741</v>
      </c>
      <c r="O686">
        <v>2173</v>
      </c>
    </row>
    <row r="687" spans="1:15" x14ac:dyDescent="0.3">
      <c r="A687">
        <v>6962181067</v>
      </c>
      <c r="B687" s="1">
        <v>42477</v>
      </c>
      <c r="C687">
        <v>10145</v>
      </c>
      <c r="D687">
        <v>6.71000003814697</v>
      </c>
      <c r="E687">
        <v>6.71000003814697</v>
      </c>
      <c r="F687">
        <v>0</v>
      </c>
      <c r="G687">
        <v>0.33000001311302202</v>
      </c>
      <c r="H687">
        <v>0.68000000715255704</v>
      </c>
      <c r="I687">
        <v>5.6900000572204599</v>
      </c>
      <c r="J687">
        <v>0</v>
      </c>
      <c r="K687">
        <v>5</v>
      </c>
      <c r="L687">
        <v>13</v>
      </c>
      <c r="M687">
        <v>295</v>
      </c>
      <c r="N687">
        <v>634</v>
      </c>
      <c r="O687">
        <v>2027</v>
      </c>
    </row>
    <row r="688" spans="1:15" x14ac:dyDescent="0.3">
      <c r="A688">
        <v>6962181067</v>
      </c>
      <c r="B688" s="1">
        <v>42478</v>
      </c>
      <c r="C688">
        <v>11404</v>
      </c>
      <c r="D688">
        <v>7.53999996185303</v>
      </c>
      <c r="E688">
        <v>7.53999996185303</v>
      </c>
      <c r="F688">
        <v>0</v>
      </c>
      <c r="G688">
        <v>0.82999998331069902</v>
      </c>
      <c r="H688">
        <v>2.3900001049041699</v>
      </c>
      <c r="I688">
        <v>4.3200001716613796</v>
      </c>
      <c r="J688">
        <v>0</v>
      </c>
      <c r="K688">
        <v>13</v>
      </c>
      <c r="L688">
        <v>42</v>
      </c>
      <c r="M688">
        <v>238</v>
      </c>
      <c r="N688">
        <v>689</v>
      </c>
      <c r="O688">
        <v>2039</v>
      </c>
    </row>
    <row r="689" spans="1:15" x14ac:dyDescent="0.3">
      <c r="A689">
        <v>6962181067</v>
      </c>
      <c r="B689" s="1">
        <v>42479</v>
      </c>
      <c r="C689">
        <v>10742</v>
      </c>
      <c r="D689">
        <v>7.0999999046325701</v>
      </c>
      <c r="E689">
        <v>7.0999999046325701</v>
      </c>
      <c r="F689">
        <v>0</v>
      </c>
      <c r="G689">
        <v>2.0999999046325701</v>
      </c>
      <c r="H689">
        <v>2.1300001144409202</v>
      </c>
      <c r="I689">
        <v>2.8699998855590798</v>
      </c>
      <c r="J689">
        <v>0</v>
      </c>
      <c r="K689">
        <v>35</v>
      </c>
      <c r="L689">
        <v>41</v>
      </c>
      <c r="M689">
        <v>195</v>
      </c>
      <c r="N689">
        <v>659</v>
      </c>
      <c r="O689">
        <v>2046</v>
      </c>
    </row>
    <row r="690" spans="1:15" x14ac:dyDescent="0.3">
      <c r="A690">
        <v>6962181067</v>
      </c>
      <c r="B690" s="1">
        <v>42480</v>
      </c>
      <c r="C690">
        <v>13928</v>
      </c>
      <c r="D690">
        <v>9.5500001907348597</v>
      </c>
      <c r="E690">
        <v>9.5500001907348597</v>
      </c>
      <c r="F690">
        <v>0</v>
      </c>
      <c r="G690">
        <v>4.2800002098083496</v>
      </c>
      <c r="H690">
        <v>0.18999999761581399</v>
      </c>
      <c r="I690">
        <v>5.0900001525878897</v>
      </c>
      <c r="J690">
        <v>0</v>
      </c>
      <c r="K690">
        <v>48</v>
      </c>
      <c r="L690">
        <v>4</v>
      </c>
      <c r="M690">
        <v>297</v>
      </c>
      <c r="N690">
        <v>639</v>
      </c>
      <c r="O690">
        <v>2174</v>
      </c>
    </row>
    <row r="691" spans="1:15" x14ac:dyDescent="0.3">
      <c r="A691">
        <v>6962181067</v>
      </c>
      <c r="B691" s="1">
        <v>42481</v>
      </c>
      <c r="C691">
        <v>11835</v>
      </c>
      <c r="D691">
        <v>9.7100000381469709</v>
      </c>
      <c r="E691">
        <v>7.8800001144409197</v>
      </c>
      <c r="F691">
        <v>4.0816922187805202</v>
      </c>
      <c r="G691">
        <v>3.9900000095367401</v>
      </c>
      <c r="H691">
        <v>2.0999999046325701</v>
      </c>
      <c r="I691">
        <v>3.5099999904632599</v>
      </c>
      <c r="J691">
        <v>0.109999999403954</v>
      </c>
      <c r="K691">
        <v>53</v>
      </c>
      <c r="L691">
        <v>27</v>
      </c>
      <c r="M691">
        <v>214</v>
      </c>
      <c r="N691">
        <v>708</v>
      </c>
      <c r="O691">
        <v>2179</v>
      </c>
    </row>
    <row r="692" spans="1:15" x14ac:dyDescent="0.3">
      <c r="A692">
        <v>6962181067</v>
      </c>
      <c r="B692" s="1">
        <v>42482</v>
      </c>
      <c r="C692">
        <v>10725</v>
      </c>
      <c r="D692">
        <v>7.0900001525878897</v>
      </c>
      <c r="E692">
        <v>7.0900001525878897</v>
      </c>
      <c r="F692">
        <v>0</v>
      </c>
      <c r="G692">
        <v>1.7699999809265099</v>
      </c>
      <c r="H692">
        <v>1.54999995231628</v>
      </c>
      <c r="I692">
        <v>3.7699999809265101</v>
      </c>
      <c r="J692">
        <v>0</v>
      </c>
      <c r="K692">
        <v>30</v>
      </c>
      <c r="L692">
        <v>33</v>
      </c>
      <c r="M692">
        <v>240</v>
      </c>
      <c r="N692">
        <v>659</v>
      </c>
      <c r="O692">
        <v>2086</v>
      </c>
    </row>
    <row r="693" spans="1:15" x14ac:dyDescent="0.3">
      <c r="A693">
        <v>6962181067</v>
      </c>
      <c r="B693" s="1">
        <v>42483</v>
      </c>
      <c r="C693">
        <v>20031</v>
      </c>
      <c r="D693">
        <v>13.2399997711182</v>
      </c>
      <c r="E693">
        <v>13.2399997711182</v>
      </c>
      <c r="F693">
        <v>0</v>
      </c>
      <c r="G693">
        <v>4.1999998092651403</v>
      </c>
      <c r="H693">
        <v>2</v>
      </c>
      <c r="I693">
        <v>7.03999996185303</v>
      </c>
      <c r="J693">
        <v>0</v>
      </c>
      <c r="K693">
        <v>58</v>
      </c>
      <c r="L693">
        <v>41</v>
      </c>
      <c r="M693">
        <v>347</v>
      </c>
      <c r="N693">
        <v>484</v>
      </c>
      <c r="O693">
        <v>2571</v>
      </c>
    </row>
    <row r="694" spans="1:15" x14ac:dyDescent="0.3">
      <c r="A694">
        <v>6962181067</v>
      </c>
      <c r="B694" s="1">
        <v>42484</v>
      </c>
      <c r="C694">
        <v>5029</v>
      </c>
      <c r="D694">
        <v>3.3199999332428001</v>
      </c>
      <c r="E694">
        <v>3.3199999332428001</v>
      </c>
      <c r="F694">
        <v>0</v>
      </c>
      <c r="G694">
        <v>0</v>
      </c>
      <c r="H694">
        <v>0</v>
      </c>
      <c r="I694">
        <v>3.3199999332428001</v>
      </c>
      <c r="J694">
        <v>0</v>
      </c>
      <c r="K694">
        <v>0</v>
      </c>
      <c r="L694">
        <v>0</v>
      </c>
      <c r="M694">
        <v>199</v>
      </c>
      <c r="N694">
        <v>720</v>
      </c>
      <c r="O694">
        <v>1705</v>
      </c>
    </row>
    <row r="695" spans="1:15" x14ac:dyDescent="0.3">
      <c r="A695">
        <v>6962181067</v>
      </c>
      <c r="B695" s="1">
        <v>42485</v>
      </c>
      <c r="C695">
        <v>13239</v>
      </c>
      <c r="D695">
        <v>9.2700004577636701</v>
      </c>
      <c r="E695">
        <v>9.0799999237060494</v>
      </c>
      <c r="F695">
        <v>2.7851750850677499</v>
      </c>
      <c r="G695">
        <v>3.0199999809265101</v>
      </c>
      <c r="H695">
        <v>1.6799999475479099</v>
      </c>
      <c r="I695">
        <v>4.46000003814697</v>
      </c>
      <c r="J695">
        <v>0.10000000149011599</v>
      </c>
      <c r="K695">
        <v>35</v>
      </c>
      <c r="L695">
        <v>31</v>
      </c>
      <c r="M695">
        <v>282</v>
      </c>
      <c r="N695">
        <v>637</v>
      </c>
      <c r="O695">
        <v>2194</v>
      </c>
    </row>
    <row r="696" spans="1:15" x14ac:dyDescent="0.3">
      <c r="A696">
        <v>6962181067</v>
      </c>
      <c r="B696" s="1">
        <v>42486</v>
      </c>
      <c r="C696">
        <v>10433</v>
      </c>
      <c r="D696">
        <v>6.9000000953674299</v>
      </c>
      <c r="E696">
        <v>6.9000000953674299</v>
      </c>
      <c r="F696">
        <v>0</v>
      </c>
      <c r="G696">
        <v>2.5799999237060498</v>
      </c>
      <c r="H696">
        <v>0.41999998688697798</v>
      </c>
      <c r="I696">
        <v>3.9000000953674299</v>
      </c>
      <c r="J696">
        <v>0</v>
      </c>
      <c r="K696">
        <v>36</v>
      </c>
      <c r="L696">
        <v>7</v>
      </c>
      <c r="M696">
        <v>254</v>
      </c>
      <c r="N696">
        <v>680</v>
      </c>
      <c r="O696">
        <v>2012</v>
      </c>
    </row>
    <row r="697" spans="1:15" x14ac:dyDescent="0.3">
      <c r="A697">
        <v>6962181067</v>
      </c>
      <c r="B697" s="1">
        <v>42487</v>
      </c>
      <c r="C697">
        <v>10320</v>
      </c>
      <c r="D697">
        <v>6.8200001716613796</v>
      </c>
      <c r="E697">
        <v>6.8200001716613796</v>
      </c>
      <c r="F697">
        <v>0</v>
      </c>
      <c r="G697">
        <v>0.55000001192092896</v>
      </c>
      <c r="H697">
        <v>2.0199999809265101</v>
      </c>
      <c r="I697">
        <v>4.25</v>
      </c>
      <c r="J697">
        <v>0</v>
      </c>
      <c r="K697">
        <v>7</v>
      </c>
      <c r="L697">
        <v>38</v>
      </c>
      <c r="M697">
        <v>279</v>
      </c>
      <c r="N697">
        <v>697</v>
      </c>
      <c r="O697">
        <v>2034</v>
      </c>
    </row>
    <row r="698" spans="1:15" x14ac:dyDescent="0.3">
      <c r="A698">
        <v>6962181067</v>
      </c>
      <c r="B698" s="1">
        <v>42488</v>
      </c>
      <c r="C698">
        <v>12627</v>
      </c>
      <c r="D698">
        <v>8.3500003814697301</v>
      </c>
      <c r="E698">
        <v>8.3500003814697301</v>
      </c>
      <c r="F698">
        <v>0</v>
      </c>
      <c r="G698">
        <v>2.5099999904632599</v>
      </c>
      <c r="H698">
        <v>0.239999994635582</v>
      </c>
      <c r="I698">
        <v>5.5900001525878897</v>
      </c>
      <c r="J698">
        <v>0</v>
      </c>
      <c r="K698">
        <v>38</v>
      </c>
      <c r="L698">
        <v>8</v>
      </c>
      <c r="M698">
        <v>288</v>
      </c>
      <c r="N698">
        <v>621</v>
      </c>
      <c r="O698">
        <v>2182</v>
      </c>
    </row>
    <row r="699" spans="1:15" x14ac:dyDescent="0.3">
      <c r="A699">
        <v>6962181067</v>
      </c>
      <c r="B699" s="1">
        <v>42489</v>
      </c>
      <c r="C699">
        <v>10762</v>
      </c>
      <c r="D699">
        <v>7.1100001335143999</v>
      </c>
      <c r="E699">
        <v>7.1100001335143999</v>
      </c>
      <c r="F699">
        <v>0</v>
      </c>
      <c r="G699">
        <v>0.81999999284744296</v>
      </c>
      <c r="H699">
        <v>0.479999989271164</v>
      </c>
      <c r="I699">
        <v>5.8099999427795401</v>
      </c>
      <c r="J699">
        <v>0</v>
      </c>
      <c r="K699">
        <v>12</v>
      </c>
      <c r="L699">
        <v>15</v>
      </c>
      <c r="M699">
        <v>369</v>
      </c>
      <c r="N699">
        <v>645</v>
      </c>
      <c r="O699">
        <v>2254</v>
      </c>
    </row>
    <row r="700" spans="1:15" x14ac:dyDescent="0.3">
      <c r="A700">
        <v>6962181067</v>
      </c>
      <c r="B700" s="1">
        <v>42490</v>
      </c>
      <c r="C700">
        <v>10081</v>
      </c>
      <c r="D700">
        <v>6.6599998474121103</v>
      </c>
      <c r="E700">
        <v>6.6599998474121103</v>
      </c>
      <c r="F700">
        <v>0</v>
      </c>
      <c r="G700">
        <v>2.2400000095367401</v>
      </c>
      <c r="H700">
        <v>0.75999999046325695</v>
      </c>
      <c r="I700">
        <v>3.6700000762939502</v>
      </c>
      <c r="J700">
        <v>0</v>
      </c>
      <c r="K700">
        <v>32</v>
      </c>
      <c r="L700">
        <v>16</v>
      </c>
      <c r="M700">
        <v>237</v>
      </c>
      <c r="N700">
        <v>731</v>
      </c>
      <c r="O700">
        <v>2002</v>
      </c>
    </row>
    <row r="701" spans="1:15" x14ac:dyDescent="0.3">
      <c r="A701">
        <v>6962181067</v>
      </c>
      <c r="B701" s="1">
        <v>42491</v>
      </c>
      <c r="C701">
        <v>5454</v>
      </c>
      <c r="D701">
        <v>3.6099998950958301</v>
      </c>
      <c r="E701">
        <v>3.6099998950958301</v>
      </c>
      <c r="F701">
        <v>0</v>
      </c>
      <c r="G701">
        <v>0</v>
      </c>
      <c r="H701">
        <v>0</v>
      </c>
      <c r="I701">
        <v>3.6099998950958301</v>
      </c>
      <c r="J701">
        <v>0</v>
      </c>
      <c r="K701">
        <v>0</v>
      </c>
      <c r="L701">
        <v>0</v>
      </c>
      <c r="M701">
        <v>215</v>
      </c>
      <c r="N701">
        <v>722</v>
      </c>
      <c r="O701">
        <v>1740</v>
      </c>
    </row>
    <row r="702" spans="1:15" x14ac:dyDescent="0.3">
      <c r="A702">
        <v>6962181067</v>
      </c>
      <c r="B702" s="1">
        <v>42492</v>
      </c>
      <c r="C702">
        <v>12912</v>
      </c>
      <c r="D702">
        <v>8.5399999618530291</v>
      </c>
      <c r="E702">
        <v>8.5399999618530291</v>
      </c>
      <c r="F702">
        <v>0</v>
      </c>
      <c r="G702">
        <v>1.20000004768372</v>
      </c>
      <c r="H702">
        <v>2</v>
      </c>
      <c r="I702">
        <v>5.3400001525878897</v>
      </c>
      <c r="J702">
        <v>0</v>
      </c>
      <c r="K702">
        <v>18</v>
      </c>
      <c r="L702">
        <v>39</v>
      </c>
      <c r="M702">
        <v>313</v>
      </c>
      <c r="N702">
        <v>655</v>
      </c>
      <c r="O702">
        <v>2162</v>
      </c>
    </row>
    <row r="703" spans="1:15" x14ac:dyDescent="0.3">
      <c r="A703">
        <v>6962181067</v>
      </c>
      <c r="B703" s="1">
        <v>42493</v>
      </c>
      <c r="C703">
        <v>12109</v>
      </c>
      <c r="D703">
        <v>8.1199998855590803</v>
      </c>
      <c r="E703">
        <v>8.1199998855590803</v>
      </c>
      <c r="F703">
        <v>0</v>
      </c>
      <c r="G703">
        <v>1.7400000095367401</v>
      </c>
      <c r="H703">
        <v>2.03999996185303</v>
      </c>
      <c r="I703">
        <v>4.3299999237060502</v>
      </c>
      <c r="J703">
        <v>0</v>
      </c>
      <c r="K703">
        <v>21</v>
      </c>
      <c r="L703">
        <v>36</v>
      </c>
      <c r="M703">
        <v>267</v>
      </c>
      <c r="N703">
        <v>654</v>
      </c>
      <c r="O703">
        <v>2072</v>
      </c>
    </row>
    <row r="704" spans="1:15" x14ac:dyDescent="0.3">
      <c r="A704">
        <v>6962181067</v>
      </c>
      <c r="B704" s="1">
        <v>42494</v>
      </c>
      <c r="C704">
        <v>10147</v>
      </c>
      <c r="D704">
        <v>6.71000003814697</v>
      </c>
      <c r="E704">
        <v>6.71000003814697</v>
      </c>
      <c r="F704">
        <v>0</v>
      </c>
      <c r="G704">
        <v>0.46999999880790699</v>
      </c>
      <c r="H704">
        <v>1.6799999475479099</v>
      </c>
      <c r="I704">
        <v>4.5500001907348597</v>
      </c>
      <c r="J704">
        <v>0</v>
      </c>
      <c r="K704">
        <v>15</v>
      </c>
      <c r="L704">
        <v>36</v>
      </c>
      <c r="M704">
        <v>284</v>
      </c>
      <c r="N704">
        <v>683</v>
      </c>
      <c r="O704">
        <v>2086</v>
      </c>
    </row>
    <row r="705" spans="1:15" x14ac:dyDescent="0.3">
      <c r="A705">
        <v>6962181067</v>
      </c>
      <c r="B705" s="1">
        <v>42495</v>
      </c>
      <c r="C705">
        <v>10524</v>
      </c>
      <c r="D705">
        <v>6.96000003814697</v>
      </c>
      <c r="E705">
        <v>6.96000003814697</v>
      </c>
      <c r="F705">
        <v>0</v>
      </c>
      <c r="G705">
        <v>0.99000000953674305</v>
      </c>
      <c r="H705">
        <v>1.1599999666214</v>
      </c>
      <c r="I705">
        <v>4.8099999427795401</v>
      </c>
      <c r="J705">
        <v>0</v>
      </c>
      <c r="K705">
        <v>14</v>
      </c>
      <c r="L705">
        <v>22</v>
      </c>
      <c r="M705">
        <v>305</v>
      </c>
      <c r="N705">
        <v>591</v>
      </c>
      <c r="O705">
        <v>2066</v>
      </c>
    </row>
    <row r="706" spans="1:15" x14ac:dyDescent="0.3">
      <c r="A706">
        <v>6962181067</v>
      </c>
      <c r="B706" s="1">
        <v>42496</v>
      </c>
      <c r="C706">
        <v>5908</v>
      </c>
      <c r="D706">
        <v>3.9100000858306898</v>
      </c>
      <c r="E706">
        <v>3.9100000858306898</v>
      </c>
      <c r="F706">
        <v>0</v>
      </c>
      <c r="G706">
        <v>0</v>
      </c>
      <c r="H706">
        <v>0</v>
      </c>
      <c r="I706">
        <v>3.9100000858306898</v>
      </c>
      <c r="J706">
        <v>0</v>
      </c>
      <c r="K706">
        <v>0</v>
      </c>
      <c r="L706">
        <v>0</v>
      </c>
      <c r="M706">
        <v>299</v>
      </c>
      <c r="N706">
        <v>717</v>
      </c>
      <c r="O706">
        <v>1850</v>
      </c>
    </row>
    <row r="707" spans="1:15" x14ac:dyDescent="0.3">
      <c r="A707">
        <v>6962181067</v>
      </c>
      <c r="B707" s="1">
        <v>42497</v>
      </c>
      <c r="C707">
        <v>6815</v>
      </c>
      <c r="D707">
        <v>4.5</v>
      </c>
      <c r="E707">
        <v>4.5</v>
      </c>
      <c r="F707">
        <v>0</v>
      </c>
      <c r="G707">
        <v>0</v>
      </c>
      <c r="H707">
        <v>0</v>
      </c>
      <c r="I707">
        <v>4.5</v>
      </c>
      <c r="J707">
        <v>0</v>
      </c>
      <c r="K707">
        <v>0</v>
      </c>
      <c r="L707">
        <v>0</v>
      </c>
      <c r="M707">
        <v>328</v>
      </c>
      <c r="N707">
        <v>745</v>
      </c>
      <c r="O707">
        <v>1947</v>
      </c>
    </row>
    <row r="708" spans="1:15" x14ac:dyDescent="0.3">
      <c r="A708">
        <v>6962181067</v>
      </c>
      <c r="B708" s="1">
        <v>42498</v>
      </c>
      <c r="C708">
        <v>4188</v>
      </c>
      <c r="D708">
        <v>2.7699999809265101</v>
      </c>
      <c r="E708">
        <v>2.7699999809265101</v>
      </c>
      <c r="F708">
        <v>0</v>
      </c>
      <c r="G708">
        <v>0</v>
      </c>
      <c r="H708">
        <v>0.519999980926514</v>
      </c>
      <c r="I708">
        <v>2.25</v>
      </c>
      <c r="J708">
        <v>0</v>
      </c>
      <c r="K708">
        <v>0</v>
      </c>
      <c r="L708">
        <v>14</v>
      </c>
      <c r="M708">
        <v>151</v>
      </c>
      <c r="N708">
        <v>709</v>
      </c>
      <c r="O708">
        <v>1659</v>
      </c>
    </row>
    <row r="709" spans="1:15" x14ac:dyDescent="0.3">
      <c r="A709">
        <v>6962181067</v>
      </c>
      <c r="B709" s="1">
        <v>42499</v>
      </c>
      <c r="C709">
        <v>12342</v>
      </c>
      <c r="D709">
        <v>8.7200002670288104</v>
      </c>
      <c r="E709">
        <v>8.6800003051757795</v>
      </c>
      <c r="F709">
        <v>3.1678218841552699</v>
      </c>
      <c r="G709">
        <v>3.9000000953674299</v>
      </c>
      <c r="H709">
        <v>1.1799999475479099</v>
      </c>
      <c r="I709">
        <v>3.6500000953674299</v>
      </c>
      <c r="J709">
        <v>0</v>
      </c>
      <c r="K709">
        <v>43</v>
      </c>
      <c r="L709">
        <v>21</v>
      </c>
      <c r="M709">
        <v>231</v>
      </c>
      <c r="N709">
        <v>607</v>
      </c>
      <c r="O709">
        <v>2105</v>
      </c>
    </row>
    <row r="710" spans="1:15" x14ac:dyDescent="0.3">
      <c r="A710">
        <v>6962181067</v>
      </c>
      <c r="B710" s="1">
        <v>42500</v>
      </c>
      <c r="C710">
        <v>15448</v>
      </c>
      <c r="D710">
        <v>10.210000038146999</v>
      </c>
      <c r="E710">
        <v>10.210000038146999</v>
      </c>
      <c r="F710">
        <v>0</v>
      </c>
      <c r="G710">
        <v>3.4700000286102299</v>
      </c>
      <c r="H710">
        <v>1.75</v>
      </c>
      <c r="I710">
        <v>4.9899997711181596</v>
      </c>
      <c r="J710">
        <v>0</v>
      </c>
      <c r="K710">
        <v>62</v>
      </c>
      <c r="L710">
        <v>34</v>
      </c>
      <c r="M710">
        <v>275</v>
      </c>
      <c r="N710">
        <v>626</v>
      </c>
      <c r="O710">
        <v>2361</v>
      </c>
    </row>
    <row r="711" spans="1:15" x14ac:dyDescent="0.3">
      <c r="A711">
        <v>6962181067</v>
      </c>
      <c r="B711" s="1">
        <v>42501</v>
      </c>
      <c r="C711">
        <v>6722</v>
      </c>
      <c r="D711">
        <v>4.4400000572204599</v>
      </c>
      <c r="E711">
        <v>4.4400000572204599</v>
      </c>
      <c r="F711">
        <v>0</v>
      </c>
      <c r="G711">
        <v>1.4900000095367401</v>
      </c>
      <c r="H711">
        <v>0.31000000238418601</v>
      </c>
      <c r="I711">
        <v>2.6500000953674299</v>
      </c>
      <c r="J711">
        <v>0</v>
      </c>
      <c r="K711">
        <v>24</v>
      </c>
      <c r="L711">
        <v>7</v>
      </c>
      <c r="M711">
        <v>199</v>
      </c>
      <c r="N711">
        <v>709</v>
      </c>
      <c r="O711">
        <v>1855</v>
      </c>
    </row>
    <row r="712" spans="1:15" x14ac:dyDescent="0.3">
      <c r="A712">
        <v>6962181067</v>
      </c>
      <c r="B712" s="1">
        <v>42502</v>
      </c>
      <c r="C712">
        <v>3587</v>
      </c>
      <c r="D712">
        <v>2.3699998855590798</v>
      </c>
      <c r="E712">
        <v>2.3699998855590798</v>
      </c>
      <c r="F712">
        <v>0</v>
      </c>
      <c r="G712">
        <v>0</v>
      </c>
      <c r="H712">
        <v>0.25</v>
      </c>
      <c r="I712">
        <v>2.1099998950958301</v>
      </c>
      <c r="J712">
        <v>0</v>
      </c>
      <c r="K712">
        <v>0</v>
      </c>
      <c r="L712">
        <v>8</v>
      </c>
      <c r="M712">
        <v>105</v>
      </c>
      <c r="N712">
        <v>127</v>
      </c>
      <c r="O712">
        <v>928</v>
      </c>
    </row>
    <row r="713" spans="1:15" x14ac:dyDescent="0.3">
      <c r="A713">
        <v>7007744171</v>
      </c>
      <c r="B713" s="1">
        <v>42472</v>
      </c>
      <c r="C713">
        <v>14172</v>
      </c>
      <c r="D713">
        <v>10.289999961853001</v>
      </c>
      <c r="E713">
        <v>9.4799995422363299</v>
      </c>
      <c r="F713">
        <v>4.8697829246520996</v>
      </c>
      <c r="G713">
        <v>4.5</v>
      </c>
      <c r="H713">
        <v>0.37999999523162797</v>
      </c>
      <c r="I713">
        <v>5.4099998474121103</v>
      </c>
      <c r="J713">
        <v>0</v>
      </c>
      <c r="K713">
        <v>53</v>
      </c>
      <c r="L713">
        <v>8</v>
      </c>
      <c r="M713">
        <v>355</v>
      </c>
      <c r="N713">
        <v>1024</v>
      </c>
      <c r="O713">
        <v>2937</v>
      </c>
    </row>
    <row r="714" spans="1:15" x14ac:dyDescent="0.3">
      <c r="A714">
        <v>7007744171</v>
      </c>
      <c r="B714" s="1">
        <v>42473</v>
      </c>
      <c r="C714">
        <v>12862</v>
      </c>
      <c r="D714">
        <v>9.6499996185302699</v>
      </c>
      <c r="E714">
        <v>8.6000003814697301</v>
      </c>
      <c r="F714">
        <v>4.8513069152831996</v>
      </c>
      <c r="G714">
        <v>4.6100001335143999</v>
      </c>
      <c r="H714">
        <v>0.56000000238418601</v>
      </c>
      <c r="I714">
        <v>4.4800000190734899</v>
      </c>
      <c r="J714">
        <v>0</v>
      </c>
      <c r="K714">
        <v>56</v>
      </c>
      <c r="L714">
        <v>22</v>
      </c>
      <c r="M714">
        <v>261</v>
      </c>
      <c r="N714">
        <v>1101</v>
      </c>
      <c r="O714">
        <v>2742</v>
      </c>
    </row>
    <row r="715" spans="1:15" x14ac:dyDescent="0.3">
      <c r="A715">
        <v>7007744171</v>
      </c>
      <c r="B715" s="1">
        <v>42474</v>
      </c>
      <c r="C715">
        <v>11179</v>
      </c>
      <c r="D715">
        <v>8.2399997711181605</v>
      </c>
      <c r="E715">
        <v>7.4800000190734899</v>
      </c>
      <c r="F715">
        <v>3.2854149341583301</v>
      </c>
      <c r="G715">
        <v>2.9500000476837198</v>
      </c>
      <c r="H715">
        <v>0.34000000357627902</v>
      </c>
      <c r="I715">
        <v>4.96000003814697</v>
      </c>
      <c r="J715">
        <v>0</v>
      </c>
      <c r="K715">
        <v>34</v>
      </c>
      <c r="L715">
        <v>6</v>
      </c>
      <c r="M715">
        <v>304</v>
      </c>
      <c r="N715">
        <v>1096</v>
      </c>
      <c r="O715">
        <v>2668</v>
      </c>
    </row>
    <row r="716" spans="1:15" x14ac:dyDescent="0.3">
      <c r="A716">
        <v>7007744171</v>
      </c>
      <c r="B716" s="1">
        <v>42475</v>
      </c>
      <c r="C716">
        <v>5273</v>
      </c>
      <c r="D716">
        <v>3.5299999713897701</v>
      </c>
      <c r="E716">
        <v>3.5299999713897701</v>
      </c>
      <c r="F716">
        <v>0</v>
      </c>
      <c r="G716">
        <v>0</v>
      </c>
      <c r="H716">
        <v>0</v>
      </c>
      <c r="I716">
        <v>3.5299999713897701</v>
      </c>
      <c r="J716">
        <v>0</v>
      </c>
      <c r="K716">
        <v>0</v>
      </c>
      <c r="L716">
        <v>0</v>
      </c>
      <c r="M716">
        <v>202</v>
      </c>
      <c r="N716">
        <v>1238</v>
      </c>
      <c r="O716">
        <v>2098</v>
      </c>
    </row>
    <row r="717" spans="1:15" x14ac:dyDescent="0.3">
      <c r="A717">
        <v>7007744171</v>
      </c>
      <c r="B717" s="1">
        <v>42476</v>
      </c>
      <c r="C717">
        <v>4631</v>
      </c>
      <c r="D717">
        <v>3.0999999046325701</v>
      </c>
      <c r="E717">
        <v>3.0999999046325701</v>
      </c>
      <c r="F717">
        <v>0</v>
      </c>
      <c r="G717">
        <v>0</v>
      </c>
      <c r="H717">
        <v>0</v>
      </c>
      <c r="I717">
        <v>3.0999999046325701</v>
      </c>
      <c r="J717">
        <v>0</v>
      </c>
      <c r="K717">
        <v>0</v>
      </c>
      <c r="L717">
        <v>0</v>
      </c>
      <c r="M717">
        <v>203</v>
      </c>
      <c r="N717">
        <v>1155</v>
      </c>
      <c r="O717">
        <v>2076</v>
      </c>
    </row>
    <row r="718" spans="1:15" x14ac:dyDescent="0.3">
      <c r="A718">
        <v>7007744171</v>
      </c>
      <c r="B718" s="1">
        <v>42477</v>
      </c>
      <c r="C718">
        <v>8059</v>
      </c>
      <c r="D718">
        <v>5.3899998664856001</v>
      </c>
      <c r="E718">
        <v>5.3899998664856001</v>
      </c>
      <c r="F718">
        <v>0</v>
      </c>
      <c r="G718">
        <v>0</v>
      </c>
      <c r="H718">
        <v>0</v>
      </c>
      <c r="I718">
        <v>5.3899998664856001</v>
      </c>
      <c r="J718">
        <v>0</v>
      </c>
      <c r="K718">
        <v>0</v>
      </c>
      <c r="L718">
        <v>0</v>
      </c>
      <c r="M718">
        <v>305</v>
      </c>
      <c r="N718">
        <v>1135</v>
      </c>
      <c r="O718">
        <v>2383</v>
      </c>
    </row>
    <row r="719" spans="1:15" x14ac:dyDescent="0.3">
      <c r="A719">
        <v>7007744171</v>
      </c>
      <c r="B719" s="1">
        <v>42478</v>
      </c>
      <c r="C719">
        <v>14816</v>
      </c>
      <c r="D719">
        <v>10.9799995422363</v>
      </c>
      <c r="E719">
        <v>9.9099998474121094</v>
      </c>
      <c r="F719">
        <v>4.9305500984191903</v>
      </c>
      <c r="G719">
        <v>3.78999996185303</v>
      </c>
      <c r="H719">
        <v>2.1199998855590798</v>
      </c>
      <c r="I719">
        <v>5.0500001907348597</v>
      </c>
      <c r="J719">
        <v>1.9999999552965199E-2</v>
      </c>
      <c r="K719">
        <v>48</v>
      </c>
      <c r="L719">
        <v>31</v>
      </c>
      <c r="M719">
        <v>284</v>
      </c>
      <c r="N719">
        <v>1077</v>
      </c>
      <c r="O719">
        <v>2832</v>
      </c>
    </row>
    <row r="720" spans="1:15" x14ac:dyDescent="0.3">
      <c r="A720">
        <v>7007744171</v>
      </c>
      <c r="B720" s="1">
        <v>42479</v>
      </c>
      <c r="C720">
        <v>14194</v>
      </c>
      <c r="D720">
        <v>10.4799995422363</v>
      </c>
      <c r="E720">
        <v>9.5</v>
      </c>
      <c r="F720">
        <v>4.9421420097351101</v>
      </c>
      <c r="G720">
        <v>4.4099998474121103</v>
      </c>
      <c r="H720">
        <v>0.75999999046325695</v>
      </c>
      <c r="I720">
        <v>5.3099999427795401</v>
      </c>
      <c r="J720">
        <v>0</v>
      </c>
      <c r="K720">
        <v>53</v>
      </c>
      <c r="L720">
        <v>17</v>
      </c>
      <c r="M720">
        <v>304</v>
      </c>
      <c r="N720">
        <v>1066</v>
      </c>
      <c r="O720">
        <v>2812</v>
      </c>
    </row>
    <row r="721" spans="1:15" x14ac:dyDescent="0.3">
      <c r="A721">
        <v>7007744171</v>
      </c>
      <c r="B721" s="1">
        <v>42480</v>
      </c>
      <c r="C721">
        <v>15566</v>
      </c>
      <c r="D721">
        <v>11.310000419616699</v>
      </c>
      <c r="E721">
        <v>10.4099998474121</v>
      </c>
      <c r="F721">
        <v>4.9248409271240199</v>
      </c>
      <c r="G721">
        <v>4.78999996185303</v>
      </c>
      <c r="H721">
        <v>0.67000001668930098</v>
      </c>
      <c r="I721">
        <v>5.8600001335143999</v>
      </c>
      <c r="J721">
        <v>0</v>
      </c>
      <c r="K721">
        <v>60</v>
      </c>
      <c r="L721">
        <v>33</v>
      </c>
      <c r="M721">
        <v>347</v>
      </c>
      <c r="N721">
        <v>1000</v>
      </c>
      <c r="O721">
        <v>3096</v>
      </c>
    </row>
    <row r="722" spans="1:15" x14ac:dyDescent="0.3">
      <c r="A722">
        <v>7007744171</v>
      </c>
      <c r="B722" s="1">
        <v>42481</v>
      </c>
      <c r="C722">
        <v>13744</v>
      </c>
      <c r="D722">
        <v>9.1899995803833008</v>
      </c>
      <c r="E722">
        <v>9.1899995803833008</v>
      </c>
      <c r="F722">
        <v>0</v>
      </c>
      <c r="G722">
        <v>2.1500000953674299</v>
      </c>
      <c r="H722">
        <v>1.87000000476837</v>
      </c>
      <c r="I722">
        <v>5.1700000762939498</v>
      </c>
      <c r="J722">
        <v>0</v>
      </c>
      <c r="K722">
        <v>30</v>
      </c>
      <c r="L722">
        <v>34</v>
      </c>
      <c r="M722">
        <v>327</v>
      </c>
      <c r="N722">
        <v>1049</v>
      </c>
      <c r="O722">
        <v>2763</v>
      </c>
    </row>
    <row r="723" spans="1:15" x14ac:dyDescent="0.3">
      <c r="A723">
        <v>7007744171</v>
      </c>
      <c r="B723" s="1">
        <v>42482</v>
      </c>
      <c r="C723">
        <v>15299</v>
      </c>
      <c r="D723">
        <v>10.2399997711182</v>
      </c>
      <c r="E723">
        <v>10.2399997711182</v>
      </c>
      <c r="F723">
        <v>0</v>
      </c>
      <c r="G723">
        <v>4.0999999046325701</v>
      </c>
      <c r="H723">
        <v>1.7599999904632599</v>
      </c>
      <c r="I723">
        <v>4.3699998855590803</v>
      </c>
      <c r="J723">
        <v>0</v>
      </c>
      <c r="K723">
        <v>64</v>
      </c>
      <c r="L723">
        <v>50</v>
      </c>
      <c r="M723">
        <v>261</v>
      </c>
      <c r="N723">
        <v>1065</v>
      </c>
      <c r="O723">
        <v>2889</v>
      </c>
    </row>
    <row r="724" spans="1:15" x14ac:dyDescent="0.3">
      <c r="A724">
        <v>7007744171</v>
      </c>
      <c r="B724" s="1">
        <v>42483</v>
      </c>
      <c r="C724">
        <v>8093</v>
      </c>
      <c r="D724">
        <v>5.4099998474121103</v>
      </c>
      <c r="E724">
        <v>5.4099998474121103</v>
      </c>
      <c r="F724">
        <v>0</v>
      </c>
      <c r="G724">
        <v>0.129999995231628</v>
      </c>
      <c r="H724">
        <v>1.12999999523163</v>
      </c>
      <c r="I724">
        <v>4.1500000953674299</v>
      </c>
      <c r="J724">
        <v>0</v>
      </c>
      <c r="K724">
        <v>2</v>
      </c>
      <c r="L724">
        <v>25</v>
      </c>
      <c r="M724">
        <v>223</v>
      </c>
      <c r="N724">
        <v>1190</v>
      </c>
      <c r="O724">
        <v>2284</v>
      </c>
    </row>
    <row r="725" spans="1:15" x14ac:dyDescent="0.3">
      <c r="A725">
        <v>7007744171</v>
      </c>
      <c r="B725" s="1">
        <v>42484</v>
      </c>
      <c r="C725">
        <v>11085</v>
      </c>
      <c r="D725">
        <v>7.4200000762939498</v>
      </c>
      <c r="E725">
        <v>7.4200000762939498</v>
      </c>
      <c r="F725">
        <v>0</v>
      </c>
      <c r="G725">
        <v>0</v>
      </c>
      <c r="H725">
        <v>0</v>
      </c>
      <c r="I725">
        <v>7.4200000762939498</v>
      </c>
      <c r="J725">
        <v>0</v>
      </c>
      <c r="K725">
        <v>0</v>
      </c>
      <c r="L725">
        <v>0</v>
      </c>
      <c r="M725">
        <v>419</v>
      </c>
      <c r="N725">
        <v>1021</v>
      </c>
      <c r="O725">
        <v>2667</v>
      </c>
    </row>
    <row r="726" spans="1:15" x14ac:dyDescent="0.3">
      <c r="A726">
        <v>7007744171</v>
      </c>
      <c r="B726" s="1">
        <v>42485</v>
      </c>
      <c r="C726">
        <v>18229</v>
      </c>
      <c r="D726">
        <v>13.3400001525879</v>
      </c>
      <c r="E726">
        <v>12.199999809265099</v>
      </c>
      <c r="F726">
        <v>4.8617920875549299</v>
      </c>
      <c r="G726">
        <v>4.3099999427795401</v>
      </c>
      <c r="H726">
        <v>1.37000000476837</v>
      </c>
      <c r="I726">
        <v>7.6700000762939498</v>
      </c>
      <c r="J726">
        <v>0</v>
      </c>
      <c r="K726">
        <v>51</v>
      </c>
      <c r="L726">
        <v>24</v>
      </c>
      <c r="M726">
        <v>379</v>
      </c>
      <c r="N726">
        <v>986</v>
      </c>
      <c r="O726">
        <v>3055</v>
      </c>
    </row>
    <row r="727" spans="1:15" x14ac:dyDescent="0.3">
      <c r="A727">
        <v>7007744171</v>
      </c>
      <c r="B727" s="1">
        <v>42486</v>
      </c>
      <c r="C727">
        <v>15090</v>
      </c>
      <c r="D727">
        <v>10.1000003814697</v>
      </c>
      <c r="E727">
        <v>10.1000003814697</v>
      </c>
      <c r="F727">
        <v>0</v>
      </c>
      <c r="G727">
        <v>0.93000000715255704</v>
      </c>
      <c r="H727">
        <v>0.93999999761581399</v>
      </c>
      <c r="I727">
        <v>8.2299995422363299</v>
      </c>
      <c r="J727">
        <v>0</v>
      </c>
      <c r="K727">
        <v>16</v>
      </c>
      <c r="L727">
        <v>22</v>
      </c>
      <c r="M727">
        <v>424</v>
      </c>
      <c r="N727">
        <v>978</v>
      </c>
      <c r="O727">
        <v>2939</v>
      </c>
    </row>
    <row r="728" spans="1:15" x14ac:dyDescent="0.3">
      <c r="A728">
        <v>7007744171</v>
      </c>
      <c r="B728" s="1">
        <v>42487</v>
      </c>
      <c r="C728">
        <v>13541</v>
      </c>
      <c r="D728">
        <v>10.2200002670288</v>
      </c>
      <c r="E728">
        <v>9.0600004196166992</v>
      </c>
      <c r="F728">
        <v>4.8856048583984402</v>
      </c>
      <c r="G728">
        <v>4.2699999809265101</v>
      </c>
      <c r="H728">
        <v>0.66000002622604403</v>
      </c>
      <c r="I728">
        <v>5.28999996185303</v>
      </c>
      <c r="J728">
        <v>0</v>
      </c>
      <c r="K728">
        <v>50</v>
      </c>
      <c r="L728">
        <v>12</v>
      </c>
      <c r="M728">
        <v>337</v>
      </c>
      <c r="N728">
        <v>1041</v>
      </c>
      <c r="O728">
        <v>2830</v>
      </c>
    </row>
    <row r="729" spans="1:15" x14ac:dyDescent="0.3">
      <c r="A729">
        <v>7007744171</v>
      </c>
      <c r="B729" s="1">
        <v>42488</v>
      </c>
      <c r="C729">
        <v>15128</v>
      </c>
      <c r="D729">
        <v>10.1199998855591</v>
      </c>
      <c r="E729">
        <v>10.1199998855591</v>
      </c>
      <c r="F729">
        <v>0</v>
      </c>
      <c r="G729">
        <v>1.0900000333786</v>
      </c>
      <c r="H729">
        <v>0.769999980926514</v>
      </c>
      <c r="I729">
        <v>8.2600002288818395</v>
      </c>
      <c r="J729">
        <v>0</v>
      </c>
      <c r="K729">
        <v>16</v>
      </c>
      <c r="L729">
        <v>16</v>
      </c>
      <c r="M729">
        <v>401</v>
      </c>
      <c r="N729">
        <v>1007</v>
      </c>
      <c r="O729">
        <v>2836</v>
      </c>
    </row>
    <row r="730" spans="1:15" x14ac:dyDescent="0.3">
      <c r="A730">
        <v>7007744171</v>
      </c>
      <c r="B730" s="1">
        <v>42489</v>
      </c>
      <c r="C730">
        <v>20067</v>
      </c>
      <c r="D730">
        <v>14.300000190734901</v>
      </c>
      <c r="E730">
        <v>13.420000076293899</v>
      </c>
      <c r="F730">
        <v>4.9111461639404297</v>
      </c>
      <c r="G730">
        <v>4.3099999427795401</v>
      </c>
      <c r="H730">
        <v>2.0499999523162802</v>
      </c>
      <c r="I730">
        <v>7.9499998092651403</v>
      </c>
      <c r="J730">
        <v>0</v>
      </c>
      <c r="K730">
        <v>55</v>
      </c>
      <c r="L730">
        <v>42</v>
      </c>
      <c r="M730">
        <v>382</v>
      </c>
      <c r="N730">
        <v>961</v>
      </c>
      <c r="O730">
        <v>3180</v>
      </c>
    </row>
    <row r="731" spans="1:15" x14ac:dyDescent="0.3">
      <c r="A731">
        <v>7007744171</v>
      </c>
      <c r="B731" s="1">
        <v>42490</v>
      </c>
      <c r="C731">
        <v>3761</v>
      </c>
      <c r="D731">
        <v>2.5199999809265101</v>
      </c>
      <c r="E731">
        <v>2.5199999809265101</v>
      </c>
      <c r="F731">
        <v>0</v>
      </c>
      <c r="G731">
        <v>0</v>
      </c>
      <c r="H731">
        <v>0</v>
      </c>
      <c r="I731">
        <v>2.5199999809265101</v>
      </c>
      <c r="J731">
        <v>0</v>
      </c>
      <c r="K731">
        <v>0</v>
      </c>
      <c r="L731">
        <v>0</v>
      </c>
      <c r="M731">
        <v>200</v>
      </c>
      <c r="N731">
        <v>1240</v>
      </c>
      <c r="O731">
        <v>2051</v>
      </c>
    </row>
    <row r="732" spans="1:15" x14ac:dyDescent="0.3">
      <c r="A732">
        <v>7007744171</v>
      </c>
      <c r="B732" s="1">
        <v>42491</v>
      </c>
      <c r="C732">
        <v>5600</v>
      </c>
      <c r="D732">
        <v>3.75</v>
      </c>
      <c r="E732">
        <v>3.75</v>
      </c>
      <c r="F732">
        <v>0</v>
      </c>
      <c r="G732">
        <v>0</v>
      </c>
      <c r="H732">
        <v>0</v>
      </c>
      <c r="I732">
        <v>3.75</v>
      </c>
      <c r="J732">
        <v>0</v>
      </c>
      <c r="K732">
        <v>0</v>
      </c>
      <c r="L732">
        <v>0</v>
      </c>
      <c r="M732">
        <v>237</v>
      </c>
      <c r="N732">
        <v>1142</v>
      </c>
      <c r="O732">
        <v>2225</v>
      </c>
    </row>
    <row r="733" spans="1:15" x14ac:dyDescent="0.3">
      <c r="A733">
        <v>7007744171</v>
      </c>
      <c r="B733" s="1">
        <v>42492</v>
      </c>
      <c r="C733">
        <v>13041</v>
      </c>
      <c r="D733">
        <v>9.1800003051757795</v>
      </c>
      <c r="E733">
        <v>8.7200002670288104</v>
      </c>
      <c r="F733">
        <v>2.83232593536377</v>
      </c>
      <c r="G733">
        <v>4.6399998664856001</v>
      </c>
      <c r="H733">
        <v>0.69999998807907104</v>
      </c>
      <c r="I733">
        <v>3.8299999237060498</v>
      </c>
      <c r="J733">
        <v>0</v>
      </c>
      <c r="K733">
        <v>64</v>
      </c>
      <c r="L733">
        <v>14</v>
      </c>
      <c r="M733">
        <v>250</v>
      </c>
      <c r="N733">
        <v>1112</v>
      </c>
      <c r="O733">
        <v>2642</v>
      </c>
    </row>
    <row r="734" spans="1:15" x14ac:dyDescent="0.3">
      <c r="A734">
        <v>7007744171</v>
      </c>
      <c r="B734" s="1">
        <v>42493</v>
      </c>
      <c r="C734">
        <v>14510</v>
      </c>
      <c r="D734">
        <v>10.8699998855591</v>
      </c>
      <c r="E734">
        <v>9.7100000381469709</v>
      </c>
      <c r="F734">
        <v>4.9123678207397496</v>
      </c>
      <c r="G734">
        <v>4.4800000190734899</v>
      </c>
      <c r="H734">
        <v>1.0199999809265099</v>
      </c>
      <c r="I734">
        <v>5.3600001335143999</v>
      </c>
      <c r="J734">
        <v>0</v>
      </c>
      <c r="K734">
        <v>58</v>
      </c>
      <c r="L734">
        <v>31</v>
      </c>
      <c r="M734">
        <v>330</v>
      </c>
      <c r="N734">
        <v>1021</v>
      </c>
      <c r="O734">
        <v>2976</v>
      </c>
    </row>
    <row r="735" spans="1:15" x14ac:dyDescent="0.3">
      <c r="A735">
        <v>7007744171</v>
      </c>
      <c r="B735" s="1">
        <v>42494</v>
      </c>
      <c r="C735">
        <v>0</v>
      </c>
      <c r="D735">
        <v>0</v>
      </c>
      <c r="E735">
        <v>0</v>
      </c>
      <c r="F735">
        <v>0</v>
      </c>
      <c r="G735">
        <v>0</v>
      </c>
      <c r="H735">
        <v>0</v>
      </c>
      <c r="I735">
        <v>0</v>
      </c>
      <c r="J735">
        <v>0</v>
      </c>
      <c r="K735">
        <v>0</v>
      </c>
      <c r="L735">
        <v>0</v>
      </c>
      <c r="M735">
        <v>0</v>
      </c>
      <c r="N735">
        <v>1440</v>
      </c>
      <c r="O735">
        <v>1557</v>
      </c>
    </row>
    <row r="736" spans="1:15" x14ac:dyDescent="0.3">
      <c r="A736">
        <v>7007744171</v>
      </c>
      <c r="B736" s="1">
        <v>42495</v>
      </c>
      <c r="C736">
        <v>15010</v>
      </c>
      <c r="D736">
        <v>11.1000003814697</v>
      </c>
      <c r="E736">
        <v>10.039999961853001</v>
      </c>
      <c r="F736">
        <v>4.8782320022582999</v>
      </c>
      <c r="G736">
        <v>4.3299999237060502</v>
      </c>
      <c r="H736">
        <v>1.28999996185303</v>
      </c>
      <c r="I736">
        <v>5.4800000190734899</v>
      </c>
      <c r="J736">
        <v>0</v>
      </c>
      <c r="K736">
        <v>53</v>
      </c>
      <c r="L736">
        <v>23</v>
      </c>
      <c r="M736">
        <v>317</v>
      </c>
      <c r="N736">
        <v>1047</v>
      </c>
      <c r="O736">
        <v>2933</v>
      </c>
    </row>
    <row r="737" spans="1:15" x14ac:dyDescent="0.3">
      <c r="A737">
        <v>7007744171</v>
      </c>
      <c r="B737" s="1">
        <v>42496</v>
      </c>
      <c r="C737">
        <v>11459</v>
      </c>
      <c r="D737">
        <v>7.6700000762939498</v>
      </c>
      <c r="E737">
        <v>7.6700000762939498</v>
      </c>
      <c r="F737">
        <v>0</v>
      </c>
      <c r="G737">
        <v>3</v>
      </c>
      <c r="H737">
        <v>0.81000000238418601</v>
      </c>
      <c r="I737">
        <v>3.8599998950958301</v>
      </c>
      <c r="J737">
        <v>0</v>
      </c>
      <c r="K737">
        <v>44</v>
      </c>
      <c r="L737">
        <v>13</v>
      </c>
      <c r="M737">
        <v>247</v>
      </c>
      <c r="N737">
        <v>1136</v>
      </c>
      <c r="O737">
        <v>2553</v>
      </c>
    </row>
    <row r="738" spans="1:15" x14ac:dyDescent="0.3">
      <c r="A738">
        <v>7007744171</v>
      </c>
      <c r="B738" s="1">
        <v>42497</v>
      </c>
      <c r="C738">
        <v>0</v>
      </c>
      <c r="D738">
        <v>0</v>
      </c>
      <c r="E738">
        <v>0</v>
      </c>
      <c r="F738">
        <v>0</v>
      </c>
      <c r="G738">
        <v>0</v>
      </c>
      <c r="H738">
        <v>0</v>
      </c>
      <c r="I738">
        <v>0</v>
      </c>
      <c r="J738">
        <v>0</v>
      </c>
      <c r="K738">
        <v>0</v>
      </c>
      <c r="L738">
        <v>0</v>
      </c>
      <c r="M738">
        <v>0</v>
      </c>
      <c r="N738">
        <v>111</v>
      </c>
      <c r="O738">
        <v>120</v>
      </c>
    </row>
    <row r="739" spans="1:15" x14ac:dyDescent="0.3">
      <c r="A739">
        <v>7086361926</v>
      </c>
      <c r="B739" s="1">
        <v>42472</v>
      </c>
      <c r="C739">
        <v>11317</v>
      </c>
      <c r="D739">
        <v>8.4099998474121094</v>
      </c>
      <c r="E739">
        <v>8.4099998474121094</v>
      </c>
      <c r="F739">
        <v>0</v>
      </c>
      <c r="G739">
        <v>5.2699999809265101</v>
      </c>
      <c r="H739">
        <v>0.15000000596046401</v>
      </c>
      <c r="I739">
        <v>2.9700000286102299</v>
      </c>
      <c r="J739">
        <v>0</v>
      </c>
      <c r="K739">
        <v>59</v>
      </c>
      <c r="L739">
        <v>6</v>
      </c>
      <c r="M739">
        <v>153</v>
      </c>
      <c r="N739">
        <v>745</v>
      </c>
      <c r="O739">
        <v>2772</v>
      </c>
    </row>
    <row r="740" spans="1:15" x14ac:dyDescent="0.3">
      <c r="A740">
        <v>7086361926</v>
      </c>
      <c r="B740" s="1">
        <v>42473</v>
      </c>
      <c r="C740">
        <v>5813</v>
      </c>
      <c r="D740">
        <v>3.6199998855590798</v>
      </c>
      <c r="E740">
        <v>3.6199998855590798</v>
      </c>
      <c r="F740">
        <v>0</v>
      </c>
      <c r="G740">
        <v>0.56000000238418601</v>
      </c>
      <c r="H740">
        <v>0.20999999344348899</v>
      </c>
      <c r="I740">
        <v>2.8399999141693102</v>
      </c>
      <c r="J740">
        <v>0</v>
      </c>
      <c r="K740">
        <v>31</v>
      </c>
      <c r="L740">
        <v>26</v>
      </c>
      <c r="M740">
        <v>155</v>
      </c>
      <c r="N740">
        <v>744</v>
      </c>
      <c r="O740">
        <v>2516</v>
      </c>
    </row>
    <row r="741" spans="1:15" x14ac:dyDescent="0.3">
      <c r="A741">
        <v>7086361926</v>
      </c>
      <c r="B741" s="1">
        <v>42474</v>
      </c>
      <c r="C741">
        <v>9123</v>
      </c>
      <c r="D741">
        <v>6.1199998855590803</v>
      </c>
      <c r="E741">
        <v>6.1199998855590803</v>
      </c>
      <c r="F741">
        <v>0</v>
      </c>
      <c r="G741">
        <v>2.0299999713897701</v>
      </c>
      <c r="H741">
        <v>0.33000001311302202</v>
      </c>
      <c r="I741">
        <v>3.6600000858306898</v>
      </c>
      <c r="J741">
        <v>0</v>
      </c>
      <c r="K741">
        <v>35</v>
      </c>
      <c r="L741">
        <v>32</v>
      </c>
      <c r="M741">
        <v>189</v>
      </c>
      <c r="N741">
        <v>787</v>
      </c>
      <c r="O741">
        <v>2734</v>
      </c>
    </row>
    <row r="742" spans="1:15" x14ac:dyDescent="0.3">
      <c r="A742">
        <v>7086361926</v>
      </c>
      <c r="B742" s="1">
        <v>42475</v>
      </c>
      <c r="C742">
        <v>8585</v>
      </c>
      <c r="D742">
        <v>5.6700000762939498</v>
      </c>
      <c r="E742">
        <v>5.6700000762939498</v>
      </c>
      <c r="F742">
        <v>0</v>
      </c>
      <c r="G742">
        <v>2.03999996185303</v>
      </c>
      <c r="H742">
        <v>1.1100000143051101</v>
      </c>
      <c r="I742">
        <v>2.5299999713897701</v>
      </c>
      <c r="J742">
        <v>0</v>
      </c>
      <c r="K742">
        <v>30</v>
      </c>
      <c r="L742">
        <v>21</v>
      </c>
      <c r="M742">
        <v>139</v>
      </c>
      <c r="N742">
        <v>864</v>
      </c>
      <c r="O742">
        <v>2395</v>
      </c>
    </row>
    <row r="743" spans="1:15" x14ac:dyDescent="0.3">
      <c r="A743">
        <v>7086361926</v>
      </c>
      <c r="B743" s="1">
        <v>42476</v>
      </c>
      <c r="C743">
        <v>31</v>
      </c>
      <c r="D743">
        <v>9.9999997764825804E-3</v>
      </c>
      <c r="E743">
        <v>9.9999997764825804E-3</v>
      </c>
      <c r="F743">
        <v>0</v>
      </c>
      <c r="G743">
        <v>0</v>
      </c>
      <c r="H743">
        <v>0</v>
      </c>
      <c r="I743">
        <v>9.9999997764825804E-3</v>
      </c>
      <c r="J743">
        <v>0</v>
      </c>
      <c r="K743">
        <v>0</v>
      </c>
      <c r="L743">
        <v>0</v>
      </c>
      <c r="M743">
        <v>3</v>
      </c>
      <c r="N743">
        <v>1437</v>
      </c>
      <c r="O743">
        <v>1635</v>
      </c>
    </row>
    <row r="744" spans="1:15" x14ac:dyDescent="0.3">
      <c r="A744">
        <v>7086361926</v>
      </c>
      <c r="B744" s="1">
        <v>42477</v>
      </c>
      <c r="C744">
        <v>0</v>
      </c>
      <c r="D744">
        <v>0</v>
      </c>
      <c r="E744">
        <v>0</v>
      </c>
      <c r="F744">
        <v>0</v>
      </c>
      <c r="G744">
        <v>0</v>
      </c>
      <c r="H744">
        <v>0</v>
      </c>
      <c r="I744">
        <v>0</v>
      </c>
      <c r="J744">
        <v>0</v>
      </c>
      <c r="K744">
        <v>0</v>
      </c>
      <c r="L744">
        <v>0</v>
      </c>
      <c r="M744">
        <v>0</v>
      </c>
      <c r="N744">
        <v>1440</v>
      </c>
      <c r="O744">
        <v>1629</v>
      </c>
    </row>
    <row r="745" spans="1:15" x14ac:dyDescent="0.3">
      <c r="A745">
        <v>7086361926</v>
      </c>
      <c r="B745" s="1">
        <v>42478</v>
      </c>
      <c r="C745">
        <v>9827</v>
      </c>
      <c r="D745">
        <v>6.71000003814697</v>
      </c>
      <c r="E745">
        <v>6.71000003814697</v>
      </c>
      <c r="F745">
        <v>0</v>
      </c>
      <c r="G745">
        <v>3.1700000762939502</v>
      </c>
      <c r="H745">
        <v>1.2200000286102299</v>
      </c>
      <c r="I745">
        <v>2.3099999427795401</v>
      </c>
      <c r="J745">
        <v>0</v>
      </c>
      <c r="K745">
        <v>61</v>
      </c>
      <c r="L745">
        <v>51</v>
      </c>
      <c r="M745">
        <v>114</v>
      </c>
      <c r="N745">
        <v>1136</v>
      </c>
      <c r="O745">
        <v>2743</v>
      </c>
    </row>
    <row r="746" spans="1:15" x14ac:dyDescent="0.3">
      <c r="A746">
        <v>7086361926</v>
      </c>
      <c r="B746" s="1">
        <v>42479</v>
      </c>
      <c r="C746">
        <v>10688</v>
      </c>
      <c r="D746">
        <v>7.28999996185303</v>
      </c>
      <c r="E746">
        <v>7.28999996185303</v>
      </c>
      <c r="F746">
        <v>0</v>
      </c>
      <c r="G746">
        <v>3.5299999713897701</v>
      </c>
      <c r="H746">
        <v>1.2300000190734901</v>
      </c>
      <c r="I746">
        <v>2.5099999904632599</v>
      </c>
      <c r="J746">
        <v>0</v>
      </c>
      <c r="K746">
        <v>67</v>
      </c>
      <c r="L746">
        <v>69</v>
      </c>
      <c r="M746">
        <v>124</v>
      </c>
      <c r="N746">
        <v>671</v>
      </c>
      <c r="O746">
        <v>2944</v>
      </c>
    </row>
    <row r="747" spans="1:15" x14ac:dyDescent="0.3">
      <c r="A747">
        <v>7086361926</v>
      </c>
      <c r="B747" s="1">
        <v>42480</v>
      </c>
      <c r="C747">
        <v>14365</v>
      </c>
      <c r="D747">
        <v>10.6400003433228</v>
      </c>
      <c r="E747">
        <v>10.6400003433228</v>
      </c>
      <c r="F747">
        <v>0</v>
      </c>
      <c r="G747">
        <v>7.6399998664856001</v>
      </c>
      <c r="H747">
        <v>0.44999998807907099</v>
      </c>
      <c r="I747">
        <v>2.53999996185303</v>
      </c>
      <c r="J747">
        <v>0</v>
      </c>
      <c r="K747">
        <v>87</v>
      </c>
      <c r="L747">
        <v>13</v>
      </c>
      <c r="M747">
        <v>145</v>
      </c>
      <c r="N747">
        <v>797</v>
      </c>
      <c r="O747">
        <v>2997</v>
      </c>
    </row>
    <row r="748" spans="1:15" x14ac:dyDescent="0.3">
      <c r="A748">
        <v>7086361926</v>
      </c>
      <c r="B748" s="1">
        <v>42481</v>
      </c>
      <c r="C748">
        <v>9469</v>
      </c>
      <c r="D748">
        <v>6.1799998283386204</v>
      </c>
      <c r="E748">
        <v>6.1799998283386204</v>
      </c>
      <c r="F748">
        <v>0</v>
      </c>
      <c r="G748">
        <v>1.3600000143051101</v>
      </c>
      <c r="H748">
        <v>0.30000001192092901</v>
      </c>
      <c r="I748">
        <v>4.5100002288818404</v>
      </c>
      <c r="J748">
        <v>0</v>
      </c>
      <c r="K748">
        <v>19</v>
      </c>
      <c r="L748">
        <v>6</v>
      </c>
      <c r="M748">
        <v>206</v>
      </c>
      <c r="N748">
        <v>758</v>
      </c>
      <c r="O748">
        <v>2463</v>
      </c>
    </row>
    <row r="749" spans="1:15" x14ac:dyDescent="0.3">
      <c r="A749">
        <v>7086361926</v>
      </c>
      <c r="B749" s="1">
        <v>42482</v>
      </c>
      <c r="C749">
        <v>9753</v>
      </c>
      <c r="D749">
        <v>6.5300002098083496</v>
      </c>
      <c r="E749">
        <v>6.5300002098083496</v>
      </c>
      <c r="F749">
        <v>0</v>
      </c>
      <c r="G749">
        <v>2.8699998855590798</v>
      </c>
      <c r="H749">
        <v>0.97000002861022905</v>
      </c>
      <c r="I749">
        <v>2.6700000762939502</v>
      </c>
      <c r="J749">
        <v>0</v>
      </c>
      <c r="K749">
        <v>58</v>
      </c>
      <c r="L749">
        <v>59</v>
      </c>
      <c r="M749">
        <v>153</v>
      </c>
      <c r="N749">
        <v>762</v>
      </c>
      <c r="O749">
        <v>2846</v>
      </c>
    </row>
    <row r="750" spans="1:15" x14ac:dyDescent="0.3">
      <c r="A750">
        <v>7086361926</v>
      </c>
      <c r="B750" s="1">
        <v>42483</v>
      </c>
      <c r="C750">
        <v>2817</v>
      </c>
      <c r="D750">
        <v>1.8099999427795399</v>
      </c>
      <c r="E750">
        <v>1.8099999427795399</v>
      </c>
      <c r="F750">
        <v>0</v>
      </c>
      <c r="G750">
        <v>0</v>
      </c>
      <c r="H750">
        <v>0</v>
      </c>
      <c r="I750">
        <v>1.79999995231628</v>
      </c>
      <c r="J750">
        <v>0</v>
      </c>
      <c r="K750">
        <v>0</v>
      </c>
      <c r="L750">
        <v>0</v>
      </c>
      <c r="M750">
        <v>90</v>
      </c>
      <c r="N750">
        <v>1350</v>
      </c>
      <c r="O750">
        <v>1965</v>
      </c>
    </row>
    <row r="751" spans="1:15" x14ac:dyDescent="0.3">
      <c r="A751">
        <v>7086361926</v>
      </c>
      <c r="B751" s="1">
        <v>42484</v>
      </c>
      <c r="C751">
        <v>3520</v>
      </c>
      <c r="D751">
        <v>2.1600000858306898</v>
      </c>
      <c r="E751">
        <v>2.1600000858306898</v>
      </c>
      <c r="F751">
        <v>0</v>
      </c>
      <c r="G751">
        <v>0</v>
      </c>
      <c r="H751">
        <v>0</v>
      </c>
      <c r="I751">
        <v>2.1500000953674299</v>
      </c>
      <c r="J751">
        <v>0</v>
      </c>
      <c r="K751">
        <v>0</v>
      </c>
      <c r="L751">
        <v>0</v>
      </c>
      <c r="M751">
        <v>125</v>
      </c>
      <c r="N751">
        <v>566</v>
      </c>
      <c r="O751">
        <v>2049</v>
      </c>
    </row>
    <row r="752" spans="1:15" x14ac:dyDescent="0.3">
      <c r="A752">
        <v>7086361926</v>
      </c>
      <c r="B752" s="1">
        <v>42485</v>
      </c>
      <c r="C752">
        <v>10091</v>
      </c>
      <c r="D752">
        <v>6.8200001716613796</v>
      </c>
      <c r="E752">
        <v>6.8200001716613796</v>
      </c>
      <c r="F752">
        <v>0</v>
      </c>
      <c r="G752">
        <v>3.75</v>
      </c>
      <c r="H752">
        <v>0.69999998807907104</v>
      </c>
      <c r="I752">
        <v>2.3699998855590798</v>
      </c>
      <c r="J752">
        <v>0</v>
      </c>
      <c r="K752">
        <v>69</v>
      </c>
      <c r="L752">
        <v>39</v>
      </c>
      <c r="M752">
        <v>129</v>
      </c>
      <c r="N752">
        <v>706</v>
      </c>
      <c r="O752">
        <v>2752</v>
      </c>
    </row>
    <row r="753" spans="1:15" x14ac:dyDescent="0.3">
      <c r="A753">
        <v>7086361926</v>
      </c>
      <c r="B753" s="1">
        <v>42486</v>
      </c>
      <c r="C753">
        <v>10387</v>
      </c>
      <c r="D753">
        <v>7.0700001716613796</v>
      </c>
      <c r="E753">
        <v>7.0700001716613796</v>
      </c>
      <c r="F753">
        <v>0</v>
      </c>
      <c r="G753">
        <v>4.1599998474121103</v>
      </c>
      <c r="H753">
        <v>0.769999980926514</v>
      </c>
      <c r="I753">
        <v>2.1199998855590798</v>
      </c>
      <c r="J753">
        <v>0</v>
      </c>
      <c r="K753">
        <v>70</v>
      </c>
      <c r="L753">
        <v>33</v>
      </c>
      <c r="M753">
        <v>132</v>
      </c>
      <c r="N753">
        <v>726</v>
      </c>
      <c r="O753">
        <v>2781</v>
      </c>
    </row>
    <row r="754" spans="1:15" x14ac:dyDescent="0.3">
      <c r="A754">
        <v>7086361926</v>
      </c>
      <c r="B754" s="1">
        <v>42487</v>
      </c>
      <c r="C754">
        <v>11107</v>
      </c>
      <c r="D754">
        <v>8.3400001525878906</v>
      </c>
      <c r="E754">
        <v>8.3400001525878906</v>
      </c>
      <c r="F754">
        <v>0</v>
      </c>
      <c r="G754">
        <v>5.6300001144409197</v>
      </c>
      <c r="H754">
        <v>0.18000000715255701</v>
      </c>
      <c r="I754">
        <v>2.5299999713897701</v>
      </c>
      <c r="J754">
        <v>0</v>
      </c>
      <c r="K754">
        <v>55</v>
      </c>
      <c r="L754">
        <v>6</v>
      </c>
      <c r="M754">
        <v>145</v>
      </c>
      <c r="N754">
        <v>829</v>
      </c>
      <c r="O754">
        <v>2693</v>
      </c>
    </row>
    <row r="755" spans="1:15" x14ac:dyDescent="0.3">
      <c r="A755">
        <v>7086361926</v>
      </c>
      <c r="B755" s="1">
        <v>42488</v>
      </c>
      <c r="C755">
        <v>11584</v>
      </c>
      <c r="D755">
        <v>7.8000001907348597</v>
      </c>
      <c r="E755">
        <v>7.8000001907348597</v>
      </c>
      <c r="F755">
        <v>0</v>
      </c>
      <c r="G755">
        <v>2.78999996185303</v>
      </c>
      <c r="H755">
        <v>1.6399999856948899</v>
      </c>
      <c r="I755">
        <v>3.3599998950958301</v>
      </c>
      <c r="J755">
        <v>0</v>
      </c>
      <c r="K755">
        <v>54</v>
      </c>
      <c r="L755">
        <v>48</v>
      </c>
      <c r="M755">
        <v>161</v>
      </c>
      <c r="N755">
        <v>810</v>
      </c>
      <c r="O755">
        <v>2862</v>
      </c>
    </row>
    <row r="756" spans="1:15" x14ac:dyDescent="0.3">
      <c r="A756">
        <v>7086361926</v>
      </c>
      <c r="B756" s="1">
        <v>42489</v>
      </c>
      <c r="C756">
        <v>7881</v>
      </c>
      <c r="D756">
        <v>4.9499998092651403</v>
      </c>
      <c r="E756">
        <v>4.9499998092651403</v>
      </c>
      <c r="F756">
        <v>0</v>
      </c>
      <c r="G756">
        <v>0.490000009536743</v>
      </c>
      <c r="H756">
        <v>0.44999998807907099</v>
      </c>
      <c r="I756">
        <v>4</v>
      </c>
      <c r="J756">
        <v>0</v>
      </c>
      <c r="K756">
        <v>24</v>
      </c>
      <c r="L756">
        <v>36</v>
      </c>
      <c r="M756">
        <v>182</v>
      </c>
      <c r="N756">
        <v>1198</v>
      </c>
      <c r="O756">
        <v>2616</v>
      </c>
    </row>
    <row r="757" spans="1:15" x14ac:dyDescent="0.3">
      <c r="A757">
        <v>7086361926</v>
      </c>
      <c r="B757" s="1">
        <v>42490</v>
      </c>
      <c r="C757">
        <v>14560</v>
      </c>
      <c r="D757">
        <v>9.4099998474121094</v>
      </c>
      <c r="E757">
        <v>9.4099998474121094</v>
      </c>
      <c r="F757">
        <v>0</v>
      </c>
      <c r="G757">
        <v>3.1199998855590798</v>
      </c>
      <c r="H757">
        <v>1.03999996185303</v>
      </c>
      <c r="I757">
        <v>5.2399997711181596</v>
      </c>
      <c r="J757">
        <v>0</v>
      </c>
      <c r="K757">
        <v>42</v>
      </c>
      <c r="L757">
        <v>17</v>
      </c>
      <c r="M757">
        <v>308</v>
      </c>
      <c r="N757">
        <v>584</v>
      </c>
      <c r="O757">
        <v>2995</v>
      </c>
    </row>
    <row r="758" spans="1:15" x14ac:dyDescent="0.3">
      <c r="A758">
        <v>7086361926</v>
      </c>
      <c r="B758" s="1">
        <v>42491</v>
      </c>
      <c r="C758">
        <v>12390</v>
      </c>
      <c r="D758">
        <v>8.0699996948242205</v>
      </c>
      <c r="E758">
        <v>8.0699996948242205</v>
      </c>
      <c r="F758">
        <v>0</v>
      </c>
      <c r="G758">
        <v>2.2999999523162802</v>
      </c>
      <c r="H758">
        <v>0.89999997615814198</v>
      </c>
      <c r="I758">
        <v>4.8499999046325701</v>
      </c>
      <c r="J758">
        <v>0</v>
      </c>
      <c r="K758">
        <v>30</v>
      </c>
      <c r="L758">
        <v>15</v>
      </c>
      <c r="M758">
        <v>258</v>
      </c>
      <c r="N758">
        <v>685</v>
      </c>
      <c r="O758">
        <v>2730</v>
      </c>
    </row>
    <row r="759" spans="1:15" x14ac:dyDescent="0.3">
      <c r="A759">
        <v>7086361926</v>
      </c>
      <c r="B759" s="1">
        <v>42492</v>
      </c>
      <c r="C759">
        <v>10052</v>
      </c>
      <c r="D759">
        <v>6.8099999427795401</v>
      </c>
      <c r="E759">
        <v>6.8099999427795401</v>
      </c>
      <c r="F759">
        <v>0</v>
      </c>
      <c r="G759">
        <v>3.4800000190734899</v>
      </c>
      <c r="H759">
        <v>0.66000002622604403</v>
      </c>
      <c r="I759">
        <v>2.6600000858306898</v>
      </c>
      <c r="J759">
        <v>0</v>
      </c>
      <c r="K759">
        <v>66</v>
      </c>
      <c r="L759">
        <v>26</v>
      </c>
      <c r="M759">
        <v>139</v>
      </c>
      <c r="N759">
        <v>737</v>
      </c>
      <c r="O759">
        <v>2754</v>
      </c>
    </row>
    <row r="760" spans="1:15" x14ac:dyDescent="0.3">
      <c r="A760">
        <v>7086361926</v>
      </c>
      <c r="B760" s="1">
        <v>42493</v>
      </c>
      <c r="C760">
        <v>10288</v>
      </c>
      <c r="D760">
        <v>6.7600002288818404</v>
      </c>
      <c r="E760">
        <v>6.7600002288818404</v>
      </c>
      <c r="F760">
        <v>0</v>
      </c>
      <c r="G760">
        <v>2.7400000095367401</v>
      </c>
      <c r="H760">
        <v>0.85000002384185802</v>
      </c>
      <c r="I760">
        <v>3.1600000858306898</v>
      </c>
      <c r="J760">
        <v>0</v>
      </c>
      <c r="K760">
        <v>57</v>
      </c>
      <c r="L760">
        <v>36</v>
      </c>
      <c r="M760">
        <v>152</v>
      </c>
      <c r="N760">
        <v>761</v>
      </c>
      <c r="O760">
        <v>2754</v>
      </c>
    </row>
    <row r="761" spans="1:15" x14ac:dyDescent="0.3">
      <c r="A761">
        <v>7086361926</v>
      </c>
      <c r="B761" s="1">
        <v>42494</v>
      </c>
      <c r="C761">
        <v>10988</v>
      </c>
      <c r="D761">
        <v>8.3100004196166992</v>
      </c>
      <c r="E761">
        <v>8.3100004196166992</v>
      </c>
      <c r="F761">
        <v>0</v>
      </c>
      <c r="G761">
        <v>5.2800002098083496</v>
      </c>
      <c r="H761">
        <v>0.119999997317791</v>
      </c>
      <c r="I761">
        <v>2.9000000953674299</v>
      </c>
      <c r="J761">
        <v>0</v>
      </c>
      <c r="K761">
        <v>45</v>
      </c>
      <c r="L761">
        <v>12</v>
      </c>
      <c r="M761">
        <v>135</v>
      </c>
      <c r="N761">
        <v>843</v>
      </c>
      <c r="O761">
        <v>2655</v>
      </c>
    </row>
    <row r="762" spans="1:15" x14ac:dyDescent="0.3">
      <c r="A762">
        <v>7086361926</v>
      </c>
      <c r="B762" s="1">
        <v>42495</v>
      </c>
      <c r="C762">
        <v>8564</v>
      </c>
      <c r="D762">
        <v>5.5999999046325701</v>
      </c>
      <c r="E762">
        <v>5.5999999046325701</v>
      </c>
      <c r="F762">
        <v>0</v>
      </c>
      <c r="G762">
        <v>1.7799999713897701</v>
      </c>
      <c r="H762">
        <v>0.82999998331069902</v>
      </c>
      <c r="I762">
        <v>2.9500000476837198</v>
      </c>
      <c r="J762">
        <v>0</v>
      </c>
      <c r="K762">
        <v>24</v>
      </c>
      <c r="L762">
        <v>14</v>
      </c>
      <c r="M762">
        <v>149</v>
      </c>
      <c r="N762">
        <v>1253</v>
      </c>
      <c r="O762">
        <v>2386</v>
      </c>
    </row>
    <row r="763" spans="1:15" x14ac:dyDescent="0.3">
      <c r="A763">
        <v>7086361926</v>
      </c>
      <c r="B763" s="1">
        <v>42496</v>
      </c>
      <c r="C763">
        <v>12461</v>
      </c>
      <c r="D763">
        <v>8.3800001144409197</v>
      </c>
      <c r="E763">
        <v>8.3800001144409197</v>
      </c>
      <c r="F763">
        <v>0</v>
      </c>
      <c r="G763">
        <v>3.8199999332428001</v>
      </c>
      <c r="H763">
        <v>1.4299999475479099</v>
      </c>
      <c r="I763">
        <v>3.1199998855590798</v>
      </c>
      <c r="J763">
        <v>0</v>
      </c>
      <c r="K763">
        <v>84</v>
      </c>
      <c r="L763">
        <v>35</v>
      </c>
      <c r="M763">
        <v>154</v>
      </c>
      <c r="N763">
        <v>834</v>
      </c>
      <c r="O763">
        <v>2924</v>
      </c>
    </row>
    <row r="764" spans="1:15" x14ac:dyDescent="0.3">
      <c r="A764">
        <v>7086361926</v>
      </c>
      <c r="B764" s="1">
        <v>42497</v>
      </c>
      <c r="C764">
        <v>12827</v>
      </c>
      <c r="D764">
        <v>8.4799995422363299</v>
      </c>
      <c r="E764">
        <v>8.4799995422363299</v>
      </c>
      <c r="F764">
        <v>0</v>
      </c>
      <c r="G764">
        <v>1.46000003814697</v>
      </c>
      <c r="H764">
        <v>2.3299999237060498</v>
      </c>
      <c r="I764">
        <v>4.6799998283386204</v>
      </c>
      <c r="J764">
        <v>0</v>
      </c>
      <c r="K764">
        <v>20</v>
      </c>
      <c r="L764">
        <v>42</v>
      </c>
      <c r="M764">
        <v>209</v>
      </c>
      <c r="N764">
        <v>621</v>
      </c>
      <c r="O764">
        <v>2739</v>
      </c>
    </row>
    <row r="765" spans="1:15" x14ac:dyDescent="0.3">
      <c r="A765">
        <v>7086361926</v>
      </c>
      <c r="B765" s="1">
        <v>42498</v>
      </c>
      <c r="C765">
        <v>10677</v>
      </c>
      <c r="D765">
        <v>7.0999999046325701</v>
      </c>
      <c r="E765">
        <v>7.0999999046325701</v>
      </c>
      <c r="F765">
        <v>0</v>
      </c>
      <c r="G765">
        <v>2.3099999427795401</v>
      </c>
      <c r="H765">
        <v>1.5299999713897701</v>
      </c>
      <c r="I765">
        <v>3.25</v>
      </c>
      <c r="J765">
        <v>0</v>
      </c>
      <c r="K765">
        <v>32</v>
      </c>
      <c r="L765">
        <v>27</v>
      </c>
      <c r="M765">
        <v>147</v>
      </c>
      <c r="N765">
        <v>695</v>
      </c>
      <c r="O765">
        <v>2534</v>
      </c>
    </row>
    <row r="766" spans="1:15" x14ac:dyDescent="0.3">
      <c r="A766">
        <v>7086361926</v>
      </c>
      <c r="B766" s="1">
        <v>42499</v>
      </c>
      <c r="C766">
        <v>13566</v>
      </c>
      <c r="D766">
        <v>9.1099996566772496</v>
      </c>
      <c r="E766">
        <v>9.1099996566772496</v>
      </c>
      <c r="F766">
        <v>0</v>
      </c>
      <c r="G766">
        <v>4.2600002288818404</v>
      </c>
      <c r="H766">
        <v>1.71000003814697</v>
      </c>
      <c r="I766">
        <v>3.1199998855590798</v>
      </c>
      <c r="J766">
        <v>0</v>
      </c>
      <c r="K766">
        <v>67</v>
      </c>
      <c r="L766">
        <v>50</v>
      </c>
      <c r="M766">
        <v>171</v>
      </c>
      <c r="N766">
        <v>743</v>
      </c>
      <c r="O766">
        <v>2960</v>
      </c>
    </row>
    <row r="767" spans="1:15" x14ac:dyDescent="0.3">
      <c r="A767">
        <v>7086361926</v>
      </c>
      <c r="B767" s="1">
        <v>42500</v>
      </c>
      <c r="C767">
        <v>14433</v>
      </c>
      <c r="D767">
        <v>10.789999961853001</v>
      </c>
      <c r="E767">
        <v>10.789999961853001</v>
      </c>
      <c r="F767">
        <v>0</v>
      </c>
      <c r="G767">
        <v>7.1100001335143999</v>
      </c>
      <c r="H767">
        <v>1.20000004768372</v>
      </c>
      <c r="I767">
        <v>2.4500000476837198</v>
      </c>
      <c r="J767">
        <v>0</v>
      </c>
      <c r="K767">
        <v>72</v>
      </c>
      <c r="L767">
        <v>23</v>
      </c>
      <c r="M767">
        <v>106</v>
      </c>
      <c r="N767">
        <v>1182</v>
      </c>
      <c r="O767">
        <v>2800</v>
      </c>
    </row>
    <row r="768" spans="1:15" x14ac:dyDescent="0.3">
      <c r="A768">
        <v>7086361926</v>
      </c>
      <c r="B768" s="1">
        <v>42501</v>
      </c>
      <c r="C768">
        <v>9572</v>
      </c>
      <c r="D768">
        <v>6.5199999809265101</v>
      </c>
      <c r="E768">
        <v>6.5199999809265101</v>
      </c>
      <c r="F768">
        <v>0</v>
      </c>
      <c r="G768">
        <v>2.8900001049041699</v>
      </c>
      <c r="H768">
        <v>1.3899999856948899</v>
      </c>
      <c r="I768">
        <v>2.2300000190734899</v>
      </c>
      <c r="J768">
        <v>0</v>
      </c>
      <c r="K768">
        <v>57</v>
      </c>
      <c r="L768">
        <v>40</v>
      </c>
      <c r="M768">
        <v>128</v>
      </c>
      <c r="N768">
        <v>757</v>
      </c>
      <c r="O768">
        <v>2735</v>
      </c>
    </row>
    <row r="769" spans="1:15" x14ac:dyDescent="0.3">
      <c r="A769">
        <v>7086361926</v>
      </c>
      <c r="B769" s="1">
        <v>42502</v>
      </c>
      <c r="C769">
        <v>3789</v>
      </c>
      <c r="D769">
        <v>2.5599999427795401</v>
      </c>
      <c r="E769">
        <v>2.5599999427795401</v>
      </c>
      <c r="F769">
        <v>0</v>
      </c>
      <c r="G769">
        <v>0.37999999523162797</v>
      </c>
      <c r="H769">
        <v>0.270000010728836</v>
      </c>
      <c r="I769">
        <v>1.8899999856948899</v>
      </c>
      <c r="J769">
        <v>0</v>
      </c>
      <c r="K769">
        <v>5</v>
      </c>
      <c r="L769">
        <v>4</v>
      </c>
      <c r="M769">
        <v>58</v>
      </c>
      <c r="N769">
        <v>343</v>
      </c>
      <c r="O769">
        <v>1199</v>
      </c>
    </row>
    <row r="770" spans="1:15" x14ac:dyDescent="0.3">
      <c r="A770">
        <v>8053475328</v>
      </c>
      <c r="B770" s="1">
        <v>42472</v>
      </c>
      <c r="C770">
        <v>18060</v>
      </c>
      <c r="D770">
        <v>14.1199998855591</v>
      </c>
      <c r="E770">
        <v>14.1199998855591</v>
      </c>
      <c r="F770">
        <v>0</v>
      </c>
      <c r="G770">
        <v>11.6400003433228</v>
      </c>
      <c r="H770">
        <v>0.38999998569488498</v>
      </c>
      <c r="I770">
        <v>2.0999999046325701</v>
      </c>
      <c r="J770">
        <v>0</v>
      </c>
      <c r="K770">
        <v>116</v>
      </c>
      <c r="L770">
        <v>8</v>
      </c>
      <c r="M770">
        <v>123</v>
      </c>
      <c r="N770">
        <v>1193</v>
      </c>
      <c r="O770">
        <v>3186</v>
      </c>
    </row>
    <row r="771" spans="1:15" x14ac:dyDescent="0.3">
      <c r="A771">
        <v>8053475328</v>
      </c>
      <c r="B771" s="1">
        <v>42473</v>
      </c>
      <c r="C771">
        <v>16433</v>
      </c>
      <c r="D771">
        <v>13.3500003814697</v>
      </c>
      <c r="E771">
        <v>13.3500003814697</v>
      </c>
      <c r="F771">
        <v>0</v>
      </c>
      <c r="G771">
        <v>10.430000305175801</v>
      </c>
      <c r="H771">
        <v>0.46999999880790699</v>
      </c>
      <c r="I771">
        <v>2.4500000476837198</v>
      </c>
      <c r="J771">
        <v>0</v>
      </c>
      <c r="K771">
        <v>95</v>
      </c>
      <c r="L771">
        <v>12</v>
      </c>
      <c r="M771">
        <v>156</v>
      </c>
      <c r="N771">
        <v>1177</v>
      </c>
      <c r="O771">
        <v>3140</v>
      </c>
    </row>
    <row r="772" spans="1:15" x14ac:dyDescent="0.3">
      <c r="A772">
        <v>8053475328</v>
      </c>
      <c r="B772" s="1">
        <v>42474</v>
      </c>
      <c r="C772">
        <v>20159</v>
      </c>
      <c r="D772">
        <v>15.9700002670288</v>
      </c>
      <c r="E772">
        <v>15.9700002670288</v>
      </c>
      <c r="F772">
        <v>0</v>
      </c>
      <c r="G772">
        <v>12.3400001525879</v>
      </c>
      <c r="H772">
        <v>0.20999999344348899</v>
      </c>
      <c r="I772">
        <v>3.3599998950958301</v>
      </c>
      <c r="J772">
        <v>0</v>
      </c>
      <c r="K772">
        <v>119</v>
      </c>
      <c r="L772">
        <v>5</v>
      </c>
      <c r="M772">
        <v>193</v>
      </c>
      <c r="N772">
        <v>1123</v>
      </c>
      <c r="O772">
        <v>3411</v>
      </c>
    </row>
    <row r="773" spans="1:15" x14ac:dyDescent="0.3">
      <c r="A773">
        <v>8053475328</v>
      </c>
      <c r="B773" s="1">
        <v>42475</v>
      </c>
      <c r="C773">
        <v>20669</v>
      </c>
      <c r="D773">
        <v>16.2399997711182</v>
      </c>
      <c r="E773">
        <v>16.2399997711182</v>
      </c>
      <c r="F773">
        <v>0</v>
      </c>
      <c r="G773">
        <v>13.2600002288818</v>
      </c>
      <c r="H773">
        <v>0.38999998569488498</v>
      </c>
      <c r="I773">
        <v>2.5899999141693102</v>
      </c>
      <c r="J773">
        <v>0</v>
      </c>
      <c r="K773">
        <v>132</v>
      </c>
      <c r="L773">
        <v>8</v>
      </c>
      <c r="M773">
        <v>158</v>
      </c>
      <c r="N773">
        <v>1142</v>
      </c>
      <c r="O773">
        <v>3410</v>
      </c>
    </row>
    <row r="774" spans="1:15" x14ac:dyDescent="0.3">
      <c r="A774">
        <v>8053475328</v>
      </c>
      <c r="B774" s="1">
        <v>42476</v>
      </c>
      <c r="C774">
        <v>14549</v>
      </c>
      <c r="D774">
        <v>11.1099996566772</v>
      </c>
      <c r="E774">
        <v>11.1099996566772</v>
      </c>
      <c r="F774">
        <v>0</v>
      </c>
      <c r="G774">
        <v>9.3599996566772496</v>
      </c>
      <c r="H774">
        <v>0.270000010728836</v>
      </c>
      <c r="I774">
        <v>1.4900000095367401</v>
      </c>
      <c r="J774">
        <v>0</v>
      </c>
      <c r="K774">
        <v>96</v>
      </c>
      <c r="L774">
        <v>6</v>
      </c>
      <c r="M774">
        <v>83</v>
      </c>
      <c r="N774">
        <v>1255</v>
      </c>
      <c r="O774">
        <v>2867</v>
      </c>
    </row>
    <row r="775" spans="1:15" x14ac:dyDescent="0.3">
      <c r="A775">
        <v>8053475328</v>
      </c>
      <c r="B775" s="1">
        <v>42477</v>
      </c>
      <c r="C775">
        <v>18827</v>
      </c>
      <c r="D775">
        <v>13.689999580383301</v>
      </c>
      <c r="E775">
        <v>13.689999580383301</v>
      </c>
      <c r="F775">
        <v>0</v>
      </c>
      <c r="G775">
        <v>9.2399997711181605</v>
      </c>
      <c r="H775">
        <v>0.80000001192092896</v>
      </c>
      <c r="I775">
        <v>3.6400001049041699</v>
      </c>
      <c r="J775">
        <v>0</v>
      </c>
      <c r="K775">
        <v>111</v>
      </c>
      <c r="L775">
        <v>21</v>
      </c>
      <c r="M775">
        <v>195</v>
      </c>
      <c r="N775">
        <v>1113</v>
      </c>
      <c r="O775">
        <v>3213</v>
      </c>
    </row>
    <row r="776" spans="1:15" x14ac:dyDescent="0.3">
      <c r="A776">
        <v>8053475328</v>
      </c>
      <c r="B776" s="1">
        <v>42478</v>
      </c>
      <c r="C776">
        <v>17076</v>
      </c>
      <c r="D776">
        <v>12.6599998474121</v>
      </c>
      <c r="E776">
        <v>12.6599998474121</v>
      </c>
      <c r="F776">
        <v>0</v>
      </c>
      <c r="G776">
        <v>9.0799999237060494</v>
      </c>
      <c r="H776">
        <v>0.230000004172325</v>
      </c>
      <c r="I776">
        <v>3.3499999046325701</v>
      </c>
      <c r="J776">
        <v>0</v>
      </c>
      <c r="K776">
        <v>102</v>
      </c>
      <c r="L776">
        <v>6</v>
      </c>
      <c r="M776">
        <v>195</v>
      </c>
      <c r="N776">
        <v>1137</v>
      </c>
      <c r="O776">
        <v>3133</v>
      </c>
    </row>
    <row r="777" spans="1:15" x14ac:dyDescent="0.3">
      <c r="A777">
        <v>8053475328</v>
      </c>
      <c r="B777" s="1">
        <v>42479</v>
      </c>
      <c r="C777">
        <v>15929</v>
      </c>
      <c r="D777">
        <v>12.4799995422363</v>
      </c>
      <c r="E777">
        <v>12.4799995422363</v>
      </c>
      <c r="F777">
        <v>0</v>
      </c>
      <c r="G777">
        <v>9.2200002670288104</v>
      </c>
      <c r="H777">
        <v>0.31000000238418601</v>
      </c>
      <c r="I777">
        <v>2.9500000476837198</v>
      </c>
      <c r="J777">
        <v>0</v>
      </c>
      <c r="K777">
        <v>90</v>
      </c>
      <c r="L777">
        <v>7</v>
      </c>
      <c r="M777">
        <v>191</v>
      </c>
      <c r="N777">
        <v>1152</v>
      </c>
      <c r="O777">
        <v>3114</v>
      </c>
    </row>
    <row r="778" spans="1:15" x14ac:dyDescent="0.3">
      <c r="A778">
        <v>8053475328</v>
      </c>
      <c r="B778" s="1">
        <v>42480</v>
      </c>
      <c r="C778">
        <v>15108</v>
      </c>
      <c r="D778">
        <v>12.189999580383301</v>
      </c>
      <c r="E778">
        <v>12.189999580383301</v>
      </c>
      <c r="F778">
        <v>0</v>
      </c>
      <c r="G778">
        <v>9.5799999237060494</v>
      </c>
      <c r="H778">
        <v>0.230000004172325</v>
      </c>
      <c r="I778">
        <v>2.3800001144409202</v>
      </c>
      <c r="J778">
        <v>0</v>
      </c>
      <c r="K778">
        <v>89</v>
      </c>
      <c r="L778">
        <v>5</v>
      </c>
      <c r="M778">
        <v>158</v>
      </c>
      <c r="N778">
        <v>695</v>
      </c>
      <c r="O778">
        <v>3043</v>
      </c>
    </row>
    <row r="779" spans="1:15" x14ac:dyDescent="0.3">
      <c r="A779">
        <v>8053475328</v>
      </c>
      <c r="B779" s="1">
        <v>42481</v>
      </c>
      <c r="C779">
        <v>16057</v>
      </c>
      <c r="D779">
        <v>12.5100002288818</v>
      </c>
      <c r="E779">
        <v>12.5100002288818</v>
      </c>
      <c r="F779">
        <v>0</v>
      </c>
      <c r="G779">
        <v>9.6700000762939506</v>
      </c>
      <c r="H779">
        <v>0.25</v>
      </c>
      <c r="I779">
        <v>2.5799999237060498</v>
      </c>
      <c r="J779">
        <v>0</v>
      </c>
      <c r="K779">
        <v>100</v>
      </c>
      <c r="L779">
        <v>6</v>
      </c>
      <c r="M779">
        <v>170</v>
      </c>
      <c r="N779">
        <v>1164</v>
      </c>
      <c r="O779">
        <v>3103</v>
      </c>
    </row>
    <row r="780" spans="1:15" x14ac:dyDescent="0.3">
      <c r="A780">
        <v>8053475328</v>
      </c>
      <c r="B780" s="1">
        <v>42482</v>
      </c>
      <c r="C780">
        <v>10520</v>
      </c>
      <c r="D780">
        <v>8.2899999618530291</v>
      </c>
      <c r="E780">
        <v>8.2899999618530291</v>
      </c>
      <c r="F780">
        <v>0</v>
      </c>
      <c r="G780">
        <v>6.2600002288818404</v>
      </c>
      <c r="H780">
        <v>0.15000000596046401</v>
      </c>
      <c r="I780">
        <v>1.87999999523163</v>
      </c>
      <c r="J780">
        <v>0</v>
      </c>
      <c r="K780">
        <v>60</v>
      </c>
      <c r="L780">
        <v>3</v>
      </c>
      <c r="M780">
        <v>117</v>
      </c>
      <c r="N780">
        <v>1260</v>
      </c>
      <c r="O780">
        <v>2655</v>
      </c>
    </row>
    <row r="781" spans="1:15" x14ac:dyDescent="0.3">
      <c r="A781">
        <v>8053475328</v>
      </c>
      <c r="B781" s="1">
        <v>42483</v>
      </c>
      <c r="C781">
        <v>22359</v>
      </c>
      <c r="D781">
        <v>17.190000534057599</v>
      </c>
      <c r="E781">
        <v>17.190000534057599</v>
      </c>
      <c r="F781">
        <v>0</v>
      </c>
      <c r="G781">
        <v>12.539999961853001</v>
      </c>
      <c r="H781">
        <v>0.62999999523162797</v>
      </c>
      <c r="I781">
        <v>4.0199999809265101</v>
      </c>
      <c r="J781">
        <v>0</v>
      </c>
      <c r="K781">
        <v>125</v>
      </c>
      <c r="L781">
        <v>14</v>
      </c>
      <c r="M781">
        <v>223</v>
      </c>
      <c r="N781">
        <v>741</v>
      </c>
      <c r="O781">
        <v>3554</v>
      </c>
    </row>
    <row r="782" spans="1:15" x14ac:dyDescent="0.3">
      <c r="A782">
        <v>8053475328</v>
      </c>
      <c r="B782" s="1">
        <v>42484</v>
      </c>
      <c r="C782">
        <v>22988</v>
      </c>
      <c r="D782">
        <v>17.950000762939499</v>
      </c>
      <c r="E782">
        <v>17.950000762939499</v>
      </c>
      <c r="F782">
        <v>0</v>
      </c>
      <c r="G782">
        <v>13.1300001144409</v>
      </c>
      <c r="H782">
        <v>1.54999995231628</v>
      </c>
      <c r="I782">
        <v>3.2599999904632599</v>
      </c>
      <c r="J782">
        <v>0</v>
      </c>
      <c r="K782">
        <v>129</v>
      </c>
      <c r="L782">
        <v>33</v>
      </c>
      <c r="M782">
        <v>182</v>
      </c>
      <c r="N782">
        <v>1096</v>
      </c>
      <c r="O782">
        <v>3577</v>
      </c>
    </row>
    <row r="783" spans="1:15" x14ac:dyDescent="0.3">
      <c r="A783">
        <v>8053475328</v>
      </c>
      <c r="B783" s="1">
        <v>42485</v>
      </c>
      <c r="C783">
        <v>20500</v>
      </c>
      <c r="D783">
        <v>15.689999580383301</v>
      </c>
      <c r="E783">
        <v>15.689999580383301</v>
      </c>
      <c r="F783">
        <v>0</v>
      </c>
      <c r="G783">
        <v>11.3699998855591</v>
      </c>
      <c r="H783">
        <v>0.46000000834464999</v>
      </c>
      <c r="I783">
        <v>3.8599998950958301</v>
      </c>
      <c r="J783">
        <v>0</v>
      </c>
      <c r="K783">
        <v>118</v>
      </c>
      <c r="L783">
        <v>9</v>
      </c>
      <c r="M783">
        <v>209</v>
      </c>
      <c r="N783">
        <v>1104</v>
      </c>
      <c r="O783">
        <v>3403</v>
      </c>
    </row>
    <row r="784" spans="1:15" x14ac:dyDescent="0.3">
      <c r="A784">
        <v>8053475328</v>
      </c>
      <c r="B784" s="1">
        <v>42486</v>
      </c>
      <c r="C784">
        <v>12685</v>
      </c>
      <c r="D784">
        <v>9.6199998855590803</v>
      </c>
      <c r="E784">
        <v>9.6199998855590803</v>
      </c>
      <c r="F784">
        <v>0</v>
      </c>
      <c r="G784">
        <v>6.3099999427795401</v>
      </c>
      <c r="H784">
        <v>0.20000000298023199</v>
      </c>
      <c r="I784">
        <v>3.0999999046325701</v>
      </c>
      <c r="J784">
        <v>0</v>
      </c>
      <c r="K784">
        <v>68</v>
      </c>
      <c r="L784">
        <v>5</v>
      </c>
      <c r="M784">
        <v>185</v>
      </c>
      <c r="N784">
        <v>1182</v>
      </c>
      <c r="O784">
        <v>2846</v>
      </c>
    </row>
    <row r="785" spans="1:15" x14ac:dyDescent="0.3">
      <c r="A785">
        <v>8053475328</v>
      </c>
      <c r="B785" s="1">
        <v>42487</v>
      </c>
      <c r="C785">
        <v>12422</v>
      </c>
      <c r="D785">
        <v>9.8199996948242205</v>
      </c>
      <c r="E785">
        <v>9.8199996948242205</v>
      </c>
      <c r="F785">
        <v>0</v>
      </c>
      <c r="G785">
        <v>6.46000003814697</v>
      </c>
      <c r="H785">
        <v>0.43000000715255698</v>
      </c>
      <c r="I785">
        <v>2.9300000667571999</v>
      </c>
      <c r="J785">
        <v>0</v>
      </c>
      <c r="K785">
        <v>60</v>
      </c>
      <c r="L785">
        <v>10</v>
      </c>
      <c r="M785">
        <v>183</v>
      </c>
      <c r="N785">
        <v>1187</v>
      </c>
      <c r="O785">
        <v>2852</v>
      </c>
    </row>
    <row r="786" spans="1:15" x14ac:dyDescent="0.3">
      <c r="A786">
        <v>8053475328</v>
      </c>
      <c r="B786" s="1">
        <v>42488</v>
      </c>
      <c r="C786">
        <v>15447</v>
      </c>
      <c r="D786">
        <v>12.3999996185303</v>
      </c>
      <c r="E786">
        <v>12.3999996185303</v>
      </c>
      <c r="F786">
        <v>0</v>
      </c>
      <c r="G786">
        <v>9.6700000762939506</v>
      </c>
      <c r="H786">
        <v>0.38999998569488498</v>
      </c>
      <c r="I786">
        <v>2.3499999046325701</v>
      </c>
      <c r="J786">
        <v>0</v>
      </c>
      <c r="K786">
        <v>90</v>
      </c>
      <c r="L786">
        <v>9</v>
      </c>
      <c r="M786">
        <v>153</v>
      </c>
      <c r="N786">
        <v>1188</v>
      </c>
      <c r="O786">
        <v>3062</v>
      </c>
    </row>
    <row r="787" spans="1:15" x14ac:dyDescent="0.3">
      <c r="A787">
        <v>8053475328</v>
      </c>
      <c r="B787" s="1">
        <v>42489</v>
      </c>
      <c r="C787">
        <v>12315</v>
      </c>
      <c r="D787">
        <v>9.6499996185302699</v>
      </c>
      <c r="E787">
        <v>9.6499996185302699</v>
      </c>
      <c r="F787">
        <v>0</v>
      </c>
      <c r="G787">
        <v>6.1700000762939498</v>
      </c>
      <c r="H787">
        <v>0.31000000238418601</v>
      </c>
      <c r="I787">
        <v>3.1700000762939502</v>
      </c>
      <c r="J787">
        <v>0</v>
      </c>
      <c r="K787">
        <v>58</v>
      </c>
      <c r="L787">
        <v>8</v>
      </c>
      <c r="M787">
        <v>159</v>
      </c>
      <c r="N787">
        <v>1215</v>
      </c>
      <c r="O787">
        <v>2794</v>
      </c>
    </row>
    <row r="788" spans="1:15" x14ac:dyDescent="0.3">
      <c r="A788">
        <v>8053475328</v>
      </c>
      <c r="B788" s="1">
        <v>42490</v>
      </c>
      <c r="C788">
        <v>7135</v>
      </c>
      <c r="D788">
        <v>5.5900001525878897</v>
      </c>
      <c r="E788">
        <v>5.5900001525878897</v>
      </c>
      <c r="F788">
        <v>0</v>
      </c>
      <c r="G788">
        <v>2.9900000095367401</v>
      </c>
      <c r="H788">
        <v>5.9999998658895499E-2</v>
      </c>
      <c r="I788">
        <v>2.53999996185303</v>
      </c>
      <c r="J788">
        <v>0</v>
      </c>
      <c r="K788">
        <v>27</v>
      </c>
      <c r="L788">
        <v>1</v>
      </c>
      <c r="M788">
        <v>131</v>
      </c>
      <c r="N788">
        <v>1281</v>
      </c>
      <c r="O788">
        <v>2408</v>
      </c>
    </row>
    <row r="789" spans="1:15" x14ac:dyDescent="0.3">
      <c r="A789">
        <v>8053475328</v>
      </c>
      <c r="B789" s="1">
        <v>42491</v>
      </c>
      <c r="C789">
        <v>1170</v>
      </c>
      <c r="D789">
        <v>0.85000002384185802</v>
      </c>
      <c r="E789">
        <v>0.85000002384185802</v>
      </c>
      <c r="F789">
        <v>0</v>
      </c>
      <c r="G789">
        <v>0</v>
      </c>
      <c r="H789">
        <v>0</v>
      </c>
      <c r="I789">
        <v>0.85000002384185802</v>
      </c>
      <c r="J789">
        <v>0</v>
      </c>
      <c r="K789">
        <v>0</v>
      </c>
      <c r="L789">
        <v>0</v>
      </c>
      <c r="M789">
        <v>51</v>
      </c>
      <c r="N789">
        <v>1389</v>
      </c>
      <c r="O789">
        <v>1886</v>
      </c>
    </row>
    <row r="790" spans="1:15" x14ac:dyDescent="0.3">
      <c r="A790">
        <v>8053475328</v>
      </c>
      <c r="B790" s="1">
        <v>42492</v>
      </c>
      <c r="C790">
        <v>1969</v>
      </c>
      <c r="D790">
        <v>1.4299999475479099</v>
      </c>
      <c r="E790">
        <v>1.4299999475479099</v>
      </c>
      <c r="F790">
        <v>0</v>
      </c>
      <c r="G790">
        <v>0</v>
      </c>
      <c r="H790">
        <v>0</v>
      </c>
      <c r="I790">
        <v>1.4299999475479099</v>
      </c>
      <c r="J790">
        <v>0</v>
      </c>
      <c r="K790">
        <v>0</v>
      </c>
      <c r="L790">
        <v>0</v>
      </c>
      <c r="M790">
        <v>95</v>
      </c>
      <c r="N790">
        <v>1345</v>
      </c>
      <c r="O790">
        <v>1988</v>
      </c>
    </row>
    <row r="791" spans="1:15" x14ac:dyDescent="0.3">
      <c r="A791">
        <v>8053475328</v>
      </c>
      <c r="B791" s="1">
        <v>42493</v>
      </c>
      <c r="C791">
        <v>15484</v>
      </c>
      <c r="D791">
        <v>11.8999996185303</v>
      </c>
      <c r="E791">
        <v>11.8999996185303</v>
      </c>
      <c r="F791">
        <v>0</v>
      </c>
      <c r="G791">
        <v>8.3900003433227504</v>
      </c>
      <c r="H791">
        <v>0.93000000715255704</v>
      </c>
      <c r="I791">
        <v>2.5899999141693102</v>
      </c>
      <c r="J791">
        <v>0</v>
      </c>
      <c r="K791">
        <v>87</v>
      </c>
      <c r="L791">
        <v>22</v>
      </c>
      <c r="M791">
        <v>165</v>
      </c>
      <c r="N791">
        <v>1166</v>
      </c>
      <c r="O791">
        <v>3023</v>
      </c>
    </row>
    <row r="792" spans="1:15" x14ac:dyDescent="0.3">
      <c r="A792">
        <v>8053475328</v>
      </c>
      <c r="B792" s="1">
        <v>42494</v>
      </c>
      <c r="C792">
        <v>14581</v>
      </c>
      <c r="D792">
        <v>11.1499996185303</v>
      </c>
      <c r="E792">
        <v>11.1499996185303</v>
      </c>
      <c r="F792">
        <v>0</v>
      </c>
      <c r="G792">
        <v>8.8199996948242205</v>
      </c>
      <c r="H792">
        <v>0.40000000596046398</v>
      </c>
      <c r="I792">
        <v>1.9099999666214</v>
      </c>
      <c r="J792">
        <v>0</v>
      </c>
      <c r="K792">
        <v>89</v>
      </c>
      <c r="L792">
        <v>8</v>
      </c>
      <c r="M792">
        <v>123</v>
      </c>
      <c r="N792">
        <v>1220</v>
      </c>
      <c r="O792">
        <v>2918</v>
      </c>
    </row>
    <row r="793" spans="1:15" x14ac:dyDescent="0.3">
      <c r="A793">
        <v>8053475328</v>
      </c>
      <c r="B793" s="1">
        <v>42495</v>
      </c>
      <c r="C793">
        <v>14990</v>
      </c>
      <c r="D793">
        <v>11.5100002288818</v>
      </c>
      <c r="E793">
        <v>11.5100002288818</v>
      </c>
      <c r="F793">
        <v>0</v>
      </c>
      <c r="G793">
        <v>8.8500003814697301</v>
      </c>
      <c r="H793">
        <v>0.44999998807907099</v>
      </c>
      <c r="I793">
        <v>2.21000003814697</v>
      </c>
      <c r="J793">
        <v>0</v>
      </c>
      <c r="K793">
        <v>93</v>
      </c>
      <c r="L793">
        <v>9</v>
      </c>
      <c r="M793">
        <v>130</v>
      </c>
      <c r="N793">
        <v>1208</v>
      </c>
      <c r="O793">
        <v>2950</v>
      </c>
    </row>
    <row r="794" spans="1:15" x14ac:dyDescent="0.3">
      <c r="A794">
        <v>8053475328</v>
      </c>
      <c r="B794" s="1">
        <v>42496</v>
      </c>
      <c r="C794">
        <v>13953</v>
      </c>
      <c r="D794">
        <v>11</v>
      </c>
      <c r="E794">
        <v>11</v>
      </c>
      <c r="F794">
        <v>0</v>
      </c>
      <c r="G794">
        <v>9.1000003814697301</v>
      </c>
      <c r="H794">
        <v>0.68999999761581399</v>
      </c>
      <c r="I794">
        <v>1.21000003814697</v>
      </c>
      <c r="J794">
        <v>0</v>
      </c>
      <c r="K794">
        <v>90</v>
      </c>
      <c r="L794">
        <v>15</v>
      </c>
      <c r="M794">
        <v>90</v>
      </c>
      <c r="N794">
        <v>1245</v>
      </c>
      <c r="O794">
        <v>2859</v>
      </c>
    </row>
    <row r="795" spans="1:15" x14ac:dyDescent="0.3">
      <c r="A795">
        <v>8053475328</v>
      </c>
      <c r="B795" s="1">
        <v>42497</v>
      </c>
      <c r="C795">
        <v>19769</v>
      </c>
      <c r="D795">
        <v>15.670000076293899</v>
      </c>
      <c r="E795">
        <v>15.670000076293899</v>
      </c>
      <c r="F795">
        <v>0</v>
      </c>
      <c r="G795">
        <v>12.439999580383301</v>
      </c>
      <c r="H795">
        <v>0.87999999523162797</v>
      </c>
      <c r="I795">
        <v>2.3499999046325701</v>
      </c>
      <c r="J795">
        <v>0</v>
      </c>
      <c r="K795">
        <v>121</v>
      </c>
      <c r="L795">
        <v>20</v>
      </c>
      <c r="M795">
        <v>148</v>
      </c>
      <c r="N795">
        <v>1076</v>
      </c>
      <c r="O795">
        <v>3331</v>
      </c>
    </row>
    <row r="796" spans="1:15" x14ac:dyDescent="0.3">
      <c r="A796">
        <v>8053475328</v>
      </c>
      <c r="B796" s="1">
        <v>42498</v>
      </c>
      <c r="C796">
        <v>22026</v>
      </c>
      <c r="D796">
        <v>17.649999618530298</v>
      </c>
      <c r="E796">
        <v>17.649999618530298</v>
      </c>
      <c r="F796">
        <v>0</v>
      </c>
      <c r="G796">
        <v>13.3999996185303</v>
      </c>
      <c r="H796">
        <v>0.58999997377395597</v>
      </c>
      <c r="I796">
        <v>3.6600000858306898</v>
      </c>
      <c r="J796">
        <v>0</v>
      </c>
      <c r="K796">
        <v>125</v>
      </c>
      <c r="L796">
        <v>14</v>
      </c>
      <c r="M796">
        <v>228</v>
      </c>
      <c r="N796">
        <v>1073</v>
      </c>
      <c r="O796">
        <v>3589</v>
      </c>
    </row>
    <row r="797" spans="1:15" x14ac:dyDescent="0.3">
      <c r="A797">
        <v>8053475328</v>
      </c>
      <c r="B797" s="1">
        <v>42499</v>
      </c>
      <c r="C797">
        <v>12465</v>
      </c>
      <c r="D797">
        <v>9.3800001144409197</v>
      </c>
      <c r="E797">
        <v>9.3800001144409197</v>
      </c>
      <c r="F797">
        <v>0</v>
      </c>
      <c r="G797">
        <v>6.1199998855590803</v>
      </c>
      <c r="H797">
        <v>0.56999999284744296</v>
      </c>
      <c r="I797">
        <v>2.6900000572204599</v>
      </c>
      <c r="J797">
        <v>0</v>
      </c>
      <c r="K797">
        <v>66</v>
      </c>
      <c r="L797">
        <v>12</v>
      </c>
      <c r="M797">
        <v>148</v>
      </c>
      <c r="N797">
        <v>1214</v>
      </c>
      <c r="O797">
        <v>2765</v>
      </c>
    </row>
    <row r="798" spans="1:15" x14ac:dyDescent="0.3">
      <c r="A798">
        <v>8053475328</v>
      </c>
      <c r="B798" s="1">
        <v>42500</v>
      </c>
      <c r="C798">
        <v>14810</v>
      </c>
      <c r="D798">
        <v>11.3599996566772</v>
      </c>
      <c r="E798">
        <v>11.3599996566772</v>
      </c>
      <c r="F798">
        <v>0</v>
      </c>
      <c r="G798">
        <v>9.0900001525878906</v>
      </c>
      <c r="H798">
        <v>0.41999998688697798</v>
      </c>
      <c r="I798">
        <v>1.8500000238418599</v>
      </c>
      <c r="J798">
        <v>0</v>
      </c>
      <c r="K798">
        <v>96</v>
      </c>
      <c r="L798">
        <v>10</v>
      </c>
      <c r="M798">
        <v>115</v>
      </c>
      <c r="N798">
        <v>1219</v>
      </c>
      <c r="O798">
        <v>2926</v>
      </c>
    </row>
    <row r="799" spans="1:15" x14ac:dyDescent="0.3">
      <c r="A799">
        <v>8053475328</v>
      </c>
      <c r="B799" s="1">
        <v>42501</v>
      </c>
      <c r="C799">
        <v>12209</v>
      </c>
      <c r="D799">
        <v>9.3999996185302699</v>
      </c>
      <c r="E799">
        <v>9.3999996185302699</v>
      </c>
      <c r="F799">
        <v>0</v>
      </c>
      <c r="G799">
        <v>6.0799999237060502</v>
      </c>
      <c r="H799">
        <v>0.28000000119209301</v>
      </c>
      <c r="I799">
        <v>3.03999996185303</v>
      </c>
      <c r="J799">
        <v>0</v>
      </c>
      <c r="K799">
        <v>60</v>
      </c>
      <c r="L799">
        <v>7</v>
      </c>
      <c r="M799">
        <v>184</v>
      </c>
      <c r="N799">
        <v>1189</v>
      </c>
      <c r="O799">
        <v>2809</v>
      </c>
    </row>
    <row r="800" spans="1:15" x14ac:dyDescent="0.3">
      <c r="A800">
        <v>8053475328</v>
      </c>
      <c r="B800" s="1">
        <v>42502</v>
      </c>
      <c r="C800">
        <v>4998</v>
      </c>
      <c r="D800">
        <v>3.9100000858306898</v>
      </c>
      <c r="E800">
        <v>3.9100000858306898</v>
      </c>
      <c r="F800">
        <v>0</v>
      </c>
      <c r="G800">
        <v>2.9500000476837198</v>
      </c>
      <c r="H800">
        <v>0.20000000298023199</v>
      </c>
      <c r="I800">
        <v>0.75999999046325695</v>
      </c>
      <c r="J800">
        <v>0</v>
      </c>
      <c r="K800">
        <v>28</v>
      </c>
      <c r="L800">
        <v>4</v>
      </c>
      <c r="M800">
        <v>39</v>
      </c>
      <c r="N800">
        <v>839</v>
      </c>
      <c r="O800">
        <v>1505</v>
      </c>
    </row>
    <row r="801" spans="1:15" x14ac:dyDescent="0.3">
      <c r="A801">
        <v>8253242879</v>
      </c>
      <c r="B801" s="1">
        <v>42472</v>
      </c>
      <c r="C801">
        <v>9033</v>
      </c>
      <c r="D801">
        <v>7.1599998474121103</v>
      </c>
      <c r="E801">
        <v>7.1599998474121103</v>
      </c>
      <c r="F801">
        <v>0</v>
      </c>
      <c r="G801">
        <v>5.4299998283386204</v>
      </c>
      <c r="H801">
        <v>0.140000000596046</v>
      </c>
      <c r="I801">
        <v>1.5900000333786</v>
      </c>
      <c r="J801">
        <v>0</v>
      </c>
      <c r="K801">
        <v>40</v>
      </c>
      <c r="L801">
        <v>2</v>
      </c>
      <c r="M801">
        <v>154</v>
      </c>
      <c r="N801">
        <v>1244</v>
      </c>
      <c r="O801">
        <v>2044</v>
      </c>
    </row>
    <row r="802" spans="1:15" x14ac:dyDescent="0.3">
      <c r="A802">
        <v>8253242879</v>
      </c>
      <c r="B802" s="1">
        <v>42473</v>
      </c>
      <c r="C802">
        <v>8053</v>
      </c>
      <c r="D802">
        <v>6.0999999046325701</v>
      </c>
      <c r="E802">
        <v>6.0999999046325701</v>
      </c>
      <c r="F802">
        <v>0</v>
      </c>
      <c r="G802">
        <v>4.1700000762939498</v>
      </c>
      <c r="H802">
        <v>0.62999999523162797</v>
      </c>
      <c r="I802">
        <v>1.3099999427795399</v>
      </c>
      <c r="J802">
        <v>0</v>
      </c>
      <c r="K802">
        <v>35</v>
      </c>
      <c r="L802">
        <v>11</v>
      </c>
      <c r="M802">
        <v>96</v>
      </c>
      <c r="N802">
        <v>1298</v>
      </c>
      <c r="O802">
        <v>1935</v>
      </c>
    </row>
    <row r="803" spans="1:15" x14ac:dyDescent="0.3">
      <c r="A803">
        <v>8253242879</v>
      </c>
      <c r="B803" s="1">
        <v>42474</v>
      </c>
      <c r="C803">
        <v>5234</v>
      </c>
      <c r="D803">
        <v>3.46000003814697</v>
      </c>
      <c r="E803">
        <v>3.46000003814697</v>
      </c>
      <c r="F803">
        <v>0</v>
      </c>
      <c r="G803">
        <v>1.9299999475479099</v>
      </c>
      <c r="H803">
        <v>0.99000000953674305</v>
      </c>
      <c r="I803">
        <v>0.54000002145767201</v>
      </c>
      <c r="J803">
        <v>0</v>
      </c>
      <c r="K803">
        <v>29</v>
      </c>
      <c r="L803">
        <v>16</v>
      </c>
      <c r="M803">
        <v>33</v>
      </c>
      <c r="N803">
        <v>1362</v>
      </c>
      <c r="O803">
        <v>1705</v>
      </c>
    </row>
    <row r="804" spans="1:15" x14ac:dyDescent="0.3">
      <c r="A804">
        <v>8253242879</v>
      </c>
      <c r="B804" s="1">
        <v>42475</v>
      </c>
      <c r="C804">
        <v>2672</v>
      </c>
      <c r="D804">
        <v>1.7699999809265099</v>
      </c>
      <c r="E804">
        <v>1.7699999809265099</v>
      </c>
      <c r="F804">
        <v>0</v>
      </c>
      <c r="G804">
        <v>0</v>
      </c>
      <c r="H804">
        <v>0</v>
      </c>
      <c r="I804">
        <v>1.7599999904632599</v>
      </c>
      <c r="J804">
        <v>0</v>
      </c>
      <c r="K804">
        <v>0</v>
      </c>
      <c r="L804">
        <v>0</v>
      </c>
      <c r="M804">
        <v>105</v>
      </c>
      <c r="N804">
        <v>1335</v>
      </c>
      <c r="O804">
        <v>1632</v>
      </c>
    </row>
    <row r="805" spans="1:15" x14ac:dyDescent="0.3">
      <c r="A805">
        <v>8253242879</v>
      </c>
      <c r="B805" s="1">
        <v>42476</v>
      </c>
      <c r="C805">
        <v>9256</v>
      </c>
      <c r="D805">
        <v>6.1399998664856001</v>
      </c>
      <c r="E805">
        <v>6.1399998664856001</v>
      </c>
      <c r="F805">
        <v>0</v>
      </c>
      <c r="G805">
        <v>0.43000000715255698</v>
      </c>
      <c r="H805">
        <v>3.2699999809265101</v>
      </c>
      <c r="I805">
        <v>2.4500000476837198</v>
      </c>
      <c r="J805">
        <v>0</v>
      </c>
      <c r="K805">
        <v>6</v>
      </c>
      <c r="L805">
        <v>51</v>
      </c>
      <c r="M805">
        <v>115</v>
      </c>
      <c r="N805">
        <v>1268</v>
      </c>
      <c r="O805">
        <v>1880</v>
      </c>
    </row>
    <row r="806" spans="1:15" x14ac:dyDescent="0.3">
      <c r="A806">
        <v>8253242879</v>
      </c>
      <c r="B806" s="1">
        <v>42477</v>
      </c>
      <c r="C806">
        <v>10204</v>
      </c>
      <c r="D806">
        <v>7.9099998474121103</v>
      </c>
      <c r="E806">
        <v>7.9099998474121103</v>
      </c>
      <c r="F806">
        <v>0</v>
      </c>
      <c r="G806">
        <v>5.4299998283386204</v>
      </c>
      <c r="H806">
        <v>0.15000000596046401</v>
      </c>
      <c r="I806">
        <v>2.3299999237060498</v>
      </c>
      <c r="J806">
        <v>0</v>
      </c>
      <c r="K806">
        <v>41</v>
      </c>
      <c r="L806">
        <v>5</v>
      </c>
      <c r="M806">
        <v>157</v>
      </c>
      <c r="N806">
        <v>1237</v>
      </c>
      <c r="O806">
        <v>2112</v>
      </c>
    </row>
    <row r="807" spans="1:15" x14ac:dyDescent="0.3">
      <c r="A807">
        <v>8253242879</v>
      </c>
      <c r="B807" s="1">
        <v>42478</v>
      </c>
      <c r="C807">
        <v>5151</v>
      </c>
      <c r="D807">
        <v>3.4800000190734899</v>
      </c>
      <c r="E807">
        <v>3.4800000190734899</v>
      </c>
      <c r="F807">
        <v>0</v>
      </c>
      <c r="G807">
        <v>1.03999996185303</v>
      </c>
      <c r="H807">
        <v>0.62999999523162797</v>
      </c>
      <c r="I807">
        <v>1.79999995231628</v>
      </c>
      <c r="J807">
        <v>0</v>
      </c>
      <c r="K807">
        <v>16</v>
      </c>
      <c r="L807">
        <v>16</v>
      </c>
      <c r="M807">
        <v>130</v>
      </c>
      <c r="N807">
        <v>1278</v>
      </c>
      <c r="O807">
        <v>1829</v>
      </c>
    </row>
    <row r="808" spans="1:15" x14ac:dyDescent="0.3">
      <c r="A808">
        <v>8253242879</v>
      </c>
      <c r="B808" s="1">
        <v>42479</v>
      </c>
      <c r="C808">
        <v>4212</v>
      </c>
      <c r="D808">
        <v>2.7799999713897701</v>
      </c>
      <c r="E808">
        <v>2.7799999713897701</v>
      </c>
      <c r="F808">
        <v>0</v>
      </c>
      <c r="G808">
        <v>0</v>
      </c>
      <c r="H808">
        <v>0</v>
      </c>
      <c r="I808">
        <v>2.7799999713897701</v>
      </c>
      <c r="J808">
        <v>0</v>
      </c>
      <c r="K808">
        <v>0</v>
      </c>
      <c r="L808">
        <v>0</v>
      </c>
      <c r="M808">
        <v>164</v>
      </c>
      <c r="N808">
        <v>1276</v>
      </c>
      <c r="O808">
        <v>1763</v>
      </c>
    </row>
    <row r="809" spans="1:15" x14ac:dyDescent="0.3">
      <c r="A809">
        <v>8253242879</v>
      </c>
      <c r="B809" s="1">
        <v>42480</v>
      </c>
      <c r="C809">
        <v>6466</v>
      </c>
      <c r="D809">
        <v>4.2699999809265101</v>
      </c>
      <c r="E809">
        <v>4.2699999809265101</v>
      </c>
      <c r="F809">
        <v>0</v>
      </c>
      <c r="G809">
        <v>0.33000001311302202</v>
      </c>
      <c r="H809">
        <v>0.81999999284744296</v>
      </c>
      <c r="I809">
        <v>3.1099998950958301</v>
      </c>
      <c r="J809">
        <v>9.9999997764825804E-3</v>
      </c>
      <c r="K809">
        <v>5</v>
      </c>
      <c r="L809">
        <v>18</v>
      </c>
      <c r="M809">
        <v>216</v>
      </c>
      <c r="N809">
        <v>1201</v>
      </c>
      <c r="O809">
        <v>1931</v>
      </c>
    </row>
    <row r="810" spans="1:15" x14ac:dyDescent="0.3">
      <c r="A810">
        <v>8253242879</v>
      </c>
      <c r="B810" s="1">
        <v>42481</v>
      </c>
      <c r="C810">
        <v>11268</v>
      </c>
      <c r="D810">
        <v>8.5600004196166992</v>
      </c>
      <c r="E810">
        <v>8.5600004196166992</v>
      </c>
      <c r="F810">
        <v>0</v>
      </c>
      <c r="G810">
        <v>5.8800001144409197</v>
      </c>
      <c r="H810">
        <v>0.93000000715255704</v>
      </c>
      <c r="I810">
        <v>1.75</v>
      </c>
      <c r="J810">
        <v>0</v>
      </c>
      <c r="K810">
        <v>49</v>
      </c>
      <c r="L810">
        <v>20</v>
      </c>
      <c r="M810">
        <v>172</v>
      </c>
      <c r="N810">
        <v>1199</v>
      </c>
      <c r="O810">
        <v>2218</v>
      </c>
    </row>
    <row r="811" spans="1:15" x14ac:dyDescent="0.3">
      <c r="A811">
        <v>8253242879</v>
      </c>
      <c r="B811" s="1">
        <v>42482</v>
      </c>
      <c r="C811">
        <v>2824</v>
      </c>
      <c r="D811">
        <v>1.87000000476837</v>
      </c>
      <c r="E811">
        <v>1.87000000476837</v>
      </c>
      <c r="F811">
        <v>0</v>
      </c>
      <c r="G811">
        <v>0</v>
      </c>
      <c r="H811">
        <v>0</v>
      </c>
      <c r="I811">
        <v>1.87000000476837</v>
      </c>
      <c r="J811">
        <v>0</v>
      </c>
      <c r="K811">
        <v>0</v>
      </c>
      <c r="L811">
        <v>0</v>
      </c>
      <c r="M811">
        <v>120</v>
      </c>
      <c r="N811">
        <v>1320</v>
      </c>
      <c r="O811">
        <v>1651</v>
      </c>
    </row>
    <row r="812" spans="1:15" x14ac:dyDescent="0.3">
      <c r="A812">
        <v>8253242879</v>
      </c>
      <c r="B812" s="1">
        <v>42483</v>
      </c>
      <c r="C812">
        <v>9282</v>
      </c>
      <c r="D812">
        <v>6.2600002288818404</v>
      </c>
      <c r="E812">
        <v>6.2600002288818404</v>
      </c>
      <c r="F812">
        <v>0</v>
      </c>
      <c r="G812">
        <v>2.0899999141693102</v>
      </c>
      <c r="H812">
        <v>1.03999996185303</v>
      </c>
      <c r="I812">
        <v>3.1300001144409202</v>
      </c>
      <c r="J812">
        <v>0</v>
      </c>
      <c r="K812">
        <v>30</v>
      </c>
      <c r="L812">
        <v>26</v>
      </c>
      <c r="M812">
        <v>191</v>
      </c>
      <c r="N812">
        <v>1193</v>
      </c>
      <c r="O812">
        <v>2132</v>
      </c>
    </row>
    <row r="813" spans="1:15" x14ac:dyDescent="0.3">
      <c r="A813">
        <v>8253242879</v>
      </c>
      <c r="B813" s="1">
        <v>42484</v>
      </c>
      <c r="C813">
        <v>8905</v>
      </c>
      <c r="D813">
        <v>7.1300001144409197</v>
      </c>
      <c r="E813">
        <v>7.1300001144409197</v>
      </c>
      <c r="F813">
        <v>0</v>
      </c>
      <c r="G813">
        <v>5.5999999046325701</v>
      </c>
      <c r="H813">
        <v>0.18999999761581399</v>
      </c>
      <c r="I813">
        <v>1.3400000333786</v>
      </c>
      <c r="J813">
        <v>0</v>
      </c>
      <c r="K813">
        <v>41</v>
      </c>
      <c r="L813">
        <v>4</v>
      </c>
      <c r="M813">
        <v>82</v>
      </c>
      <c r="N813">
        <v>1313</v>
      </c>
      <c r="O813">
        <v>1976</v>
      </c>
    </row>
    <row r="814" spans="1:15" x14ac:dyDescent="0.3">
      <c r="A814">
        <v>8253242879</v>
      </c>
      <c r="B814" s="1">
        <v>42485</v>
      </c>
      <c r="C814">
        <v>6829</v>
      </c>
      <c r="D814">
        <v>4.5100002288818404</v>
      </c>
      <c r="E814">
        <v>4.5100002288818404</v>
      </c>
      <c r="F814">
        <v>0</v>
      </c>
      <c r="G814">
        <v>0.36000001430511502</v>
      </c>
      <c r="H814">
        <v>2.3900001049041699</v>
      </c>
      <c r="I814">
        <v>1.7699999809265099</v>
      </c>
      <c r="J814">
        <v>0</v>
      </c>
      <c r="K814">
        <v>7</v>
      </c>
      <c r="L814">
        <v>54</v>
      </c>
      <c r="M814">
        <v>118</v>
      </c>
      <c r="N814">
        <v>1261</v>
      </c>
      <c r="O814">
        <v>1909</v>
      </c>
    </row>
    <row r="815" spans="1:15" x14ac:dyDescent="0.3">
      <c r="A815">
        <v>8253242879</v>
      </c>
      <c r="B815" s="1">
        <v>42486</v>
      </c>
      <c r="C815">
        <v>4562</v>
      </c>
      <c r="D815">
        <v>3.03999996185303</v>
      </c>
      <c r="E815">
        <v>3.03999996185303</v>
      </c>
      <c r="F815">
        <v>0</v>
      </c>
      <c r="G815">
        <v>1.1799999475479099</v>
      </c>
      <c r="H815">
        <v>0.490000009536743</v>
      </c>
      <c r="I815">
        <v>1.37000000476837</v>
      </c>
      <c r="J815">
        <v>0</v>
      </c>
      <c r="K815">
        <v>19</v>
      </c>
      <c r="L815">
        <v>14</v>
      </c>
      <c r="M815">
        <v>108</v>
      </c>
      <c r="N815">
        <v>1299</v>
      </c>
      <c r="O815">
        <v>1813</v>
      </c>
    </row>
    <row r="816" spans="1:15" x14ac:dyDescent="0.3">
      <c r="A816">
        <v>8253242879</v>
      </c>
      <c r="B816" s="1">
        <v>42487</v>
      </c>
      <c r="C816">
        <v>10232</v>
      </c>
      <c r="D816">
        <v>8.1800003051757795</v>
      </c>
      <c r="E816">
        <v>8.1800003051757795</v>
      </c>
      <c r="F816">
        <v>0</v>
      </c>
      <c r="G816">
        <v>6.2399997711181596</v>
      </c>
      <c r="H816">
        <v>0.230000004172325</v>
      </c>
      <c r="I816">
        <v>1.70000004768372</v>
      </c>
      <c r="J816">
        <v>0</v>
      </c>
      <c r="K816">
        <v>45</v>
      </c>
      <c r="L816">
        <v>5</v>
      </c>
      <c r="M816">
        <v>104</v>
      </c>
      <c r="N816">
        <v>1286</v>
      </c>
      <c r="O816">
        <v>2008</v>
      </c>
    </row>
    <row r="817" spans="1:15" x14ac:dyDescent="0.3">
      <c r="A817">
        <v>8253242879</v>
      </c>
      <c r="B817" s="1">
        <v>42488</v>
      </c>
      <c r="C817">
        <v>2718</v>
      </c>
      <c r="D817">
        <v>1.79999995231628</v>
      </c>
      <c r="E817">
        <v>1.79999995231628</v>
      </c>
      <c r="F817">
        <v>0</v>
      </c>
      <c r="G817">
        <v>0.67000001668930098</v>
      </c>
      <c r="H817">
        <v>0.77999997138977095</v>
      </c>
      <c r="I817">
        <v>0.34000000357627902</v>
      </c>
      <c r="J817">
        <v>0</v>
      </c>
      <c r="K817">
        <v>11</v>
      </c>
      <c r="L817">
        <v>16</v>
      </c>
      <c r="M817">
        <v>20</v>
      </c>
      <c r="N817">
        <v>1393</v>
      </c>
      <c r="O817">
        <v>1580</v>
      </c>
    </row>
    <row r="818" spans="1:15" x14ac:dyDescent="0.3">
      <c r="A818">
        <v>8253242879</v>
      </c>
      <c r="B818" s="1">
        <v>42489</v>
      </c>
      <c r="C818">
        <v>6260</v>
      </c>
      <c r="D818">
        <v>4.2600002288818404</v>
      </c>
      <c r="E818">
        <v>4.2600002288818404</v>
      </c>
      <c r="F818">
        <v>0</v>
      </c>
      <c r="G818">
        <v>1.28999996185303</v>
      </c>
      <c r="H818">
        <v>0.54000002145767201</v>
      </c>
      <c r="I818">
        <v>2.4000000953674299</v>
      </c>
      <c r="J818">
        <v>0</v>
      </c>
      <c r="K818">
        <v>16</v>
      </c>
      <c r="L818">
        <v>14</v>
      </c>
      <c r="M818">
        <v>136</v>
      </c>
      <c r="N818">
        <v>1257</v>
      </c>
      <c r="O818">
        <v>1854</v>
      </c>
    </row>
    <row r="819" spans="1:15" x14ac:dyDescent="0.3">
      <c r="A819">
        <v>8253242879</v>
      </c>
      <c r="B819" s="1">
        <v>42490</v>
      </c>
      <c r="C819">
        <v>0</v>
      </c>
      <c r="D819">
        <v>0</v>
      </c>
      <c r="E819">
        <v>0</v>
      </c>
      <c r="F819">
        <v>0</v>
      </c>
      <c r="G819">
        <v>0</v>
      </c>
      <c r="H819">
        <v>0</v>
      </c>
      <c r="I819">
        <v>0</v>
      </c>
      <c r="J819">
        <v>0</v>
      </c>
      <c r="K819">
        <v>0</v>
      </c>
      <c r="L819">
        <v>0</v>
      </c>
      <c r="M819">
        <v>0</v>
      </c>
      <c r="N819">
        <v>1440</v>
      </c>
      <c r="O819">
        <v>0</v>
      </c>
    </row>
    <row r="820" spans="1:15" x14ac:dyDescent="0.3">
      <c r="A820">
        <v>8378563200</v>
      </c>
      <c r="B820" s="1">
        <v>42472</v>
      </c>
      <c r="C820">
        <v>7626</v>
      </c>
      <c r="D820">
        <v>6.0500001907348597</v>
      </c>
      <c r="E820">
        <v>6.0500001907348597</v>
      </c>
      <c r="F820">
        <v>2.2530810832977299</v>
      </c>
      <c r="G820">
        <v>0.82999998331069902</v>
      </c>
      <c r="H820">
        <v>0.70999997854232799</v>
      </c>
      <c r="I820">
        <v>4.5</v>
      </c>
      <c r="J820">
        <v>0</v>
      </c>
      <c r="K820">
        <v>65</v>
      </c>
      <c r="L820">
        <v>15</v>
      </c>
      <c r="M820">
        <v>156</v>
      </c>
      <c r="N820">
        <v>723</v>
      </c>
      <c r="O820">
        <v>3635</v>
      </c>
    </row>
    <row r="821" spans="1:15" x14ac:dyDescent="0.3">
      <c r="A821">
        <v>8378563200</v>
      </c>
      <c r="B821" s="1">
        <v>42473</v>
      </c>
      <c r="C821">
        <v>12386</v>
      </c>
      <c r="D821">
        <v>9.8199996948242205</v>
      </c>
      <c r="E821">
        <v>9.8199996948242205</v>
      </c>
      <c r="F821">
        <v>2.0921471118927002</v>
      </c>
      <c r="G821">
        <v>4.96000003814697</v>
      </c>
      <c r="H821">
        <v>0.64999997615814198</v>
      </c>
      <c r="I821">
        <v>4.21000003814697</v>
      </c>
      <c r="J821">
        <v>0</v>
      </c>
      <c r="K821">
        <v>116</v>
      </c>
      <c r="L821">
        <v>14</v>
      </c>
      <c r="M821">
        <v>169</v>
      </c>
      <c r="N821">
        <v>680</v>
      </c>
      <c r="O821">
        <v>4079</v>
      </c>
    </row>
    <row r="822" spans="1:15" x14ac:dyDescent="0.3">
      <c r="A822">
        <v>8378563200</v>
      </c>
      <c r="B822" s="1">
        <v>42474</v>
      </c>
      <c r="C822">
        <v>13318</v>
      </c>
      <c r="D822">
        <v>10.560000419616699</v>
      </c>
      <c r="E822">
        <v>10.560000419616699</v>
      </c>
      <c r="F822">
        <v>2.2530810832977299</v>
      </c>
      <c r="G822">
        <v>5.6199998855590803</v>
      </c>
      <c r="H822">
        <v>1.0299999713897701</v>
      </c>
      <c r="I822">
        <v>3.9100000858306898</v>
      </c>
      <c r="J822">
        <v>0</v>
      </c>
      <c r="K822">
        <v>123</v>
      </c>
      <c r="L822">
        <v>21</v>
      </c>
      <c r="M822">
        <v>174</v>
      </c>
      <c r="N822">
        <v>699</v>
      </c>
      <c r="O822">
        <v>4163</v>
      </c>
    </row>
    <row r="823" spans="1:15" x14ac:dyDescent="0.3">
      <c r="A823">
        <v>8378563200</v>
      </c>
      <c r="B823" s="1">
        <v>42475</v>
      </c>
      <c r="C823">
        <v>14461</v>
      </c>
      <c r="D823">
        <v>11.4700002670288</v>
      </c>
      <c r="E823">
        <v>11.4700002670288</v>
      </c>
      <c r="F823">
        <v>0</v>
      </c>
      <c r="G823">
        <v>4.9099998474121103</v>
      </c>
      <c r="H823">
        <v>1.1499999761581401</v>
      </c>
      <c r="I823">
        <v>5.4099998474121103</v>
      </c>
      <c r="J823">
        <v>0</v>
      </c>
      <c r="K823">
        <v>60</v>
      </c>
      <c r="L823">
        <v>23</v>
      </c>
      <c r="M823">
        <v>190</v>
      </c>
      <c r="N823">
        <v>729</v>
      </c>
      <c r="O823">
        <v>3666</v>
      </c>
    </row>
    <row r="824" spans="1:15" x14ac:dyDescent="0.3">
      <c r="A824">
        <v>8378563200</v>
      </c>
      <c r="B824" s="1">
        <v>42476</v>
      </c>
      <c r="C824">
        <v>11207</v>
      </c>
      <c r="D824">
        <v>8.8900003433227504</v>
      </c>
      <c r="E824">
        <v>8.8900003433227504</v>
      </c>
      <c r="F824">
        <v>0</v>
      </c>
      <c r="G824">
        <v>5.3699998855590803</v>
      </c>
      <c r="H824">
        <v>1.0700000524520901</v>
      </c>
      <c r="I824">
        <v>2.4400000572204599</v>
      </c>
      <c r="J824">
        <v>0</v>
      </c>
      <c r="K824">
        <v>64</v>
      </c>
      <c r="L824">
        <v>21</v>
      </c>
      <c r="M824">
        <v>142</v>
      </c>
      <c r="N824">
        <v>563</v>
      </c>
      <c r="O824">
        <v>3363</v>
      </c>
    </row>
    <row r="825" spans="1:15" x14ac:dyDescent="0.3">
      <c r="A825">
        <v>8378563200</v>
      </c>
      <c r="B825" s="1">
        <v>42477</v>
      </c>
      <c r="C825">
        <v>2132</v>
      </c>
      <c r="D825">
        <v>1.6900000572204601</v>
      </c>
      <c r="E825">
        <v>1.6900000572204601</v>
      </c>
      <c r="F825">
        <v>0</v>
      </c>
      <c r="G825">
        <v>0</v>
      </c>
      <c r="H825">
        <v>0</v>
      </c>
      <c r="I825">
        <v>1.6900000572204601</v>
      </c>
      <c r="J825">
        <v>0</v>
      </c>
      <c r="K825">
        <v>0</v>
      </c>
      <c r="L825">
        <v>0</v>
      </c>
      <c r="M825">
        <v>93</v>
      </c>
      <c r="N825">
        <v>599</v>
      </c>
      <c r="O825">
        <v>2572</v>
      </c>
    </row>
    <row r="826" spans="1:15" x14ac:dyDescent="0.3">
      <c r="A826">
        <v>8378563200</v>
      </c>
      <c r="B826" s="1">
        <v>42478</v>
      </c>
      <c r="C826">
        <v>13630</v>
      </c>
      <c r="D826">
        <v>10.810000419616699</v>
      </c>
      <c r="E826">
        <v>10.810000419616699</v>
      </c>
      <c r="F826">
        <v>2.0921471118927002</v>
      </c>
      <c r="G826">
        <v>5.0500001907348597</v>
      </c>
      <c r="H826">
        <v>0.56000000238418601</v>
      </c>
      <c r="I826">
        <v>5.1999998092651403</v>
      </c>
      <c r="J826">
        <v>0</v>
      </c>
      <c r="K826">
        <v>117</v>
      </c>
      <c r="L826">
        <v>10</v>
      </c>
      <c r="M826">
        <v>174</v>
      </c>
      <c r="N826">
        <v>720</v>
      </c>
      <c r="O826">
        <v>4157</v>
      </c>
    </row>
    <row r="827" spans="1:15" x14ac:dyDescent="0.3">
      <c r="A827">
        <v>8378563200</v>
      </c>
      <c r="B827" s="1">
        <v>42479</v>
      </c>
      <c r="C827">
        <v>13070</v>
      </c>
      <c r="D827">
        <v>10.3599996566772</v>
      </c>
      <c r="E827">
        <v>10.3599996566772</v>
      </c>
      <c r="F827">
        <v>2.2530810832977299</v>
      </c>
      <c r="G827">
        <v>5.3000001907348597</v>
      </c>
      <c r="H827">
        <v>0.87999999523162797</v>
      </c>
      <c r="I827">
        <v>4.1799998283386204</v>
      </c>
      <c r="J827">
        <v>0</v>
      </c>
      <c r="K827">
        <v>120</v>
      </c>
      <c r="L827">
        <v>19</v>
      </c>
      <c r="M827">
        <v>154</v>
      </c>
      <c r="N827">
        <v>737</v>
      </c>
      <c r="O827">
        <v>4092</v>
      </c>
    </row>
    <row r="828" spans="1:15" x14ac:dyDescent="0.3">
      <c r="A828">
        <v>8378563200</v>
      </c>
      <c r="B828" s="1">
        <v>42480</v>
      </c>
      <c r="C828">
        <v>9388</v>
      </c>
      <c r="D828">
        <v>7.4400000572204599</v>
      </c>
      <c r="E828">
        <v>7.4400000572204599</v>
      </c>
      <c r="F828">
        <v>2.0921471118927002</v>
      </c>
      <c r="G828">
        <v>2.2300000190734899</v>
      </c>
      <c r="H828">
        <v>0.43999999761581399</v>
      </c>
      <c r="I828">
        <v>4.7800002098083496</v>
      </c>
      <c r="J828">
        <v>0</v>
      </c>
      <c r="K828">
        <v>82</v>
      </c>
      <c r="L828">
        <v>8</v>
      </c>
      <c r="M828">
        <v>169</v>
      </c>
      <c r="N828">
        <v>763</v>
      </c>
      <c r="O828">
        <v>3787</v>
      </c>
    </row>
    <row r="829" spans="1:15" x14ac:dyDescent="0.3">
      <c r="A829">
        <v>8378563200</v>
      </c>
      <c r="B829" s="1">
        <v>42481</v>
      </c>
      <c r="C829">
        <v>15148</v>
      </c>
      <c r="D829">
        <v>12.0100002288818</v>
      </c>
      <c r="E829">
        <v>12.0100002288818</v>
      </c>
      <c r="F829">
        <v>2.2530810832977299</v>
      </c>
      <c r="G829">
        <v>6.9000000953674299</v>
      </c>
      <c r="H829">
        <v>0.81999999284744296</v>
      </c>
      <c r="I829">
        <v>4.28999996185303</v>
      </c>
      <c r="J829">
        <v>0</v>
      </c>
      <c r="K829">
        <v>137</v>
      </c>
      <c r="L829">
        <v>16</v>
      </c>
      <c r="M829">
        <v>145</v>
      </c>
      <c r="N829">
        <v>677</v>
      </c>
      <c r="O829">
        <v>4236</v>
      </c>
    </row>
    <row r="830" spans="1:15" x14ac:dyDescent="0.3">
      <c r="A830">
        <v>8378563200</v>
      </c>
      <c r="B830" s="1">
        <v>42482</v>
      </c>
      <c r="C830">
        <v>12200</v>
      </c>
      <c r="D830">
        <v>9.6700000762939506</v>
      </c>
      <c r="E830">
        <v>9.6700000762939506</v>
      </c>
      <c r="F830">
        <v>2.0921471118927002</v>
      </c>
      <c r="G830">
        <v>4.9099998474121103</v>
      </c>
      <c r="H830">
        <v>0.58999997377395597</v>
      </c>
      <c r="I830">
        <v>4.1799998283386204</v>
      </c>
      <c r="J830">
        <v>0</v>
      </c>
      <c r="K830">
        <v>113</v>
      </c>
      <c r="L830">
        <v>12</v>
      </c>
      <c r="M830">
        <v>159</v>
      </c>
      <c r="N830">
        <v>769</v>
      </c>
      <c r="O830">
        <v>4044</v>
      </c>
    </row>
    <row r="831" spans="1:15" x14ac:dyDescent="0.3">
      <c r="A831">
        <v>8378563200</v>
      </c>
      <c r="B831" s="1">
        <v>42483</v>
      </c>
      <c r="C831">
        <v>5709</v>
      </c>
      <c r="D831">
        <v>4.5300002098083496</v>
      </c>
      <c r="E831">
        <v>4.5300002098083496</v>
      </c>
      <c r="F831">
        <v>0</v>
      </c>
      <c r="G831">
        <v>1.5199999809265099</v>
      </c>
      <c r="H831">
        <v>0.519999980926514</v>
      </c>
      <c r="I831">
        <v>2.4800000190734899</v>
      </c>
      <c r="J831">
        <v>0</v>
      </c>
      <c r="K831">
        <v>19</v>
      </c>
      <c r="L831">
        <v>10</v>
      </c>
      <c r="M831">
        <v>136</v>
      </c>
      <c r="N831">
        <v>740</v>
      </c>
      <c r="O831">
        <v>2908</v>
      </c>
    </row>
    <row r="832" spans="1:15" x14ac:dyDescent="0.3">
      <c r="A832">
        <v>8378563200</v>
      </c>
      <c r="B832" s="1">
        <v>42484</v>
      </c>
      <c r="C832">
        <v>3703</v>
      </c>
      <c r="D832">
        <v>2.9400000572204599</v>
      </c>
      <c r="E832">
        <v>2.9400000572204599</v>
      </c>
      <c r="F832">
        <v>0</v>
      </c>
      <c r="G832">
        <v>0</v>
      </c>
      <c r="H832">
        <v>0</v>
      </c>
      <c r="I832">
        <v>2.9400000572204599</v>
      </c>
      <c r="J832">
        <v>0</v>
      </c>
      <c r="K832">
        <v>0</v>
      </c>
      <c r="L832">
        <v>0</v>
      </c>
      <c r="M832">
        <v>135</v>
      </c>
      <c r="N832">
        <v>734</v>
      </c>
      <c r="O832">
        <v>2741</v>
      </c>
    </row>
    <row r="833" spans="1:15" x14ac:dyDescent="0.3">
      <c r="A833">
        <v>8378563200</v>
      </c>
      <c r="B833" s="1">
        <v>42485</v>
      </c>
      <c r="C833">
        <v>12405</v>
      </c>
      <c r="D833">
        <v>9.8400001525878906</v>
      </c>
      <c r="E833">
        <v>9.8400001525878906</v>
      </c>
      <c r="F833">
        <v>2.0921471118927002</v>
      </c>
      <c r="G833">
        <v>5.0500001907348597</v>
      </c>
      <c r="H833">
        <v>0.87000000476837203</v>
      </c>
      <c r="I833">
        <v>3.9200000762939502</v>
      </c>
      <c r="J833">
        <v>0</v>
      </c>
      <c r="K833">
        <v>117</v>
      </c>
      <c r="L833">
        <v>16</v>
      </c>
      <c r="M833">
        <v>141</v>
      </c>
      <c r="N833">
        <v>692</v>
      </c>
      <c r="O833">
        <v>4005</v>
      </c>
    </row>
    <row r="834" spans="1:15" x14ac:dyDescent="0.3">
      <c r="A834">
        <v>8378563200</v>
      </c>
      <c r="B834" s="1">
        <v>42486</v>
      </c>
      <c r="C834">
        <v>16208</v>
      </c>
      <c r="D834">
        <v>12.8500003814697</v>
      </c>
      <c r="E834">
        <v>12.8500003814697</v>
      </c>
      <c r="F834">
        <v>0</v>
      </c>
      <c r="G834">
        <v>7.5100002288818404</v>
      </c>
      <c r="H834">
        <v>0.92000001668930098</v>
      </c>
      <c r="I834">
        <v>4.4200000762939498</v>
      </c>
      <c r="J834">
        <v>0</v>
      </c>
      <c r="K834">
        <v>90</v>
      </c>
      <c r="L834">
        <v>18</v>
      </c>
      <c r="M834">
        <v>161</v>
      </c>
      <c r="N834">
        <v>593</v>
      </c>
      <c r="O834">
        <v>3763</v>
      </c>
    </row>
    <row r="835" spans="1:15" x14ac:dyDescent="0.3">
      <c r="A835">
        <v>8378563200</v>
      </c>
      <c r="B835" s="1">
        <v>42487</v>
      </c>
      <c r="C835">
        <v>7359</v>
      </c>
      <c r="D835">
        <v>5.8400001525878897</v>
      </c>
      <c r="E835">
        <v>5.8400001525878897</v>
      </c>
      <c r="F835">
        <v>0</v>
      </c>
      <c r="G835">
        <v>0.33000001311302202</v>
      </c>
      <c r="H835">
        <v>0.18000000715255701</v>
      </c>
      <c r="I835">
        <v>5.3299999237060502</v>
      </c>
      <c r="J835">
        <v>0</v>
      </c>
      <c r="K835">
        <v>4</v>
      </c>
      <c r="L835">
        <v>4</v>
      </c>
      <c r="M835">
        <v>192</v>
      </c>
      <c r="N835">
        <v>676</v>
      </c>
      <c r="O835">
        <v>3061</v>
      </c>
    </row>
    <row r="836" spans="1:15" x14ac:dyDescent="0.3">
      <c r="A836">
        <v>8378563200</v>
      </c>
      <c r="B836" s="1">
        <v>42488</v>
      </c>
      <c r="C836">
        <v>5417</v>
      </c>
      <c r="D836">
        <v>4.3000001907348597</v>
      </c>
      <c r="E836">
        <v>4.3000001907348597</v>
      </c>
      <c r="F836">
        <v>0</v>
      </c>
      <c r="G836">
        <v>0.89999997615814198</v>
      </c>
      <c r="H836">
        <v>0.490000009536743</v>
      </c>
      <c r="I836">
        <v>2.9100000858306898</v>
      </c>
      <c r="J836">
        <v>0</v>
      </c>
      <c r="K836">
        <v>11</v>
      </c>
      <c r="L836">
        <v>10</v>
      </c>
      <c r="M836">
        <v>139</v>
      </c>
      <c r="N836">
        <v>711</v>
      </c>
      <c r="O836">
        <v>2884</v>
      </c>
    </row>
    <row r="837" spans="1:15" x14ac:dyDescent="0.3">
      <c r="A837">
        <v>8378563200</v>
      </c>
      <c r="B837" s="1">
        <v>42489</v>
      </c>
      <c r="C837">
        <v>6175</v>
      </c>
      <c r="D837">
        <v>4.9000000953674299</v>
      </c>
      <c r="E837">
        <v>4.9000000953674299</v>
      </c>
      <c r="F837">
        <v>0</v>
      </c>
      <c r="G837">
        <v>0.25</v>
      </c>
      <c r="H837">
        <v>0.36000001430511502</v>
      </c>
      <c r="I837">
        <v>4.2699999809265101</v>
      </c>
      <c r="J837">
        <v>0</v>
      </c>
      <c r="K837">
        <v>3</v>
      </c>
      <c r="L837">
        <v>7</v>
      </c>
      <c r="M837">
        <v>172</v>
      </c>
      <c r="N837">
        <v>767</v>
      </c>
      <c r="O837">
        <v>2982</v>
      </c>
    </row>
    <row r="838" spans="1:15" x14ac:dyDescent="0.3">
      <c r="A838">
        <v>8378563200</v>
      </c>
      <c r="B838" s="1">
        <v>42490</v>
      </c>
      <c r="C838">
        <v>2946</v>
      </c>
      <c r="D838">
        <v>2.3399999141693102</v>
      </c>
      <c r="E838">
        <v>2.3399999141693102</v>
      </c>
      <c r="F838">
        <v>0</v>
      </c>
      <c r="G838">
        <v>0</v>
      </c>
      <c r="H838">
        <v>0</v>
      </c>
      <c r="I838">
        <v>2.3399999141693102</v>
      </c>
      <c r="J838">
        <v>0</v>
      </c>
      <c r="K838">
        <v>0</v>
      </c>
      <c r="L838">
        <v>0</v>
      </c>
      <c r="M838">
        <v>121</v>
      </c>
      <c r="N838">
        <v>780</v>
      </c>
      <c r="O838">
        <v>2660</v>
      </c>
    </row>
    <row r="839" spans="1:15" x14ac:dyDescent="0.3">
      <c r="A839">
        <v>8378563200</v>
      </c>
      <c r="B839" s="1">
        <v>42491</v>
      </c>
      <c r="C839">
        <v>11419</v>
      </c>
      <c r="D839">
        <v>9.0600004196166992</v>
      </c>
      <c r="E839">
        <v>9.0600004196166992</v>
      </c>
      <c r="F839">
        <v>0</v>
      </c>
      <c r="G839">
        <v>6.0300002098083496</v>
      </c>
      <c r="H839">
        <v>0.56000000238418601</v>
      </c>
      <c r="I839">
        <v>2.4700000286102299</v>
      </c>
      <c r="J839">
        <v>0</v>
      </c>
      <c r="K839">
        <v>71</v>
      </c>
      <c r="L839">
        <v>10</v>
      </c>
      <c r="M839">
        <v>127</v>
      </c>
      <c r="N839">
        <v>669</v>
      </c>
      <c r="O839">
        <v>3369</v>
      </c>
    </row>
    <row r="840" spans="1:15" x14ac:dyDescent="0.3">
      <c r="A840">
        <v>8378563200</v>
      </c>
      <c r="B840" s="1">
        <v>42492</v>
      </c>
      <c r="C840">
        <v>6064</v>
      </c>
      <c r="D840">
        <v>4.8099999427795401</v>
      </c>
      <c r="E840">
        <v>4.8099999427795401</v>
      </c>
      <c r="F840">
        <v>2.0921471118927002</v>
      </c>
      <c r="G840">
        <v>0.62999999523162797</v>
      </c>
      <c r="H840">
        <v>0.17000000178813901</v>
      </c>
      <c r="I840">
        <v>4.0100002288818404</v>
      </c>
      <c r="J840">
        <v>0</v>
      </c>
      <c r="K840">
        <v>63</v>
      </c>
      <c r="L840">
        <v>4</v>
      </c>
      <c r="M840">
        <v>142</v>
      </c>
      <c r="N840">
        <v>802</v>
      </c>
      <c r="O840">
        <v>3491</v>
      </c>
    </row>
    <row r="841" spans="1:15" x14ac:dyDescent="0.3">
      <c r="A841">
        <v>8378563200</v>
      </c>
      <c r="B841" s="1">
        <v>42493</v>
      </c>
      <c r="C841">
        <v>8712</v>
      </c>
      <c r="D841">
        <v>6.9099998474121103</v>
      </c>
      <c r="E841">
        <v>6.9099998474121103</v>
      </c>
      <c r="F841">
        <v>2.2530810832977299</v>
      </c>
      <c r="G841">
        <v>1.3400000333786</v>
      </c>
      <c r="H841">
        <v>1.0599999427795399</v>
      </c>
      <c r="I841">
        <v>4.5</v>
      </c>
      <c r="J841">
        <v>0</v>
      </c>
      <c r="K841">
        <v>71</v>
      </c>
      <c r="L841">
        <v>20</v>
      </c>
      <c r="M841">
        <v>195</v>
      </c>
      <c r="N841">
        <v>822</v>
      </c>
      <c r="O841">
        <v>3784</v>
      </c>
    </row>
    <row r="842" spans="1:15" x14ac:dyDescent="0.3">
      <c r="A842">
        <v>8378563200</v>
      </c>
      <c r="B842" s="1">
        <v>42494</v>
      </c>
      <c r="C842">
        <v>7875</v>
      </c>
      <c r="D842">
        <v>6.2399997711181596</v>
      </c>
      <c r="E842">
        <v>6.2399997711181596</v>
      </c>
      <c r="F842">
        <v>0</v>
      </c>
      <c r="G842">
        <v>1.5599999427795399</v>
      </c>
      <c r="H842">
        <v>0.490000009536743</v>
      </c>
      <c r="I842">
        <v>4.1999998092651403</v>
      </c>
      <c r="J842">
        <v>0</v>
      </c>
      <c r="K842">
        <v>19</v>
      </c>
      <c r="L842">
        <v>10</v>
      </c>
      <c r="M842">
        <v>167</v>
      </c>
      <c r="N842">
        <v>680</v>
      </c>
      <c r="O842">
        <v>3110</v>
      </c>
    </row>
    <row r="843" spans="1:15" x14ac:dyDescent="0.3">
      <c r="A843">
        <v>8378563200</v>
      </c>
      <c r="B843" s="1">
        <v>42495</v>
      </c>
      <c r="C843">
        <v>8567</v>
      </c>
      <c r="D843">
        <v>6.78999996185303</v>
      </c>
      <c r="E843">
        <v>6.78999996185303</v>
      </c>
      <c r="F843">
        <v>2.2530810832977299</v>
      </c>
      <c r="G843">
        <v>0.88999998569488503</v>
      </c>
      <c r="H843">
        <v>0.15999999642372101</v>
      </c>
      <c r="I843">
        <v>5.7399997711181596</v>
      </c>
      <c r="J843">
        <v>0</v>
      </c>
      <c r="K843">
        <v>66</v>
      </c>
      <c r="L843">
        <v>3</v>
      </c>
      <c r="M843">
        <v>214</v>
      </c>
      <c r="N843">
        <v>764</v>
      </c>
      <c r="O843">
        <v>3783</v>
      </c>
    </row>
    <row r="844" spans="1:15" x14ac:dyDescent="0.3">
      <c r="A844">
        <v>8378563200</v>
      </c>
      <c r="B844" s="1">
        <v>42496</v>
      </c>
      <c r="C844">
        <v>7045</v>
      </c>
      <c r="D844">
        <v>5.5900001525878897</v>
      </c>
      <c r="E844">
        <v>5.5900001525878897</v>
      </c>
      <c r="F844">
        <v>2.0921471118927002</v>
      </c>
      <c r="G844">
        <v>1.54999995231628</v>
      </c>
      <c r="H844">
        <v>0.25</v>
      </c>
      <c r="I844">
        <v>3.7799999713897701</v>
      </c>
      <c r="J844">
        <v>0</v>
      </c>
      <c r="K844">
        <v>74</v>
      </c>
      <c r="L844">
        <v>5</v>
      </c>
      <c r="M844">
        <v>166</v>
      </c>
      <c r="N844">
        <v>831</v>
      </c>
      <c r="O844">
        <v>3644</v>
      </c>
    </row>
    <row r="845" spans="1:15" x14ac:dyDescent="0.3">
      <c r="A845">
        <v>8378563200</v>
      </c>
      <c r="B845" s="1">
        <v>42497</v>
      </c>
      <c r="C845">
        <v>4468</v>
      </c>
      <c r="D845">
        <v>3.53999996185303</v>
      </c>
      <c r="E845">
        <v>3.53999996185303</v>
      </c>
      <c r="F845">
        <v>0</v>
      </c>
      <c r="G845">
        <v>0</v>
      </c>
      <c r="H845">
        <v>0</v>
      </c>
      <c r="I845">
        <v>3.53999996185303</v>
      </c>
      <c r="J845">
        <v>0</v>
      </c>
      <c r="K845">
        <v>0</v>
      </c>
      <c r="L845">
        <v>0</v>
      </c>
      <c r="M845">
        <v>158</v>
      </c>
      <c r="N845">
        <v>851</v>
      </c>
      <c r="O845">
        <v>2799</v>
      </c>
    </row>
    <row r="846" spans="1:15" x14ac:dyDescent="0.3">
      <c r="A846">
        <v>8378563200</v>
      </c>
      <c r="B846" s="1">
        <v>42498</v>
      </c>
      <c r="C846">
        <v>2943</v>
      </c>
      <c r="D846">
        <v>2.3299999237060498</v>
      </c>
      <c r="E846">
        <v>2.3299999237060498</v>
      </c>
      <c r="F846">
        <v>0</v>
      </c>
      <c r="G846">
        <v>0</v>
      </c>
      <c r="H846">
        <v>0</v>
      </c>
      <c r="I846">
        <v>2.3299999237060498</v>
      </c>
      <c r="J846">
        <v>0</v>
      </c>
      <c r="K846">
        <v>0</v>
      </c>
      <c r="L846">
        <v>0</v>
      </c>
      <c r="M846">
        <v>139</v>
      </c>
      <c r="N846">
        <v>621</v>
      </c>
      <c r="O846">
        <v>2685</v>
      </c>
    </row>
    <row r="847" spans="1:15" x14ac:dyDescent="0.3">
      <c r="A847">
        <v>8378563200</v>
      </c>
      <c r="B847" s="1">
        <v>42499</v>
      </c>
      <c r="C847">
        <v>8382</v>
      </c>
      <c r="D847">
        <v>6.6500000953674299</v>
      </c>
      <c r="E847">
        <v>6.6500000953674299</v>
      </c>
      <c r="F847">
        <v>2.0921471118927002</v>
      </c>
      <c r="G847">
        <v>1.2699999809265099</v>
      </c>
      <c r="H847">
        <v>0.66000002622604403</v>
      </c>
      <c r="I847">
        <v>4.7199997901916504</v>
      </c>
      <c r="J847">
        <v>0</v>
      </c>
      <c r="K847">
        <v>71</v>
      </c>
      <c r="L847">
        <v>13</v>
      </c>
      <c r="M847">
        <v>171</v>
      </c>
      <c r="N847">
        <v>772</v>
      </c>
      <c r="O847">
        <v>3721</v>
      </c>
    </row>
    <row r="848" spans="1:15" x14ac:dyDescent="0.3">
      <c r="A848">
        <v>8378563200</v>
      </c>
      <c r="B848" s="1">
        <v>42500</v>
      </c>
      <c r="C848">
        <v>6582</v>
      </c>
      <c r="D848">
        <v>5.2199997901916504</v>
      </c>
      <c r="E848">
        <v>5.2199997901916504</v>
      </c>
      <c r="F848">
        <v>2.2530810832977299</v>
      </c>
      <c r="G848">
        <v>0.66000002622604403</v>
      </c>
      <c r="H848">
        <v>0.63999998569488503</v>
      </c>
      <c r="I848">
        <v>3.9200000762939502</v>
      </c>
      <c r="J848">
        <v>0</v>
      </c>
      <c r="K848">
        <v>63</v>
      </c>
      <c r="L848">
        <v>13</v>
      </c>
      <c r="M848">
        <v>152</v>
      </c>
      <c r="N848">
        <v>840</v>
      </c>
      <c r="O848">
        <v>3586</v>
      </c>
    </row>
    <row r="849" spans="1:15" x14ac:dyDescent="0.3">
      <c r="A849">
        <v>8378563200</v>
      </c>
      <c r="B849" s="1">
        <v>42501</v>
      </c>
      <c r="C849">
        <v>9143</v>
      </c>
      <c r="D849">
        <v>7.25</v>
      </c>
      <c r="E849">
        <v>7.25</v>
      </c>
      <c r="F849">
        <v>2.0921471118927002</v>
      </c>
      <c r="G849">
        <v>1.3899999856948899</v>
      </c>
      <c r="H849">
        <v>0.58999997377395597</v>
      </c>
      <c r="I849">
        <v>5.2699999809265101</v>
      </c>
      <c r="J849">
        <v>0</v>
      </c>
      <c r="K849">
        <v>72</v>
      </c>
      <c r="L849">
        <v>10</v>
      </c>
      <c r="M849">
        <v>184</v>
      </c>
      <c r="N849">
        <v>763</v>
      </c>
      <c r="O849">
        <v>3788</v>
      </c>
    </row>
    <row r="850" spans="1:15" x14ac:dyDescent="0.3">
      <c r="A850">
        <v>8378563200</v>
      </c>
      <c r="B850" s="1">
        <v>42502</v>
      </c>
      <c r="C850">
        <v>4561</v>
      </c>
      <c r="D850">
        <v>3.6199998855590798</v>
      </c>
      <c r="E850">
        <v>3.6199998855590798</v>
      </c>
      <c r="F850">
        <v>0</v>
      </c>
      <c r="G850">
        <v>0.64999997615814198</v>
      </c>
      <c r="H850">
        <v>0.270000010728836</v>
      </c>
      <c r="I850">
        <v>2.6900000572204599</v>
      </c>
      <c r="J850">
        <v>0</v>
      </c>
      <c r="K850">
        <v>8</v>
      </c>
      <c r="L850">
        <v>6</v>
      </c>
      <c r="M850">
        <v>102</v>
      </c>
      <c r="N850">
        <v>433</v>
      </c>
      <c r="O850">
        <v>1976</v>
      </c>
    </row>
    <row r="851" spans="1:15" x14ac:dyDescent="0.3">
      <c r="A851">
        <v>8583815059</v>
      </c>
      <c r="B851" s="1">
        <v>42472</v>
      </c>
      <c r="C851">
        <v>5014</v>
      </c>
      <c r="D851">
        <v>3.9100000858306898</v>
      </c>
      <c r="E851">
        <v>3.9100000858306898</v>
      </c>
      <c r="F851">
        <v>0</v>
      </c>
      <c r="G851">
        <v>0</v>
      </c>
      <c r="H851">
        <v>0.33000001311302202</v>
      </c>
      <c r="I851">
        <v>3.5799999237060498</v>
      </c>
      <c r="J851">
        <v>0</v>
      </c>
      <c r="K851">
        <v>0</v>
      </c>
      <c r="L851">
        <v>7</v>
      </c>
      <c r="M851">
        <v>196</v>
      </c>
      <c r="N851">
        <v>1237</v>
      </c>
      <c r="O851">
        <v>2650</v>
      </c>
    </row>
    <row r="852" spans="1:15" x14ac:dyDescent="0.3">
      <c r="A852">
        <v>8583815059</v>
      </c>
      <c r="B852" s="1">
        <v>42473</v>
      </c>
      <c r="C852">
        <v>5571</v>
      </c>
      <c r="D852">
        <v>4.3499999046325701</v>
      </c>
      <c r="E852">
        <v>4.3499999046325701</v>
      </c>
      <c r="F852">
        <v>0</v>
      </c>
      <c r="G852">
        <v>0.15000000596046401</v>
      </c>
      <c r="H852">
        <v>0.97000002861022905</v>
      </c>
      <c r="I852">
        <v>3.2300000190734899</v>
      </c>
      <c r="J852">
        <v>0</v>
      </c>
      <c r="K852">
        <v>2</v>
      </c>
      <c r="L852">
        <v>23</v>
      </c>
      <c r="M852">
        <v>163</v>
      </c>
      <c r="N852">
        <v>1252</v>
      </c>
      <c r="O852">
        <v>2654</v>
      </c>
    </row>
    <row r="853" spans="1:15" x14ac:dyDescent="0.3">
      <c r="A853">
        <v>8583815059</v>
      </c>
      <c r="B853" s="1">
        <v>42474</v>
      </c>
      <c r="C853">
        <v>3135</v>
      </c>
      <c r="D853">
        <v>2.4500000476837198</v>
      </c>
      <c r="E853">
        <v>2.4500000476837198</v>
      </c>
      <c r="F853">
        <v>0</v>
      </c>
      <c r="G853">
        <v>0</v>
      </c>
      <c r="H853">
        <v>0</v>
      </c>
      <c r="I853">
        <v>2.4300000667571999</v>
      </c>
      <c r="J853">
        <v>0</v>
      </c>
      <c r="K853">
        <v>0</v>
      </c>
      <c r="L853">
        <v>0</v>
      </c>
      <c r="M853">
        <v>134</v>
      </c>
      <c r="N853">
        <v>1306</v>
      </c>
      <c r="O853">
        <v>2443</v>
      </c>
    </row>
    <row r="854" spans="1:15" x14ac:dyDescent="0.3">
      <c r="A854">
        <v>8583815059</v>
      </c>
      <c r="B854" s="1">
        <v>42475</v>
      </c>
      <c r="C854">
        <v>3430</v>
      </c>
      <c r="D854">
        <v>2.6800000667571999</v>
      </c>
      <c r="E854">
        <v>2.6800000667571999</v>
      </c>
      <c r="F854">
        <v>0</v>
      </c>
      <c r="G854">
        <v>0</v>
      </c>
      <c r="H854">
        <v>0</v>
      </c>
      <c r="I854">
        <v>0.89999997615814198</v>
      </c>
      <c r="J854">
        <v>0</v>
      </c>
      <c r="K854">
        <v>0</v>
      </c>
      <c r="L854">
        <v>0</v>
      </c>
      <c r="M854">
        <v>65</v>
      </c>
      <c r="N854">
        <v>1375</v>
      </c>
      <c r="O854">
        <v>2505</v>
      </c>
    </row>
    <row r="855" spans="1:15" x14ac:dyDescent="0.3">
      <c r="A855">
        <v>8583815059</v>
      </c>
      <c r="B855" s="1">
        <v>42476</v>
      </c>
      <c r="C855">
        <v>5319</v>
      </c>
      <c r="D855">
        <v>4.1500000953674299</v>
      </c>
      <c r="E855">
        <v>4.1500000953674299</v>
      </c>
      <c r="F855">
        <v>0</v>
      </c>
      <c r="G855">
        <v>0</v>
      </c>
      <c r="H855">
        <v>0</v>
      </c>
      <c r="I855">
        <v>0</v>
      </c>
      <c r="J855">
        <v>0</v>
      </c>
      <c r="K855">
        <v>0</v>
      </c>
      <c r="L855">
        <v>0</v>
      </c>
      <c r="M855">
        <v>0</v>
      </c>
      <c r="N855">
        <v>1440</v>
      </c>
      <c r="O855">
        <v>2693</v>
      </c>
    </row>
    <row r="856" spans="1:15" x14ac:dyDescent="0.3">
      <c r="A856">
        <v>8583815059</v>
      </c>
      <c r="B856" s="1">
        <v>42477</v>
      </c>
      <c r="C856">
        <v>3008</v>
      </c>
      <c r="D856">
        <v>2.3499999046325701</v>
      </c>
      <c r="E856">
        <v>2.3499999046325701</v>
      </c>
      <c r="F856">
        <v>0</v>
      </c>
      <c r="G856">
        <v>0</v>
      </c>
      <c r="H856">
        <v>0</v>
      </c>
      <c r="I856">
        <v>0</v>
      </c>
      <c r="J856">
        <v>0</v>
      </c>
      <c r="K856">
        <v>0</v>
      </c>
      <c r="L856">
        <v>0</v>
      </c>
      <c r="M856">
        <v>0</v>
      </c>
      <c r="N856">
        <v>1440</v>
      </c>
      <c r="O856">
        <v>2439</v>
      </c>
    </row>
    <row r="857" spans="1:15" x14ac:dyDescent="0.3">
      <c r="A857">
        <v>8583815059</v>
      </c>
      <c r="B857" s="1">
        <v>42478</v>
      </c>
      <c r="C857">
        <v>3864</v>
      </c>
      <c r="D857">
        <v>3.0099999904632599</v>
      </c>
      <c r="E857">
        <v>3.0099999904632599</v>
      </c>
      <c r="F857">
        <v>0</v>
      </c>
      <c r="G857">
        <v>0.31000000238418601</v>
      </c>
      <c r="H857">
        <v>1.0599999427795399</v>
      </c>
      <c r="I857">
        <v>1.3500000238418599</v>
      </c>
      <c r="J857">
        <v>0</v>
      </c>
      <c r="K857">
        <v>4</v>
      </c>
      <c r="L857">
        <v>22</v>
      </c>
      <c r="M857">
        <v>105</v>
      </c>
      <c r="N857">
        <v>1309</v>
      </c>
      <c r="O857">
        <v>2536</v>
      </c>
    </row>
    <row r="858" spans="1:15" x14ac:dyDescent="0.3">
      <c r="A858">
        <v>8583815059</v>
      </c>
      <c r="B858" s="1">
        <v>42479</v>
      </c>
      <c r="C858">
        <v>5697</v>
      </c>
      <c r="D858">
        <v>4.4400000572204599</v>
      </c>
      <c r="E858">
        <v>4.4400000572204599</v>
      </c>
      <c r="F858">
        <v>0</v>
      </c>
      <c r="G858">
        <v>0.52999997138977095</v>
      </c>
      <c r="H858">
        <v>0.479999989271164</v>
      </c>
      <c r="I858">
        <v>3.4400000572204599</v>
      </c>
      <c r="J858">
        <v>0</v>
      </c>
      <c r="K858">
        <v>7</v>
      </c>
      <c r="L858">
        <v>10</v>
      </c>
      <c r="M858">
        <v>166</v>
      </c>
      <c r="N858">
        <v>1257</v>
      </c>
      <c r="O858">
        <v>2668</v>
      </c>
    </row>
    <row r="859" spans="1:15" x14ac:dyDescent="0.3">
      <c r="A859">
        <v>8583815059</v>
      </c>
      <c r="B859" s="1">
        <v>42480</v>
      </c>
      <c r="C859">
        <v>5273</v>
      </c>
      <c r="D859">
        <v>4.1100001335143999</v>
      </c>
      <c r="E859">
        <v>4.1100001335143999</v>
      </c>
      <c r="F859">
        <v>0</v>
      </c>
      <c r="G859">
        <v>0</v>
      </c>
      <c r="H859">
        <v>1.03999996185303</v>
      </c>
      <c r="I859">
        <v>3.0699999332428001</v>
      </c>
      <c r="J859">
        <v>0</v>
      </c>
      <c r="K859">
        <v>0</v>
      </c>
      <c r="L859">
        <v>27</v>
      </c>
      <c r="M859">
        <v>167</v>
      </c>
      <c r="N859">
        <v>1246</v>
      </c>
      <c r="O859">
        <v>2647</v>
      </c>
    </row>
    <row r="860" spans="1:15" x14ac:dyDescent="0.3">
      <c r="A860">
        <v>8583815059</v>
      </c>
      <c r="B860" s="1">
        <v>42481</v>
      </c>
      <c r="C860">
        <v>8538</v>
      </c>
      <c r="D860">
        <v>6.6599998474121103</v>
      </c>
      <c r="E860">
        <v>6.6599998474121103</v>
      </c>
      <c r="F860">
        <v>0</v>
      </c>
      <c r="G860">
        <v>2.6300001144409202</v>
      </c>
      <c r="H860">
        <v>1.0199999809265099</v>
      </c>
      <c r="I860">
        <v>3.0099999904632599</v>
      </c>
      <c r="J860">
        <v>0</v>
      </c>
      <c r="K860">
        <v>35</v>
      </c>
      <c r="L860">
        <v>18</v>
      </c>
      <c r="M860">
        <v>158</v>
      </c>
      <c r="N860">
        <v>1229</v>
      </c>
      <c r="O860">
        <v>2883</v>
      </c>
    </row>
    <row r="861" spans="1:15" x14ac:dyDescent="0.3">
      <c r="A861">
        <v>8583815059</v>
      </c>
      <c r="B861" s="1">
        <v>42482</v>
      </c>
      <c r="C861">
        <v>8687</v>
      </c>
      <c r="D861">
        <v>6.7800002098083496</v>
      </c>
      <c r="E861">
        <v>6.7800002098083496</v>
      </c>
      <c r="F861">
        <v>0</v>
      </c>
      <c r="G861">
        <v>0.28999999165535001</v>
      </c>
      <c r="H861">
        <v>2.4100000858306898</v>
      </c>
      <c r="I861">
        <v>4.0799999237060502</v>
      </c>
      <c r="J861">
        <v>0</v>
      </c>
      <c r="K861">
        <v>4</v>
      </c>
      <c r="L861">
        <v>54</v>
      </c>
      <c r="M861">
        <v>212</v>
      </c>
      <c r="N861">
        <v>1170</v>
      </c>
      <c r="O861">
        <v>2944</v>
      </c>
    </row>
    <row r="862" spans="1:15" x14ac:dyDescent="0.3">
      <c r="A862">
        <v>8583815059</v>
      </c>
      <c r="B862" s="1">
        <v>42483</v>
      </c>
      <c r="C862">
        <v>9423</v>
      </c>
      <c r="D862">
        <v>7.3499999046325701</v>
      </c>
      <c r="E862">
        <v>7.3499999046325701</v>
      </c>
      <c r="F862">
        <v>0</v>
      </c>
      <c r="G862">
        <v>0.52999997138977095</v>
      </c>
      <c r="H862">
        <v>2.0299999713897701</v>
      </c>
      <c r="I862">
        <v>4.75</v>
      </c>
      <c r="J862">
        <v>0</v>
      </c>
      <c r="K862">
        <v>7</v>
      </c>
      <c r="L862">
        <v>44</v>
      </c>
      <c r="M862">
        <v>238</v>
      </c>
      <c r="N862">
        <v>1151</v>
      </c>
      <c r="O862">
        <v>3012</v>
      </c>
    </row>
    <row r="863" spans="1:15" x14ac:dyDescent="0.3">
      <c r="A863">
        <v>8583815059</v>
      </c>
      <c r="B863" s="1">
        <v>42484</v>
      </c>
      <c r="C863">
        <v>8286</v>
      </c>
      <c r="D863">
        <v>6.46000003814697</v>
      </c>
      <c r="E863">
        <v>6.46000003814697</v>
      </c>
      <c r="F863">
        <v>0</v>
      </c>
      <c r="G863">
        <v>0.15000000596046401</v>
      </c>
      <c r="H863">
        <v>2.0499999523162802</v>
      </c>
      <c r="I863">
        <v>4.2699999809265101</v>
      </c>
      <c r="J863">
        <v>0</v>
      </c>
      <c r="K863">
        <v>2</v>
      </c>
      <c r="L863">
        <v>44</v>
      </c>
      <c r="M863">
        <v>206</v>
      </c>
      <c r="N863">
        <v>1188</v>
      </c>
      <c r="O863">
        <v>2889</v>
      </c>
    </row>
    <row r="864" spans="1:15" x14ac:dyDescent="0.3">
      <c r="A864">
        <v>8583815059</v>
      </c>
      <c r="B864" s="1">
        <v>42485</v>
      </c>
      <c r="C864">
        <v>4503</v>
      </c>
      <c r="D864">
        <v>3.5099999904632599</v>
      </c>
      <c r="E864">
        <v>3.5099999904632599</v>
      </c>
      <c r="F864">
        <v>0</v>
      </c>
      <c r="G864">
        <v>1.4700000286102299</v>
      </c>
      <c r="H864">
        <v>0.239999994635582</v>
      </c>
      <c r="I864">
        <v>1.8099999427795399</v>
      </c>
      <c r="J864">
        <v>0</v>
      </c>
      <c r="K864">
        <v>18</v>
      </c>
      <c r="L864">
        <v>6</v>
      </c>
      <c r="M864">
        <v>122</v>
      </c>
      <c r="N864">
        <v>1294</v>
      </c>
      <c r="O864">
        <v>2547</v>
      </c>
    </row>
    <row r="865" spans="1:15" x14ac:dyDescent="0.3">
      <c r="A865">
        <v>8583815059</v>
      </c>
      <c r="B865" s="1">
        <v>42486</v>
      </c>
      <c r="C865">
        <v>10499</v>
      </c>
      <c r="D865">
        <v>8.1899995803833008</v>
      </c>
      <c r="E865">
        <v>8.1899995803833008</v>
      </c>
      <c r="F865">
        <v>0</v>
      </c>
      <c r="G865">
        <v>7.0000000298023196E-2</v>
      </c>
      <c r="H865">
        <v>4.2199997901916504</v>
      </c>
      <c r="I865">
        <v>3.8900001049041699</v>
      </c>
      <c r="J865">
        <v>0</v>
      </c>
      <c r="K865">
        <v>1</v>
      </c>
      <c r="L865">
        <v>91</v>
      </c>
      <c r="M865">
        <v>214</v>
      </c>
      <c r="N865">
        <v>1134</v>
      </c>
      <c r="O865">
        <v>3093</v>
      </c>
    </row>
    <row r="866" spans="1:15" x14ac:dyDescent="0.3">
      <c r="A866">
        <v>8583815059</v>
      </c>
      <c r="B866" s="1">
        <v>42487</v>
      </c>
      <c r="C866">
        <v>12474</v>
      </c>
      <c r="D866">
        <v>9.7299995422363299</v>
      </c>
      <c r="E866">
        <v>9.7299995422363299</v>
      </c>
      <c r="F866">
        <v>0</v>
      </c>
      <c r="G866">
        <v>6.5999999046325701</v>
      </c>
      <c r="H866">
        <v>0.270000010728836</v>
      </c>
      <c r="I866">
        <v>2.8699998855590798</v>
      </c>
      <c r="J866">
        <v>0</v>
      </c>
      <c r="K866">
        <v>77</v>
      </c>
      <c r="L866">
        <v>5</v>
      </c>
      <c r="M866">
        <v>129</v>
      </c>
      <c r="N866">
        <v>1229</v>
      </c>
      <c r="O866">
        <v>3142</v>
      </c>
    </row>
    <row r="867" spans="1:15" x14ac:dyDescent="0.3">
      <c r="A867">
        <v>8583815059</v>
      </c>
      <c r="B867" s="1">
        <v>42488</v>
      </c>
      <c r="C867">
        <v>6174</v>
      </c>
      <c r="D867">
        <v>4.8200001716613796</v>
      </c>
      <c r="E867">
        <v>4.8200001716613796</v>
      </c>
      <c r="F867">
        <v>0</v>
      </c>
      <c r="G867">
        <v>0</v>
      </c>
      <c r="H867">
        <v>1.20000004768372</v>
      </c>
      <c r="I867">
        <v>3.6099998950958301</v>
      </c>
      <c r="J867">
        <v>0</v>
      </c>
      <c r="K867">
        <v>0</v>
      </c>
      <c r="L867">
        <v>28</v>
      </c>
      <c r="M867">
        <v>203</v>
      </c>
      <c r="N867">
        <v>1209</v>
      </c>
      <c r="O867">
        <v>2757</v>
      </c>
    </row>
    <row r="868" spans="1:15" x14ac:dyDescent="0.3">
      <c r="A868">
        <v>8583815059</v>
      </c>
      <c r="B868" s="1">
        <v>42489</v>
      </c>
      <c r="C868">
        <v>15168</v>
      </c>
      <c r="D868">
        <v>11.829999923706101</v>
      </c>
      <c r="E868">
        <v>11.829999923706101</v>
      </c>
      <c r="F868">
        <v>0</v>
      </c>
      <c r="G868">
        <v>3.9000000953674299</v>
      </c>
      <c r="H868">
        <v>3</v>
      </c>
      <c r="I868">
        <v>4.9200000762939498</v>
      </c>
      <c r="J868">
        <v>0</v>
      </c>
      <c r="K868">
        <v>46</v>
      </c>
      <c r="L868">
        <v>67</v>
      </c>
      <c r="M868">
        <v>258</v>
      </c>
      <c r="N868">
        <v>1069</v>
      </c>
      <c r="O868">
        <v>3513</v>
      </c>
    </row>
    <row r="869" spans="1:15" x14ac:dyDescent="0.3">
      <c r="A869">
        <v>8583815059</v>
      </c>
      <c r="B869" s="1">
        <v>42490</v>
      </c>
      <c r="C869">
        <v>10085</v>
      </c>
      <c r="D869">
        <v>7.8699998855590803</v>
      </c>
      <c r="E869">
        <v>7.8699998855590803</v>
      </c>
      <c r="F869">
        <v>0</v>
      </c>
      <c r="G869">
        <v>0.15000000596046401</v>
      </c>
      <c r="H869">
        <v>1.2799999713897701</v>
      </c>
      <c r="I869">
        <v>6.4299998283386204</v>
      </c>
      <c r="J869">
        <v>0</v>
      </c>
      <c r="K869">
        <v>2</v>
      </c>
      <c r="L869">
        <v>28</v>
      </c>
      <c r="M869">
        <v>317</v>
      </c>
      <c r="N869">
        <v>1093</v>
      </c>
      <c r="O869">
        <v>3164</v>
      </c>
    </row>
    <row r="870" spans="1:15" x14ac:dyDescent="0.3">
      <c r="A870">
        <v>8583815059</v>
      </c>
      <c r="B870" s="1">
        <v>42491</v>
      </c>
      <c r="C870">
        <v>4512</v>
      </c>
      <c r="D870">
        <v>3.5199999809265101</v>
      </c>
      <c r="E870">
        <v>3.5199999809265101</v>
      </c>
      <c r="F870">
        <v>0</v>
      </c>
      <c r="G870">
        <v>0.77999997138977095</v>
      </c>
      <c r="H870">
        <v>0.119999997317791</v>
      </c>
      <c r="I870">
        <v>2.03999996185303</v>
      </c>
      <c r="J870">
        <v>0</v>
      </c>
      <c r="K870">
        <v>10</v>
      </c>
      <c r="L870">
        <v>2</v>
      </c>
      <c r="M870">
        <v>117</v>
      </c>
      <c r="N870">
        <v>1311</v>
      </c>
      <c r="O870">
        <v>2596</v>
      </c>
    </row>
    <row r="871" spans="1:15" x14ac:dyDescent="0.3">
      <c r="A871">
        <v>8583815059</v>
      </c>
      <c r="B871" s="1">
        <v>42492</v>
      </c>
      <c r="C871">
        <v>8469</v>
      </c>
      <c r="D871">
        <v>6.6100001335143999</v>
      </c>
      <c r="E871">
        <v>6.6100001335143999</v>
      </c>
      <c r="F871">
        <v>0</v>
      </c>
      <c r="G871">
        <v>0</v>
      </c>
      <c r="H871">
        <v>0</v>
      </c>
      <c r="I871">
        <v>0</v>
      </c>
      <c r="J871">
        <v>0</v>
      </c>
      <c r="K871">
        <v>0</v>
      </c>
      <c r="L871">
        <v>0</v>
      </c>
      <c r="M871">
        <v>0</v>
      </c>
      <c r="N871">
        <v>1440</v>
      </c>
      <c r="O871">
        <v>2894</v>
      </c>
    </row>
    <row r="872" spans="1:15" x14ac:dyDescent="0.3">
      <c r="A872">
        <v>8583815059</v>
      </c>
      <c r="B872" s="1">
        <v>42493</v>
      </c>
      <c r="C872">
        <v>12015</v>
      </c>
      <c r="D872">
        <v>9.3699998855590803</v>
      </c>
      <c r="E872">
        <v>9.3699998855590803</v>
      </c>
      <c r="F872">
        <v>0</v>
      </c>
      <c r="G872">
        <v>0</v>
      </c>
      <c r="H872">
        <v>0</v>
      </c>
      <c r="I872">
        <v>0</v>
      </c>
      <c r="J872">
        <v>0</v>
      </c>
      <c r="K872">
        <v>0</v>
      </c>
      <c r="L872">
        <v>0</v>
      </c>
      <c r="M872">
        <v>0</v>
      </c>
      <c r="N872">
        <v>1440</v>
      </c>
      <c r="O872">
        <v>3212</v>
      </c>
    </row>
    <row r="873" spans="1:15" x14ac:dyDescent="0.3">
      <c r="A873">
        <v>8583815059</v>
      </c>
      <c r="B873" s="1">
        <v>42494</v>
      </c>
      <c r="C873">
        <v>3588</v>
      </c>
      <c r="D873">
        <v>2.7999999523162802</v>
      </c>
      <c r="E873">
        <v>2.7999999523162802</v>
      </c>
      <c r="F873">
        <v>0</v>
      </c>
      <c r="G873">
        <v>0</v>
      </c>
      <c r="H873">
        <v>0</v>
      </c>
      <c r="I873">
        <v>0</v>
      </c>
      <c r="J873">
        <v>0</v>
      </c>
      <c r="K873">
        <v>0</v>
      </c>
      <c r="L873">
        <v>0</v>
      </c>
      <c r="M873">
        <v>0</v>
      </c>
      <c r="N873">
        <v>1440</v>
      </c>
      <c r="O873">
        <v>2516</v>
      </c>
    </row>
    <row r="874" spans="1:15" x14ac:dyDescent="0.3">
      <c r="A874">
        <v>8583815059</v>
      </c>
      <c r="B874" s="1">
        <v>42495</v>
      </c>
      <c r="C874">
        <v>12427</v>
      </c>
      <c r="D874">
        <v>9.6899995803833008</v>
      </c>
      <c r="E874">
        <v>9.6899995803833008</v>
      </c>
      <c r="F874">
        <v>0</v>
      </c>
      <c r="G874">
        <v>0</v>
      </c>
      <c r="H874">
        <v>0</v>
      </c>
      <c r="I874">
        <v>1.1799999475479099</v>
      </c>
      <c r="J874">
        <v>0</v>
      </c>
      <c r="K874">
        <v>0</v>
      </c>
      <c r="L874">
        <v>0</v>
      </c>
      <c r="M874">
        <v>70</v>
      </c>
      <c r="N874">
        <v>1370</v>
      </c>
      <c r="O874">
        <v>3266</v>
      </c>
    </row>
    <row r="875" spans="1:15" x14ac:dyDescent="0.3">
      <c r="A875">
        <v>8583815059</v>
      </c>
      <c r="B875" s="1">
        <v>42496</v>
      </c>
      <c r="C875">
        <v>5843</v>
      </c>
      <c r="D875">
        <v>4.5599999427795401</v>
      </c>
      <c r="E875">
        <v>4.5599999427795401</v>
      </c>
      <c r="F875">
        <v>0</v>
      </c>
      <c r="G875">
        <v>0.140000000596046</v>
      </c>
      <c r="H875">
        <v>1.1900000572204601</v>
      </c>
      <c r="I875">
        <v>3.2300000190734899</v>
      </c>
      <c r="J875">
        <v>0</v>
      </c>
      <c r="K875">
        <v>2</v>
      </c>
      <c r="L875">
        <v>22</v>
      </c>
      <c r="M875">
        <v>166</v>
      </c>
      <c r="N875">
        <v>1250</v>
      </c>
      <c r="O875">
        <v>2683</v>
      </c>
    </row>
    <row r="876" spans="1:15" x14ac:dyDescent="0.3">
      <c r="A876">
        <v>8583815059</v>
      </c>
      <c r="B876" s="1">
        <v>42497</v>
      </c>
      <c r="C876">
        <v>6117</v>
      </c>
      <c r="D876">
        <v>4.7699999809265101</v>
      </c>
      <c r="E876">
        <v>4.7699999809265101</v>
      </c>
      <c r="F876">
        <v>0</v>
      </c>
      <c r="G876">
        <v>0</v>
      </c>
      <c r="H876">
        <v>0</v>
      </c>
      <c r="I876">
        <v>4.7699999809265101</v>
      </c>
      <c r="J876">
        <v>0</v>
      </c>
      <c r="K876">
        <v>0</v>
      </c>
      <c r="L876">
        <v>0</v>
      </c>
      <c r="M876">
        <v>250</v>
      </c>
      <c r="N876">
        <v>1190</v>
      </c>
      <c r="O876">
        <v>2810</v>
      </c>
    </row>
    <row r="877" spans="1:15" x14ac:dyDescent="0.3">
      <c r="A877">
        <v>8583815059</v>
      </c>
      <c r="B877" s="1">
        <v>42498</v>
      </c>
      <c r="C877">
        <v>9217</v>
      </c>
      <c r="D877">
        <v>7.1900000572204599</v>
      </c>
      <c r="E877">
        <v>7.1900000572204599</v>
      </c>
      <c r="F877">
        <v>0</v>
      </c>
      <c r="G877">
        <v>0.21999999880790699</v>
      </c>
      <c r="H877">
        <v>3.3099999427795401</v>
      </c>
      <c r="I877">
        <v>3.6600000858306898</v>
      </c>
      <c r="J877">
        <v>0</v>
      </c>
      <c r="K877">
        <v>3</v>
      </c>
      <c r="L877">
        <v>72</v>
      </c>
      <c r="M877">
        <v>182</v>
      </c>
      <c r="N877">
        <v>1183</v>
      </c>
      <c r="O877">
        <v>2940</v>
      </c>
    </row>
    <row r="878" spans="1:15" x14ac:dyDescent="0.3">
      <c r="A878">
        <v>8583815059</v>
      </c>
      <c r="B878" s="1">
        <v>42499</v>
      </c>
      <c r="C878">
        <v>9877</v>
      </c>
      <c r="D878">
        <v>7.6999998092651403</v>
      </c>
      <c r="E878">
        <v>7.6999998092651403</v>
      </c>
      <c r="F878">
        <v>0</v>
      </c>
      <c r="G878">
        <v>5.7600002288818404</v>
      </c>
      <c r="H878">
        <v>0.17000000178813901</v>
      </c>
      <c r="I878">
        <v>1.7300000190734901</v>
      </c>
      <c r="J878">
        <v>0</v>
      </c>
      <c r="K878">
        <v>66</v>
      </c>
      <c r="L878">
        <v>4</v>
      </c>
      <c r="M878">
        <v>110</v>
      </c>
      <c r="N878">
        <v>1260</v>
      </c>
      <c r="O878">
        <v>2947</v>
      </c>
    </row>
    <row r="879" spans="1:15" x14ac:dyDescent="0.3">
      <c r="A879">
        <v>8583815059</v>
      </c>
      <c r="B879" s="1">
        <v>42500</v>
      </c>
      <c r="C879">
        <v>8240</v>
      </c>
      <c r="D879">
        <v>6.4299998283386204</v>
      </c>
      <c r="E879">
        <v>6.4299998283386204</v>
      </c>
      <c r="F879">
        <v>0</v>
      </c>
      <c r="G879">
        <v>0.68999999761581399</v>
      </c>
      <c r="H879">
        <v>2.0099999904632599</v>
      </c>
      <c r="I879">
        <v>3.7200000286102299</v>
      </c>
      <c r="J879">
        <v>0</v>
      </c>
      <c r="K879">
        <v>9</v>
      </c>
      <c r="L879">
        <v>43</v>
      </c>
      <c r="M879">
        <v>162</v>
      </c>
      <c r="N879">
        <v>1226</v>
      </c>
      <c r="O879">
        <v>2846</v>
      </c>
    </row>
    <row r="880" spans="1:15" x14ac:dyDescent="0.3">
      <c r="A880">
        <v>8583815059</v>
      </c>
      <c r="B880" s="1">
        <v>42501</v>
      </c>
      <c r="C880">
        <v>8701</v>
      </c>
      <c r="D880">
        <v>6.78999996185303</v>
      </c>
      <c r="E880">
        <v>6.78999996185303</v>
      </c>
      <c r="F880">
        <v>0</v>
      </c>
      <c r="G880">
        <v>0.37000000476837203</v>
      </c>
      <c r="H880">
        <v>3.2400000095367401</v>
      </c>
      <c r="I880">
        <v>3.1700000762939502</v>
      </c>
      <c r="J880">
        <v>0</v>
      </c>
      <c r="K880">
        <v>5</v>
      </c>
      <c r="L880">
        <v>71</v>
      </c>
      <c r="M880">
        <v>177</v>
      </c>
      <c r="N880">
        <v>1106</v>
      </c>
      <c r="O880">
        <v>2804</v>
      </c>
    </row>
    <row r="881" spans="1:15" x14ac:dyDescent="0.3">
      <c r="A881">
        <v>8583815059</v>
      </c>
      <c r="B881" s="1">
        <v>42502</v>
      </c>
      <c r="C881">
        <v>0</v>
      </c>
      <c r="D881">
        <v>0</v>
      </c>
      <c r="E881">
        <v>0</v>
      </c>
      <c r="F881">
        <v>0</v>
      </c>
      <c r="G881">
        <v>0</v>
      </c>
      <c r="H881">
        <v>0</v>
      </c>
      <c r="I881">
        <v>0</v>
      </c>
      <c r="J881">
        <v>0</v>
      </c>
      <c r="K881">
        <v>0</v>
      </c>
      <c r="L881">
        <v>0</v>
      </c>
      <c r="M881">
        <v>0</v>
      </c>
      <c r="N881">
        <v>1440</v>
      </c>
      <c r="O881">
        <v>0</v>
      </c>
    </row>
    <row r="882" spans="1:15" x14ac:dyDescent="0.3">
      <c r="A882">
        <v>8792009665</v>
      </c>
      <c r="B882" s="1">
        <v>42472</v>
      </c>
      <c r="C882">
        <v>2564</v>
      </c>
      <c r="D882">
        <v>1.6399999856948899</v>
      </c>
      <c r="E882">
        <v>1.6399999856948899</v>
      </c>
      <c r="F882">
        <v>0</v>
      </c>
      <c r="G882">
        <v>0</v>
      </c>
      <c r="H882">
        <v>0</v>
      </c>
      <c r="I882">
        <v>1.6399999856948899</v>
      </c>
      <c r="J882">
        <v>0</v>
      </c>
      <c r="K882">
        <v>0</v>
      </c>
      <c r="L882">
        <v>0</v>
      </c>
      <c r="M882">
        <v>116</v>
      </c>
      <c r="N882">
        <v>831</v>
      </c>
      <c r="O882">
        <v>2044</v>
      </c>
    </row>
    <row r="883" spans="1:15" x14ac:dyDescent="0.3">
      <c r="A883">
        <v>8792009665</v>
      </c>
      <c r="B883" s="1">
        <v>42473</v>
      </c>
      <c r="C883">
        <v>1320</v>
      </c>
      <c r="D883">
        <v>0.83999997377395597</v>
      </c>
      <c r="E883">
        <v>0.83999997377395597</v>
      </c>
      <c r="F883">
        <v>0</v>
      </c>
      <c r="G883">
        <v>0</v>
      </c>
      <c r="H883">
        <v>0</v>
      </c>
      <c r="I883">
        <v>0.83999997377395597</v>
      </c>
      <c r="J883">
        <v>0</v>
      </c>
      <c r="K883">
        <v>0</v>
      </c>
      <c r="L883">
        <v>0</v>
      </c>
      <c r="M883">
        <v>82</v>
      </c>
      <c r="N883">
        <v>806</v>
      </c>
      <c r="O883">
        <v>1934</v>
      </c>
    </row>
    <row r="884" spans="1:15" x14ac:dyDescent="0.3">
      <c r="A884">
        <v>8792009665</v>
      </c>
      <c r="B884" s="1">
        <v>42474</v>
      </c>
      <c r="C884">
        <v>1219</v>
      </c>
      <c r="D884">
        <v>0.77999997138977095</v>
      </c>
      <c r="E884">
        <v>0.77999997138977095</v>
      </c>
      <c r="F884">
        <v>0</v>
      </c>
      <c r="G884">
        <v>0</v>
      </c>
      <c r="H884">
        <v>0</v>
      </c>
      <c r="I884">
        <v>0.77999997138977095</v>
      </c>
      <c r="J884">
        <v>0</v>
      </c>
      <c r="K884">
        <v>0</v>
      </c>
      <c r="L884">
        <v>0</v>
      </c>
      <c r="M884">
        <v>84</v>
      </c>
      <c r="N884">
        <v>853</v>
      </c>
      <c r="O884">
        <v>1963</v>
      </c>
    </row>
    <row r="885" spans="1:15" x14ac:dyDescent="0.3">
      <c r="A885">
        <v>8792009665</v>
      </c>
      <c r="B885" s="1">
        <v>42475</v>
      </c>
      <c r="C885">
        <v>2483</v>
      </c>
      <c r="D885">
        <v>1.5900000333786</v>
      </c>
      <c r="E885">
        <v>1.5900000333786</v>
      </c>
      <c r="F885">
        <v>0</v>
      </c>
      <c r="G885">
        <v>0</v>
      </c>
      <c r="H885">
        <v>0</v>
      </c>
      <c r="I885">
        <v>1.5900000333786</v>
      </c>
      <c r="J885">
        <v>0</v>
      </c>
      <c r="K885">
        <v>0</v>
      </c>
      <c r="L885">
        <v>0</v>
      </c>
      <c r="M885">
        <v>126</v>
      </c>
      <c r="N885">
        <v>937</v>
      </c>
      <c r="O885">
        <v>2009</v>
      </c>
    </row>
    <row r="886" spans="1:15" x14ac:dyDescent="0.3">
      <c r="A886">
        <v>8792009665</v>
      </c>
      <c r="B886" s="1">
        <v>42476</v>
      </c>
      <c r="C886">
        <v>244</v>
      </c>
      <c r="D886">
        <v>0.15999999642372101</v>
      </c>
      <c r="E886">
        <v>0.15999999642372101</v>
      </c>
      <c r="F886">
        <v>0</v>
      </c>
      <c r="G886">
        <v>0</v>
      </c>
      <c r="H886">
        <v>0</v>
      </c>
      <c r="I886">
        <v>0.15999999642372101</v>
      </c>
      <c r="J886">
        <v>0</v>
      </c>
      <c r="K886">
        <v>0</v>
      </c>
      <c r="L886">
        <v>0</v>
      </c>
      <c r="M886">
        <v>12</v>
      </c>
      <c r="N886">
        <v>1428</v>
      </c>
      <c r="O886">
        <v>1721</v>
      </c>
    </row>
    <row r="887" spans="1:15" x14ac:dyDescent="0.3">
      <c r="A887">
        <v>8792009665</v>
      </c>
      <c r="B887" s="1">
        <v>42477</v>
      </c>
      <c r="C887">
        <v>0</v>
      </c>
      <c r="D887">
        <v>0</v>
      </c>
      <c r="E887">
        <v>0</v>
      </c>
      <c r="F887">
        <v>0</v>
      </c>
      <c r="G887">
        <v>0</v>
      </c>
      <c r="H887">
        <v>0</v>
      </c>
      <c r="I887">
        <v>0</v>
      </c>
      <c r="J887">
        <v>0</v>
      </c>
      <c r="K887">
        <v>0</v>
      </c>
      <c r="L887">
        <v>0</v>
      </c>
      <c r="M887">
        <v>0</v>
      </c>
      <c r="N887">
        <v>1440</v>
      </c>
      <c r="O887">
        <v>1688</v>
      </c>
    </row>
    <row r="888" spans="1:15" x14ac:dyDescent="0.3">
      <c r="A888">
        <v>8792009665</v>
      </c>
      <c r="B888" s="1">
        <v>42478</v>
      </c>
      <c r="C888">
        <v>0</v>
      </c>
      <c r="D888">
        <v>0</v>
      </c>
      <c r="E888">
        <v>0</v>
      </c>
      <c r="F888">
        <v>0</v>
      </c>
      <c r="G888">
        <v>0</v>
      </c>
      <c r="H888">
        <v>0</v>
      </c>
      <c r="I888">
        <v>0</v>
      </c>
      <c r="J888">
        <v>0</v>
      </c>
      <c r="K888">
        <v>0</v>
      </c>
      <c r="L888">
        <v>0</v>
      </c>
      <c r="M888">
        <v>0</v>
      </c>
      <c r="N888">
        <v>1440</v>
      </c>
      <c r="O888">
        <v>1688</v>
      </c>
    </row>
    <row r="889" spans="1:15" x14ac:dyDescent="0.3">
      <c r="A889">
        <v>8792009665</v>
      </c>
      <c r="B889" s="1">
        <v>42479</v>
      </c>
      <c r="C889">
        <v>0</v>
      </c>
      <c r="D889">
        <v>0</v>
      </c>
      <c r="E889">
        <v>0</v>
      </c>
      <c r="F889">
        <v>0</v>
      </c>
      <c r="G889">
        <v>0</v>
      </c>
      <c r="H889">
        <v>0</v>
      </c>
      <c r="I889">
        <v>0</v>
      </c>
      <c r="J889">
        <v>0</v>
      </c>
      <c r="K889">
        <v>0</v>
      </c>
      <c r="L889">
        <v>0</v>
      </c>
      <c r="M889">
        <v>0</v>
      </c>
      <c r="N889">
        <v>1440</v>
      </c>
      <c r="O889">
        <v>1688</v>
      </c>
    </row>
    <row r="890" spans="1:15" x14ac:dyDescent="0.3">
      <c r="A890">
        <v>8792009665</v>
      </c>
      <c r="B890" s="1">
        <v>42480</v>
      </c>
      <c r="C890">
        <v>3147</v>
      </c>
      <c r="D890">
        <v>2.0099999904632599</v>
      </c>
      <c r="E890">
        <v>2.0099999904632599</v>
      </c>
      <c r="F890">
        <v>0</v>
      </c>
      <c r="G890">
        <v>0</v>
      </c>
      <c r="H890">
        <v>0.28000000119209301</v>
      </c>
      <c r="I890">
        <v>1.7400000095367401</v>
      </c>
      <c r="J890">
        <v>0</v>
      </c>
      <c r="K890">
        <v>0</v>
      </c>
      <c r="L890">
        <v>10</v>
      </c>
      <c r="M890">
        <v>139</v>
      </c>
      <c r="N890">
        <v>744</v>
      </c>
      <c r="O890">
        <v>2188</v>
      </c>
    </row>
    <row r="891" spans="1:15" x14ac:dyDescent="0.3">
      <c r="A891">
        <v>8792009665</v>
      </c>
      <c r="B891" s="1">
        <v>42481</v>
      </c>
      <c r="C891">
        <v>144</v>
      </c>
      <c r="D891">
        <v>9.00000035762787E-2</v>
      </c>
      <c r="E891">
        <v>9.00000035762787E-2</v>
      </c>
      <c r="F891">
        <v>0</v>
      </c>
      <c r="G891">
        <v>0</v>
      </c>
      <c r="H891">
        <v>0</v>
      </c>
      <c r="I891">
        <v>9.00000035762787E-2</v>
      </c>
      <c r="J891">
        <v>0</v>
      </c>
      <c r="K891">
        <v>0</v>
      </c>
      <c r="L891">
        <v>0</v>
      </c>
      <c r="M891">
        <v>9</v>
      </c>
      <c r="N891">
        <v>1431</v>
      </c>
      <c r="O891">
        <v>1720</v>
      </c>
    </row>
    <row r="892" spans="1:15" x14ac:dyDescent="0.3">
      <c r="A892">
        <v>8792009665</v>
      </c>
      <c r="B892" s="1">
        <v>42482</v>
      </c>
      <c r="C892">
        <v>4068</v>
      </c>
      <c r="D892">
        <v>2.5999999046325701</v>
      </c>
      <c r="E892">
        <v>2.5999999046325701</v>
      </c>
      <c r="F892">
        <v>0</v>
      </c>
      <c r="G892">
        <v>5.0000000745058101E-2</v>
      </c>
      <c r="H892">
        <v>0.28000000119209301</v>
      </c>
      <c r="I892">
        <v>2.2699999809265101</v>
      </c>
      <c r="J892">
        <v>0</v>
      </c>
      <c r="K892">
        <v>1</v>
      </c>
      <c r="L892">
        <v>20</v>
      </c>
      <c r="M892">
        <v>195</v>
      </c>
      <c r="N892">
        <v>817</v>
      </c>
      <c r="O892">
        <v>2419</v>
      </c>
    </row>
    <row r="893" spans="1:15" x14ac:dyDescent="0.3">
      <c r="A893">
        <v>8792009665</v>
      </c>
      <c r="B893" s="1">
        <v>42483</v>
      </c>
      <c r="C893">
        <v>5245</v>
      </c>
      <c r="D893">
        <v>3.3599998950958301</v>
      </c>
      <c r="E893">
        <v>3.3599998950958301</v>
      </c>
      <c r="F893">
        <v>0</v>
      </c>
      <c r="G893">
        <v>0.15999999642372101</v>
      </c>
      <c r="H893">
        <v>0.43999999761581399</v>
      </c>
      <c r="I893">
        <v>2.75</v>
      </c>
      <c r="J893">
        <v>0</v>
      </c>
      <c r="K893">
        <v>8</v>
      </c>
      <c r="L893">
        <v>45</v>
      </c>
      <c r="M893">
        <v>232</v>
      </c>
      <c r="N893">
        <v>795</v>
      </c>
      <c r="O893">
        <v>2748</v>
      </c>
    </row>
    <row r="894" spans="1:15" x14ac:dyDescent="0.3">
      <c r="A894">
        <v>8792009665</v>
      </c>
      <c r="B894" s="1">
        <v>42484</v>
      </c>
      <c r="C894">
        <v>400</v>
      </c>
      <c r="D894">
        <v>0.259999990463257</v>
      </c>
      <c r="E894">
        <v>0.259999990463257</v>
      </c>
      <c r="F894">
        <v>0</v>
      </c>
      <c r="G894">
        <v>3.9999999105930301E-2</v>
      </c>
      <c r="H894">
        <v>5.0000000745058101E-2</v>
      </c>
      <c r="I894">
        <v>0.15999999642372101</v>
      </c>
      <c r="J894">
        <v>0</v>
      </c>
      <c r="K894">
        <v>3</v>
      </c>
      <c r="L894">
        <v>8</v>
      </c>
      <c r="M894">
        <v>19</v>
      </c>
      <c r="N894">
        <v>1410</v>
      </c>
      <c r="O894">
        <v>1799</v>
      </c>
    </row>
    <row r="895" spans="1:15" x14ac:dyDescent="0.3">
      <c r="A895">
        <v>8792009665</v>
      </c>
      <c r="B895" s="1">
        <v>42485</v>
      </c>
      <c r="C895">
        <v>0</v>
      </c>
      <c r="D895">
        <v>0</v>
      </c>
      <c r="E895">
        <v>0</v>
      </c>
      <c r="F895">
        <v>0</v>
      </c>
      <c r="G895">
        <v>0</v>
      </c>
      <c r="H895">
        <v>0</v>
      </c>
      <c r="I895">
        <v>0</v>
      </c>
      <c r="J895">
        <v>0</v>
      </c>
      <c r="K895">
        <v>0</v>
      </c>
      <c r="L895">
        <v>0</v>
      </c>
      <c r="M895">
        <v>0</v>
      </c>
      <c r="N895">
        <v>1440</v>
      </c>
      <c r="O895">
        <v>1688</v>
      </c>
    </row>
    <row r="896" spans="1:15" x14ac:dyDescent="0.3">
      <c r="A896">
        <v>8792009665</v>
      </c>
      <c r="B896" s="1">
        <v>42486</v>
      </c>
      <c r="C896">
        <v>1321</v>
      </c>
      <c r="D896">
        <v>0.85000002384185802</v>
      </c>
      <c r="E896">
        <v>0.85000002384185802</v>
      </c>
      <c r="F896">
        <v>0</v>
      </c>
      <c r="G896">
        <v>0</v>
      </c>
      <c r="H896">
        <v>0</v>
      </c>
      <c r="I896">
        <v>0.85000002384185802</v>
      </c>
      <c r="J896">
        <v>0</v>
      </c>
      <c r="K896">
        <v>0</v>
      </c>
      <c r="L896">
        <v>0</v>
      </c>
      <c r="M896">
        <v>80</v>
      </c>
      <c r="N896">
        <v>1360</v>
      </c>
      <c r="O896">
        <v>1928</v>
      </c>
    </row>
    <row r="897" spans="1:15" x14ac:dyDescent="0.3">
      <c r="A897">
        <v>8792009665</v>
      </c>
      <c r="B897" s="1">
        <v>42487</v>
      </c>
      <c r="C897">
        <v>1758</v>
      </c>
      <c r="D897">
        <v>1.12999999523163</v>
      </c>
      <c r="E897">
        <v>1.12999999523163</v>
      </c>
      <c r="F897">
        <v>0</v>
      </c>
      <c r="G897">
        <v>0</v>
      </c>
      <c r="H897">
        <v>0</v>
      </c>
      <c r="I897">
        <v>1.12999999523163</v>
      </c>
      <c r="J897">
        <v>0</v>
      </c>
      <c r="K897">
        <v>0</v>
      </c>
      <c r="L897">
        <v>0</v>
      </c>
      <c r="M897">
        <v>112</v>
      </c>
      <c r="N897">
        <v>900</v>
      </c>
      <c r="O897">
        <v>2067</v>
      </c>
    </row>
    <row r="898" spans="1:15" x14ac:dyDescent="0.3">
      <c r="A898">
        <v>8792009665</v>
      </c>
      <c r="B898" s="1">
        <v>42488</v>
      </c>
      <c r="C898">
        <v>6157</v>
      </c>
      <c r="D898">
        <v>3.9400000572204599</v>
      </c>
      <c r="E898">
        <v>3.9400000572204599</v>
      </c>
      <c r="F898">
        <v>0</v>
      </c>
      <c r="G898">
        <v>0</v>
      </c>
      <c r="H898">
        <v>0</v>
      </c>
      <c r="I898">
        <v>3.9400000572204599</v>
      </c>
      <c r="J898">
        <v>0</v>
      </c>
      <c r="K898">
        <v>0</v>
      </c>
      <c r="L898">
        <v>0</v>
      </c>
      <c r="M898">
        <v>310</v>
      </c>
      <c r="N898">
        <v>714</v>
      </c>
      <c r="O898">
        <v>2780</v>
      </c>
    </row>
    <row r="899" spans="1:15" x14ac:dyDescent="0.3">
      <c r="A899">
        <v>8792009665</v>
      </c>
      <c r="B899" s="1">
        <v>42489</v>
      </c>
      <c r="C899">
        <v>8360</v>
      </c>
      <c r="D899">
        <v>5.3499999046325701</v>
      </c>
      <c r="E899">
        <v>5.3499999046325701</v>
      </c>
      <c r="F899">
        <v>0</v>
      </c>
      <c r="G899">
        <v>0.140000000596046</v>
      </c>
      <c r="H899">
        <v>0.28000000119209301</v>
      </c>
      <c r="I899">
        <v>4.9299998283386204</v>
      </c>
      <c r="J899">
        <v>0</v>
      </c>
      <c r="K899">
        <v>6</v>
      </c>
      <c r="L899">
        <v>14</v>
      </c>
      <c r="M899">
        <v>380</v>
      </c>
      <c r="N899">
        <v>634</v>
      </c>
      <c r="O899">
        <v>3101</v>
      </c>
    </row>
    <row r="900" spans="1:15" x14ac:dyDescent="0.3">
      <c r="A900">
        <v>8792009665</v>
      </c>
      <c r="B900" s="1">
        <v>42490</v>
      </c>
      <c r="C900">
        <v>7174</v>
      </c>
      <c r="D900">
        <v>4.5900001525878897</v>
      </c>
      <c r="E900">
        <v>4.5900001525878897</v>
      </c>
      <c r="F900">
        <v>0</v>
      </c>
      <c r="G900">
        <v>0.33000001311302202</v>
      </c>
      <c r="H900">
        <v>0.36000001430511502</v>
      </c>
      <c r="I900">
        <v>3.9100000858306898</v>
      </c>
      <c r="J900">
        <v>0</v>
      </c>
      <c r="K900">
        <v>10</v>
      </c>
      <c r="L900">
        <v>20</v>
      </c>
      <c r="M900">
        <v>301</v>
      </c>
      <c r="N900">
        <v>749</v>
      </c>
      <c r="O900">
        <v>2896</v>
      </c>
    </row>
    <row r="901" spans="1:15" x14ac:dyDescent="0.3">
      <c r="A901">
        <v>8792009665</v>
      </c>
      <c r="B901" s="1">
        <v>42491</v>
      </c>
      <c r="C901">
        <v>1619</v>
      </c>
      <c r="D901">
        <v>1.03999996185303</v>
      </c>
      <c r="E901">
        <v>1.03999996185303</v>
      </c>
      <c r="F901">
        <v>0</v>
      </c>
      <c r="G901">
        <v>0</v>
      </c>
      <c r="H901">
        <v>0</v>
      </c>
      <c r="I901">
        <v>1.03999996185303</v>
      </c>
      <c r="J901">
        <v>0</v>
      </c>
      <c r="K901">
        <v>0</v>
      </c>
      <c r="L901">
        <v>0</v>
      </c>
      <c r="M901">
        <v>79</v>
      </c>
      <c r="N901">
        <v>834</v>
      </c>
      <c r="O901">
        <v>1962</v>
      </c>
    </row>
    <row r="902" spans="1:15" x14ac:dyDescent="0.3">
      <c r="A902">
        <v>8792009665</v>
      </c>
      <c r="B902" s="1">
        <v>42492</v>
      </c>
      <c r="C902">
        <v>1831</v>
      </c>
      <c r="D902">
        <v>1.16999995708466</v>
      </c>
      <c r="E902">
        <v>1.16999995708466</v>
      </c>
      <c r="F902">
        <v>0</v>
      </c>
      <c r="G902">
        <v>0</v>
      </c>
      <c r="H902">
        <v>0</v>
      </c>
      <c r="I902">
        <v>1.16999995708466</v>
      </c>
      <c r="J902">
        <v>0</v>
      </c>
      <c r="K902">
        <v>0</v>
      </c>
      <c r="L902">
        <v>0</v>
      </c>
      <c r="M902">
        <v>101</v>
      </c>
      <c r="N902">
        <v>916</v>
      </c>
      <c r="O902">
        <v>2015</v>
      </c>
    </row>
    <row r="903" spans="1:15" x14ac:dyDescent="0.3">
      <c r="A903">
        <v>8792009665</v>
      </c>
      <c r="B903" s="1">
        <v>42493</v>
      </c>
      <c r="C903">
        <v>2421</v>
      </c>
      <c r="D903">
        <v>1.54999995231628</v>
      </c>
      <c r="E903">
        <v>1.54999995231628</v>
      </c>
      <c r="F903">
        <v>0</v>
      </c>
      <c r="G903">
        <v>0</v>
      </c>
      <c r="H903">
        <v>0</v>
      </c>
      <c r="I903">
        <v>1.54999995231628</v>
      </c>
      <c r="J903">
        <v>0</v>
      </c>
      <c r="K903">
        <v>0</v>
      </c>
      <c r="L903">
        <v>0</v>
      </c>
      <c r="M903">
        <v>156</v>
      </c>
      <c r="N903">
        <v>739</v>
      </c>
      <c r="O903">
        <v>2297</v>
      </c>
    </row>
    <row r="904" spans="1:15" x14ac:dyDescent="0.3">
      <c r="A904">
        <v>8792009665</v>
      </c>
      <c r="B904" s="1">
        <v>42494</v>
      </c>
      <c r="C904">
        <v>2283</v>
      </c>
      <c r="D904">
        <v>1.46000003814697</v>
      </c>
      <c r="E904">
        <v>1.46000003814697</v>
      </c>
      <c r="F904">
        <v>0</v>
      </c>
      <c r="G904">
        <v>0</v>
      </c>
      <c r="H904">
        <v>0</v>
      </c>
      <c r="I904">
        <v>1.46000003814697</v>
      </c>
      <c r="J904">
        <v>0</v>
      </c>
      <c r="K904">
        <v>0</v>
      </c>
      <c r="L904">
        <v>0</v>
      </c>
      <c r="M904">
        <v>129</v>
      </c>
      <c r="N904">
        <v>848</v>
      </c>
      <c r="O904">
        <v>2067</v>
      </c>
    </row>
    <row r="905" spans="1:15" x14ac:dyDescent="0.3">
      <c r="A905">
        <v>8792009665</v>
      </c>
      <c r="B905" s="1">
        <v>42495</v>
      </c>
      <c r="C905">
        <v>0</v>
      </c>
      <c r="D905">
        <v>0</v>
      </c>
      <c r="E905">
        <v>0</v>
      </c>
      <c r="F905">
        <v>0</v>
      </c>
      <c r="G905">
        <v>0</v>
      </c>
      <c r="H905">
        <v>0</v>
      </c>
      <c r="I905">
        <v>0</v>
      </c>
      <c r="J905">
        <v>0</v>
      </c>
      <c r="K905">
        <v>0</v>
      </c>
      <c r="L905">
        <v>0</v>
      </c>
      <c r="M905">
        <v>0</v>
      </c>
      <c r="N905">
        <v>1440</v>
      </c>
      <c r="O905">
        <v>1688</v>
      </c>
    </row>
    <row r="906" spans="1:15" x14ac:dyDescent="0.3">
      <c r="A906">
        <v>8792009665</v>
      </c>
      <c r="B906" s="1">
        <v>42496</v>
      </c>
      <c r="C906">
        <v>0</v>
      </c>
      <c r="D906">
        <v>0</v>
      </c>
      <c r="E906">
        <v>0</v>
      </c>
      <c r="F906">
        <v>0</v>
      </c>
      <c r="G906">
        <v>0</v>
      </c>
      <c r="H906">
        <v>0</v>
      </c>
      <c r="I906">
        <v>0</v>
      </c>
      <c r="J906">
        <v>0</v>
      </c>
      <c r="K906">
        <v>0</v>
      </c>
      <c r="L906">
        <v>0</v>
      </c>
      <c r="M906">
        <v>0</v>
      </c>
      <c r="N906">
        <v>1440</v>
      </c>
      <c r="O906">
        <v>1688</v>
      </c>
    </row>
    <row r="907" spans="1:15" x14ac:dyDescent="0.3">
      <c r="A907">
        <v>8792009665</v>
      </c>
      <c r="B907" s="1">
        <v>42497</v>
      </c>
      <c r="C907">
        <v>0</v>
      </c>
      <c r="D907">
        <v>0</v>
      </c>
      <c r="E907">
        <v>0</v>
      </c>
      <c r="F907">
        <v>0</v>
      </c>
      <c r="G907">
        <v>0</v>
      </c>
      <c r="H907">
        <v>0</v>
      </c>
      <c r="I907">
        <v>0</v>
      </c>
      <c r="J907">
        <v>0</v>
      </c>
      <c r="K907">
        <v>0</v>
      </c>
      <c r="L907">
        <v>0</v>
      </c>
      <c r="M907">
        <v>0</v>
      </c>
      <c r="N907">
        <v>1440</v>
      </c>
      <c r="O907">
        <v>1688</v>
      </c>
    </row>
    <row r="908" spans="1:15" x14ac:dyDescent="0.3">
      <c r="A908">
        <v>8792009665</v>
      </c>
      <c r="B908" s="1">
        <v>42498</v>
      </c>
      <c r="C908">
        <v>0</v>
      </c>
      <c r="D908">
        <v>0</v>
      </c>
      <c r="E908">
        <v>0</v>
      </c>
      <c r="F908">
        <v>0</v>
      </c>
      <c r="G908">
        <v>0</v>
      </c>
      <c r="H908">
        <v>0</v>
      </c>
      <c r="I908">
        <v>0</v>
      </c>
      <c r="J908">
        <v>0</v>
      </c>
      <c r="K908">
        <v>0</v>
      </c>
      <c r="L908">
        <v>0</v>
      </c>
      <c r="M908">
        <v>0</v>
      </c>
      <c r="N908">
        <v>1440</v>
      </c>
      <c r="O908">
        <v>1688</v>
      </c>
    </row>
    <row r="909" spans="1:15" x14ac:dyDescent="0.3">
      <c r="A909">
        <v>8792009665</v>
      </c>
      <c r="B909" s="1">
        <v>42499</v>
      </c>
      <c r="C909">
        <v>0</v>
      </c>
      <c r="D909">
        <v>0</v>
      </c>
      <c r="E909">
        <v>0</v>
      </c>
      <c r="F909">
        <v>0</v>
      </c>
      <c r="G909">
        <v>0</v>
      </c>
      <c r="H909">
        <v>0</v>
      </c>
      <c r="I909">
        <v>0</v>
      </c>
      <c r="J909">
        <v>0</v>
      </c>
      <c r="K909">
        <v>0</v>
      </c>
      <c r="L909">
        <v>0</v>
      </c>
      <c r="M909">
        <v>0</v>
      </c>
      <c r="N909">
        <v>1440</v>
      </c>
      <c r="O909">
        <v>1688</v>
      </c>
    </row>
    <row r="910" spans="1:15" x14ac:dyDescent="0.3">
      <c r="A910">
        <v>8792009665</v>
      </c>
      <c r="B910" s="1">
        <v>42500</v>
      </c>
      <c r="C910">
        <v>0</v>
      </c>
      <c r="D910">
        <v>0</v>
      </c>
      <c r="E910">
        <v>0</v>
      </c>
      <c r="F910">
        <v>0</v>
      </c>
      <c r="G910">
        <v>0</v>
      </c>
      <c r="H910">
        <v>0</v>
      </c>
      <c r="I910">
        <v>0</v>
      </c>
      <c r="J910">
        <v>0</v>
      </c>
      <c r="K910">
        <v>0</v>
      </c>
      <c r="L910">
        <v>0</v>
      </c>
      <c r="M910">
        <v>0</v>
      </c>
      <c r="N910">
        <v>48</v>
      </c>
      <c r="O910">
        <v>57</v>
      </c>
    </row>
    <row r="911" spans="1:15" x14ac:dyDescent="0.3">
      <c r="A911">
        <v>8877689391</v>
      </c>
      <c r="B911" s="1">
        <v>42472</v>
      </c>
      <c r="C911">
        <v>23186</v>
      </c>
      <c r="D911">
        <v>20.399999618530298</v>
      </c>
      <c r="E911">
        <v>20.399999618530298</v>
      </c>
      <c r="F911">
        <v>0</v>
      </c>
      <c r="G911">
        <v>12.2200002670288</v>
      </c>
      <c r="H911">
        <v>0.34000000357627902</v>
      </c>
      <c r="I911">
        <v>7.8200001716613796</v>
      </c>
      <c r="J911">
        <v>0</v>
      </c>
      <c r="K911">
        <v>85</v>
      </c>
      <c r="L911">
        <v>7</v>
      </c>
      <c r="M911">
        <v>312</v>
      </c>
      <c r="N911">
        <v>1036</v>
      </c>
      <c r="O911">
        <v>3921</v>
      </c>
    </row>
    <row r="912" spans="1:15" x14ac:dyDescent="0.3">
      <c r="A912">
        <v>8877689391</v>
      </c>
      <c r="B912" s="1">
        <v>42473</v>
      </c>
      <c r="C912">
        <v>15337</v>
      </c>
      <c r="D912">
        <v>9.5799999237060494</v>
      </c>
      <c r="E912">
        <v>9.5799999237060494</v>
      </c>
      <c r="F912">
        <v>0</v>
      </c>
      <c r="G912">
        <v>3.5499999523162802</v>
      </c>
      <c r="H912">
        <v>0.37999999523162797</v>
      </c>
      <c r="I912">
        <v>5.6399998664856001</v>
      </c>
      <c r="J912">
        <v>0</v>
      </c>
      <c r="K912">
        <v>108</v>
      </c>
      <c r="L912">
        <v>18</v>
      </c>
      <c r="M912">
        <v>216</v>
      </c>
      <c r="N912">
        <v>1098</v>
      </c>
      <c r="O912">
        <v>3566</v>
      </c>
    </row>
    <row r="913" spans="1:15" x14ac:dyDescent="0.3">
      <c r="A913">
        <v>8877689391</v>
      </c>
      <c r="B913" s="1">
        <v>42474</v>
      </c>
      <c r="C913">
        <v>21129</v>
      </c>
      <c r="D913">
        <v>18.9799995422363</v>
      </c>
      <c r="E913">
        <v>18.9799995422363</v>
      </c>
      <c r="F913">
        <v>0</v>
      </c>
      <c r="G913">
        <v>10.550000190734901</v>
      </c>
      <c r="H913">
        <v>0.58999997377395597</v>
      </c>
      <c r="I913">
        <v>7.75</v>
      </c>
      <c r="J913">
        <v>1.9999999552965199E-2</v>
      </c>
      <c r="K913">
        <v>68</v>
      </c>
      <c r="L913">
        <v>13</v>
      </c>
      <c r="M913">
        <v>298</v>
      </c>
      <c r="N913">
        <v>1061</v>
      </c>
      <c r="O913">
        <v>3793</v>
      </c>
    </row>
    <row r="914" spans="1:15" x14ac:dyDescent="0.3">
      <c r="A914">
        <v>8877689391</v>
      </c>
      <c r="B914" s="1">
        <v>42475</v>
      </c>
      <c r="C914">
        <v>13422</v>
      </c>
      <c r="D914">
        <v>7.1700000762939498</v>
      </c>
      <c r="E914">
        <v>7.1700000762939498</v>
      </c>
      <c r="F914">
        <v>0</v>
      </c>
      <c r="G914">
        <v>5.0000000745058101E-2</v>
      </c>
      <c r="H914">
        <v>5.0000000745058101E-2</v>
      </c>
      <c r="I914">
        <v>7.0100002288818404</v>
      </c>
      <c r="J914">
        <v>9.9999997764825804E-3</v>
      </c>
      <c r="K914">
        <v>106</v>
      </c>
      <c r="L914">
        <v>1</v>
      </c>
      <c r="M914">
        <v>281</v>
      </c>
      <c r="N914">
        <v>1052</v>
      </c>
      <c r="O914">
        <v>3934</v>
      </c>
    </row>
    <row r="915" spans="1:15" x14ac:dyDescent="0.3">
      <c r="A915">
        <v>8877689391</v>
      </c>
      <c r="B915" s="1">
        <v>42476</v>
      </c>
      <c r="C915">
        <v>29326</v>
      </c>
      <c r="D915">
        <v>25.290000915527301</v>
      </c>
      <c r="E915">
        <v>25.290000915527301</v>
      </c>
      <c r="F915">
        <v>0</v>
      </c>
      <c r="G915">
        <v>13.2399997711182</v>
      </c>
      <c r="H915">
        <v>1.21000003814697</v>
      </c>
      <c r="I915">
        <v>10.710000038146999</v>
      </c>
      <c r="J915">
        <v>0</v>
      </c>
      <c r="K915">
        <v>94</v>
      </c>
      <c r="L915">
        <v>29</v>
      </c>
      <c r="M915">
        <v>429</v>
      </c>
      <c r="N915">
        <v>888</v>
      </c>
      <c r="O915">
        <v>4547</v>
      </c>
    </row>
    <row r="916" spans="1:15" x14ac:dyDescent="0.3">
      <c r="A916">
        <v>8877689391</v>
      </c>
      <c r="B916" s="1">
        <v>42477</v>
      </c>
      <c r="C916">
        <v>15118</v>
      </c>
      <c r="D916">
        <v>8.8699998855590803</v>
      </c>
      <c r="E916">
        <v>8.8699998855590803</v>
      </c>
      <c r="F916">
        <v>0</v>
      </c>
      <c r="G916">
        <v>0</v>
      </c>
      <c r="H916">
        <v>7.0000000298023196E-2</v>
      </c>
      <c r="I916">
        <v>8.7899999618530291</v>
      </c>
      <c r="J916">
        <v>0</v>
      </c>
      <c r="K916">
        <v>58</v>
      </c>
      <c r="L916">
        <v>15</v>
      </c>
      <c r="M916">
        <v>307</v>
      </c>
      <c r="N916">
        <v>1060</v>
      </c>
      <c r="O916">
        <v>3545</v>
      </c>
    </row>
    <row r="917" spans="1:15" x14ac:dyDescent="0.3">
      <c r="A917">
        <v>8877689391</v>
      </c>
      <c r="B917" s="1">
        <v>42478</v>
      </c>
      <c r="C917">
        <v>11423</v>
      </c>
      <c r="D917">
        <v>8.6700000762939506</v>
      </c>
      <c r="E917">
        <v>8.6700000762939506</v>
      </c>
      <c r="F917">
        <v>0</v>
      </c>
      <c r="G917">
        <v>2.4400000572204599</v>
      </c>
      <c r="H917">
        <v>0.270000010728836</v>
      </c>
      <c r="I917">
        <v>5.9400000572204599</v>
      </c>
      <c r="J917">
        <v>0</v>
      </c>
      <c r="K917">
        <v>29</v>
      </c>
      <c r="L917">
        <v>5</v>
      </c>
      <c r="M917">
        <v>191</v>
      </c>
      <c r="N917">
        <v>1215</v>
      </c>
      <c r="O917">
        <v>2761</v>
      </c>
    </row>
    <row r="918" spans="1:15" x14ac:dyDescent="0.3">
      <c r="A918">
        <v>8877689391</v>
      </c>
      <c r="B918" s="1">
        <v>42479</v>
      </c>
      <c r="C918">
        <v>18785</v>
      </c>
      <c r="D918">
        <v>17.399999618530298</v>
      </c>
      <c r="E918">
        <v>17.399999618530298</v>
      </c>
      <c r="F918">
        <v>0</v>
      </c>
      <c r="G918">
        <v>12.1499996185303</v>
      </c>
      <c r="H918">
        <v>0.18000000715255701</v>
      </c>
      <c r="I918">
        <v>5.0300002098083496</v>
      </c>
      <c r="J918">
        <v>0</v>
      </c>
      <c r="K918">
        <v>82</v>
      </c>
      <c r="L918">
        <v>13</v>
      </c>
      <c r="M918">
        <v>214</v>
      </c>
      <c r="N918">
        <v>1131</v>
      </c>
      <c r="O918">
        <v>3676</v>
      </c>
    </row>
    <row r="919" spans="1:15" x14ac:dyDescent="0.3">
      <c r="A919">
        <v>8877689391</v>
      </c>
      <c r="B919" s="1">
        <v>42480</v>
      </c>
      <c r="C919">
        <v>19948</v>
      </c>
      <c r="D919">
        <v>18.110000610351602</v>
      </c>
      <c r="E919">
        <v>18.110000610351602</v>
      </c>
      <c r="F919">
        <v>0</v>
      </c>
      <c r="G919">
        <v>11.0200004577637</v>
      </c>
      <c r="H919">
        <v>0.68999999761581399</v>
      </c>
      <c r="I919">
        <v>6.3400001525878897</v>
      </c>
      <c r="J919">
        <v>0</v>
      </c>
      <c r="K919">
        <v>73</v>
      </c>
      <c r="L919">
        <v>19</v>
      </c>
      <c r="M919">
        <v>225</v>
      </c>
      <c r="N919">
        <v>1123</v>
      </c>
      <c r="O919">
        <v>3679</v>
      </c>
    </row>
    <row r="920" spans="1:15" x14ac:dyDescent="0.3">
      <c r="A920">
        <v>8877689391</v>
      </c>
      <c r="B920" s="1">
        <v>42481</v>
      </c>
      <c r="C920">
        <v>19377</v>
      </c>
      <c r="D920">
        <v>17.620000839233398</v>
      </c>
      <c r="E920">
        <v>17.620000839233398</v>
      </c>
      <c r="F920">
        <v>0</v>
      </c>
      <c r="G920">
        <v>12.289999961853001</v>
      </c>
      <c r="H920">
        <v>0.41999998688697798</v>
      </c>
      <c r="I920">
        <v>4.8899998664856001</v>
      </c>
      <c r="J920">
        <v>0</v>
      </c>
      <c r="K920">
        <v>82</v>
      </c>
      <c r="L920">
        <v>13</v>
      </c>
      <c r="M920">
        <v>226</v>
      </c>
      <c r="N920">
        <v>1119</v>
      </c>
      <c r="O920">
        <v>3659</v>
      </c>
    </row>
    <row r="921" spans="1:15" x14ac:dyDescent="0.3">
      <c r="A921">
        <v>8877689391</v>
      </c>
      <c r="B921" s="1">
        <v>42482</v>
      </c>
      <c r="C921">
        <v>18258</v>
      </c>
      <c r="D921">
        <v>16.309999465942401</v>
      </c>
      <c r="E921">
        <v>16.309999465942401</v>
      </c>
      <c r="F921">
        <v>0</v>
      </c>
      <c r="G921">
        <v>10.2299995422363</v>
      </c>
      <c r="H921">
        <v>2.9999999329447701E-2</v>
      </c>
      <c r="I921">
        <v>5.9699997901916504</v>
      </c>
      <c r="J921">
        <v>5.0000000745058101E-2</v>
      </c>
      <c r="K921">
        <v>61</v>
      </c>
      <c r="L921">
        <v>2</v>
      </c>
      <c r="M921">
        <v>236</v>
      </c>
      <c r="N921">
        <v>1141</v>
      </c>
      <c r="O921">
        <v>3427</v>
      </c>
    </row>
    <row r="922" spans="1:15" x14ac:dyDescent="0.3">
      <c r="A922">
        <v>8877689391</v>
      </c>
      <c r="B922" s="1">
        <v>42483</v>
      </c>
      <c r="C922">
        <v>11200</v>
      </c>
      <c r="D922">
        <v>7.4299998283386204</v>
      </c>
      <c r="E922">
        <v>7.4299998283386204</v>
      </c>
      <c r="F922">
        <v>0</v>
      </c>
      <c r="G922">
        <v>0</v>
      </c>
      <c r="H922">
        <v>0</v>
      </c>
      <c r="I922">
        <v>7.4000000953674299</v>
      </c>
      <c r="J922">
        <v>9.9999997764825804E-3</v>
      </c>
      <c r="K922">
        <v>102</v>
      </c>
      <c r="L922">
        <v>6</v>
      </c>
      <c r="M922">
        <v>300</v>
      </c>
      <c r="N922">
        <v>1032</v>
      </c>
      <c r="O922">
        <v>3891</v>
      </c>
    </row>
    <row r="923" spans="1:15" x14ac:dyDescent="0.3">
      <c r="A923">
        <v>8877689391</v>
      </c>
      <c r="B923" s="1">
        <v>42484</v>
      </c>
      <c r="C923">
        <v>16674</v>
      </c>
      <c r="D923">
        <v>15.7399997711182</v>
      </c>
      <c r="E923">
        <v>15.7399997711182</v>
      </c>
      <c r="F923">
        <v>0</v>
      </c>
      <c r="G923">
        <v>11.0100002288818</v>
      </c>
      <c r="H923">
        <v>9.9999997764825804E-3</v>
      </c>
      <c r="I923">
        <v>4.6900000572204599</v>
      </c>
      <c r="J923">
        <v>0</v>
      </c>
      <c r="K923">
        <v>64</v>
      </c>
      <c r="L923">
        <v>1</v>
      </c>
      <c r="M923">
        <v>227</v>
      </c>
      <c r="N923">
        <v>1148</v>
      </c>
      <c r="O923">
        <v>3455</v>
      </c>
    </row>
    <row r="924" spans="1:15" x14ac:dyDescent="0.3">
      <c r="A924">
        <v>8877689391</v>
      </c>
      <c r="B924" s="1">
        <v>42485</v>
      </c>
      <c r="C924">
        <v>12986</v>
      </c>
      <c r="D924">
        <v>8.7399997711181605</v>
      </c>
      <c r="E924">
        <v>8.7399997711181605</v>
      </c>
      <c r="F924">
        <v>0</v>
      </c>
      <c r="G924">
        <v>2.3699998855590798</v>
      </c>
      <c r="H924">
        <v>7.0000000298023196E-2</v>
      </c>
      <c r="I924">
        <v>6.2699999809265101</v>
      </c>
      <c r="J924">
        <v>9.9999997764825804E-3</v>
      </c>
      <c r="K924">
        <v>113</v>
      </c>
      <c r="L924">
        <v>8</v>
      </c>
      <c r="M924">
        <v>218</v>
      </c>
      <c r="N924">
        <v>1101</v>
      </c>
      <c r="O924">
        <v>3802</v>
      </c>
    </row>
    <row r="925" spans="1:15" x14ac:dyDescent="0.3">
      <c r="A925">
        <v>8877689391</v>
      </c>
      <c r="B925" s="1">
        <v>42486</v>
      </c>
      <c r="C925">
        <v>11101</v>
      </c>
      <c r="D925">
        <v>8.4300003051757795</v>
      </c>
      <c r="E925">
        <v>8.4300003051757795</v>
      </c>
      <c r="F925">
        <v>0</v>
      </c>
      <c r="G925">
        <v>1.7599999904632599</v>
      </c>
      <c r="H925">
        <v>0.129999995231628</v>
      </c>
      <c r="I925">
        <v>6.5</v>
      </c>
      <c r="J925">
        <v>0</v>
      </c>
      <c r="K925">
        <v>22</v>
      </c>
      <c r="L925">
        <v>3</v>
      </c>
      <c r="M925">
        <v>258</v>
      </c>
      <c r="N925">
        <v>1157</v>
      </c>
      <c r="O925">
        <v>2860</v>
      </c>
    </row>
    <row r="926" spans="1:15" x14ac:dyDescent="0.3">
      <c r="A926">
        <v>8877689391</v>
      </c>
      <c r="B926" s="1">
        <v>42487</v>
      </c>
      <c r="C926">
        <v>23629</v>
      </c>
      <c r="D926">
        <v>20.649999618530298</v>
      </c>
      <c r="E926">
        <v>20.649999618530298</v>
      </c>
      <c r="F926">
        <v>0</v>
      </c>
      <c r="G926">
        <v>13.069999694824199</v>
      </c>
      <c r="H926">
        <v>0.43999999761581399</v>
      </c>
      <c r="I926">
        <v>7.0999999046325701</v>
      </c>
      <c r="J926">
        <v>0</v>
      </c>
      <c r="K926">
        <v>93</v>
      </c>
      <c r="L926">
        <v>8</v>
      </c>
      <c r="M926">
        <v>235</v>
      </c>
      <c r="N926">
        <v>1104</v>
      </c>
      <c r="O926">
        <v>3808</v>
      </c>
    </row>
    <row r="927" spans="1:15" x14ac:dyDescent="0.3">
      <c r="A927">
        <v>8877689391</v>
      </c>
      <c r="B927" s="1">
        <v>42488</v>
      </c>
      <c r="C927">
        <v>14890</v>
      </c>
      <c r="D927">
        <v>11.300000190734901</v>
      </c>
      <c r="E927">
        <v>11.300000190734901</v>
      </c>
      <c r="F927">
        <v>0</v>
      </c>
      <c r="G927">
        <v>4.9299998283386204</v>
      </c>
      <c r="H927">
        <v>0.37999999523162797</v>
      </c>
      <c r="I927">
        <v>5.9699997901916504</v>
      </c>
      <c r="J927">
        <v>0</v>
      </c>
      <c r="K927">
        <v>58</v>
      </c>
      <c r="L927">
        <v>8</v>
      </c>
      <c r="M927">
        <v>231</v>
      </c>
      <c r="N927">
        <v>1143</v>
      </c>
      <c r="O927">
        <v>3060</v>
      </c>
    </row>
    <row r="928" spans="1:15" x14ac:dyDescent="0.3">
      <c r="A928">
        <v>8877689391</v>
      </c>
      <c r="B928" s="1">
        <v>42489</v>
      </c>
      <c r="C928">
        <v>9733</v>
      </c>
      <c r="D928">
        <v>7.3899998664856001</v>
      </c>
      <c r="E928">
        <v>7.3899998664856001</v>
      </c>
      <c r="F928">
        <v>0</v>
      </c>
      <c r="G928">
        <v>1.37999999523163</v>
      </c>
      <c r="H928">
        <v>0.17000000178813901</v>
      </c>
      <c r="I928">
        <v>5.78999996185303</v>
      </c>
      <c r="J928">
        <v>0</v>
      </c>
      <c r="K928">
        <v>18</v>
      </c>
      <c r="L928">
        <v>5</v>
      </c>
      <c r="M928">
        <v>210</v>
      </c>
      <c r="N928">
        <v>1207</v>
      </c>
      <c r="O928">
        <v>2698</v>
      </c>
    </row>
    <row r="929" spans="1:15" x14ac:dyDescent="0.3">
      <c r="A929">
        <v>8877689391</v>
      </c>
      <c r="B929" s="1">
        <v>42490</v>
      </c>
      <c r="C929">
        <v>27745</v>
      </c>
      <c r="D929">
        <v>26.719999313354499</v>
      </c>
      <c r="E929">
        <v>26.719999313354499</v>
      </c>
      <c r="F929">
        <v>0</v>
      </c>
      <c r="G929">
        <v>21.659999847412099</v>
      </c>
      <c r="H929">
        <v>7.9999998211860698E-2</v>
      </c>
      <c r="I929">
        <v>4.9299998283386204</v>
      </c>
      <c r="J929">
        <v>0</v>
      </c>
      <c r="K929">
        <v>124</v>
      </c>
      <c r="L929">
        <v>4</v>
      </c>
      <c r="M929">
        <v>223</v>
      </c>
      <c r="N929">
        <v>1089</v>
      </c>
      <c r="O929">
        <v>4398</v>
      </c>
    </row>
    <row r="930" spans="1:15" x14ac:dyDescent="0.3">
      <c r="A930">
        <v>8877689391</v>
      </c>
      <c r="B930" s="1">
        <v>42491</v>
      </c>
      <c r="C930">
        <v>10930</v>
      </c>
      <c r="D930">
        <v>8.3199996948242205</v>
      </c>
      <c r="E930">
        <v>8.3199996948242205</v>
      </c>
      <c r="F930">
        <v>0</v>
      </c>
      <c r="G930">
        <v>3.1300001144409202</v>
      </c>
      <c r="H930">
        <v>0.56999999284744296</v>
      </c>
      <c r="I930">
        <v>4.5700001716613796</v>
      </c>
      <c r="J930">
        <v>0</v>
      </c>
      <c r="K930">
        <v>36</v>
      </c>
      <c r="L930">
        <v>12</v>
      </c>
      <c r="M930">
        <v>166</v>
      </c>
      <c r="N930">
        <v>1226</v>
      </c>
      <c r="O930">
        <v>2786</v>
      </c>
    </row>
    <row r="931" spans="1:15" x14ac:dyDescent="0.3">
      <c r="A931">
        <v>8877689391</v>
      </c>
      <c r="B931" s="1">
        <v>42492</v>
      </c>
      <c r="C931">
        <v>4790</v>
      </c>
      <c r="D931">
        <v>3.6400001049041699</v>
      </c>
      <c r="E931">
        <v>3.6400001049041699</v>
      </c>
      <c r="F931">
        <v>0</v>
      </c>
      <c r="G931">
        <v>0</v>
      </c>
      <c r="H931">
        <v>0</v>
      </c>
      <c r="I931">
        <v>3.5599999427795401</v>
      </c>
      <c r="J931">
        <v>0</v>
      </c>
      <c r="K931">
        <v>0</v>
      </c>
      <c r="L931">
        <v>0</v>
      </c>
      <c r="M931">
        <v>105</v>
      </c>
      <c r="N931">
        <v>1335</v>
      </c>
      <c r="O931">
        <v>2189</v>
      </c>
    </row>
    <row r="932" spans="1:15" x14ac:dyDescent="0.3">
      <c r="A932">
        <v>8877689391</v>
      </c>
      <c r="B932" s="1">
        <v>42493</v>
      </c>
      <c r="C932">
        <v>10818</v>
      </c>
      <c r="D932">
        <v>8.2100000381469709</v>
      </c>
      <c r="E932">
        <v>8.2100000381469709</v>
      </c>
      <c r="F932">
        <v>0</v>
      </c>
      <c r="G932">
        <v>1.3899999856948899</v>
      </c>
      <c r="H932">
        <v>0.10000000149011599</v>
      </c>
      <c r="I932">
        <v>6.6700000762939498</v>
      </c>
      <c r="J932">
        <v>9.9999997764825804E-3</v>
      </c>
      <c r="K932">
        <v>19</v>
      </c>
      <c r="L932">
        <v>3</v>
      </c>
      <c r="M932">
        <v>229</v>
      </c>
      <c r="N932">
        <v>1189</v>
      </c>
      <c r="O932">
        <v>2817</v>
      </c>
    </row>
    <row r="933" spans="1:15" x14ac:dyDescent="0.3">
      <c r="A933">
        <v>8877689391</v>
      </c>
      <c r="B933" s="1">
        <v>42494</v>
      </c>
      <c r="C933">
        <v>18193</v>
      </c>
      <c r="D933">
        <v>16.299999237060501</v>
      </c>
      <c r="E933">
        <v>16.299999237060501</v>
      </c>
      <c r="F933">
        <v>0</v>
      </c>
      <c r="G933">
        <v>10.420000076293899</v>
      </c>
      <c r="H933">
        <v>0.31000000238418601</v>
      </c>
      <c r="I933">
        <v>5.5300002098083496</v>
      </c>
      <c r="J933">
        <v>0</v>
      </c>
      <c r="K933">
        <v>66</v>
      </c>
      <c r="L933">
        <v>8</v>
      </c>
      <c r="M933">
        <v>212</v>
      </c>
      <c r="N933">
        <v>1154</v>
      </c>
      <c r="O933">
        <v>3477</v>
      </c>
    </row>
    <row r="934" spans="1:15" x14ac:dyDescent="0.3">
      <c r="A934">
        <v>8877689391</v>
      </c>
      <c r="B934" s="1">
        <v>42495</v>
      </c>
      <c r="C934">
        <v>14055</v>
      </c>
      <c r="D934">
        <v>10.670000076293899</v>
      </c>
      <c r="E934">
        <v>10.670000076293899</v>
      </c>
      <c r="F934">
        <v>0</v>
      </c>
      <c r="G934">
        <v>5.46000003814697</v>
      </c>
      <c r="H934">
        <v>0.81999999284744296</v>
      </c>
      <c r="I934">
        <v>4.3699998855590803</v>
      </c>
      <c r="J934">
        <v>0</v>
      </c>
      <c r="K934">
        <v>67</v>
      </c>
      <c r="L934">
        <v>15</v>
      </c>
      <c r="M934">
        <v>188</v>
      </c>
      <c r="N934">
        <v>1170</v>
      </c>
      <c r="O934">
        <v>3052</v>
      </c>
    </row>
    <row r="935" spans="1:15" x14ac:dyDescent="0.3">
      <c r="A935">
        <v>8877689391</v>
      </c>
      <c r="B935" s="1">
        <v>42496</v>
      </c>
      <c r="C935">
        <v>21727</v>
      </c>
      <c r="D935">
        <v>19.340000152587901</v>
      </c>
      <c r="E935">
        <v>19.340000152587901</v>
      </c>
      <c r="F935">
        <v>0</v>
      </c>
      <c r="G935">
        <v>12.789999961853001</v>
      </c>
      <c r="H935">
        <v>0.28999999165535001</v>
      </c>
      <c r="I935">
        <v>6.1599998474121103</v>
      </c>
      <c r="J935">
        <v>0</v>
      </c>
      <c r="K935">
        <v>96</v>
      </c>
      <c r="L935">
        <v>17</v>
      </c>
      <c r="M935">
        <v>232</v>
      </c>
      <c r="N935">
        <v>1095</v>
      </c>
      <c r="O935">
        <v>4015</v>
      </c>
    </row>
    <row r="936" spans="1:15" x14ac:dyDescent="0.3">
      <c r="A936">
        <v>8877689391</v>
      </c>
      <c r="B936" s="1">
        <v>42497</v>
      </c>
      <c r="C936">
        <v>12332</v>
      </c>
      <c r="D936">
        <v>8.1300001144409197</v>
      </c>
      <c r="E936">
        <v>8.1300001144409197</v>
      </c>
      <c r="F936">
        <v>0</v>
      </c>
      <c r="G936">
        <v>7.9999998211860698E-2</v>
      </c>
      <c r="H936">
        <v>0.95999997854232799</v>
      </c>
      <c r="I936">
        <v>6.9899997711181596</v>
      </c>
      <c r="J936">
        <v>0</v>
      </c>
      <c r="K936">
        <v>105</v>
      </c>
      <c r="L936">
        <v>28</v>
      </c>
      <c r="M936">
        <v>271</v>
      </c>
      <c r="N936">
        <v>1036</v>
      </c>
      <c r="O936">
        <v>4142</v>
      </c>
    </row>
    <row r="937" spans="1:15" x14ac:dyDescent="0.3">
      <c r="A937">
        <v>8877689391</v>
      </c>
      <c r="B937" s="1">
        <v>42498</v>
      </c>
      <c r="C937">
        <v>10686</v>
      </c>
      <c r="D937">
        <v>8.1099996566772496</v>
      </c>
      <c r="E937">
        <v>8.1099996566772496</v>
      </c>
      <c r="F937">
        <v>0</v>
      </c>
      <c r="G937">
        <v>1.08000004291534</v>
      </c>
      <c r="H937">
        <v>0.20000000298023199</v>
      </c>
      <c r="I937">
        <v>6.8000001907348597</v>
      </c>
      <c r="J937">
        <v>0</v>
      </c>
      <c r="K937">
        <v>17</v>
      </c>
      <c r="L937">
        <v>4</v>
      </c>
      <c r="M937">
        <v>245</v>
      </c>
      <c r="N937">
        <v>1174</v>
      </c>
      <c r="O937">
        <v>2847</v>
      </c>
    </row>
    <row r="938" spans="1:15" x14ac:dyDescent="0.3">
      <c r="A938">
        <v>8877689391</v>
      </c>
      <c r="B938" s="1">
        <v>42499</v>
      </c>
      <c r="C938">
        <v>20226</v>
      </c>
      <c r="D938">
        <v>18.25</v>
      </c>
      <c r="E938">
        <v>18.25</v>
      </c>
      <c r="F938">
        <v>0</v>
      </c>
      <c r="G938">
        <v>11.1000003814697</v>
      </c>
      <c r="H938">
        <v>0.80000001192092896</v>
      </c>
      <c r="I938">
        <v>6.2399997711181596</v>
      </c>
      <c r="J938">
        <v>5.0000000745058101E-2</v>
      </c>
      <c r="K938">
        <v>73</v>
      </c>
      <c r="L938">
        <v>19</v>
      </c>
      <c r="M938">
        <v>217</v>
      </c>
      <c r="N938">
        <v>1131</v>
      </c>
      <c r="O938">
        <v>3710</v>
      </c>
    </row>
    <row r="939" spans="1:15" x14ac:dyDescent="0.3">
      <c r="A939">
        <v>8877689391</v>
      </c>
      <c r="B939" s="1">
        <v>42500</v>
      </c>
      <c r="C939">
        <v>10733</v>
      </c>
      <c r="D939">
        <v>8.1499996185302699</v>
      </c>
      <c r="E939">
        <v>8.1499996185302699</v>
      </c>
      <c r="F939">
        <v>0</v>
      </c>
      <c r="G939">
        <v>1.3500000238418599</v>
      </c>
      <c r="H939">
        <v>0.46000000834464999</v>
      </c>
      <c r="I939">
        <v>6.2800002098083496</v>
      </c>
      <c r="J939">
        <v>0</v>
      </c>
      <c r="K939">
        <v>18</v>
      </c>
      <c r="L939">
        <v>11</v>
      </c>
      <c r="M939">
        <v>224</v>
      </c>
      <c r="N939">
        <v>1187</v>
      </c>
      <c r="O939">
        <v>2832</v>
      </c>
    </row>
    <row r="940" spans="1:15" x14ac:dyDescent="0.3">
      <c r="A940">
        <v>8877689391</v>
      </c>
      <c r="B940" s="1">
        <v>42501</v>
      </c>
      <c r="C940">
        <v>21420</v>
      </c>
      <c r="D940">
        <v>19.559999465942401</v>
      </c>
      <c r="E940">
        <v>19.559999465942401</v>
      </c>
      <c r="F940">
        <v>0</v>
      </c>
      <c r="G940">
        <v>13.2200002670288</v>
      </c>
      <c r="H940">
        <v>0.40999999642372098</v>
      </c>
      <c r="I940">
        <v>5.8899998664856001</v>
      </c>
      <c r="J940">
        <v>0</v>
      </c>
      <c r="K940">
        <v>88</v>
      </c>
      <c r="L940">
        <v>12</v>
      </c>
      <c r="M940">
        <v>213</v>
      </c>
      <c r="N940">
        <v>1127</v>
      </c>
      <c r="O940">
        <v>3832</v>
      </c>
    </row>
    <row r="941" spans="1:15" x14ac:dyDescent="0.3">
      <c r="A941">
        <v>8877689391</v>
      </c>
      <c r="B941" s="1">
        <v>42502</v>
      </c>
      <c r="C941">
        <v>8064</v>
      </c>
      <c r="D941">
        <v>6.1199998855590803</v>
      </c>
      <c r="E941">
        <v>6.1199998855590803</v>
      </c>
      <c r="F941">
        <v>0</v>
      </c>
      <c r="G941">
        <v>1.8200000524520901</v>
      </c>
      <c r="H941">
        <v>3.9999999105930301E-2</v>
      </c>
      <c r="I941">
        <v>4.25</v>
      </c>
      <c r="J941">
        <v>0</v>
      </c>
      <c r="K941">
        <v>23</v>
      </c>
      <c r="L941">
        <v>1</v>
      </c>
      <c r="M941">
        <v>137</v>
      </c>
      <c r="N941">
        <v>770</v>
      </c>
      <c r="O941">
        <v>1849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813B-6098-4716-93BC-3AC4FB97F954}">
  <sheetPr>
    <tabColor theme="2" tint="-0.749992370372631"/>
  </sheetPr>
  <dimension ref="A1:O458"/>
  <sheetViews>
    <sheetView workbookViewId="0">
      <selection activeCell="A2" sqref="A2:XFD458"/>
    </sheetView>
  </sheetViews>
  <sheetFormatPr defaultRowHeight="14.4" x14ac:dyDescent="0.3"/>
  <cols>
    <col min="2" max="2" width="13.109375" customWidth="1"/>
    <col min="3" max="3" width="11.77734375" customWidth="1"/>
    <col min="4" max="4" width="14.33203125" customWidth="1"/>
    <col min="5" max="5" width="16.44140625" customWidth="1"/>
    <col min="6" max="6" width="23.88671875" customWidth="1"/>
    <col min="7" max="7" width="19.109375" customWidth="1"/>
    <col min="8" max="8" width="24.77734375" customWidth="1"/>
    <col min="9" max="9" width="19.44140625" customWidth="1"/>
    <col min="10" max="10" width="23.88671875" customWidth="1"/>
    <col min="11" max="11" width="18.33203125" customWidth="1"/>
    <col min="12" max="12" width="19.33203125" customWidth="1"/>
    <col min="13" max="13" width="20.109375" customWidth="1"/>
    <col min="14" max="14" width="17.88671875" customWidth="1"/>
    <col min="15" max="15" width="9.77734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1503960366</v>
      </c>
      <c r="B2" s="1">
        <v>42454</v>
      </c>
      <c r="C2">
        <v>11004</v>
      </c>
      <c r="D2">
        <v>7.1100001335143999</v>
      </c>
      <c r="E2">
        <v>7.1100001335143999</v>
      </c>
      <c r="F2">
        <v>0</v>
      </c>
      <c r="G2">
        <v>2.5699999332428001</v>
      </c>
      <c r="H2">
        <v>0.46000000834464999</v>
      </c>
      <c r="I2">
        <v>4.0700001716613796</v>
      </c>
      <c r="J2">
        <v>0</v>
      </c>
      <c r="K2">
        <v>33</v>
      </c>
      <c r="L2">
        <v>12</v>
      </c>
      <c r="M2">
        <v>205</v>
      </c>
      <c r="N2">
        <v>804</v>
      </c>
      <c r="O2">
        <v>1819</v>
      </c>
    </row>
    <row r="3" spans="1:15" x14ac:dyDescent="0.3">
      <c r="A3">
        <v>1503960366</v>
      </c>
      <c r="B3" s="1">
        <v>42455</v>
      </c>
      <c r="C3">
        <v>17609</v>
      </c>
      <c r="D3">
        <v>11.550000190734901</v>
      </c>
      <c r="E3">
        <v>11.550000190734901</v>
      </c>
      <c r="F3">
        <v>0</v>
      </c>
      <c r="G3">
        <v>6.9200000762939498</v>
      </c>
      <c r="H3">
        <v>0.730000019073486</v>
      </c>
      <c r="I3">
        <v>3.9100000858306898</v>
      </c>
      <c r="J3">
        <v>0</v>
      </c>
      <c r="K3">
        <v>89</v>
      </c>
      <c r="L3">
        <v>17</v>
      </c>
      <c r="M3">
        <v>274</v>
      </c>
      <c r="N3">
        <v>588</v>
      </c>
      <c r="O3">
        <v>2154</v>
      </c>
    </row>
    <row r="4" spans="1:15" x14ac:dyDescent="0.3">
      <c r="A4">
        <v>1503960366</v>
      </c>
      <c r="B4" s="1">
        <v>42456</v>
      </c>
      <c r="C4">
        <v>12736</v>
      </c>
      <c r="D4">
        <v>8.5299997329711896</v>
      </c>
      <c r="E4">
        <v>8.5299997329711896</v>
      </c>
      <c r="F4">
        <v>0</v>
      </c>
      <c r="G4">
        <v>4.6599998474121103</v>
      </c>
      <c r="H4">
        <v>0.15999999642372101</v>
      </c>
      <c r="I4">
        <v>3.71000003814697</v>
      </c>
      <c r="J4">
        <v>0</v>
      </c>
      <c r="K4">
        <v>56</v>
      </c>
      <c r="L4">
        <v>5</v>
      </c>
      <c r="M4">
        <v>268</v>
      </c>
      <c r="N4">
        <v>605</v>
      </c>
      <c r="O4">
        <v>1944</v>
      </c>
    </row>
    <row r="5" spans="1:15" x14ac:dyDescent="0.3">
      <c r="A5">
        <v>1503960366</v>
      </c>
      <c r="B5" s="1">
        <v>42457</v>
      </c>
      <c r="C5">
        <v>13231</v>
      </c>
      <c r="D5">
        <v>8.9300003051757795</v>
      </c>
      <c r="E5">
        <v>8.9300003051757795</v>
      </c>
      <c r="F5">
        <v>0</v>
      </c>
      <c r="G5">
        <v>3.1900000572204599</v>
      </c>
      <c r="H5">
        <v>0.79000002145767201</v>
      </c>
      <c r="I5">
        <v>4.9499998092651403</v>
      </c>
      <c r="J5">
        <v>0</v>
      </c>
      <c r="K5">
        <v>39</v>
      </c>
      <c r="L5">
        <v>20</v>
      </c>
      <c r="M5">
        <v>224</v>
      </c>
      <c r="N5">
        <v>1080</v>
      </c>
      <c r="O5">
        <v>1932</v>
      </c>
    </row>
    <row r="6" spans="1:15" x14ac:dyDescent="0.3">
      <c r="A6">
        <v>1503960366</v>
      </c>
      <c r="B6" s="1">
        <v>42458</v>
      </c>
      <c r="C6">
        <v>12041</v>
      </c>
      <c r="D6">
        <v>7.8499999046325701</v>
      </c>
      <c r="E6">
        <v>7.8499999046325701</v>
      </c>
      <c r="F6">
        <v>0</v>
      </c>
      <c r="G6">
        <v>2.1600000858306898</v>
      </c>
      <c r="H6">
        <v>1.0900000333786</v>
      </c>
      <c r="I6">
        <v>4.6100001335143999</v>
      </c>
      <c r="J6">
        <v>0</v>
      </c>
      <c r="K6">
        <v>28</v>
      </c>
      <c r="L6">
        <v>28</v>
      </c>
      <c r="M6">
        <v>243</v>
      </c>
      <c r="N6">
        <v>763</v>
      </c>
      <c r="O6">
        <v>1886</v>
      </c>
    </row>
    <row r="7" spans="1:15" x14ac:dyDescent="0.3">
      <c r="A7">
        <v>1503960366</v>
      </c>
      <c r="B7" s="1">
        <v>42459</v>
      </c>
      <c r="C7">
        <v>10970</v>
      </c>
      <c r="D7">
        <v>7.1599998474121103</v>
      </c>
      <c r="E7">
        <v>7.1599998474121103</v>
      </c>
      <c r="F7">
        <v>0</v>
      </c>
      <c r="G7">
        <v>2.3599998950958301</v>
      </c>
      <c r="H7">
        <v>0.50999999046325695</v>
      </c>
      <c r="I7">
        <v>4.28999996185303</v>
      </c>
      <c r="J7">
        <v>0</v>
      </c>
      <c r="K7">
        <v>30</v>
      </c>
      <c r="L7">
        <v>13</v>
      </c>
      <c r="M7">
        <v>223</v>
      </c>
      <c r="N7">
        <v>1174</v>
      </c>
      <c r="O7">
        <v>1820</v>
      </c>
    </row>
    <row r="8" spans="1:15" x14ac:dyDescent="0.3">
      <c r="A8">
        <v>1503960366</v>
      </c>
      <c r="B8" s="1">
        <v>42460</v>
      </c>
      <c r="C8">
        <v>12256</v>
      </c>
      <c r="D8">
        <v>7.8600001335143999</v>
      </c>
      <c r="E8">
        <v>7.8600001335143999</v>
      </c>
      <c r="F8">
        <v>0</v>
      </c>
      <c r="G8">
        <v>2.28999996185303</v>
      </c>
      <c r="H8">
        <v>0.490000009536743</v>
      </c>
      <c r="I8">
        <v>5.03999996185303</v>
      </c>
      <c r="J8">
        <v>0</v>
      </c>
      <c r="K8">
        <v>33</v>
      </c>
      <c r="L8">
        <v>12</v>
      </c>
      <c r="M8">
        <v>239</v>
      </c>
      <c r="N8">
        <v>820</v>
      </c>
      <c r="O8">
        <v>1889</v>
      </c>
    </row>
    <row r="9" spans="1:15" x14ac:dyDescent="0.3">
      <c r="A9">
        <v>1503960366</v>
      </c>
      <c r="B9" s="1">
        <v>42461</v>
      </c>
      <c r="C9">
        <v>12262</v>
      </c>
      <c r="D9">
        <v>7.8699998855590803</v>
      </c>
      <c r="E9">
        <v>7.8699998855590803</v>
      </c>
      <c r="F9">
        <v>0</v>
      </c>
      <c r="G9">
        <v>3.3199999332428001</v>
      </c>
      <c r="H9">
        <v>0.82999998331069902</v>
      </c>
      <c r="I9">
        <v>3.6400001049041699</v>
      </c>
      <c r="J9">
        <v>0</v>
      </c>
      <c r="K9">
        <v>47</v>
      </c>
      <c r="L9">
        <v>21</v>
      </c>
      <c r="M9">
        <v>200</v>
      </c>
      <c r="N9">
        <v>866</v>
      </c>
      <c r="O9">
        <v>1868</v>
      </c>
    </row>
    <row r="10" spans="1:15" x14ac:dyDescent="0.3">
      <c r="A10">
        <v>1503960366</v>
      </c>
      <c r="B10" s="1">
        <v>42462</v>
      </c>
      <c r="C10">
        <v>11248</v>
      </c>
      <c r="D10">
        <v>7.25</v>
      </c>
      <c r="E10">
        <v>7.25</v>
      </c>
      <c r="F10">
        <v>0</v>
      </c>
      <c r="G10">
        <v>3</v>
      </c>
      <c r="H10">
        <v>0.44999998807907099</v>
      </c>
      <c r="I10">
        <v>3.7400000095367401</v>
      </c>
      <c r="J10">
        <v>0</v>
      </c>
      <c r="K10">
        <v>40</v>
      </c>
      <c r="L10">
        <v>11</v>
      </c>
      <c r="M10">
        <v>244</v>
      </c>
      <c r="N10">
        <v>636</v>
      </c>
      <c r="O10">
        <v>1843</v>
      </c>
    </row>
    <row r="11" spans="1:15" x14ac:dyDescent="0.3">
      <c r="A11">
        <v>1503960366</v>
      </c>
      <c r="B11" s="1">
        <v>42463</v>
      </c>
      <c r="C11">
        <v>10016</v>
      </c>
      <c r="D11">
        <v>6.3699998855590803</v>
      </c>
      <c r="E11">
        <v>6.3699998855590803</v>
      </c>
      <c r="F11">
        <v>0</v>
      </c>
      <c r="G11">
        <v>0.91000002622604403</v>
      </c>
      <c r="H11">
        <v>1.2799999713897701</v>
      </c>
      <c r="I11">
        <v>4.1799998283386204</v>
      </c>
      <c r="J11">
        <v>0</v>
      </c>
      <c r="K11">
        <v>15</v>
      </c>
      <c r="L11">
        <v>30</v>
      </c>
      <c r="M11">
        <v>314</v>
      </c>
      <c r="N11">
        <v>655</v>
      </c>
      <c r="O11">
        <v>1850</v>
      </c>
    </row>
    <row r="12" spans="1:15" x14ac:dyDescent="0.3">
      <c r="A12">
        <v>1503960366</v>
      </c>
      <c r="B12" s="1">
        <v>42464</v>
      </c>
      <c r="C12">
        <v>14557</v>
      </c>
      <c r="D12">
        <v>9.8000001907348597</v>
      </c>
      <c r="E12">
        <v>9.8000001907348597</v>
      </c>
      <c r="F12">
        <v>0</v>
      </c>
      <c r="G12">
        <v>3.3900001049041699</v>
      </c>
      <c r="H12">
        <v>0.69999998807907104</v>
      </c>
      <c r="I12">
        <v>5.6900000572204599</v>
      </c>
      <c r="J12">
        <v>0</v>
      </c>
      <c r="K12">
        <v>43</v>
      </c>
      <c r="L12">
        <v>18</v>
      </c>
      <c r="M12">
        <v>285</v>
      </c>
      <c r="N12">
        <v>757</v>
      </c>
      <c r="O12">
        <v>2030</v>
      </c>
    </row>
    <row r="13" spans="1:15" x14ac:dyDescent="0.3">
      <c r="A13">
        <v>1503960366</v>
      </c>
      <c r="B13" s="1">
        <v>42465</v>
      </c>
      <c r="C13">
        <v>14844</v>
      </c>
      <c r="D13">
        <v>9.7299995422363299</v>
      </c>
      <c r="E13">
        <v>9.7299995422363299</v>
      </c>
      <c r="F13">
        <v>0</v>
      </c>
      <c r="G13">
        <v>2.9400000572204599</v>
      </c>
      <c r="H13">
        <v>0.75999999046325695</v>
      </c>
      <c r="I13">
        <v>6.03999996185303</v>
      </c>
      <c r="J13">
        <v>0</v>
      </c>
      <c r="K13">
        <v>36</v>
      </c>
      <c r="L13">
        <v>18</v>
      </c>
      <c r="M13">
        <v>341</v>
      </c>
      <c r="N13">
        <v>736</v>
      </c>
      <c r="O13">
        <v>2083</v>
      </c>
    </row>
    <row r="14" spans="1:15" x14ac:dyDescent="0.3">
      <c r="A14">
        <v>1503960366</v>
      </c>
      <c r="B14" s="1">
        <v>42466</v>
      </c>
      <c r="C14">
        <v>11974</v>
      </c>
      <c r="D14">
        <v>7.6700000762939498</v>
      </c>
      <c r="E14">
        <v>7.6700000762939498</v>
      </c>
      <c r="F14">
        <v>0</v>
      </c>
      <c r="G14">
        <v>2.03999996185303</v>
      </c>
      <c r="H14">
        <v>0.479999989271164</v>
      </c>
      <c r="I14">
        <v>5.1500000953674299</v>
      </c>
      <c r="J14">
        <v>0</v>
      </c>
      <c r="K14">
        <v>27</v>
      </c>
      <c r="L14">
        <v>12</v>
      </c>
      <c r="M14">
        <v>228</v>
      </c>
      <c r="N14">
        <v>1173</v>
      </c>
      <c r="O14">
        <v>1861</v>
      </c>
    </row>
    <row r="15" spans="1:15" x14ac:dyDescent="0.3">
      <c r="A15">
        <v>1503960366</v>
      </c>
      <c r="B15" s="1">
        <v>42467</v>
      </c>
      <c r="C15">
        <v>10198</v>
      </c>
      <c r="D15">
        <v>6.4400000572204599</v>
      </c>
      <c r="E15">
        <v>6.4400000572204599</v>
      </c>
      <c r="F15">
        <v>0</v>
      </c>
      <c r="G15">
        <v>1.20000004768372</v>
      </c>
      <c r="H15">
        <v>0.79000002145767201</v>
      </c>
      <c r="I15">
        <v>4.4499998092651403</v>
      </c>
      <c r="J15">
        <v>0</v>
      </c>
      <c r="K15">
        <v>17</v>
      </c>
      <c r="L15">
        <v>20</v>
      </c>
      <c r="M15">
        <v>195</v>
      </c>
      <c r="N15">
        <v>1208</v>
      </c>
      <c r="O15">
        <v>1755</v>
      </c>
    </row>
    <row r="16" spans="1:15" x14ac:dyDescent="0.3">
      <c r="A16">
        <v>1503960366</v>
      </c>
      <c r="B16" s="1">
        <v>42468</v>
      </c>
      <c r="C16">
        <v>12521</v>
      </c>
      <c r="D16">
        <v>7.9400000572204599</v>
      </c>
      <c r="E16">
        <v>7.9400000572204599</v>
      </c>
      <c r="F16">
        <v>0</v>
      </c>
      <c r="G16">
        <v>3.3099999427795401</v>
      </c>
      <c r="H16">
        <v>0.89999997615814198</v>
      </c>
      <c r="I16">
        <v>3.7400000095367401</v>
      </c>
      <c r="J16">
        <v>0</v>
      </c>
      <c r="K16">
        <v>46</v>
      </c>
      <c r="L16">
        <v>22</v>
      </c>
      <c r="M16">
        <v>212</v>
      </c>
      <c r="N16">
        <v>1160</v>
      </c>
      <c r="O16">
        <v>1895</v>
      </c>
    </row>
    <row r="17" spans="1:15" x14ac:dyDescent="0.3">
      <c r="A17">
        <v>1503960366</v>
      </c>
      <c r="B17" s="1">
        <v>42469</v>
      </c>
      <c r="C17">
        <v>12432</v>
      </c>
      <c r="D17">
        <v>8.1000003814697301</v>
      </c>
      <c r="E17">
        <v>8.1000003814697301</v>
      </c>
      <c r="F17">
        <v>0</v>
      </c>
      <c r="G17">
        <v>2.5899999141693102</v>
      </c>
      <c r="H17">
        <v>0.58999997377395597</v>
      </c>
      <c r="I17">
        <v>4.9200000762939498</v>
      </c>
      <c r="J17">
        <v>0</v>
      </c>
      <c r="K17">
        <v>32</v>
      </c>
      <c r="L17">
        <v>15</v>
      </c>
      <c r="M17">
        <v>248</v>
      </c>
      <c r="N17">
        <v>738</v>
      </c>
      <c r="O17">
        <v>1883</v>
      </c>
    </row>
    <row r="18" spans="1:15" x14ac:dyDescent="0.3">
      <c r="A18">
        <v>1503960366</v>
      </c>
      <c r="B18" s="1">
        <v>42470</v>
      </c>
      <c r="C18">
        <v>10057</v>
      </c>
      <c r="D18">
        <v>6.9800000190734899</v>
      </c>
      <c r="E18">
        <v>6.9800000190734899</v>
      </c>
      <c r="F18">
        <v>0</v>
      </c>
      <c r="G18">
        <v>4</v>
      </c>
      <c r="H18">
        <v>0.490000009536743</v>
      </c>
      <c r="I18">
        <v>2.4800000190734899</v>
      </c>
      <c r="J18">
        <v>0</v>
      </c>
      <c r="K18">
        <v>44</v>
      </c>
      <c r="L18">
        <v>13</v>
      </c>
      <c r="M18">
        <v>168</v>
      </c>
      <c r="N18">
        <v>737</v>
      </c>
      <c r="O18">
        <v>1755</v>
      </c>
    </row>
    <row r="19" spans="1:15" x14ac:dyDescent="0.3">
      <c r="A19">
        <v>1503960366</v>
      </c>
      <c r="B19" s="1">
        <v>42471</v>
      </c>
      <c r="C19">
        <v>10990</v>
      </c>
      <c r="D19">
        <v>7.2600002288818404</v>
      </c>
      <c r="E19">
        <v>7.2600002288818404</v>
      </c>
      <c r="F19">
        <v>0</v>
      </c>
      <c r="G19">
        <v>2.03999996185303</v>
      </c>
      <c r="H19">
        <v>0.56999999284744296</v>
      </c>
      <c r="I19">
        <v>4.6500000953674299</v>
      </c>
      <c r="J19">
        <v>0</v>
      </c>
      <c r="K19">
        <v>26</v>
      </c>
      <c r="L19">
        <v>14</v>
      </c>
      <c r="M19">
        <v>216</v>
      </c>
      <c r="N19">
        <v>855</v>
      </c>
      <c r="O19">
        <v>1811</v>
      </c>
    </row>
    <row r="20" spans="1:15" x14ac:dyDescent="0.3">
      <c r="A20">
        <v>1503960366</v>
      </c>
      <c r="B20" s="1">
        <v>42472</v>
      </c>
      <c r="C20">
        <v>224</v>
      </c>
      <c r="D20">
        <v>0.140000000596046</v>
      </c>
      <c r="E20">
        <v>0.140000000596046</v>
      </c>
      <c r="F20">
        <v>0</v>
      </c>
      <c r="G20">
        <v>0</v>
      </c>
      <c r="H20">
        <v>0</v>
      </c>
      <c r="I20">
        <v>0.129999995231628</v>
      </c>
      <c r="J20">
        <v>0</v>
      </c>
      <c r="K20">
        <v>0</v>
      </c>
      <c r="L20">
        <v>0</v>
      </c>
      <c r="M20">
        <v>9</v>
      </c>
      <c r="N20">
        <v>32</v>
      </c>
      <c r="O20">
        <v>50</v>
      </c>
    </row>
    <row r="21" spans="1:15" x14ac:dyDescent="0.3">
      <c r="A21">
        <v>1624580081</v>
      </c>
      <c r="B21" s="1">
        <v>42454</v>
      </c>
      <c r="C21">
        <v>1810</v>
      </c>
      <c r="D21">
        <v>1.1799999475479099</v>
      </c>
      <c r="E21">
        <v>1.1799999475479099</v>
      </c>
      <c r="F21">
        <v>0</v>
      </c>
      <c r="G21">
        <v>0</v>
      </c>
      <c r="H21">
        <v>0</v>
      </c>
      <c r="I21">
        <v>1.12999999523163</v>
      </c>
      <c r="J21">
        <v>9.9999997764825804E-3</v>
      </c>
      <c r="K21">
        <v>0</v>
      </c>
      <c r="L21">
        <v>0</v>
      </c>
      <c r="M21">
        <v>121</v>
      </c>
      <c r="N21">
        <v>1319</v>
      </c>
      <c r="O21">
        <v>1373</v>
      </c>
    </row>
    <row r="22" spans="1:15" x14ac:dyDescent="0.3">
      <c r="A22">
        <v>1624580081</v>
      </c>
      <c r="B22" s="1">
        <v>42455</v>
      </c>
      <c r="C22">
        <v>815</v>
      </c>
      <c r="D22">
        <v>0.52999997138977095</v>
      </c>
      <c r="E22">
        <v>0.52999997138977095</v>
      </c>
      <c r="F22">
        <v>0</v>
      </c>
      <c r="G22">
        <v>0</v>
      </c>
      <c r="H22">
        <v>0</v>
      </c>
      <c r="I22">
        <v>0.52999997138977095</v>
      </c>
      <c r="J22">
        <v>0</v>
      </c>
      <c r="K22">
        <v>0</v>
      </c>
      <c r="L22">
        <v>0</v>
      </c>
      <c r="M22">
        <v>47</v>
      </c>
      <c r="N22">
        <v>1393</v>
      </c>
      <c r="O22">
        <v>1264</v>
      </c>
    </row>
    <row r="23" spans="1:15" x14ac:dyDescent="0.3">
      <c r="A23">
        <v>1624580081</v>
      </c>
      <c r="B23" s="1">
        <v>42456</v>
      </c>
      <c r="C23">
        <v>1985</v>
      </c>
      <c r="D23">
        <v>1.28999996185303</v>
      </c>
      <c r="E23">
        <v>1.28999996185303</v>
      </c>
      <c r="F23">
        <v>0</v>
      </c>
      <c r="G23">
        <v>0</v>
      </c>
      <c r="H23">
        <v>0</v>
      </c>
      <c r="I23">
        <v>1.2799999713897701</v>
      </c>
      <c r="J23">
        <v>9.9999997764825804E-3</v>
      </c>
      <c r="K23">
        <v>0</v>
      </c>
      <c r="L23">
        <v>0</v>
      </c>
      <c r="M23">
        <v>112</v>
      </c>
      <c r="N23">
        <v>1328</v>
      </c>
      <c r="O23">
        <v>1350</v>
      </c>
    </row>
    <row r="24" spans="1:15" x14ac:dyDescent="0.3">
      <c r="A24">
        <v>1624580081</v>
      </c>
      <c r="B24" s="1">
        <v>42457</v>
      </c>
      <c r="C24">
        <v>1905</v>
      </c>
      <c r="D24">
        <v>1.2400000095367401</v>
      </c>
      <c r="E24">
        <v>1.2400000095367401</v>
      </c>
      <c r="F24">
        <v>0</v>
      </c>
      <c r="G24">
        <v>0</v>
      </c>
      <c r="H24">
        <v>0</v>
      </c>
      <c r="I24">
        <v>1.2400000095367401</v>
      </c>
      <c r="J24">
        <v>0</v>
      </c>
      <c r="K24">
        <v>0</v>
      </c>
      <c r="L24">
        <v>0</v>
      </c>
      <c r="M24">
        <v>95</v>
      </c>
      <c r="N24">
        <v>1345</v>
      </c>
      <c r="O24">
        <v>1342</v>
      </c>
    </row>
    <row r="25" spans="1:15" x14ac:dyDescent="0.3">
      <c r="A25">
        <v>1624580081</v>
      </c>
      <c r="B25" s="1">
        <v>42458</v>
      </c>
      <c r="C25">
        <v>1552</v>
      </c>
      <c r="D25">
        <v>1.0099999904632599</v>
      </c>
      <c r="E25">
        <v>1.0099999904632599</v>
      </c>
      <c r="F25">
        <v>0</v>
      </c>
      <c r="G25">
        <v>0</v>
      </c>
      <c r="H25">
        <v>0</v>
      </c>
      <c r="I25">
        <v>1</v>
      </c>
      <c r="J25">
        <v>0</v>
      </c>
      <c r="K25">
        <v>0</v>
      </c>
      <c r="L25">
        <v>0</v>
      </c>
      <c r="M25">
        <v>66</v>
      </c>
      <c r="N25">
        <v>1374</v>
      </c>
      <c r="O25">
        <v>1300</v>
      </c>
    </row>
    <row r="26" spans="1:15" x14ac:dyDescent="0.3">
      <c r="A26">
        <v>1624580081</v>
      </c>
      <c r="B26" s="1">
        <v>42459</v>
      </c>
      <c r="C26">
        <v>1675</v>
      </c>
      <c r="D26">
        <v>1.0900000333786</v>
      </c>
      <c r="E26">
        <v>1.0900000333786</v>
      </c>
      <c r="F26">
        <v>0</v>
      </c>
      <c r="G26">
        <v>0</v>
      </c>
      <c r="H26">
        <v>0</v>
      </c>
      <c r="I26">
        <v>1.0900000333786</v>
      </c>
      <c r="J26">
        <v>0</v>
      </c>
      <c r="K26">
        <v>0</v>
      </c>
      <c r="L26">
        <v>0</v>
      </c>
      <c r="M26">
        <v>84</v>
      </c>
      <c r="N26">
        <v>1356</v>
      </c>
      <c r="O26">
        <v>1313</v>
      </c>
    </row>
    <row r="27" spans="1:15" x14ac:dyDescent="0.3">
      <c r="A27">
        <v>1624580081</v>
      </c>
      <c r="B27" s="1">
        <v>42460</v>
      </c>
      <c r="C27">
        <v>4506</v>
      </c>
      <c r="D27">
        <v>2.9300000667571999</v>
      </c>
      <c r="E27">
        <v>2.9300000667571999</v>
      </c>
      <c r="F27">
        <v>0</v>
      </c>
      <c r="G27">
        <v>0.50999999046325695</v>
      </c>
      <c r="H27">
        <v>0.270000010728836</v>
      </c>
      <c r="I27">
        <v>2.1500000953674299</v>
      </c>
      <c r="J27">
        <v>9.9999997764825804E-3</v>
      </c>
      <c r="K27">
        <v>7</v>
      </c>
      <c r="L27">
        <v>4</v>
      </c>
      <c r="M27">
        <v>144</v>
      </c>
      <c r="N27">
        <v>1285</v>
      </c>
      <c r="O27">
        <v>1498</v>
      </c>
    </row>
    <row r="28" spans="1:15" x14ac:dyDescent="0.3">
      <c r="A28">
        <v>1624580081</v>
      </c>
      <c r="B28" s="1">
        <v>42461</v>
      </c>
      <c r="C28">
        <v>9218</v>
      </c>
      <c r="D28">
        <v>5.9899997711181596</v>
      </c>
      <c r="E28">
        <v>5.9899997711181596</v>
      </c>
      <c r="F28">
        <v>0</v>
      </c>
      <c r="G28">
        <v>0</v>
      </c>
      <c r="H28">
        <v>0</v>
      </c>
      <c r="I28">
        <v>5.9699997901916504</v>
      </c>
      <c r="J28">
        <v>9.9999997764825804E-3</v>
      </c>
      <c r="K28">
        <v>0</v>
      </c>
      <c r="L28">
        <v>0</v>
      </c>
      <c r="M28">
        <v>221</v>
      </c>
      <c r="N28">
        <v>1219</v>
      </c>
      <c r="O28">
        <v>1541</v>
      </c>
    </row>
    <row r="29" spans="1:15" x14ac:dyDescent="0.3">
      <c r="A29">
        <v>1624580081</v>
      </c>
      <c r="B29" s="1">
        <v>42462</v>
      </c>
      <c r="C29">
        <v>1556</v>
      </c>
      <c r="D29">
        <v>1.0099999904632599</v>
      </c>
      <c r="E29">
        <v>1.0099999904632599</v>
      </c>
      <c r="F29">
        <v>0</v>
      </c>
      <c r="G29">
        <v>0</v>
      </c>
      <c r="H29">
        <v>0</v>
      </c>
      <c r="I29">
        <v>1.0099999904632599</v>
      </c>
      <c r="J29">
        <v>9.9999997764825804E-3</v>
      </c>
      <c r="K29">
        <v>0</v>
      </c>
      <c r="L29">
        <v>0</v>
      </c>
      <c r="M29">
        <v>88</v>
      </c>
      <c r="N29">
        <v>1352</v>
      </c>
      <c r="O29">
        <v>1327</v>
      </c>
    </row>
    <row r="30" spans="1:15" x14ac:dyDescent="0.3">
      <c r="A30">
        <v>1624580081</v>
      </c>
      <c r="B30" s="1">
        <v>42463</v>
      </c>
      <c r="C30">
        <v>2910</v>
      </c>
      <c r="D30">
        <v>1.8899999856948899</v>
      </c>
      <c r="E30">
        <v>1.8899999856948899</v>
      </c>
      <c r="F30">
        <v>0</v>
      </c>
      <c r="G30">
        <v>0</v>
      </c>
      <c r="H30">
        <v>0</v>
      </c>
      <c r="I30">
        <v>1.87999999523163</v>
      </c>
      <c r="J30">
        <v>9.9999997764825804E-3</v>
      </c>
      <c r="K30">
        <v>0</v>
      </c>
      <c r="L30">
        <v>0</v>
      </c>
      <c r="M30">
        <v>157</v>
      </c>
      <c r="N30">
        <v>1283</v>
      </c>
      <c r="O30">
        <v>1452</v>
      </c>
    </row>
    <row r="31" spans="1:15" x14ac:dyDescent="0.3">
      <c r="A31">
        <v>1624580081</v>
      </c>
      <c r="B31" s="1">
        <v>42464</v>
      </c>
      <c r="C31">
        <v>18464</v>
      </c>
      <c r="D31">
        <v>12</v>
      </c>
      <c r="E31">
        <v>12</v>
      </c>
      <c r="F31">
        <v>0</v>
      </c>
      <c r="G31">
        <v>0</v>
      </c>
      <c r="H31">
        <v>0</v>
      </c>
      <c r="I31">
        <v>12</v>
      </c>
      <c r="J31">
        <v>0</v>
      </c>
      <c r="K31">
        <v>0</v>
      </c>
      <c r="L31">
        <v>0</v>
      </c>
      <c r="M31">
        <v>270</v>
      </c>
      <c r="N31">
        <v>1170</v>
      </c>
      <c r="O31">
        <v>1574</v>
      </c>
    </row>
    <row r="32" spans="1:15" x14ac:dyDescent="0.3">
      <c r="A32">
        <v>1624580081</v>
      </c>
      <c r="B32" s="1">
        <v>42465</v>
      </c>
      <c r="C32">
        <v>1335</v>
      </c>
      <c r="D32">
        <v>0.87000000476837203</v>
      </c>
      <c r="E32">
        <v>0.87000000476837203</v>
      </c>
      <c r="F32">
        <v>0</v>
      </c>
      <c r="G32">
        <v>0</v>
      </c>
      <c r="H32">
        <v>0</v>
      </c>
      <c r="I32">
        <v>0.87000000476837203</v>
      </c>
      <c r="J32">
        <v>0</v>
      </c>
      <c r="K32">
        <v>0</v>
      </c>
      <c r="L32">
        <v>0</v>
      </c>
      <c r="M32">
        <v>74</v>
      </c>
      <c r="N32">
        <v>1366</v>
      </c>
      <c r="O32">
        <v>1308</v>
      </c>
    </row>
    <row r="33" spans="1:15" x14ac:dyDescent="0.3">
      <c r="A33">
        <v>1624580081</v>
      </c>
      <c r="B33" s="1">
        <v>42466</v>
      </c>
      <c r="C33">
        <v>1004</v>
      </c>
      <c r="D33">
        <v>0.64999997615814198</v>
      </c>
      <c r="E33">
        <v>0.64999997615814198</v>
      </c>
      <c r="F33">
        <v>0</v>
      </c>
      <c r="G33">
        <v>0</v>
      </c>
      <c r="H33">
        <v>0</v>
      </c>
      <c r="I33">
        <v>0.64999997615814198</v>
      </c>
      <c r="J33">
        <v>0</v>
      </c>
      <c r="K33">
        <v>0</v>
      </c>
      <c r="L33">
        <v>0</v>
      </c>
      <c r="M33">
        <v>55</v>
      </c>
      <c r="N33">
        <v>1385</v>
      </c>
      <c r="O33">
        <v>1276</v>
      </c>
    </row>
    <row r="34" spans="1:15" x14ac:dyDescent="0.3">
      <c r="A34">
        <v>1624580081</v>
      </c>
      <c r="B34" s="1">
        <v>42467</v>
      </c>
      <c r="C34">
        <v>1111</v>
      </c>
      <c r="D34">
        <v>0.72000002861022905</v>
      </c>
      <c r="E34">
        <v>0.72000002861022905</v>
      </c>
      <c r="F34">
        <v>0</v>
      </c>
      <c r="G34">
        <v>0</v>
      </c>
      <c r="H34">
        <v>0</v>
      </c>
      <c r="I34">
        <v>0.72000002861022905</v>
      </c>
      <c r="J34">
        <v>0</v>
      </c>
      <c r="K34">
        <v>0</v>
      </c>
      <c r="L34">
        <v>0</v>
      </c>
      <c r="M34">
        <v>54</v>
      </c>
      <c r="N34">
        <v>1386</v>
      </c>
      <c r="O34">
        <v>1278</v>
      </c>
    </row>
    <row r="35" spans="1:15" x14ac:dyDescent="0.3">
      <c r="A35">
        <v>1624580081</v>
      </c>
      <c r="B35" s="1">
        <v>42468</v>
      </c>
      <c r="C35">
        <v>6344</v>
      </c>
      <c r="D35">
        <v>4.1199998855590803</v>
      </c>
      <c r="E35">
        <v>4.1199998855590803</v>
      </c>
      <c r="F35">
        <v>0</v>
      </c>
      <c r="G35">
        <v>0</v>
      </c>
      <c r="H35">
        <v>0</v>
      </c>
      <c r="I35">
        <v>4.0999999046325701</v>
      </c>
      <c r="J35">
        <v>0</v>
      </c>
      <c r="K35">
        <v>0</v>
      </c>
      <c r="L35">
        <v>0</v>
      </c>
      <c r="M35">
        <v>143</v>
      </c>
      <c r="N35">
        <v>1297</v>
      </c>
      <c r="O35">
        <v>1409</v>
      </c>
    </row>
    <row r="36" spans="1:15" x14ac:dyDescent="0.3">
      <c r="A36">
        <v>1624580081</v>
      </c>
      <c r="B36" s="1">
        <v>42469</v>
      </c>
      <c r="C36">
        <v>3572</v>
      </c>
      <c r="D36">
        <v>2.3199999332428001</v>
      </c>
      <c r="E36">
        <v>2.3199999332428001</v>
      </c>
      <c r="F36">
        <v>0</v>
      </c>
      <c r="G36">
        <v>0</v>
      </c>
      <c r="H36">
        <v>0</v>
      </c>
      <c r="I36">
        <v>2.28999996185303</v>
      </c>
      <c r="J36">
        <v>2.9999999329447701E-2</v>
      </c>
      <c r="K36">
        <v>0</v>
      </c>
      <c r="L36">
        <v>0</v>
      </c>
      <c r="M36">
        <v>122</v>
      </c>
      <c r="N36">
        <v>1318</v>
      </c>
      <c r="O36">
        <v>1370</v>
      </c>
    </row>
    <row r="37" spans="1:15" x14ac:dyDescent="0.3">
      <c r="A37">
        <v>1624580081</v>
      </c>
      <c r="B37" s="1">
        <v>42470</v>
      </c>
      <c r="C37">
        <v>3910</v>
      </c>
      <c r="D37">
        <v>2.53999996185303</v>
      </c>
      <c r="E37">
        <v>2.53999996185303</v>
      </c>
      <c r="F37">
        <v>0</v>
      </c>
      <c r="G37">
        <v>0.46999999880790699</v>
      </c>
      <c r="H37">
        <v>0.25</v>
      </c>
      <c r="I37">
        <v>1.8099999427795399</v>
      </c>
      <c r="J37">
        <v>9.9999997764825804E-3</v>
      </c>
      <c r="K37">
        <v>7</v>
      </c>
      <c r="L37">
        <v>7</v>
      </c>
      <c r="M37">
        <v>186</v>
      </c>
      <c r="N37">
        <v>1240</v>
      </c>
      <c r="O37">
        <v>1555</v>
      </c>
    </row>
    <row r="38" spans="1:15" x14ac:dyDescent="0.3">
      <c r="A38">
        <v>1624580081</v>
      </c>
      <c r="B38" s="1">
        <v>42471</v>
      </c>
      <c r="C38">
        <v>10000</v>
      </c>
      <c r="D38">
        <v>6.5</v>
      </c>
      <c r="E38">
        <v>6.5</v>
      </c>
      <c r="F38">
        <v>0</v>
      </c>
      <c r="G38">
        <v>0</v>
      </c>
      <c r="H38">
        <v>0</v>
      </c>
      <c r="I38">
        <v>6.5</v>
      </c>
      <c r="J38">
        <v>0</v>
      </c>
      <c r="K38">
        <v>0</v>
      </c>
      <c r="L38">
        <v>0</v>
      </c>
      <c r="M38">
        <v>172</v>
      </c>
      <c r="N38">
        <v>1268</v>
      </c>
      <c r="O38">
        <v>1469</v>
      </c>
    </row>
    <row r="39" spans="1:15" x14ac:dyDescent="0.3">
      <c r="A39">
        <v>1624580081</v>
      </c>
      <c r="B39" s="1">
        <v>42472</v>
      </c>
      <c r="C39">
        <v>6627</v>
      </c>
      <c r="D39">
        <v>4.3099999427795401</v>
      </c>
      <c r="E39">
        <v>4.3099999427795401</v>
      </c>
      <c r="F39">
        <v>0</v>
      </c>
      <c r="G39">
        <v>0</v>
      </c>
      <c r="H39">
        <v>0</v>
      </c>
      <c r="I39">
        <v>4.3099999427795401</v>
      </c>
      <c r="J39">
        <v>0</v>
      </c>
      <c r="K39">
        <v>0</v>
      </c>
      <c r="L39">
        <v>0</v>
      </c>
      <c r="M39">
        <v>89</v>
      </c>
      <c r="N39">
        <v>604</v>
      </c>
      <c r="O39">
        <v>706</v>
      </c>
    </row>
    <row r="40" spans="1:15" x14ac:dyDescent="0.3">
      <c r="A40">
        <v>1644430081</v>
      </c>
      <c r="B40" s="1">
        <v>42461</v>
      </c>
      <c r="C40">
        <v>4636</v>
      </c>
      <c r="D40">
        <v>3.4100000858306898</v>
      </c>
      <c r="E40">
        <v>3.4100000858306898</v>
      </c>
      <c r="F40">
        <v>0</v>
      </c>
      <c r="G40">
        <v>0</v>
      </c>
      <c r="H40">
        <v>0.77999997138977095</v>
      </c>
      <c r="I40">
        <v>2.5999999046325701</v>
      </c>
      <c r="J40">
        <v>2.9999999329447701E-2</v>
      </c>
      <c r="K40">
        <v>0</v>
      </c>
      <c r="L40">
        <v>16</v>
      </c>
      <c r="M40">
        <v>586</v>
      </c>
      <c r="N40">
        <v>838</v>
      </c>
      <c r="O40">
        <v>3323</v>
      </c>
    </row>
    <row r="41" spans="1:15" x14ac:dyDescent="0.3">
      <c r="A41">
        <v>1644430081</v>
      </c>
      <c r="B41" s="1">
        <v>42462</v>
      </c>
      <c r="C41">
        <v>20237</v>
      </c>
      <c r="D41">
        <v>14.710000038146999</v>
      </c>
      <c r="E41">
        <v>14.710000038146999</v>
      </c>
      <c r="F41">
        <v>0</v>
      </c>
      <c r="G41">
        <v>2.5699999332428001</v>
      </c>
      <c r="H41">
        <v>6.4000000953674299</v>
      </c>
      <c r="I41">
        <v>5.7300000190734899</v>
      </c>
      <c r="J41">
        <v>9.9999997764825804E-3</v>
      </c>
      <c r="K41">
        <v>34</v>
      </c>
      <c r="L41">
        <v>141</v>
      </c>
      <c r="M41">
        <v>347</v>
      </c>
      <c r="N41">
        <v>918</v>
      </c>
      <c r="O41">
        <v>4029</v>
      </c>
    </row>
    <row r="42" spans="1:15" x14ac:dyDescent="0.3">
      <c r="A42">
        <v>1644430081</v>
      </c>
      <c r="B42" s="1">
        <v>42463</v>
      </c>
      <c r="C42">
        <v>12912</v>
      </c>
      <c r="D42">
        <v>9.4099998474121094</v>
      </c>
      <c r="E42">
        <v>9.4099998474121094</v>
      </c>
      <c r="F42">
        <v>0</v>
      </c>
      <c r="G42">
        <v>4.8299999237060502</v>
      </c>
      <c r="H42">
        <v>0.769999980926514</v>
      </c>
      <c r="I42">
        <v>3.78999996185303</v>
      </c>
      <c r="J42">
        <v>2.9999999329447701E-2</v>
      </c>
      <c r="K42">
        <v>59</v>
      </c>
      <c r="L42">
        <v>16</v>
      </c>
      <c r="M42">
        <v>283</v>
      </c>
      <c r="N42">
        <v>1082</v>
      </c>
      <c r="O42">
        <v>3436</v>
      </c>
    </row>
    <row r="43" spans="1:15" x14ac:dyDescent="0.3">
      <c r="A43">
        <v>1644430081</v>
      </c>
      <c r="B43" s="1">
        <v>42464</v>
      </c>
      <c r="C43">
        <v>2819</v>
      </c>
      <c r="D43">
        <v>2.0499999523162802</v>
      </c>
      <c r="E43">
        <v>2.0499999523162802</v>
      </c>
      <c r="F43">
        <v>0</v>
      </c>
      <c r="G43">
        <v>0.31000000238418601</v>
      </c>
      <c r="H43">
        <v>0.17000000178813901</v>
      </c>
      <c r="I43">
        <v>1.5599999427795399</v>
      </c>
      <c r="J43">
        <v>9.9999997764825804E-3</v>
      </c>
      <c r="K43">
        <v>4</v>
      </c>
      <c r="L43">
        <v>4</v>
      </c>
      <c r="M43">
        <v>87</v>
      </c>
      <c r="N43">
        <v>1345</v>
      </c>
      <c r="O43">
        <v>2444</v>
      </c>
    </row>
    <row r="44" spans="1:15" x14ac:dyDescent="0.3">
      <c r="A44">
        <v>1644430081</v>
      </c>
      <c r="B44" s="1">
        <v>42465</v>
      </c>
      <c r="C44">
        <v>9921</v>
      </c>
      <c r="D44">
        <v>7.21000003814697</v>
      </c>
      <c r="E44">
        <v>7.21000003814697</v>
      </c>
      <c r="F44">
        <v>0</v>
      </c>
      <c r="G44">
        <v>0.34000000357627902</v>
      </c>
      <c r="H44">
        <v>1.5199999809265099</v>
      </c>
      <c r="I44">
        <v>5.3600001335143999</v>
      </c>
      <c r="J44">
        <v>0</v>
      </c>
      <c r="K44">
        <v>5</v>
      </c>
      <c r="L44">
        <v>35</v>
      </c>
      <c r="M44">
        <v>219</v>
      </c>
      <c r="N44">
        <v>1181</v>
      </c>
      <c r="O44">
        <v>3098</v>
      </c>
    </row>
    <row r="45" spans="1:15" x14ac:dyDescent="0.3">
      <c r="A45">
        <v>1644430081</v>
      </c>
      <c r="B45" s="1">
        <v>42466</v>
      </c>
      <c r="C45">
        <v>8046</v>
      </c>
      <c r="D45">
        <v>5.8499999046325701</v>
      </c>
      <c r="E45">
        <v>5.8499999046325701</v>
      </c>
      <c r="F45">
        <v>0</v>
      </c>
      <c r="G45">
        <v>1.28999996185303</v>
      </c>
      <c r="H45">
        <v>2.1199998855590798</v>
      </c>
      <c r="I45">
        <v>2.4500000476837198</v>
      </c>
      <c r="J45">
        <v>0</v>
      </c>
      <c r="K45">
        <v>18</v>
      </c>
      <c r="L45">
        <v>41</v>
      </c>
      <c r="M45">
        <v>137</v>
      </c>
      <c r="N45">
        <v>1244</v>
      </c>
      <c r="O45">
        <v>2925</v>
      </c>
    </row>
    <row r="46" spans="1:15" x14ac:dyDescent="0.3">
      <c r="A46">
        <v>1644430081</v>
      </c>
      <c r="B46" s="1">
        <v>42467</v>
      </c>
      <c r="C46">
        <v>11166</v>
      </c>
      <c r="D46">
        <v>8.1199998855590803</v>
      </c>
      <c r="E46">
        <v>8.1199998855590803</v>
      </c>
      <c r="F46">
        <v>0</v>
      </c>
      <c r="G46">
        <v>0.20999999344348899</v>
      </c>
      <c r="H46">
        <v>2.4100000858306898</v>
      </c>
      <c r="I46">
        <v>5.5</v>
      </c>
      <c r="J46">
        <v>0</v>
      </c>
      <c r="K46">
        <v>3</v>
      </c>
      <c r="L46">
        <v>58</v>
      </c>
      <c r="M46">
        <v>230</v>
      </c>
      <c r="N46">
        <v>1149</v>
      </c>
      <c r="O46">
        <v>3202</v>
      </c>
    </row>
    <row r="47" spans="1:15" x14ac:dyDescent="0.3">
      <c r="A47">
        <v>1644430081</v>
      </c>
      <c r="B47" s="1">
        <v>42468</v>
      </c>
      <c r="C47">
        <v>7842</v>
      </c>
      <c r="D47">
        <v>5.6999998092651403</v>
      </c>
      <c r="E47">
        <v>5.6999998092651403</v>
      </c>
      <c r="F47">
        <v>0</v>
      </c>
      <c r="G47">
        <v>0.479999989271164</v>
      </c>
      <c r="H47">
        <v>2.4100000858306898</v>
      </c>
      <c r="I47">
        <v>2.8099999427795401</v>
      </c>
      <c r="J47">
        <v>0</v>
      </c>
      <c r="K47">
        <v>7</v>
      </c>
      <c r="L47">
        <v>43</v>
      </c>
      <c r="M47">
        <v>161</v>
      </c>
      <c r="N47">
        <v>1229</v>
      </c>
      <c r="O47">
        <v>2928</v>
      </c>
    </row>
    <row r="48" spans="1:15" x14ac:dyDescent="0.3">
      <c r="A48">
        <v>1644430081</v>
      </c>
      <c r="B48" s="1">
        <v>42469</v>
      </c>
      <c r="C48">
        <v>13840</v>
      </c>
      <c r="D48">
        <v>10.060000419616699</v>
      </c>
      <c r="E48">
        <v>10.060000419616699</v>
      </c>
      <c r="F48">
        <v>0</v>
      </c>
      <c r="G48">
        <v>1.3099999427795399</v>
      </c>
      <c r="H48">
        <v>3.7200000286102299</v>
      </c>
      <c r="I48">
        <v>5.0300002098083496</v>
      </c>
      <c r="J48">
        <v>0</v>
      </c>
      <c r="K48">
        <v>18</v>
      </c>
      <c r="L48">
        <v>81</v>
      </c>
      <c r="M48">
        <v>192</v>
      </c>
      <c r="N48">
        <v>1149</v>
      </c>
      <c r="O48">
        <v>3290</v>
      </c>
    </row>
    <row r="49" spans="1:15" x14ac:dyDescent="0.3">
      <c r="A49">
        <v>1644430081</v>
      </c>
      <c r="B49" s="1">
        <v>42470</v>
      </c>
      <c r="C49">
        <v>1329</v>
      </c>
      <c r="D49">
        <v>0.97000002861022905</v>
      </c>
      <c r="E49">
        <v>0.97000002861022905</v>
      </c>
      <c r="F49">
        <v>0</v>
      </c>
      <c r="G49">
        <v>0</v>
      </c>
      <c r="H49">
        <v>0</v>
      </c>
      <c r="I49">
        <v>0.97000002861022905</v>
      </c>
      <c r="J49">
        <v>0</v>
      </c>
      <c r="K49">
        <v>0</v>
      </c>
      <c r="L49">
        <v>0</v>
      </c>
      <c r="M49">
        <v>35</v>
      </c>
      <c r="N49">
        <v>207</v>
      </c>
      <c r="O49">
        <v>489</v>
      </c>
    </row>
    <row r="50" spans="1:15" x14ac:dyDescent="0.3">
      <c r="A50">
        <v>1844505072</v>
      </c>
      <c r="B50" s="1">
        <v>42461</v>
      </c>
      <c r="C50">
        <v>6847</v>
      </c>
      <c r="D50">
        <v>4.5300002098083496</v>
      </c>
      <c r="E50">
        <v>4.5300002098083496</v>
      </c>
      <c r="F50">
        <v>0</v>
      </c>
      <c r="G50">
        <v>0.61000001430511497</v>
      </c>
      <c r="H50">
        <v>0.37000000476837203</v>
      </c>
      <c r="I50">
        <v>3.5499999523162802</v>
      </c>
      <c r="J50">
        <v>0</v>
      </c>
      <c r="K50">
        <v>9</v>
      </c>
      <c r="L50">
        <v>9</v>
      </c>
      <c r="M50">
        <v>251</v>
      </c>
      <c r="N50">
        <v>1171</v>
      </c>
      <c r="O50">
        <v>1969</v>
      </c>
    </row>
    <row r="51" spans="1:15" x14ac:dyDescent="0.3">
      <c r="A51">
        <v>1844505072</v>
      </c>
      <c r="B51" s="1">
        <v>42462</v>
      </c>
      <c r="C51">
        <v>5367</v>
      </c>
      <c r="D51">
        <v>3.5499999523162802</v>
      </c>
      <c r="E51">
        <v>3.5499999523162802</v>
      </c>
      <c r="F51">
        <v>0</v>
      </c>
      <c r="G51">
        <v>0</v>
      </c>
      <c r="H51">
        <v>0</v>
      </c>
      <c r="I51">
        <v>3.5499999523162802</v>
      </c>
      <c r="J51">
        <v>0</v>
      </c>
      <c r="K51">
        <v>0</v>
      </c>
      <c r="L51">
        <v>0</v>
      </c>
      <c r="M51">
        <v>263</v>
      </c>
      <c r="N51">
        <v>1177</v>
      </c>
      <c r="O51">
        <v>1889</v>
      </c>
    </row>
    <row r="52" spans="1:15" x14ac:dyDescent="0.3">
      <c r="A52">
        <v>1844505072</v>
      </c>
      <c r="B52" s="1">
        <v>42463</v>
      </c>
      <c r="C52">
        <v>2841</v>
      </c>
      <c r="D52">
        <v>1.87999999523163</v>
      </c>
      <c r="E52">
        <v>1.87999999523163</v>
      </c>
      <c r="F52">
        <v>0</v>
      </c>
      <c r="G52">
        <v>0</v>
      </c>
      <c r="H52">
        <v>0</v>
      </c>
      <c r="I52">
        <v>1.87999999523163</v>
      </c>
      <c r="J52">
        <v>0</v>
      </c>
      <c r="K52">
        <v>0</v>
      </c>
      <c r="L52">
        <v>0</v>
      </c>
      <c r="M52">
        <v>136</v>
      </c>
      <c r="N52">
        <v>1114</v>
      </c>
      <c r="O52">
        <v>1636</v>
      </c>
    </row>
    <row r="53" spans="1:15" x14ac:dyDescent="0.3">
      <c r="A53">
        <v>1844505072</v>
      </c>
      <c r="B53" s="1">
        <v>42464</v>
      </c>
      <c r="C53">
        <v>0</v>
      </c>
      <c r="D53">
        <v>0</v>
      </c>
      <c r="E53">
        <v>0</v>
      </c>
      <c r="F53">
        <v>0</v>
      </c>
      <c r="G53">
        <v>0</v>
      </c>
      <c r="H53">
        <v>0</v>
      </c>
      <c r="I53">
        <v>0</v>
      </c>
      <c r="J53">
        <v>0</v>
      </c>
      <c r="K53">
        <v>0</v>
      </c>
      <c r="L53">
        <v>0</v>
      </c>
      <c r="M53">
        <v>0</v>
      </c>
      <c r="N53">
        <v>669</v>
      </c>
      <c r="O53">
        <v>1347</v>
      </c>
    </row>
    <row r="54" spans="1:15" x14ac:dyDescent="0.3">
      <c r="A54">
        <v>1844505072</v>
      </c>
      <c r="B54" s="1">
        <v>42465</v>
      </c>
      <c r="C54">
        <v>0</v>
      </c>
      <c r="D54">
        <v>0</v>
      </c>
      <c r="E54">
        <v>0</v>
      </c>
      <c r="F54">
        <v>0</v>
      </c>
      <c r="G54">
        <v>0</v>
      </c>
      <c r="H54">
        <v>0</v>
      </c>
      <c r="I54">
        <v>0</v>
      </c>
      <c r="J54">
        <v>0</v>
      </c>
      <c r="K54">
        <v>0</v>
      </c>
      <c r="L54">
        <v>0</v>
      </c>
      <c r="M54">
        <v>0</v>
      </c>
      <c r="N54">
        <v>1440</v>
      </c>
      <c r="O54">
        <v>1347</v>
      </c>
    </row>
    <row r="55" spans="1:15" x14ac:dyDescent="0.3">
      <c r="A55">
        <v>1844505072</v>
      </c>
      <c r="B55" s="1">
        <v>42466</v>
      </c>
      <c r="C55">
        <v>7</v>
      </c>
      <c r="D55">
        <v>0</v>
      </c>
      <c r="E55">
        <v>0</v>
      </c>
      <c r="F55">
        <v>0</v>
      </c>
      <c r="G55">
        <v>0</v>
      </c>
      <c r="H55">
        <v>0</v>
      </c>
      <c r="I55">
        <v>0</v>
      </c>
      <c r="J55">
        <v>0</v>
      </c>
      <c r="K55">
        <v>0</v>
      </c>
      <c r="L55">
        <v>0</v>
      </c>
      <c r="M55">
        <v>1</v>
      </c>
      <c r="N55">
        <v>1439</v>
      </c>
      <c r="O55">
        <v>1349</v>
      </c>
    </row>
    <row r="56" spans="1:15" x14ac:dyDescent="0.3">
      <c r="A56">
        <v>1844505072</v>
      </c>
      <c r="B56" s="1">
        <v>42467</v>
      </c>
      <c r="C56">
        <v>6344</v>
      </c>
      <c r="D56">
        <v>4.1900000572204599</v>
      </c>
      <c r="E56">
        <v>4.1900000572204599</v>
      </c>
      <c r="F56">
        <v>0</v>
      </c>
      <c r="G56">
        <v>0</v>
      </c>
      <c r="H56">
        <v>0</v>
      </c>
      <c r="I56">
        <v>4.1900000572204599</v>
      </c>
      <c r="J56">
        <v>0</v>
      </c>
      <c r="K56">
        <v>0</v>
      </c>
      <c r="L56">
        <v>0</v>
      </c>
      <c r="M56">
        <v>290</v>
      </c>
      <c r="N56">
        <v>1150</v>
      </c>
      <c r="O56">
        <v>1965</v>
      </c>
    </row>
    <row r="57" spans="1:15" x14ac:dyDescent="0.3">
      <c r="A57">
        <v>1844505072</v>
      </c>
      <c r="B57" s="1">
        <v>42468</v>
      </c>
      <c r="C57">
        <v>5316</v>
      </c>
      <c r="D57">
        <v>3.5099999904632599</v>
      </c>
      <c r="E57">
        <v>3.5099999904632599</v>
      </c>
      <c r="F57">
        <v>0</v>
      </c>
      <c r="G57">
        <v>0</v>
      </c>
      <c r="H57">
        <v>0</v>
      </c>
      <c r="I57">
        <v>3.5099999904632599</v>
      </c>
      <c r="J57">
        <v>0</v>
      </c>
      <c r="K57">
        <v>0</v>
      </c>
      <c r="L57">
        <v>0</v>
      </c>
      <c r="M57">
        <v>221</v>
      </c>
      <c r="N57">
        <v>1219</v>
      </c>
      <c r="O57">
        <v>1824</v>
      </c>
    </row>
    <row r="58" spans="1:15" x14ac:dyDescent="0.3">
      <c r="A58">
        <v>1844505072</v>
      </c>
      <c r="B58" s="1">
        <v>42469</v>
      </c>
      <c r="C58">
        <v>4979</v>
      </c>
      <c r="D58">
        <v>3.28999996185303</v>
      </c>
      <c r="E58">
        <v>3.28999996185303</v>
      </c>
      <c r="F58">
        <v>0</v>
      </c>
      <c r="G58">
        <v>0</v>
      </c>
      <c r="H58">
        <v>0</v>
      </c>
      <c r="I58">
        <v>3.28999996185303</v>
      </c>
      <c r="J58">
        <v>0</v>
      </c>
      <c r="K58">
        <v>0</v>
      </c>
      <c r="L58">
        <v>0</v>
      </c>
      <c r="M58">
        <v>184</v>
      </c>
      <c r="N58">
        <v>620</v>
      </c>
      <c r="O58">
        <v>1807</v>
      </c>
    </row>
    <row r="59" spans="1:15" x14ac:dyDescent="0.3">
      <c r="A59">
        <v>1844505072</v>
      </c>
      <c r="B59" s="1">
        <v>42470</v>
      </c>
      <c r="C59">
        <v>6556</v>
      </c>
      <c r="D59">
        <v>4.3400001525878897</v>
      </c>
      <c r="E59">
        <v>4.3400001525878897</v>
      </c>
      <c r="F59">
        <v>0</v>
      </c>
      <c r="G59">
        <v>0</v>
      </c>
      <c r="H59">
        <v>0</v>
      </c>
      <c r="I59">
        <v>4.3299999237060502</v>
      </c>
      <c r="J59">
        <v>0</v>
      </c>
      <c r="K59">
        <v>0</v>
      </c>
      <c r="L59">
        <v>0</v>
      </c>
      <c r="M59">
        <v>305</v>
      </c>
      <c r="N59">
        <v>810</v>
      </c>
      <c r="O59">
        <v>1971</v>
      </c>
    </row>
    <row r="60" spans="1:15" x14ac:dyDescent="0.3">
      <c r="A60">
        <v>1844505072</v>
      </c>
      <c r="B60" s="1">
        <v>42471</v>
      </c>
      <c r="C60">
        <v>5430</v>
      </c>
      <c r="D60">
        <v>3.5899999141693102</v>
      </c>
      <c r="E60">
        <v>3.5899999141693102</v>
      </c>
      <c r="F60">
        <v>0</v>
      </c>
      <c r="G60">
        <v>0</v>
      </c>
      <c r="H60">
        <v>0</v>
      </c>
      <c r="I60">
        <v>3.5899999141693102</v>
      </c>
      <c r="J60">
        <v>0</v>
      </c>
      <c r="K60">
        <v>0</v>
      </c>
      <c r="L60">
        <v>0</v>
      </c>
      <c r="M60">
        <v>251</v>
      </c>
      <c r="N60">
        <v>1189</v>
      </c>
      <c r="O60">
        <v>1888</v>
      </c>
    </row>
    <row r="61" spans="1:15" x14ac:dyDescent="0.3">
      <c r="A61">
        <v>1844505072</v>
      </c>
      <c r="B61" s="1">
        <v>42472</v>
      </c>
      <c r="C61">
        <v>0</v>
      </c>
      <c r="D61">
        <v>0</v>
      </c>
      <c r="E61">
        <v>0</v>
      </c>
      <c r="F61">
        <v>0</v>
      </c>
      <c r="G61">
        <v>0</v>
      </c>
      <c r="H61">
        <v>0</v>
      </c>
      <c r="I61">
        <v>0</v>
      </c>
      <c r="J61">
        <v>0</v>
      </c>
      <c r="K61">
        <v>0</v>
      </c>
      <c r="L61">
        <v>0</v>
      </c>
      <c r="M61">
        <v>0</v>
      </c>
      <c r="N61">
        <v>426</v>
      </c>
      <c r="O61">
        <v>399</v>
      </c>
    </row>
    <row r="62" spans="1:15" x14ac:dyDescent="0.3">
      <c r="A62">
        <v>1927972279</v>
      </c>
      <c r="B62" s="1">
        <v>42461</v>
      </c>
      <c r="C62">
        <v>4317</v>
      </c>
      <c r="D62">
        <v>2.9900000095367401</v>
      </c>
      <c r="E62">
        <v>2.9900000095367401</v>
      </c>
      <c r="F62">
        <v>0</v>
      </c>
      <c r="G62">
        <v>0</v>
      </c>
      <c r="H62">
        <v>0.37000000476837203</v>
      </c>
      <c r="I62">
        <v>2.6199998855590798</v>
      </c>
      <c r="J62">
        <v>0</v>
      </c>
      <c r="K62">
        <v>0</v>
      </c>
      <c r="L62">
        <v>11</v>
      </c>
      <c r="M62">
        <v>192</v>
      </c>
      <c r="N62">
        <v>854</v>
      </c>
      <c r="O62">
        <v>2590</v>
      </c>
    </row>
    <row r="63" spans="1:15" x14ac:dyDescent="0.3">
      <c r="A63">
        <v>1927972279</v>
      </c>
      <c r="B63" s="1">
        <v>42462</v>
      </c>
      <c r="C63">
        <v>5662</v>
      </c>
      <c r="D63">
        <v>3.9200000762939502</v>
      </c>
      <c r="E63">
        <v>3.9200000762939502</v>
      </c>
      <c r="F63">
        <v>0</v>
      </c>
      <c r="G63">
        <v>0</v>
      </c>
      <c r="H63">
        <v>0</v>
      </c>
      <c r="I63">
        <v>3.9200000762939502</v>
      </c>
      <c r="J63">
        <v>0</v>
      </c>
      <c r="K63">
        <v>0</v>
      </c>
      <c r="L63">
        <v>0</v>
      </c>
      <c r="M63">
        <v>267</v>
      </c>
      <c r="N63">
        <v>858</v>
      </c>
      <c r="O63">
        <v>2783</v>
      </c>
    </row>
    <row r="64" spans="1:15" x14ac:dyDescent="0.3">
      <c r="A64">
        <v>1927972279</v>
      </c>
      <c r="B64" s="1">
        <v>42463</v>
      </c>
      <c r="C64">
        <v>3198</v>
      </c>
      <c r="D64">
        <v>2.21000003814697</v>
      </c>
      <c r="E64">
        <v>2.21000003814697</v>
      </c>
      <c r="F64">
        <v>0</v>
      </c>
      <c r="G64">
        <v>0</v>
      </c>
      <c r="H64">
        <v>0</v>
      </c>
      <c r="I64">
        <v>2.21000003814697</v>
      </c>
      <c r="J64">
        <v>0</v>
      </c>
      <c r="K64">
        <v>0</v>
      </c>
      <c r="L64">
        <v>0</v>
      </c>
      <c r="M64">
        <v>146</v>
      </c>
      <c r="N64">
        <v>1183</v>
      </c>
      <c r="O64">
        <v>2449</v>
      </c>
    </row>
    <row r="65" spans="1:15" x14ac:dyDescent="0.3">
      <c r="A65">
        <v>1927972279</v>
      </c>
      <c r="B65" s="1">
        <v>42464</v>
      </c>
      <c r="C65">
        <v>2352</v>
      </c>
      <c r="D65">
        <v>1.62999999523163</v>
      </c>
      <c r="E65">
        <v>1.62999999523163</v>
      </c>
      <c r="F65">
        <v>0</v>
      </c>
      <c r="G65">
        <v>0</v>
      </c>
      <c r="H65">
        <v>0</v>
      </c>
      <c r="I65">
        <v>1.62999999523163</v>
      </c>
      <c r="J65">
        <v>0</v>
      </c>
      <c r="K65">
        <v>0</v>
      </c>
      <c r="L65">
        <v>0</v>
      </c>
      <c r="M65">
        <v>128</v>
      </c>
      <c r="N65">
        <v>829</v>
      </c>
      <c r="O65">
        <v>2380</v>
      </c>
    </row>
    <row r="66" spans="1:15" x14ac:dyDescent="0.3">
      <c r="A66">
        <v>1927972279</v>
      </c>
      <c r="B66" s="1">
        <v>42465</v>
      </c>
      <c r="C66">
        <v>2234</v>
      </c>
      <c r="D66">
        <v>1.54999995231628</v>
      </c>
      <c r="E66">
        <v>1.54999995231628</v>
      </c>
      <c r="F66">
        <v>0</v>
      </c>
      <c r="G66">
        <v>0</v>
      </c>
      <c r="H66">
        <v>0</v>
      </c>
      <c r="I66">
        <v>1.54999995231628</v>
      </c>
      <c r="J66">
        <v>0</v>
      </c>
      <c r="K66">
        <v>0</v>
      </c>
      <c r="L66">
        <v>0</v>
      </c>
      <c r="M66">
        <v>108</v>
      </c>
      <c r="N66">
        <v>912</v>
      </c>
      <c r="O66">
        <v>2344</v>
      </c>
    </row>
    <row r="67" spans="1:15" x14ac:dyDescent="0.3">
      <c r="A67">
        <v>1927972279</v>
      </c>
      <c r="B67" s="1">
        <v>42466</v>
      </c>
      <c r="C67">
        <v>1259</v>
      </c>
      <c r="D67">
        <v>0.87000000476837203</v>
      </c>
      <c r="E67">
        <v>0.87000000476837203</v>
      </c>
      <c r="F67">
        <v>0</v>
      </c>
      <c r="G67">
        <v>0</v>
      </c>
      <c r="H67">
        <v>0</v>
      </c>
      <c r="I67">
        <v>0.87000000476837203</v>
      </c>
      <c r="J67">
        <v>0</v>
      </c>
      <c r="K67">
        <v>0</v>
      </c>
      <c r="L67">
        <v>0</v>
      </c>
      <c r="M67">
        <v>73</v>
      </c>
      <c r="N67">
        <v>938</v>
      </c>
      <c r="O67">
        <v>2202</v>
      </c>
    </row>
    <row r="68" spans="1:15" x14ac:dyDescent="0.3">
      <c r="A68">
        <v>1927972279</v>
      </c>
      <c r="B68" s="1">
        <v>42467</v>
      </c>
      <c r="C68">
        <v>768</v>
      </c>
      <c r="D68">
        <v>0.52999997138977095</v>
      </c>
      <c r="E68">
        <v>0.52999997138977095</v>
      </c>
      <c r="F68">
        <v>0</v>
      </c>
      <c r="G68">
        <v>0</v>
      </c>
      <c r="H68">
        <v>0</v>
      </c>
      <c r="I68">
        <v>0.52999997138977095</v>
      </c>
      <c r="J68">
        <v>0</v>
      </c>
      <c r="K68">
        <v>0</v>
      </c>
      <c r="L68">
        <v>0</v>
      </c>
      <c r="M68">
        <v>43</v>
      </c>
      <c r="N68">
        <v>1397</v>
      </c>
      <c r="O68">
        <v>2130</v>
      </c>
    </row>
    <row r="69" spans="1:15" x14ac:dyDescent="0.3">
      <c r="A69">
        <v>1927972279</v>
      </c>
      <c r="B69" s="1">
        <v>42468</v>
      </c>
      <c r="C69">
        <v>519</v>
      </c>
      <c r="D69">
        <v>0.36000001430511502</v>
      </c>
      <c r="E69">
        <v>0.36000001430511502</v>
      </c>
      <c r="F69">
        <v>0</v>
      </c>
      <c r="G69">
        <v>0</v>
      </c>
      <c r="H69">
        <v>0</v>
      </c>
      <c r="I69">
        <v>0.36000001430511502</v>
      </c>
      <c r="J69">
        <v>0</v>
      </c>
      <c r="K69">
        <v>0</v>
      </c>
      <c r="L69">
        <v>0</v>
      </c>
      <c r="M69">
        <v>34</v>
      </c>
      <c r="N69">
        <v>1406</v>
      </c>
      <c r="O69">
        <v>2088</v>
      </c>
    </row>
    <row r="70" spans="1:15" x14ac:dyDescent="0.3">
      <c r="A70">
        <v>1927972279</v>
      </c>
      <c r="B70" s="1">
        <v>42469</v>
      </c>
      <c r="C70">
        <v>2523</v>
      </c>
      <c r="D70">
        <v>1.75</v>
      </c>
      <c r="E70">
        <v>1.75</v>
      </c>
      <c r="F70">
        <v>0</v>
      </c>
      <c r="G70">
        <v>0</v>
      </c>
      <c r="H70">
        <v>0.37000000476837203</v>
      </c>
      <c r="I70">
        <v>1.37999999523163</v>
      </c>
      <c r="J70">
        <v>0</v>
      </c>
      <c r="K70">
        <v>0</v>
      </c>
      <c r="L70">
        <v>9</v>
      </c>
      <c r="M70">
        <v>134</v>
      </c>
      <c r="N70">
        <v>1250</v>
      </c>
      <c r="O70">
        <v>2443</v>
      </c>
    </row>
    <row r="71" spans="1:15" x14ac:dyDescent="0.3">
      <c r="A71">
        <v>1927972279</v>
      </c>
      <c r="B71" s="1">
        <v>42470</v>
      </c>
      <c r="C71">
        <v>2105</v>
      </c>
      <c r="D71">
        <v>1.46000003814697</v>
      </c>
      <c r="E71">
        <v>1.46000003814697</v>
      </c>
      <c r="F71">
        <v>0</v>
      </c>
      <c r="G71">
        <v>0</v>
      </c>
      <c r="H71">
        <v>0</v>
      </c>
      <c r="I71">
        <v>1.46000003814697</v>
      </c>
      <c r="J71">
        <v>0</v>
      </c>
      <c r="K71">
        <v>0</v>
      </c>
      <c r="L71">
        <v>0</v>
      </c>
      <c r="M71">
        <v>139</v>
      </c>
      <c r="N71">
        <v>805</v>
      </c>
      <c r="O71">
        <v>2442</v>
      </c>
    </row>
    <row r="72" spans="1:15" x14ac:dyDescent="0.3">
      <c r="A72">
        <v>1927972279</v>
      </c>
      <c r="B72" s="1">
        <v>42471</v>
      </c>
      <c r="C72">
        <v>1209</v>
      </c>
      <c r="D72">
        <v>0.83999997377395597</v>
      </c>
      <c r="E72">
        <v>0.83999997377395597</v>
      </c>
      <c r="F72">
        <v>0</v>
      </c>
      <c r="G72">
        <v>0</v>
      </c>
      <c r="H72">
        <v>0</v>
      </c>
      <c r="I72">
        <v>0.83999997377395597</v>
      </c>
      <c r="J72">
        <v>0</v>
      </c>
      <c r="K72">
        <v>0</v>
      </c>
      <c r="L72">
        <v>0</v>
      </c>
      <c r="M72">
        <v>73</v>
      </c>
      <c r="N72">
        <v>842</v>
      </c>
      <c r="O72">
        <v>2255</v>
      </c>
    </row>
    <row r="73" spans="1:15" x14ac:dyDescent="0.3">
      <c r="A73">
        <v>1927972279</v>
      </c>
      <c r="B73" s="1">
        <v>42472</v>
      </c>
      <c r="C73">
        <v>24</v>
      </c>
      <c r="D73">
        <v>1.9999999552965199E-2</v>
      </c>
      <c r="E73">
        <v>1.9999999552965199E-2</v>
      </c>
      <c r="F73">
        <v>0</v>
      </c>
      <c r="G73">
        <v>0</v>
      </c>
      <c r="H73">
        <v>0</v>
      </c>
      <c r="I73">
        <v>1.9999999552965199E-2</v>
      </c>
      <c r="J73">
        <v>0</v>
      </c>
      <c r="K73">
        <v>0</v>
      </c>
      <c r="L73">
        <v>0</v>
      </c>
      <c r="M73">
        <v>3</v>
      </c>
      <c r="N73">
        <v>161</v>
      </c>
      <c r="O73">
        <v>942</v>
      </c>
    </row>
    <row r="74" spans="1:15" x14ac:dyDescent="0.3">
      <c r="A74">
        <v>2022484408</v>
      </c>
      <c r="B74" s="1">
        <v>42461</v>
      </c>
      <c r="C74">
        <v>13603</v>
      </c>
      <c r="D74">
        <v>9.6000003814697301</v>
      </c>
      <c r="E74">
        <v>9.6000003814697301</v>
      </c>
      <c r="F74">
        <v>0</v>
      </c>
      <c r="G74">
        <v>5.46000003814697</v>
      </c>
      <c r="H74">
        <v>0.62999999523162797</v>
      </c>
      <c r="I74">
        <v>3.5099999904632599</v>
      </c>
      <c r="J74">
        <v>0</v>
      </c>
      <c r="K74">
        <v>72</v>
      </c>
      <c r="L74">
        <v>16</v>
      </c>
      <c r="M74">
        <v>213</v>
      </c>
      <c r="N74">
        <v>1139</v>
      </c>
      <c r="O74">
        <v>2645</v>
      </c>
    </row>
    <row r="75" spans="1:15" x14ac:dyDescent="0.3">
      <c r="A75">
        <v>2022484408</v>
      </c>
      <c r="B75" s="1">
        <v>42462</v>
      </c>
      <c r="C75">
        <v>5477</v>
      </c>
      <c r="D75">
        <v>3.8399999141693102</v>
      </c>
      <c r="E75">
        <v>3.8399999141693102</v>
      </c>
      <c r="F75">
        <v>0</v>
      </c>
      <c r="G75">
        <v>0</v>
      </c>
      <c r="H75">
        <v>0</v>
      </c>
      <c r="I75">
        <v>3.8399999141693102</v>
      </c>
      <c r="J75">
        <v>0</v>
      </c>
      <c r="K75">
        <v>0</v>
      </c>
      <c r="L75">
        <v>0</v>
      </c>
      <c r="M75">
        <v>237</v>
      </c>
      <c r="N75">
        <v>1203</v>
      </c>
      <c r="O75">
        <v>2040</v>
      </c>
    </row>
    <row r="76" spans="1:15" x14ac:dyDescent="0.3">
      <c r="A76">
        <v>2022484408</v>
      </c>
      <c r="B76" s="1">
        <v>42463</v>
      </c>
      <c r="C76">
        <v>11144</v>
      </c>
      <c r="D76">
        <v>7.8200001716613796</v>
      </c>
      <c r="E76">
        <v>7.8200001716613796</v>
      </c>
      <c r="F76">
        <v>0</v>
      </c>
      <c r="G76">
        <v>1.78999996185303</v>
      </c>
      <c r="H76">
        <v>0.88999998569488503</v>
      </c>
      <c r="I76">
        <v>5.1399998664856001</v>
      </c>
      <c r="J76">
        <v>0</v>
      </c>
      <c r="K76">
        <v>25</v>
      </c>
      <c r="L76">
        <v>22</v>
      </c>
      <c r="M76">
        <v>279</v>
      </c>
      <c r="N76">
        <v>1114</v>
      </c>
      <c r="O76">
        <v>2395</v>
      </c>
    </row>
    <row r="77" spans="1:15" x14ac:dyDescent="0.3">
      <c r="A77">
        <v>2022484408</v>
      </c>
      <c r="B77" s="1">
        <v>42464</v>
      </c>
      <c r="C77">
        <v>15313</v>
      </c>
      <c r="D77">
        <v>11</v>
      </c>
      <c r="E77">
        <v>11</v>
      </c>
      <c r="F77">
        <v>0</v>
      </c>
      <c r="G77">
        <v>5.0199999809265101</v>
      </c>
      <c r="H77">
        <v>1.28999996185303</v>
      </c>
      <c r="I77">
        <v>4.6900000572204599</v>
      </c>
      <c r="J77">
        <v>0</v>
      </c>
      <c r="K77">
        <v>62</v>
      </c>
      <c r="L77">
        <v>19</v>
      </c>
      <c r="M77">
        <v>233</v>
      </c>
      <c r="N77">
        <v>1126</v>
      </c>
      <c r="O77">
        <v>2581</v>
      </c>
    </row>
    <row r="78" spans="1:15" x14ac:dyDescent="0.3">
      <c r="A78">
        <v>2022484408</v>
      </c>
      <c r="B78" s="1">
        <v>42465</v>
      </c>
      <c r="C78">
        <v>10805</v>
      </c>
      <c r="D78">
        <v>7.5900001525878897</v>
      </c>
      <c r="E78">
        <v>7.5900001525878897</v>
      </c>
      <c r="F78">
        <v>0</v>
      </c>
      <c r="G78">
        <v>0.72000002861022905</v>
      </c>
      <c r="H78">
        <v>0.980000019073486</v>
      </c>
      <c r="I78">
        <v>5.8899998664856001</v>
      </c>
      <c r="J78">
        <v>0</v>
      </c>
      <c r="K78">
        <v>36</v>
      </c>
      <c r="L78">
        <v>37</v>
      </c>
      <c r="M78">
        <v>298</v>
      </c>
      <c r="N78">
        <v>1069</v>
      </c>
      <c r="O78">
        <v>2735</v>
      </c>
    </row>
    <row r="79" spans="1:15" x14ac:dyDescent="0.3">
      <c r="A79">
        <v>2022484408</v>
      </c>
      <c r="B79" s="1">
        <v>42466</v>
      </c>
      <c r="C79">
        <v>15392</v>
      </c>
      <c r="D79">
        <v>10.930000305175801</v>
      </c>
      <c r="E79">
        <v>10.930000305175801</v>
      </c>
      <c r="F79">
        <v>0</v>
      </c>
      <c r="G79">
        <v>3.4300000667571999</v>
      </c>
      <c r="H79">
        <v>1.75</v>
      </c>
      <c r="I79">
        <v>5.75</v>
      </c>
      <c r="J79">
        <v>0</v>
      </c>
      <c r="K79">
        <v>47</v>
      </c>
      <c r="L79">
        <v>42</v>
      </c>
      <c r="M79">
        <v>258</v>
      </c>
      <c r="N79">
        <v>1093</v>
      </c>
      <c r="O79">
        <v>2733</v>
      </c>
    </row>
    <row r="80" spans="1:15" x14ac:dyDescent="0.3">
      <c r="A80">
        <v>2022484408</v>
      </c>
      <c r="B80" s="1">
        <v>42467</v>
      </c>
      <c r="C80">
        <v>18247</v>
      </c>
      <c r="D80">
        <v>13.829999923706101</v>
      </c>
      <c r="E80">
        <v>13.829999923706101</v>
      </c>
      <c r="F80">
        <v>0</v>
      </c>
      <c r="G80">
        <v>7.1100001335143999</v>
      </c>
      <c r="H80">
        <v>2.21000003814697</v>
      </c>
      <c r="I80">
        <v>4.5100002288818404</v>
      </c>
      <c r="J80">
        <v>0</v>
      </c>
      <c r="K80">
        <v>72</v>
      </c>
      <c r="L80">
        <v>62</v>
      </c>
      <c r="M80">
        <v>252</v>
      </c>
      <c r="N80">
        <v>1054</v>
      </c>
      <c r="O80">
        <v>3021</v>
      </c>
    </row>
    <row r="81" spans="1:15" x14ac:dyDescent="0.3">
      <c r="A81">
        <v>2022484408</v>
      </c>
      <c r="B81" s="1">
        <v>42468</v>
      </c>
      <c r="C81">
        <v>13023</v>
      </c>
      <c r="D81">
        <v>9.2600002288818395</v>
      </c>
      <c r="E81">
        <v>9.2600002288818395</v>
      </c>
      <c r="F81">
        <v>0</v>
      </c>
      <c r="G81">
        <v>3.2300000190734899</v>
      </c>
      <c r="H81">
        <v>0.56000000238418601</v>
      </c>
      <c r="I81">
        <v>5.4699997901916504</v>
      </c>
      <c r="J81">
        <v>0</v>
      </c>
      <c r="K81">
        <v>40</v>
      </c>
      <c r="L81">
        <v>12</v>
      </c>
      <c r="M81">
        <v>296</v>
      </c>
      <c r="N81">
        <v>1092</v>
      </c>
      <c r="O81">
        <v>2577</v>
      </c>
    </row>
    <row r="82" spans="1:15" x14ac:dyDescent="0.3">
      <c r="A82">
        <v>2022484408</v>
      </c>
      <c r="B82" s="1">
        <v>42469</v>
      </c>
      <c r="C82">
        <v>16267</v>
      </c>
      <c r="D82">
        <v>12.5900001525879</v>
      </c>
      <c r="E82">
        <v>12.5900001525879</v>
      </c>
      <c r="F82">
        <v>0</v>
      </c>
      <c r="G82">
        <v>5.75</v>
      </c>
      <c r="H82">
        <v>0.46999999880790699</v>
      </c>
      <c r="I82">
        <v>6.3699998855590803</v>
      </c>
      <c r="J82">
        <v>0</v>
      </c>
      <c r="K82">
        <v>44</v>
      </c>
      <c r="L82">
        <v>16</v>
      </c>
      <c r="M82">
        <v>302</v>
      </c>
      <c r="N82">
        <v>1078</v>
      </c>
      <c r="O82">
        <v>2811</v>
      </c>
    </row>
    <row r="83" spans="1:15" x14ac:dyDescent="0.3">
      <c r="A83">
        <v>2022484408</v>
      </c>
      <c r="B83" s="1">
        <v>42470</v>
      </c>
      <c r="C83">
        <v>10005</v>
      </c>
      <c r="D83">
        <v>7.0199999809265101</v>
      </c>
      <c r="E83">
        <v>7.0199999809265101</v>
      </c>
      <c r="F83">
        <v>0</v>
      </c>
      <c r="G83">
        <v>7.9999998211860698E-2</v>
      </c>
      <c r="H83">
        <v>1.04999995231628</v>
      </c>
      <c r="I83">
        <v>5.9000000953674299</v>
      </c>
      <c r="J83">
        <v>0</v>
      </c>
      <c r="K83">
        <v>1</v>
      </c>
      <c r="L83">
        <v>23</v>
      </c>
      <c r="M83">
        <v>339</v>
      </c>
      <c r="N83">
        <v>1077</v>
      </c>
      <c r="O83">
        <v>2458</v>
      </c>
    </row>
    <row r="84" spans="1:15" x14ac:dyDescent="0.3">
      <c r="A84">
        <v>2022484408</v>
      </c>
      <c r="B84" s="1">
        <v>42471</v>
      </c>
      <c r="C84">
        <v>10106</v>
      </c>
      <c r="D84">
        <v>7.0900001525878897</v>
      </c>
      <c r="E84">
        <v>7.0900001525878897</v>
      </c>
      <c r="F84">
        <v>0</v>
      </c>
      <c r="G84">
        <v>1.21000003814697</v>
      </c>
      <c r="H84">
        <v>0.56000000238418601</v>
      </c>
      <c r="I84">
        <v>5.3299999237060502</v>
      </c>
      <c r="J84">
        <v>0</v>
      </c>
      <c r="K84">
        <v>41</v>
      </c>
      <c r="L84">
        <v>16</v>
      </c>
      <c r="M84">
        <v>272</v>
      </c>
      <c r="N84">
        <v>1111</v>
      </c>
      <c r="O84">
        <v>2568</v>
      </c>
    </row>
    <row r="85" spans="1:15" x14ac:dyDescent="0.3">
      <c r="A85">
        <v>2022484408</v>
      </c>
      <c r="B85" s="1">
        <v>42472</v>
      </c>
      <c r="C85">
        <v>6717</v>
      </c>
      <c r="D85">
        <v>4.7199997901916504</v>
      </c>
      <c r="E85">
        <v>4.7199997901916504</v>
      </c>
      <c r="F85">
        <v>0</v>
      </c>
      <c r="G85">
        <v>3.2300000190734899</v>
      </c>
      <c r="H85">
        <v>0.21999999880790699</v>
      </c>
      <c r="I85">
        <v>1.2699999809265099</v>
      </c>
      <c r="J85">
        <v>0</v>
      </c>
      <c r="K85">
        <v>41</v>
      </c>
      <c r="L85">
        <v>5</v>
      </c>
      <c r="M85">
        <v>67</v>
      </c>
      <c r="N85">
        <v>551</v>
      </c>
      <c r="O85">
        <v>1140</v>
      </c>
    </row>
    <row r="86" spans="1:15" x14ac:dyDescent="0.3">
      <c r="A86">
        <v>2026352035</v>
      </c>
      <c r="B86" s="1">
        <v>42461</v>
      </c>
      <c r="C86">
        <v>2605</v>
      </c>
      <c r="D86">
        <v>1.62000000476837</v>
      </c>
      <c r="E86">
        <v>1.62000000476837</v>
      </c>
      <c r="F86">
        <v>0</v>
      </c>
      <c r="G86">
        <v>0</v>
      </c>
      <c r="H86">
        <v>0</v>
      </c>
      <c r="I86">
        <v>1.62000000476837</v>
      </c>
      <c r="J86">
        <v>0</v>
      </c>
      <c r="K86">
        <v>0</v>
      </c>
      <c r="L86">
        <v>0</v>
      </c>
      <c r="M86">
        <v>166</v>
      </c>
      <c r="N86">
        <v>729</v>
      </c>
      <c r="O86">
        <v>1407</v>
      </c>
    </row>
    <row r="87" spans="1:15" x14ac:dyDescent="0.3">
      <c r="A87">
        <v>2026352035</v>
      </c>
      <c r="B87" s="1">
        <v>42462</v>
      </c>
      <c r="C87">
        <v>1229</v>
      </c>
      <c r="D87">
        <v>0.75999999046325695</v>
      </c>
      <c r="E87">
        <v>0.75999999046325695</v>
      </c>
      <c r="F87">
        <v>0</v>
      </c>
      <c r="G87">
        <v>0</v>
      </c>
      <c r="H87">
        <v>0</v>
      </c>
      <c r="I87">
        <v>0.75999999046325695</v>
      </c>
      <c r="J87">
        <v>0</v>
      </c>
      <c r="K87">
        <v>0</v>
      </c>
      <c r="L87">
        <v>0</v>
      </c>
      <c r="M87">
        <v>69</v>
      </c>
      <c r="N87">
        <v>795</v>
      </c>
      <c r="O87">
        <v>1237</v>
      </c>
    </row>
    <row r="88" spans="1:15" x14ac:dyDescent="0.3">
      <c r="A88">
        <v>2026352035</v>
      </c>
      <c r="B88" s="1">
        <v>42463</v>
      </c>
      <c r="C88">
        <v>2308</v>
      </c>
      <c r="D88">
        <v>1.4299999475479099</v>
      </c>
      <c r="E88">
        <v>1.4299999475479099</v>
      </c>
      <c r="F88">
        <v>0</v>
      </c>
      <c r="G88">
        <v>0</v>
      </c>
      <c r="H88">
        <v>0</v>
      </c>
      <c r="I88">
        <v>1.4299999475479099</v>
      </c>
      <c r="J88">
        <v>0</v>
      </c>
      <c r="K88">
        <v>0</v>
      </c>
      <c r="L88">
        <v>0</v>
      </c>
      <c r="M88">
        <v>115</v>
      </c>
      <c r="N88">
        <v>720</v>
      </c>
      <c r="O88">
        <v>1330</v>
      </c>
    </row>
    <row r="89" spans="1:15" x14ac:dyDescent="0.3">
      <c r="A89">
        <v>2026352035</v>
      </c>
      <c r="B89" s="1">
        <v>42464</v>
      </c>
      <c r="C89">
        <v>6679</v>
      </c>
      <c r="D89">
        <v>4.1399998664856001</v>
      </c>
      <c r="E89">
        <v>4.1399998664856001</v>
      </c>
      <c r="F89">
        <v>0</v>
      </c>
      <c r="G89">
        <v>0</v>
      </c>
      <c r="H89">
        <v>0</v>
      </c>
      <c r="I89">
        <v>4.1399998664856001</v>
      </c>
      <c r="J89">
        <v>0</v>
      </c>
      <c r="K89">
        <v>0</v>
      </c>
      <c r="L89">
        <v>0</v>
      </c>
      <c r="M89">
        <v>263</v>
      </c>
      <c r="N89">
        <v>644</v>
      </c>
      <c r="O89">
        <v>1583</v>
      </c>
    </row>
    <row r="90" spans="1:15" x14ac:dyDescent="0.3">
      <c r="A90">
        <v>2026352035</v>
      </c>
      <c r="B90" s="1">
        <v>42465</v>
      </c>
      <c r="C90">
        <v>5645</v>
      </c>
      <c r="D90">
        <v>3.5</v>
      </c>
      <c r="E90">
        <v>3.5</v>
      </c>
      <c r="F90">
        <v>0</v>
      </c>
      <c r="G90">
        <v>0</v>
      </c>
      <c r="H90">
        <v>0</v>
      </c>
      <c r="I90">
        <v>3.5</v>
      </c>
      <c r="J90">
        <v>0</v>
      </c>
      <c r="K90">
        <v>0</v>
      </c>
      <c r="L90">
        <v>0</v>
      </c>
      <c r="M90">
        <v>248</v>
      </c>
      <c r="N90">
        <v>621</v>
      </c>
      <c r="O90">
        <v>1538</v>
      </c>
    </row>
    <row r="91" spans="1:15" x14ac:dyDescent="0.3">
      <c r="A91">
        <v>2026352035</v>
      </c>
      <c r="B91" s="1">
        <v>42466</v>
      </c>
      <c r="C91">
        <v>3180</v>
      </c>
      <c r="D91">
        <v>1.9700000286102299</v>
      </c>
      <c r="E91">
        <v>1.9700000286102299</v>
      </c>
      <c r="F91">
        <v>0</v>
      </c>
      <c r="G91">
        <v>0</v>
      </c>
      <c r="H91">
        <v>0</v>
      </c>
      <c r="I91">
        <v>1.9700000286102299</v>
      </c>
      <c r="J91">
        <v>0</v>
      </c>
      <c r="K91">
        <v>0</v>
      </c>
      <c r="L91">
        <v>0</v>
      </c>
      <c r="M91">
        <v>185</v>
      </c>
      <c r="N91">
        <v>738</v>
      </c>
      <c r="O91">
        <v>1421</v>
      </c>
    </row>
    <row r="92" spans="1:15" x14ac:dyDescent="0.3">
      <c r="A92">
        <v>2026352035</v>
      </c>
      <c r="B92" s="1">
        <v>42467</v>
      </c>
      <c r="C92">
        <v>2767</v>
      </c>
      <c r="D92">
        <v>1.7200000286102299</v>
      </c>
      <c r="E92">
        <v>1.7200000286102299</v>
      </c>
      <c r="F92">
        <v>0</v>
      </c>
      <c r="G92">
        <v>0</v>
      </c>
      <c r="H92">
        <v>0</v>
      </c>
      <c r="I92">
        <v>1.7200000286102299</v>
      </c>
      <c r="J92">
        <v>0</v>
      </c>
      <c r="K92">
        <v>0</v>
      </c>
      <c r="L92">
        <v>0</v>
      </c>
      <c r="M92">
        <v>170</v>
      </c>
      <c r="N92">
        <v>673</v>
      </c>
      <c r="O92">
        <v>1392</v>
      </c>
    </row>
    <row r="93" spans="1:15" x14ac:dyDescent="0.3">
      <c r="A93">
        <v>2026352035</v>
      </c>
      <c r="B93" s="1">
        <v>42468</v>
      </c>
      <c r="C93">
        <v>3762</v>
      </c>
      <c r="D93">
        <v>2.3299999237060498</v>
      </c>
      <c r="E93">
        <v>2.3299999237060498</v>
      </c>
      <c r="F93">
        <v>0</v>
      </c>
      <c r="G93">
        <v>0</v>
      </c>
      <c r="H93">
        <v>0</v>
      </c>
      <c r="I93">
        <v>2.3299999237060498</v>
      </c>
      <c r="J93">
        <v>0</v>
      </c>
      <c r="K93">
        <v>0</v>
      </c>
      <c r="L93">
        <v>0</v>
      </c>
      <c r="M93">
        <v>173</v>
      </c>
      <c r="N93">
        <v>719</v>
      </c>
      <c r="O93">
        <v>1425</v>
      </c>
    </row>
    <row r="94" spans="1:15" x14ac:dyDescent="0.3">
      <c r="A94">
        <v>2026352035</v>
      </c>
      <c r="B94" s="1">
        <v>42469</v>
      </c>
      <c r="C94">
        <v>3098</v>
      </c>
      <c r="D94">
        <v>1.91999995708466</v>
      </c>
      <c r="E94">
        <v>1.91999995708466</v>
      </c>
      <c r="F94">
        <v>0</v>
      </c>
      <c r="G94">
        <v>0</v>
      </c>
      <c r="H94">
        <v>0</v>
      </c>
      <c r="I94">
        <v>1.91999995708466</v>
      </c>
      <c r="J94">
        <v>0</v>
      </c>
      <c r="K94">
        <v>0</v>
      </c>
      <c r="L94">
        <v>0</v>
      </c>
      <c r="M94">
        <v>185</v>
      </c>
      <c r="N94">
        <v>700</v>
      </c>
      <c r="O94">
        <v>1413</v>
      </c>
    </row>
    <row r="95" spans="1:15" x14ac:dyDescent="0.3">
      <c r="A95">
        <v>2026352035</v>
      </c>
      <c r="B95" s="1">
        <v>42470</v>
      </c>
      <c r="C95">
        <v>5142</v>
      </c>
      <c r="D95">
        <v>3.1900000572204599</v>
      </c>
      <c r="E95">
        <v>3.1900000572204599</v>
      </c>
      <c r="F95">
        <v>0</v>
      </c>
      <c r="G95">
        <v>0</v>
      </c>
      <c r="H95">
        <v>0</v>
      </c>
      <c r="I95">
        <v>3.1900000572204599</v>
      </c>
      <c r="J95">
        <v>0</v>
      </c>
      <c r="K95">
        <v>0</v>
      </c>
      <c r="L95">
        <v>0</v>
      </c>
      <c r="M95">
        <v>230</v>
      </c>
      <c r="N95">
        <v>654</v>
      </c>
      <c r="O95">
        <v>1515</v>
      </c>
    </row>
    <row r="96" spans="1:15" x14ac:dyDescent="0.3">
      <c r="A96">
        <v>2026352035</v>
      </c>
      <c r="B96" s="1">
        <v>42471</v>
      </c>
      <c r="C96">
        <v>3279</v>
      </c>
      <c r="D96">
        <v>2.0299999713897701</v>
      </c>
      <c r="E96">
        <v>2.0299999713897701</v>
      </c>
      <c r="F96">
        <v>0</v>
      </c>
      <c r="G96">
        <v>0</v>
      </c>
      <c r="H96">
        <v>0</v>
      </c>
      <c r="I96">
        <v>2.0299999713897701</v>
      </c>
      <c r="J96">
        <v>0</v>
      </c>
      <c r="K96">
        <v>0</v>
      </c>
      <c r="L96">
        <v>0</v>
      </c>
      <c r="M96">
        <v>164</v>
      </c>
      <c r="N96">
        <v>694</v>
      </c>
      <c r="O96">
        <v>1405</v>
      </c>
    </row>
    <row r="97" spans="1:15" x14ac:dyDescent="0.3">
      <c r="A97">
        <v>2026352035</v>
      </c>
      <c r="B97" s="1">
        <v>42472</v>
      </c>
      <c r="C97">
        <v>1019</v>
      </c>
      <c r="D97">
        <v>0.62999999523162797</v>
      </c>
      <c r="E97">
        <v>0.62999999523162797</v>
      </c>
      <c r="F97">
        <v>0</v>
      </c>
      <c r="G97">
        <v>0</v>
      </c>
      <c r="H97">
        <v>0</v>
      </c>
      <c r="I97">
        <v>0.62999999523162797</v>
      </c>
      <c r="J97">
        <v>0</v>
      </c>
      <c r="K97">
        <v>0</v>
      </c>
      <c r="L97">
        <v>0</v>
      </c>
      <c r="M97">
        <v>64</v>
      </c>
      <c r="N97">
        <v>223</v>
      </c>
      <c r="O97">
        <v>600</v>
      </c>
    </row>
    <row r="98" spans="1:15" x14ac:dyDescent="0.3">
      <c r="A98">
        <v>2320127002</v>
      </c>
      <c r="B98" s="1">
        <v>42461</v>
      </c>
      <c r="C98">
        <v>0</v>
      </c>
      <c r="D98">
        <v>0</v>
      </c>
      <c r="E98">
        <v>0</v>
      </c>
      <c r="F98">
        <v>0</v>
      </c>
      <c r="G98">
        <v>0</v>
      </c>
      <c r="H98">
        <v>0</v>
      </c>
      <c r="I98">
        <v>0</v>
      </c>
      <c r="J98">
        <v>0</v>
      </c>
      <c r="K98">
        <v>0</v>
      </c>
      <c r="L98">
        <v>0</v>
      </c>
      <c r="M98">
        <v>0</v>
      </c>
      <c r="N98">
        <v>1440</v>
      </c>
      <c r="O98">
        <v>1324</v>
      </c>
    </row>
    <row r="99" spans="1:15" x14ac:dyDescent="0.3">
      <c r="A99">
        <v>2320127002</v>
      </c>
      <c r="B99" s="1">
        <v>42462</v>
      </c>
      <c r="C99">
        <v>0</v>
      </c>
      <c r="D99">
        <v>0</v>
      </c>
      <c r="E99">
        <v>0</v>
      </c>
      <c r="F99">
        <v>0</v>
      </c>
      <c r="G99">
        <v>0</v>
      </c>
      <c r="H99">
        <v>0</v>
      </c>
      <c r="I99">
        <v>0</v>
      </c>
      <c r="J99">
        <v>0</v>
      </c>
      <c r="K99">
        <v>0</v>
      </c>
      <c r="L99">
        <v>0</v>
      </c>
      <c r="M99">
        <v>0</v>
      </c>
      <c r="N99">
        <v>1440</v>
      </c>
      <c r="O99">
        <v>1324</v>
      </c>
    </row>
    <row r="100" spans="1:15" x14ac:dyDescent="0.3">
      <c r="A100">
        <v>2320127002</v>
      </c>
      <c r="B100" s="1">
        <v>42463</v>
      </c>
      <c r="C100">
        <v>0</v>
      </c>
      <c r="D100">
        <v>0</v>
      </c>
      <c r="E100">
        <v>0</v>
      </c>
      <c r="F100">
        <v>0</v>
      </c>
      <c r="G100">
        <v>0</v>
      </c>
      <c r="H100">
        <v>0</v>
      </c>
      <c r="I100">
        <v>0</v>
      </c>
      <c r="J100">
        <v>0</v>
      </c>
      <c r="K100">
        <v>0</v>
      </c>
      <c r="L100">
        <v>0</v>
      </c>
      <c r="M100">
        <v>0</v>
      </c>
      <c r="N100">
        <v>1440</v>
      </c>
      <c r="O100">
        <v>1324</v>
      </c>
    </row>
    <row r="101" spans="1:15" x14ac:dyDescent="0.3">
      <c r="A101">
        <v>2320127002</v>
      </c>
      <c r="B101" s="1">
        <v>42464</v>
      </c>
      <c r="C101">
        <v>0</v>
      </c>
      <c r="D101">
        <v>0</v>
      </c>
      <c r="E101">
        <v>0</v>
      </c>
      <c r="F101">
        <v>0</v>
      </c>
      <c r="G101">
        <v>0</v>
      </c>
      <c r="H101">
        <v>0</v>
      </c>
      <c r="I101">
        <v>0</v>
      </c>
      <c r="J101">
        <v>0</v>
      </c>
      <c r="K101">
        <v>0</v>
      </c>
      <c r="L101">
        <v>0</v>
      </c>
      <c r="M101">
        <v>0</v>
      </c>
      <c r="N101">
        <v>1440</v>
      </c>
      <c r="O101">
        <v>1324</v>
      </c>
    </row>
    <row r="102" spans="1:15" x14ac:dyDescent="0.3">
      <c r="A102">
        <v>2320127002</v>
      </c>
      <c r="B102" s="1">
        <v>42465</v>
      </c>
      <c r="C102">
        <v>4931</v>
      </c>
      <c r="D102">
        <v>3.3199999332428001</v>
      </c>
      <c r="E102">
        <v>3.3199999332428001</v>
      </c>
      <c r="F102">
        <v>0</v>
      </c>
      <c r="G102">
        <v>0</v>
      </c>
      <c r="H102">
        <v>0</v>
      </c>
      <c r="I102">
        <v>3.3199999332428001</v>
      </c>
      <c r="J102">
        <v>0</v>
      </c>
      <c r="K102">
        <v>0</v>
      </c>
      <c r="L102">
        <v>0</v>
      </c>
      <c r="M102">
        <v>175</v>
      </c>
      <c r="N102">
        <v>1265</v>
      </c>
      <c r="O102">
        <v>1708</v>
      </c>
    </row>
    <row r="103" spans="1:15" x14ac:dyDescent="0.3">
      <c r="A103">
        <v>2320127002</v>
      </c>
      <c r="B103" s="1">
        <v>42466</v>
      </c>
      <c r="C103">
        <v>6999</v>
      </c>
      <c r="D103">
        <v>4.7199997901916504</v>
      </c>
      <c r="E103">
        <v>4.7199997901916504</v>
      </c>
      <c r="F103">
        <v>0</v>
      </c>
      <c r="G103">
        <v>0</v>
      </c>
      <c r="H103">
        <v>0</v>
      </c>
      <c r="I103">
        <v>4.7199997901916504</v>
      </c>
      <c r="J103">
        <v>0</v>
      </c>
      <c r="K103">
        <v>0</v>
      </c>
      <c r="L103">
        <v>0</v>
      </c>
      <c r="M103">
        <v>320</v>
      </c>
      <c r="N103">
        <v>1120</v>
      </c>
      <c r="O103">
        <v>1950</v>
      </c>
    </row>
    <row r="104" spans="1:15" x14ac:dyDescent="0.3">
      <c r="A104">
        <v>2320127002</v>
      </c>
      <c r="B104" s="1">
        <v>42467</v>
      </c>
      <c r="C104">
        <v>1846</v>
      </c>
      <c r="D104">
        <v>1.2400000095367401</v>
      </c>
      <c r="E104">
        <v>1.2400000095367401</v>
      </c>
      <c r="F104">
        <v>0</v>
      </c>
      <c r="G104">
        <v>0</v>
      </c>
      <c r="H104">
        <v>0</v>
      </c>
      <c r="I104">
        <v>1.2400000095367401</v>
      </c>
      <c r="J104">
        <v>0</v>
      </c>
      <c r="K104">
        <v>0</v>
      </c>
      <c r="L104">
        <v>0</v>
      </c>
      <c r="M104">
        <v>93</v>
      </c>
      <c r="N104">
        <v>1347</v>
      </c>
      <c r="O104">
        <v>1508</v>
      </c>
    </row>
    <row r="105" spans="1:15" x14ac:dyDescent="0.3">
      <c r="A105">
        <v>2320127002</v>
      </c>
      <c r="B105" s="1">
        <v>42468</v>
      </c>
      <c r="C105">
        <v>3417</v>
      </c>
      <c r="D105">
        <v>2.2999999523162802</v>
      </c>
      <c r="E105">
        <v>2.2999999523162802</v>
      </c>
      <c r="F105">
        <v>0</v>
      </c>
      <c r="G105">
        <v>0</v>
      </c>
      <c r="H105">
        <v>0</v>
      </c>
      <c r="I105">
        <v>2.2999999523162802</v>
      </c>
      <c r="J105">
        <v>0</v>
      </c>
      <c r="K105">
        <v>0</v>
      </c>
      <c r="L105">
        <v>0</v>
      </c>
      <c r="M105">
        <v>153</v>
      </c>
      <c r="N105">
        <v>1287</v>
      </c>
      <c r="O105">
        <v>1625</v>
      </c>
    </row>
    <row r="106" spans="1:15" x14ac:dyDescent="0.3">
      <c r="A106">
        <v>2320127002</v>
      </c>
      <c r="B106" s="1">
        <v>42469</v>
      </c>
      <c r="C106">
        <v>4863</v>
      </c>
      <c r="D106">
        <v>3.2799999713897701</v>
      </c>
      <c r="E106">
        <v>3.2799999713897701</v>
      </c>
      <c r="F106">
        <v>0</v>
      </c>
      <c r="G106">
        <v>5.9999998658895499E-2</v>
      </c>
      <c r="H106">
        <v>0.41999998688697798</v>
      </c>
      <c r="I106">
        <v>2.7999999523162802</v>
      </c>
      <c r="J106">
        <v>0</v>
      </c>
      <c r="K106">
        <v>1</v>
      </c>
      <c r="L106">
        <v>11</v>
      </c>
      <c r="M106">
        <v>208</v>
      </c>
      <c r="N106">
        <v>1220</v>
      </c>
      <c r="O106">
        <v>1772</v>
      </c>
    </row>
    <row r="107" spans="1:15" x14ac:dyDescent="0.3">
      <c r="A107">
        <v>2320127002</v>
      </c>
      <c r="B107" s="1">
        <v>42470</v>
      </c>
      <c r="C107">
        <v>2277</v>
      </c>
      <c r="D107">
        <v>1.5299999713897701</v>
      </c>
      <c r="E107">
        <v>1.5299999713897701</v>
      </c>
      <c r="F107">
        <v>0</v>
      </c>
      <c r="G107">
        <v>0</v>
      </c>
      <c r="H107">
        <v>0</v>
      </c>
      <c r="I107">
        <v>1.5299999713897701</v>
      </c>
      <c r="J107">
        <v>0</v>
      </c>
      <c r="K107">
        <v>0</v>
      </c>
      <c r="L107">
        <v>0</v>
      </c>
      <c r="M107">
        <v>103</v>
      </c>
      <c r="N107">
        <v>1337</v>
      </c>
      <c r="O107">
        <v>1530</v>
      </c>
    </row>
    <row r="108" spans="1:15" x14ac:dyDescent="0.3">
      <c r="A108">
        <v>2320127002</v>
      </c>
      <c r="B108" s="1">
        <v>42471</v>
      </c>
      <c r="C108">
        <v>11230</v>
      </c>
      <c r="D108">
        <v>7.6700000762939498</v>
      </c>
      <c r="E108">
        <v>7.6700000762939498</v>
      </c>
      <c r="F108">
        <v>0</v>
      </c>
      <c r="G108">
        <v>0.88999998569488503</v>
      </c>
      <c r="H108">
        <v>0.119999997317791</v>
      </c>
      <c r="I108">
        <v>6.6599998474121103</v>
      </c>
      <c r="J108">
        <v>0</v>
      </c>
      <c r="K108">
        <v>10</v>
      </c>
      <c r="L108">
        <v>2</v>
      </c>
      <c r="M108">
        <v>390</v>
      </c>
      <c r="N108">
        <v>1038</v>
      </c>
      <c r="O108">
        <v>2206</v>
      </c>
    </row>
    <row r="109" spans="1:15" x14ac:dyDescent="0.3">
      <c r="A109">
        <v>2320127002</v>
      </c>
      <c r="B109" s="1">
        <v>42472</v>
      </c>
      <c r="C109">
        <v>2098</v>
      </c>
      <c r="D109">
        <v>1.4099999666214</v>
      </c>
      <c r="E109">
        <v>1.4099999666214</v>
      </c>
      <c r="F109">
        <v>0</v>
      </c>
      <c r="G109">
        <v>0</v>
      </c>
      <c r="H109">
        <v>0</v>
      </c>
      <c r="I109">
        <v>1.4099999666214</v>
      </c>
      <c r="J109">
        <v>0</v>
      </c>
      <c r="K109">
        <v>0</v>
      </c>
      <c r="L109">
        <v>0</v>
      </c>
      <c r="M109">
        <v>69</v>
      </c>
      <c r="N109">
        <v>617</v>
      </c>
      <c r="O109">
        <v>790</v>
      </c>
    </row>
    <row r="110" spans="1:15" x14ac:dyDescent="0.3">
      <c r="A110">
        <v>2347167796</v>
      </c>
      <c r="B110" s="1">
        <v>42458</v>
      </c>
      <c r="C110">
        <v>10272</v>
      </c>
      <c r="D110">
        <v>6.78999996185303</v>
      </c>
      <c r="E110">
        <v>6.78999996185303</v>
      </c>
      <c r="F110">
        <v>0</v>
      </c>
      <c r="G110">
        <v>0.15999999642372101</v>
      </c>
      <c r="H110">
        <v>3.1199998855590798</v>
      </c>
      <c r="I110">
        <v>3.5</v>
      </c>
      <c r="J110">
        <v>0</v>
      </c>
      <c r="K110">
        <v>2</v>
      </c>
      <c r="L110">
        <v>58</v>
      </c>
      <c r="M110">
        <v>208</v>
      </c>
      <c r="N110">
        <v>700</v>
      </c>
      <c r="O110">
        <v>2041</v>
      </c>
    </row>
    <row r="111" spans="1:15" x14ac:dyDescent="0.3">
      <c r="A111">
        <v>2347167796</v>
      </c>
      <c r="B111" s="1">
        <v>42459</v>
      </c>
      <c r="C111">
        <v>10533</v>
      </c>
      <c r="D111">
        <v>7.0999999046325701</v>
      </c>
      <c r="E111">
        <v>7.0999999046325701</v>
      </c>
      <c r="F111">
        <v>0</v>
      </c>
      <c r="G111">
        <v>1.7699999809265099</v>
      </c>
      <c r="H111">
        <v>2.0599999427795401</v>
      </c>
      <c r="I111">
        <v>3.2699999809265101</v>
      </c>
      <c r="J111">
        <v>0</v>
      </c>
      <c r="K111">
        <v>21</v>
      </c>
      <c r="L111">
        <v>35</v>
      </c>
      <c r="M111">
        <v>255</v>
      </c>
      <c r="N111">
        <v>615</v>
      </c>
      <c r="O111">
        <v>2187</v>
      </c>
    </row>
    <row r="112" spans="1:15" x14ac:dyDescent="0.3">
      <c r="A112">
        <v>2347167796</v>
      </c>
      <c r="B112" s="1">
        <v>42460</v>
      </c>
      <c r="C112">
        <v>6760</v>
      </c>
      <c r="D112">
        <v>4.4699997901916504</v>
      </c>
      <c r="E112">
        <v>4.4699997901916504</v>
      </c>
      <c r="F112">
        <v>0</v>
      </c>
      <c r="G112">
        <v>0</v>
      </c>
      <c r="H112">
        <v>0</v>
      </c>
      <c r="I112">
        <v>4.4699997901916504</v>
      </c>
      <c r="J112">
        <v>0</v>
      </c>
      <c r="K112">
        <v>0</v>
      </c>
      <c r="L112">
        <v>0</v>
      </c>
      <c r="M112">
        <v>250</v>
      </c>
      <c r="N112">
        <v>613</v>
      </c>
      <c r="O112">
        <v>1929</v>
      </c>
    </row>
    <row r="113" spans="1:15" x14ac:dyDescent="0.3">
      <c r="A113">
        <v>2347167796</v>
      </c>
      <c r="B113" s="1">
        <v>42461</v>
      </c>
      <c r="C113">
        <v>8328</v>
      </c>
      <c r="D113">
        <v>5.5100002288818404</v>
      </c>
      <c r="E113">
        <v>5.5100002288818404</v>
      </c>
      <c r="F113">
        <v>0</v>
      </c>
      <c r="G113">
        <v>0</v>
      </c>
      <c r="H113">
        <v>2</v>
      </c>
      <c r="I113">
        <v>3.5</v>
      </c>
      <c r="J113">
        <v>0</v>
      </c>
      <c r="K113">
        <v>0</v>
      </c>
      <c r="L113">
        <v>33</v>
      </c>
      <c r="M113">
        <v>212</v>
      </c>
      <c r="N113">
        <v>804</v>
      </c>
      <c r="O113">
        <v>1935</v>
      </c>
    </row>
    <row r="114" spans="1:15" x14ac:dyDescent="0.3">
      <c r="A114">
        <v>2347167796</v>
      </c>
      <c r="B114" s="1">
        <v>42462</v>
      </c>
      <c r="C114">
        <v>15459</v>
      </c>
      <c r="D114">
        <v>10.2200002670288</v>
      </c>
      <c r="E114">
        <v>10.2200002670288</v>
      </c>
      <c r="F114">
        <v>0</v>
      </c>
      <c r="G114">
        <v>3.5899999141693102</v>
      </c>
      <c r="H114">
        <v>0.81000000238418601</v>
      </c>
      <c r="I114">
        <v>5.8200001716613796</v>
      </c>
      <c r="J114">
        <v>0</v>
      </c>
      <c r="K114">
        <v>51</v>
      </c>
      <c r="L114">
        <v>16</v>
      </c>
      <c r="M114">
        <v>327</v>
      </c>
      <c r="N114">
        <v>583</v>
      </c>
      <c r="O114">
        <v>2438</v>
      </c>
    </row>
    <row r="115" spans="1:15" x14ac:dyDescent="0.3">
      <c r="A115">
        <v>2347167796</v>
      </c>
      <c r="B115" s="1">
        <v>42463</v>
      </c>
      <c r="C115">
        <v>7485</v>
      </c>
      <c r="D115">
        <v>4.9499998092651403</v>
      </c>
      <c r="E115">
        <v>4.9499998092651403</v>
      </c>
      <c r="F115">
        <v>0</v>
      </c>
      <c r="G115">
        <v>0</v>
      </c>
      <c r="H115">
        <v>0</v>
      </c>
      <c r="I115">
        <v>4.9499998092651403</v>
      </c>
      <c r="J115">
        <v>0</v>
      </c>
      <c r="K115">
        <v>0</v>
      </c>
      <c r="L115">
        <v>0</v>
      </c>
      <c r="M115">
        <v>324</v>
      </c>
      <c r="N115">
        <v>491</v>
      </c>
      <c r="O115">
        <v>2035</v>
      </c>
    </row>
    <row r="116" spans="1:15" x14ac:dyDescent="0.3">
      <c r="A116">
        <v>2347167796</v>
      </c>
      <c r="B116" s="1">
        <v>42464</v>
      </c>
      <c r="C116">
        <v>10254</v>
      </c>
      <c r="D116">
        <v>6.8000001907348597</v>
      </c>
      <c r="E116">
        <v>6.8000001907348597</v>
      </c>
      <c r="F116">
        <v>0</v>
      </c>
      <c r="G116">
        <v>1.41999995708466</v>
      </c>
      <c r="H116">
        <v>1.2300000190734901</v>
      </c>
      <c r="I116">
        <v>4.1599998474121103</v>
      </c>
      <c r="J116">
        <v>0</v>
      </c>
      <c r="K116">
        <v>21</v>
      </c>
      <c r="L116">
        <v>25</v>
      </c>
      <c r="M116">
        <v>231</v>
      </c>
      <c r="N116">
        <v>638</v>
      </c>
      <c r="O116">
        <v>2099</v>
      </c>
    </row>
    <row r="117" spans="1:15" x14ac:dyDescent="0.3">
      <c r="A117">
        <v>2347167796</v>
      </c>
      <c r="B117" s="1">
        <v>42465</v>
      </c>
      <c r="C117">
        <v>10114</v>
      </c>
      <c r="D117">
        <v>6.8200001716613796</v>
      </c>
      <c r="E117">
        <v>6.8200001716613796</v>
      </c>
      <c r="F117">
        <v>0</v>
      </c>
      <c r="G117">
        <v>1.6399999856948899</v>
      </c>
      <c r="H117">
        <v>0.479999989271164</v>
      </c>
      <c r="I117">
        <v>4.6799998283386204</v>
      </c>
      <c r="J117">
        <v>0</v>
      </c>
      <c r="K117">
        <v>18</v>
      </c>
      <c r="L117">
        <v>9</v>
      </c>
      <c r="M117">
        <v>269</v>
      </c>
      <c r="N117">
        <v>696</v>
      </c>
      <c r="O117">
        <v>2096</v>
      </c>
    </row>
    <row r="118" spans="1:15" x14ac:dyDescent="0.3">
      <c r="A118">
        <v>2347167796</v>
      </c>
      <c r="B118" s="1">
        <v>42466</v>
      </c>
      <c r="C118">
        <v>11107</v>
      </c>
      <c r="D118">
        <v>7.3400001525878897</v>
      </c>
      <c r="E118">
        <v>7.3400001525878897</v>
      </c>
      <c r="F118">
        <v>0</v>
      </c>
      <c r="G118">
        <v>0.89999997615814198</v>
      </c>
      <c r="H118">
        <v>2.7599999904632599</v>
      </c>
      <c r="I118">
        <v>3.6800000667571999</v>
      </c>
      <c r="J118">
        <v>0</v>
      </c>
      <c r="K118">
        <v>14</v>
      </c>
      <c r="L118">
        <v>46</v>
      </c>
      <c r="M118">
        <v>196</v>
      </c>
      <c r="N118">
        <v>759</v>
      </c>
      <c r="O118">
        <v>2058</v>
      </c>
    </row>
    <row r="119" spans="1:15" x14ac:dyDescent="0.3">
      <c r="A119">
        <v>2347167796</v>
      </c>
      <c r="B119" s="1">
        <v>42467</v>
      </c>
      <c r="C119">
        <v>10320</v>
      </c>
      <c r="D119">
        <v>6.8499999046325701</v>
      </c>
      <c r="E119">
        <v>6.8499999046325701</v>
      </c>
      <c r="F119">
        <v>0</v>
      </c>
      <c r="G119">
        <v>0.68000000715255704</v>
      </c>
      <c r="H119">
        <v>1.2300000190734901</v>
      </c>
      <c r="I119">
        <v>4.9400000572204599</v>
      </c>
      <c r="J119">
        <v>0</v>
      </c>
      <c r="K119">
        <v>15</v>
      </c>
      <c r="L119">
        <v>32</v>
      </c>
      <c r="M119">
        <v>315</v>
      </c>
      <c r="N119">
        <v>1002</v>
      </c>
      <c r="O119">
        <v>2338</v>
      </c>
    </row>
    <row r="120" spans="1:15" x14ac:dyDescent="0.3">
      <c r="A120">
        <v>2347167796</v>
      </c>
      <c r="B120" s="1">
        <v>42468</v>
      </c>
      <c r="C120">
        <v>10209</v>
      </c>
      <c r="D120">
        <v>6.75</v>
      </c>
      <c r="E120">
        <v>6.75</v>
      </c>
      <c r="F120">
        <v>0</v>
      </c>
      <c r="G120">
        <v>0.15999999642372101</v>
      </c>
      <c r="H120">
        <v>0.34999999403953602</v>
      </c>
      <c r="I120">
        <v>6.2300000190734899</v>
      </c>
      <c r="J120">
        <v>0</v>
      </c>
      <c r="K120">
        <v>2</v>
      </c>
      <c r="L120">
        <v>6</v>
      </c>
      <c r="M120">
        <v>316</v>
      </c>
      <c r="N120">
        <v>711</v>
      </c>
      <c r="O120">
        <v>2104</v>
      </c>
    </row>
    <row r="121" spans="1:15" x14ac:dyDescent="0.3">
      <c r="A121">
        <v>2347167796</v>
      </c>
      <c r="B121" s="1">
        <v>42469</v>
      </c>
      <c r="C121">
        <v>16081</v>
      </c>
      <c r="D121">
        <v>10.6300001144409</v>
      </c>
      <c r="E121">
        <v>10.6300001144409</v>
      </c>
      <c r="F121">
        <v>0</v>
      </c>
      <c r="G121">
        <v>1.25</v>
      </c>
      <c r="H121">
        <v>1.8200000524520901</v>
      </c>
      <c r="I121">
        <v>7.5599999427795401</v>
      </c>
      <c r="J121">
        <v>0</v>
      </c>
      <c r="K121">
        <v>16</v>
      </c>
      <c r="L121">
        <v>32</v>
      </c>
      <c r="M121">
        <v>401</v>
      </c>
      <c r="N121">
        <v>970</v>
      </c>
      <c r="O121">
        <v>2488</v>
      </c>
    </row>
    <row r="122" spans="1:15" x14ac:dyDescent="0.3">
      <c r="A122">
        <v>2347167796</v>
      </c>
      <c r="B122" s="1">
        <v>42470</v>
      </c>
      <c r="C122">
        <v>10078</v>
      </c>
      <c r="D122">
        <v>6.8299999237060502</v>
      </c>
      <c r="E122">
        <v>6.8299999237060502</v>
      </c>
      <c r="F122">
        <v>0</v>
      </c>
      <c r="G122">
        <v>1.0199999809265099</v>
      </c>
      <c r="H122">
        <v>0.119999997317791</v>
      </c>
      <c r="I122">
        <v>5.6900000572204599</v>
      </c>
      <c r="J122">
        <v>0</v>
      </c>
      <c r="K122">
        <v>12</v>
      </c>
      <c r="L122">
        <v>3</v>
      </c>
      <c r="M122">
        <v>303</v>
      </c>
      <c r="N122">
        <v>463</v>
      </c>
      <c r="O122">
        <v>2164</v>
      </c>
    </row>
    <row r="123" spans="1:15" x14ac:dyDescent="0.3">
      <c r="A123">
        <v>2347167796</v>
      </c>
      <c r="B123" s="1">
        <v>42471</v>
      </c>
      <c r="C123">
        <v>10001</v>
      </c>
      <c r="D123">
        <v>6.6100001335143999</v>
      </c>
      <c r="E123">
        <v>6.6100001335143999</v>
      </c>
      <c r="F123">
        <v>0</v>
      </c>
      <c r="G123">
        <v>0.33000001311302202</v>
      </c>
      <c r="H123">
        <v>2.9300000667571999</v>
      </c>
      <c r="I123">
        <v>3.3599998950958301</v>
      </c>
      <c r="J123">
        <v>0</v>
      </c>
      <c r="K123">
        <v>5</v>
      </c>
      <c r="L123">
        <v>52</v>
      </c>
      <c r="M123">
        <v>196</v>
      </c>
      <c r="N123">
        <v>788</v>
      </c>
      <c r="O123">
        <v>2009</v>
      </c>
    </row>
    <row r="124" spans="1:15" x14ac:dyDescent="0.3">
      <c r="A124">
        <v>2347167796</v>
      </c>
      <c r="B124" s="1">
        <v>42472</v>
      </c>
      <c r="C124">
        <v>0</v>
      </c>
      <c r="D124">
        <v>0</v>
      </c>
      <c r="E124">
        <v>0</v>
      </c>
      <c r="F124">
        <v>0</v>
      </c>
      <c r="G124">
        <v>0</v>
      </c>
      <c r="H124">
        <v>0</v>
      </c>
      <c r="I124">
        <v>0</v>
      </c>
      <c r="J124">
        <v>0</v>
      </c>
      <c r="K124">
        <v>0</v>
      </c>
      <c r="L124">
        <v>0</v>
      </c>
      <c r="M124">
        <v>0</v>
      </c>
      <c r="N124">
        <v>425</v>
      </c>
      <c r="O124">
        <v>399</v>
      </c>
    </row>
    <row r="125" spans="1:15" x14ac:dyDescent="0.3">
      <c r="A125">
        <v>2873212765</v>
      </c>
      <c r="B125" s="1">
        <v>42461</v>
      </c>
      <c r="C125">
        <v>890</v>
      </c>
      <c r="D125">
        <v>0.60000002384185802</v>
      </c>
      <c r="E125">
        <v>0.60000002384185802</v>
      </c>
      <c r="F125">
        <v>0</v>
      </c>
      <c r="G125">
        <v>0</v>
      </c>
      <c r="H125">
        <v>0</v>
      </c>
      <c r="I125">
        <v>0.60000002384185802</v>
      </c>
      <c r="J125">
        <v>0</v>
      </c>
      <c r="K125">
        <v>0</v>
      </c>
      <c r="L125">
        <v>0</v>
      </c>
      <c r="M125">
        <v>41</v>
      </c>
      <c r="N125">
        <v>1399</v>
      </c>
      <c r="O125">
        <v>1335</v>
      </c>
    </row>
    <row r="126" spans="1:15" x14ac:dyDescent="0.3">
      <c r="A126">
        <v>2873212765</v>
      </c>
      <c r="B126" s="1">
        <v>42462</v>
      </c>
      <c r="C126">
        <v>2214</v>
      </c>
      <c r="D126">
        <v>1.4900000095367401</v>
      </c>
      <c r="E126">
        <v>1.4900000095367401</v>
      </c>
      <c r="F126">
        <v>0</v>
      </c>
      <c r="G126">
        <v>0</v>
      </c>
      <c r="H126">
        <v>0</v>
      </c>
      <c r="I126">
        <v>1.4900000095367401</v>
      </c>
      <c r="J126">
        <v>0</v>
      </c>
      <c r="K126">
        <v>0</v>
      </c>
      <c r="L126">
        <v>0</v>
      </c>
      <c r="M126">
        <v>197</v>
      </c>
      <c r="N126">
        <v>1243</v>
      </c>
      <c r="O126">
        <v>1559</v>
      </c>
    </row>
    <row r="127" spans="1:15" x14ac:dyDescent="0.3">
      <c r="A127">
        <v>2873212765</v>
      </c>
      <c r="B127" s="1">
        <v>42463</v>
      </c>
      <c r="C127">
        <v>7640</v>
      </c>
      <c r="D127">
        <v>5.1300001144409197</v>
      </c>
      <c r="E127">
        <v>5.1300001144409197</v>
      </c>
      <c r="F127">
        <v>0</v>
      </c>
      <c r="G127">
        <v>0.18999999761581399</v>
      </c>
      <c r="H127">
        <v>0.80000001192092896</v>
      </c>
      <c r="I127">
        <v>4.1500000953674299</v>
      </c>
      <c r="J127">
        <v>0</v>
      </c>
      <c r="K127">
        <v>3</v>
      </c>
      <c r="L127">
        <v>15</v>
      </c>
      <c r="M127">
        <v>315</v>
      </c>
      <c r="N127">
        <v>1107</v>
      </c>
      <c r="O127">
        <v>1845</v>
      </c>
    </row>
    <row r="128" spans="1:15" x14ac:dyDescent="0.3">
      <c r="A128">
        <v>2873212765</v>
      </c>
      <c r="B128" s="1">
        <v>42464</v>
      </c>
      <c r="C128">
        <v>9713</v>
      </c>
      <c r="D128">
        <v>6.5300002098083496</v>
      </c>
      <c r="E128">
        <v>6.5300002098083496</v>
      </c>
      <c r="F128">
        <v>0</v>
      </c>
      <c r="G128">
        <v>0.34000000357627902</v>
      </c>
      <c r="H128">
        <v>0.88999998569488503</v>
      </c>
      <c r="I128">
        <v>5.28999996185303</v>
      </c>
      <c r="J128">
        <v>0</v>
      </c>
      <c r="K128">
        <v>6</v>
      </c>
      <c r="L128">
        <v>24</v>
      </c>
      <c r="M128">
        <v>355</v>
      </c>
      <c r="N128">
        <v>1055</v>
      </c>
      <c r="O128">
        <v>2046</v>
      </c>
    </row>
    <row r="129" spans="1:15" x14ac:dyDescent="0.3">
      <c r="A129">
        <v>2873212765</v>
      </c>
      <c r="B129" s="1">
        <v>42465</v>
      </c>
      <c r="C129">
        <v>8432</v>
      </c>
      <c r="D129">
        <v>5.6700000762939498</v>
      </c>
      <c r="E129">
        <v>5.6700000762939498</v>
      </c>
      <c r="F129">
        <v>0</v>
      </c>
      <c r="G129">
        <v>0</v>
      </c>
      <c r="H129">
        <v>0</v>
      </c>
      <c r="I129">
        <v>5.6500000953674299</v>
      </c>
      <c r="J129">
        <v>9.9999997764825804E-3</v>
      </c>
      <c r="K129">
        <v>0</v>
      </c>
      <c r="L129">
        <v>0</v>
      </c>
      <c r="M129">
        <v>374</v>
      </c>
      <c r="N129">
        <v>1066</v>
      </c>
      <c r="O129">
        <v>1953</v>
      </c>
    </row>
    <row r="130" spans="1:15" x14ac:dyDescent="0.3">
      <c r="A130">
        <v>2873212765</v>
      </c>
      <c r="B130" s="1">
        <v>42466</v>
      </c>
      <c r="C130">
        <v>7350</v>
      </c>
      <c r="D130">
        <v>4.9400000572204599</v>
      </c>
      <c r="E130">
        <v>4.9400000572204599</v>
      </c>
      <c r="F130">
        <v>0</v>
      </c>
      <c r="G130">
        <v>0</v>
      </c>
      <c r="H130">
        <v>0</v>
      </c>
      <c r="I130">
        <v>4.9400000572204599</v>
      </c>
      <c r="J130">
        <v>0</v>
      </c>
      <c r="K130">
        <v>0</v>
      </c>
      <c r="L130">
        <v>0</v>
      </c>
      <c r="M130">
        <v>382</v>
      </c>
      <c r="N130">
        <v>1058</v>
      </c>
      <c r="O130">
        <v>1910</v>
      </c>
    </row>
    <row r="131" spans="1:15" x14ac:dyDescent="0.3">
      <c r="A131">
        <v>2873212765</v>
      </c>
      <c r="B131" s="1">
        <v>42467</v>
      </c>
      <c r="C131">
        <v>9353</v>
      </c>
      <c r="D131">
        <v>6.3099999427795401</v>
      </c>
      <c r="E131">
        <v>6.3099999427795401</v>
      </c>
      <c r="F131">
        <v>0</v>
      </c>
      <c r="G131">
        <v>0.37000000476837203</v>
      </c>
      <c r="H131">
        <v>0.68999999761581399</v>
      </c>
      <c r="I131">
        <v>5.2399997711181596</v>
      </c>
      <c r="J131">
        <v>0</v>
      </c>
      <c r="K131">
        <v>5</v>
      </c>
      <c r="L131">
        <v>17</v>
      </c>
      <c r="M131">
        <v>363</v>
      </c>
      <c r="N131">
        <v>1055</v>
      </c>
      <c r="O131">
        <v>2035</v>
      </c>
    </row>
    <row r="132" spans="1:15" x14ac:dyDescent="0.3">
      <c r="A132">
        <v>2873212765</v>
      </c>
      <c r="B132" s="1">
        <v>42468</v>
      </c>
      <c r="C132">
        <v>7157</v>
      </c>
      <c r="D132">
        <v>4.8099999427795401</v>
      </c>
      <c r="E132">
        <v>4.8099999427795401</v>
      </c>
      <c r="F132">
        <v>0</v>
      </c>
      <c r="G132">
        <v>0</v>
      </c>
      <c r="H132">
        <v>0</v>
      </c>
      <c r="I132">
        <v>4.8099999427795401</v>
      </c>
      <c r="J132">
        <v>0</v>
      </c>
      <c r="K132">
        <v>0</v>
      </c>
      <c r="L132">
        <v>0</v>
      </c>
      <c r="M132">
        <v>380</v>
      </c>
      <c r="N132">
        <v>1060</v>
      </c>
      <c r="O132">
        <v>1944</v>
      </c>
    </row>
    <row r="133" spans="1:15" x14ac:dyDescent="0.3">
      <c r="A133">
        <v>2873212765</v>
      </c>
      <c r="B133" s="1">
        <v>42469</v>
      </c>
      <c r="C133">
        <v>14103</v>
      </c>
      <c r="D133">
        <v>9.5600004196166992</v>
      </c>
      <c r="E133">
        <v>9.5600004196166992</v>
      </c>
      <c r="F133">
        <v>0</v>
      </c>
      <c r="G133">
        <v>3.0199999809265101</v>
      </c>
      <c r="H133">
        <v>0.40999999642372098</v>
      </c>
      <c r="I133">
        <v>6.1399998664856001</v>
      </c>
      <c r="J133">
        <v>9.9999997764825804E-3</v>
      </c>
      <c r="K133">
        <v>46</v>
      </c>
      <c r="L133">
        <v>8</v>
      </c>
      <c r="M133">
        <v>288</v>
      </c>
      <c r="N133">
        <v>1098</v>
      </c>
      <c r="O133">
        <v>2257</v>
      </c>
    </row>
    <row r="134" spans="1:15" x14ac:dyDescent="0.3">
      <c r="A134">
        <v>2873212765</v>
      </c>
      <c r="B134" s="1">
        <v>42470</v>
      </c>
      <c r="C134">
        <v>5290</v>
      </c>
      <c r="D134">
        <v>3.5499999523162802</v>
      </c>
      <c r="E134">
        <v>3.5499999523162802</v>
      </c>
      <c r="F134">
        <v>0</v>
      </c>
      <c r="G134">
        <v>3.9999999105930301E-2</v>
      </c>
      <c r="H134">
        <v>0.34000000357627902</v>
      </c>
      <c r="I134">
        <v>3.1700000762939502</v>
      </c>
      <c r="J134">
        <v>0</v>
      </c>
      <c r="K134">
        <v>1</v>
      </c>
      <c r="L134">
        <v>8</v>
      </c>
      <c r="M134">
        <v>251</v>
      </c>
      <c r="N134">
        <v>1180</v>
      </c>
      <c r="O134">
        <v>1724</v>
      </c>
    </row>
    <row r="135" spans="1:15" x14ac:dyDescent="0.3">
      <c r="A135">
        <v>2873212765</v>
      </c>
      <c r="B135" s="1">
        <v>42471</v>
      </c>
      <c r="C135">
        <v>7497</v>
      </c>
      <c r="D135">
        <v>5.03999996185303</v>
      </c>
      <c r="E135">
        <v>5.03999996185303</v>
      </c>
      <c r="F135">
        <v>0</v>
      </c>
      <c r="G135">
        <v>0</v>
      </c>
      <c r="H135">
        <v>0</v>
      </c>
      <c r="I135">
        <v>5.03999996185303</v>
      </c>
      <c r="J135">
        <v>0</v>
      </c>
      <c r="K135">
        <v>0</v>
      </c>
      <c r="L135">
        <v>0</v>
      </c>
      <c r="M135">
        <v>357</v>
      </c>
      <c r="N135">
        <v>882</v>
      </c>
      <c r="O135">
        <v>1741</v>
      </c>
    </row>
    <row r="136" spans="1:15" x14ac:dyDescent="0.3">
      <c r="A136">
        <v>2873212765</v>
      </c>
      <c r="B136" s="1">
        <v>42472</v>
      </c>
      <c r="C136">
        <v>0</v>
      </c>
      <c r="D136">
        <v>0</v>
      </c>
      <c r="E136">
        <v>0</v>
      </c>
      <c r="F136">
        <v>0</v>
      </c>
      <c r="G136">
        <v>0</v>
      </c>
      <c r="H136">
        <v>0</v>
      </c>
      <c r="I136">
        <v>0</v>
      </c>
      <c r="J136">
        <v>0</v>
      </c>
      <c r="K136">
        <v>0</v>
      </c>
      <c r="L136">
        <v>0</v>
      </c>
      <c r="M136">
        <v>0</v>
      </c>
      <c r="N136">
        <v>1440</v>
      </c>
      <c r="O136">
        <v>0</v>
      </c>
    </row>
    <row r="137" spans="1:15" x14ac:dyDescent="0.3">
      <c r="A137">
        <v>2891001357</v>
      </c>
      <c r="B137" s="1">
        <v>42458</v>
      </c>
      <c r="C137">
        <v>0</v>
      </c>
      <c r="D137">
        <v>0</v>
      </c>
      <c r="E137">
        <v>0</v>
      </c>
      <c r="F137">
        <v>0</v>
      </c>
      <c r="G137">
        <v>0</v>
      </c>
      <c r="H137">
        <v>0</v>
      </c>
      <c r="I137">
        <v>0</v>
      </c>
      <c r="J137">
        <v>0</v>
      </c>
      <c r="K137">
        <v>0</v>
      </c>
      <c r="L137">
        <v>0</v>
      </c>
      <c r="M137">
        <v>0</v>
      </c>
      <c r="N137">
        <v>1440</v>
      </c>
      <c r="O137">
        <v>1920</v>
      </c>
    </row>
    <row r="138" spans="1:15" x14ac:dyDescent="0.3">
      <c r="A138">
        <v>2891001357</v>
      </c>
      <c r="B138" s="1">
        <v>42459</v>
      </c>
      <c r="C138">
        <v>0</v>
      </c>
      <c r="D138">
        <v>0</v>
      </c>
      <c r="E138">
        <v>0</v>
      </c>
      <c r="F138">
        <v>0</v>
      </c>
      <c r="G138">
        <v>0</v>
      </c>
      <c r="H138">
        <v>0</v>
      </c>
      <c r="I138">
        <v>0</v>
      </c>
      <c r="J138">
        <v>0</v>
      </c>
      <c r="K138">
        <v>0</v>
      </c>
      <c r="L138">
        <v>0</v>
      </c>
      <c r="M138">
        <v>0</v>
      </c>
      <c r="N138">
        <v>1440</v>
      </c>
      <c r="O138">
        <v>1920</v>
      </c>
    </row>
    <row r="139" spans="1:15" x14ac:dyDescent="0.3">
      <c r="A139">
        <v>2891001357</v>
      </c>
      <c r="B139" s="1">
        <v>42460</v>
      </c>
      <c r="C139">
        <v>0</v>
      </c>
      <c r="D139">
        <v>0</v>
      </c>
      <c r="E139">
        <v>0</v>
      </c>
      <c r="F139">
        <v>0</v>
      </c>
      <c r="G139">
        <v>0</v>
      </c>
      <c r="H139">
        <v>0</v>
      </c>
      <c r="I139">
        <v>0</v>
      </c>
      <c r="J139">
        <v>0</v>
      </c>
      <c r="K139">
        <v>0</v>
      </c>
      <c r="L139">
        <v>0</v>
      </c>
      <c r="M139">
        <v>0</v>
      </c>
      <c r="N139">
        <v>1440</v>
      </c>
      <c r="O139">
        <v>1920</v>
      </c>
    </row>
    <row r="140" spans="1:15" x14ac:dyDescent="0.3">
      <c r="A140">
        <v>2891001357</v>
      </c>
      <c r="B140" s="1">
        <v>42461</v>
      </c>
      <c r="C140">
        <v>0</v>
      </c>
      <c r="D140">
        <v>0</v>
      </c>
      <c r="E140">
        <v>0</v>
      </c>
      <c r="F140">
        <v>4.8280320167541504</v>
      </c>
      <c r="G140">
        <v>0</v>
      </c>
      <c r="H140">
        <v>0</v>
      </c>
      <c r="I140">
        <v>0</v>
      </c>
      <c r="J140">
        <v>0</v>
      </c>
      <c r="K140">
        <v>0</v>
      </c>
      <c r="L140">
        <v>660</v>
      </c>
      <c r="M140">
        <v>0</v>
      </c>
      <c r="N140">
        <v>780</v>
      </c>
      <c r="O140">
        <v>4562</v>
      </c>
    </row>
    <row r="141" spans="1:15" x14ac:dyDescent="0.3">
      <c r="A141">
        <v>2891001357</v>
      </c>
      <c r="B141" s="1">
        <v>42462</v>
      </c>
      <c r="C141">
        <v>4126</v>
      </c>
      <c r="D141">
        <v>3.2200000286102299</v>
      </c>
      <c r="E141">
        <v>0</v>
      </c>
      <c r="F141">
        <v>3.21868801116943</v>
      </c>
      <c r="G141">
        <v>0</v>
      </c>
      <c r="H141">
        <v>0</v>
      </c>
      <c r="I141">
        <v>3.2200000286102299</v>
      </c>
      <c r="J141">
        <v>0</v>
      </c>
      <c r="K141">
        <v>0</v>
      </c>
      <c r="L141">
        <v>0</v>
      </c>
      <c r="M141">
        <v>720</v>
      </c>
      <c r="N141">
        <v>720</v>
      </c>
      <c r="O141">
        <v>2881</v>
      </c>
    </row>
    <row r="142" spans="1:15" x14ac:dyDescent="0.3">
      <c r="A142">
        <v>2891001357</v>
      </c>
      <c r="B142" s="1">
        <v>42463</v>
      </c>
      <c r="C142">
        <v>0</v>
      </c>
      <c r="D142">
        <v>0</v>
      </c>
      <c r="E142">
        <v>0</v>
      </c>
      <c r="F142">
        <v>0</v>
      </c>
      <c r="G142">
        <v>0</v>
      </c>
      <c r="H142">
        <v>0</v>
      </c>
      <c r="I142">
        <v>0</v>
      </c>
      <c r="J142">
        <v>0</v>
      </c>
      <c r="K142">
        <v>0</v>
      </c>
      <c r="L142">
        <v>0</v>
      </c>
      <c r="M142">
        <v>0</v>
      </c>
      <c r="N142">
        <v>1440</v>
      </c>
      <c r="O142">
        <v>1920</v>
      </c>
    </row>
    <row r="143" spans="1:15" x14ac:dyDescent="0.3">
      <c r="A143">
        <v>2891001357</v>
      </c>
      <c r="B143" s="1">
        <v>42464</v>
      </c>
      <c r="C143">
        <v>0</v>
      </c>
      <c r="D143">
        <v>0</v>
      </c>
      <c r="E143">
        <v>0</v>
      </c>
      <c r="F143">
        <v>0</v>
      </c>
      <c r="G143">
        <v>0</v>
      </c>
      <c r="H143">
        <v>0</v>
      </c>
      <c r="I143">
        <v>0</v>
      </c>
      <c r="J143">
        <v>0</v>
      </c>
      <c r="K143">
        <v>0</v>
      </c>
      <c r="L143">
        <v>0</v>
      </c>
      <c r="M143">
        <v>0</v>
      </c>
      <c r="N143">
        <v>1440</v>
      </c>
      <c r="O143">
        <v>1920</v>
      </c>
    </row>
    <row r="144" spans="1:15" x14ac:dyDescent="0.3">
      <c r="A144">
        <v>2891001357</v>
      </c>
      <c r="B144" s="1">
        <v>42465</v>
      </c>
      <c r="C144">
        <v>2063</v>
      </c>
      <c r="D144">
        <v>1.6100000143051101</v>
      </c>
      <c r="E144">
        <v>0</v>
      </c>
      <c r="F144">
        <v>1.6093440055847199</v>
      </c>
      <c r="G144">
        <v>0</v>
      </c>
      <c r="H144">
        <v>0</v>
      </c>
      <c r="I144">
        <v>1.6100000143051101</v>
      </c>
      <c r="J144">
        <v>0</v>
      </c>
      <c r="K144">
        <v>0</v>
      </c>
      <c r="L144">
        <v>0</v>
      </c>
      <c r="M144">
        <v>630</v>
      </c>
      <c r="N144">
        <v>99</v>
      </c>
      <c r="O144">
        <v>1144</v>
      </c>
    </row>
    <row r="145" spans="1:15" x14ac:dyDescent="0.3">
      <c r="A145">
        <v>3372868164</v>
      </c>
      <c r="B145" s="1">
        <v>42461</v>
      </c>
      <c r="C145">
        <v>5785</v>
      </c>
      <c r="D145">
        <v>3.9500000476837198</v>
      </c>
      <c r="E145">
        <v>3.9500000476837198</v>
      </c>
      <c r="F145">
        <v>0</v>
      </c>
      <c r="G145">
        <v>0</v>
      </c>
      <c r="H145">
        <v>0</v>
      </c>
      <c r="I145">
        <v>3.9100000858306898</v>
      </c>
      <c r="J145">
        <v>3.9999999105930301E-2</v>
      </c>
      <c r="K145">
        <v>0</v>
      </c>
      <c r="L145">
        <v>0</v>
      </c>
      <c r="M145">
        <v>311</v>
      </c>
      <c r="N145">
        <v>1129</v>
      </c>
      <c r="O145">
        <v>1852</v>
      </c>
    </row>
    <row r="146" spans="1:15" x14ac:dyDescent="0.3">
      <c r="A146">
        <v>3372868164</v>
      </c>
      <c r="B146" s="1">
        <v>42462</v>
      </c>
      <c r="C146">
        <v>7625</v>
      </c>
      <c r="D146">
        <v>5.2300000190734899</v>
      </c>
      <c r="E146">
        <v>5.2300000190734899</v>
      </c>
      <c r="F146">
        <v>0</v>
      </c>
      <c r="G146">
        <v>1.6799999475479099</v>
      </c>
      <c r="H146">
        <v>3.9999999105930301E-2</v>
      </c>
      <c r="I146">
        <v>3.5</v>
      </c>
      <c r="J146">
        <v>9.9999997764825804E-3</v>
      </c>
      <c r="K146">
        <v>24</v>
      </c>
      <c r="L146">
        <v>1</v>
      </c>
      <c r="M146">
        <v>341</v>
      </c>
      <c r="N146">
        <v>1074</v>
      </c>
      <c r="O146">
        <v>2069</v>
      </c>
    </row>
    <row r="147" spans="1:15" x14ac:dyDescent="0.3">
      <c r="A147">
        <v>3372868164</v>
      </c>
      <c r="B147" s="1">
        <v>42463</v>
      </c>
      <c r="C147">
        <v>4706</v>
      </c>
      <c r="D147">
        <v>3.21000003814697</v>
      </c>
      <c r="E147">
        <v>3.21000003814697</v>
      </c>
      <c r="F147">
        <v>0</v>
      </c>
      <c r="G147">
        <v>0</v>
      </c>
      <c r="H147">
        <v>0</v>
      </c>
      <c r="I147">
        <v>3.21000003814697</v>
      </c>
      <c r="J147">
        <v>0</v>
      </c>
      <c r="K147">
        <v>0</v>
      </c>
      <c r="L147">
        <v>0</v>
      </c>
      <c r="M147">
        <v>299</v>
      </c>
      <c r="N147">
        <v>1141</v>
      </c>
      <c r="O147">
        <v>1816</v>
      </c>
    </row>
    <row r="148" spans="1:15" x14ac:dyDescent="0.3">
      <c r="A148">
        <v>3372868164</v>
      </c>
      <c r="B148" s="1">
        <v>42464</v>
      </c>
      <c r="C148">
        <v>5861</v>
      </c>
      <c r="D148">
        <v>4.0199999809265101</v>
      </c>
      <c r="E148">
        <v>4.0199999809265101</v>
      </c>
      <c r="F148">
        <v>0</v>
      </c>
      <c r="G148">
        <v>1.29999995231628</v>
      </c>
      <c r="H148">
        <v>0.21999999880790699</v>
      </c>
      <c r="I148">
        <v>2.4900000095367401</v>
      </c>
      <c r="J148">
        <v>9.9999997764825804E-3</v>
      </c>
      <c r="K148">
        <v>20</v>
      </c>
      <c r="L148">
        <v>7</v>
      </c>
      <c r="M148">
        <v>233</v>
      </c>
      <c r="N148">
        <v>1180</v>
      </c>
      <c r="O148">
        <v>1878</v>
      </c>
    </row>
    <row r="149" spans="1:15" x14ac:dyDescent="0.3">
      <c r="A149">
        <v>3372868164</v>
      </c>
      <c r="B149" s="1">
        <v>42465</v>
      </c>
      <c r="C149">
        <v>4460</v>
      </c>
      <c r="D149">
        <v>3.03999996185303</v>
      </c>
      <c r="E149">
        <v>3.03999996185303</v>
      </c>
      <c r="F149">
        <v>0</v>
      </c>
      <c r="G149">
        <v>0</v>
      </c>
      <c r="H149">
        <v>0</v>
      </c>
      <c r="I149">
        <v>3.0199999809265101</v>
      </c>
      <c r="J149">
        <v>2.9999999329447701E-2</v>
      </c>
      <c r="K149">
        <v>0</v>
      </c>
      <c r="L149">
        <v>0</v>
      </c>
      <c r="M149">
        <v>248</v>
      </c>
      <c r="N149">
        <v>1192</v>
      </c>
      <c r="O149">
        <v>1787</v>
      </c>
    </row>
    <row r="150" spans="1:15" x14ac:dyDescent="0.3">
      <c r="A150">
        <v>3372868164</v>
      </c>
      <c r="B150" s="1">
        <v>42466</v>
      </c>
      <c r="C150">
        <v>6406</v>
      </c>
      <c r="D150">
        <v>4.3899998664856001</v>
      </c>
      <c r="E150">
        <v>4.3899998664856001</v>
      </c>
      <c r="F150">
        <v>0</v>
      </c>
      <c r="G150">
        <v>0.77999997138977095</v>
      </c>
      <c r="H150">
        <v>9.00000035762787E-2</v>
      </c>
      <c r="I150">
        <v>3.5199999809265101</v>
      </c>
      <c r="J150">
        <v>9.9999997764825804E-3</v>
      </c>
      <c r="K150">
        <v>17</v>
      </c>
      <c r="L150">
        <v>4</v>
      </c>
      <c r="M150">
        <v>325</v>
      </c>
      <c r="N150">
        <v>1094</v>
      </c>
      <c r="O150">
        <v>2010</v>
      </c>
    </row>
    <row r="151" spans="1:15" x14ac:dyDescent="0.3">
      <c r="A151">
        <v>3372868164</v>
      </c>
      <c r="B151" s="1">
        <v>42467</v>
      </c>
      <c r="C151">
        <v>7392</v>
      </c>
      <c r="D151">
        <v>5.0999999046325701</v>
      </c>
      <c r="E151">
        <v>5.0999999046325701</v>
      </c>
      <c r="F151">
        <v>0</v>
      </c>
      <c r="G151">
        <v>0.87000000476837203</v>
      </c>
      <c r="H151">
        <v>0.15999999642372101</v>
      </c>
      <c r="I151">
        <v>4.0500001907348597</v>
      </c>
      <c r="J151">
        <v>1.9999999552965199E-2</v>
      </c>
      <c r="K151">
        <v>14</v>
      </c>
      <c r="L151">
        <v>9</v>
      </c>
      <c r="M151">
        <v>332</v>
      </c>
      <c r="N151">
        <v>1085</v>
      </c>
      <c r="O151">
        <v>2038</v>
      </c>
    </row>
    <row r="152" spans="1:15" x14ac:dyDescent="0.3">
      <c r="A152">
        <v>3372868164</v>
      </c>
      <c r="B152" s="1">
        <v>42468</v>
      </c>
      <c r="C152">
        <v>5551</v>
      </c>
      <c r="D152">
        <v>3.78999996185303</v>
      </c>
      <c r="E152">
        <v>3.78999996185303</v>
      </c>
      <c r="F152">
        <v>0</v>
      </c>
      <c r="G152">
        <v>0</v>
      </c>
      <c r="H152">
        <v>0</v>
      </c>
      <c r="I152">
        <v>3.7699999809265101</v>
      </c>
      <c r="J152">
        <v>9.9999997764825804E-3</v>
      </c>
      <c r="K152">
        <v>0</v>
      </c>
      <c r="L152">
        <v>0</v>
      </c>
      <c r="M152">
        <v>282</v>
      </c>
      <c r="N152">
        <v>1158</v>
      </c>
      <c r="O152">
        <v>1815</v>
      </c>
    </row>
    <row r="153" spans="1:15" x14ac:dyDescent="0.3">
      <c r="A153">
        <v>3372868164</v>
      </c>
      <c r="B153" s="1">
        <v>42469</v>
      </c>
      <c r="C153">
        <v>8827</v>
      </c>
      <c r="D153">
        <v>6.25</v>
      </c>
      <c r="E153">
        <v>6.25</v>
      </c>
      <c r="F153">
        <v>0</v>
      </c>
      <c r="G153">
        <v>1.7699999809265099</v>
      </c>
      <c r="H153">
        <v>0.479999989271164</v>
      </c>
      <c r="I153">
        <v>4</v>
      </c>
      <c r="J153">
        <v>9.9999997764825804E-3</v>
      </c>
      <c r="K153">
        <v>21</v>
      </c>
      <c r="L153">
        <v>10</v>
      </c>
      <c r="M153">
        <v>346</v>
      </c>
      <c r="N153">
        <v>1063</v>
      </c>
      <c r="O153">
        <v>2062</v>
      </c>
    </row>
    <row r="154" spans="1:15" x14ac:dyDescent="0.3">
      <c r="A154">
        <v>3372868164</v>
      </c>
      <c r="B154" s="1">
        <v>42470</v>
      </c>
      <c r="C154">
        <v>4662</v>
      </c>
      <c r="D154">
        <v>3.1800000667571999</v>
      </c>
      <c r="E154">
        <v>3.1800000667571999</v>
      </c>
      <c r="F154">
        <v>0</v>
      </c>
      <c r="G154">
        <v>1.03999996185303</v>
      </c>
      <c r="H154">
        <v>0.15000000596046401</v>
      </c>
      <c r="I154">
        <v>1.9900000095367401</v>
      </c>
      <c r="J154">
        <v>0</v>
      </c>
      <c r="K154">
        <v>22</v>
      </c>
      <c r="L154">
        <v>4</v>
      </c>
      <c r="M154">
        <v>152</v>
      </c>
      <c r="N154">
        <v>735</v>
      </c>
      <c r="O154">
        <v>1276</v>
      </c>
    </row>
    <row r="155" spans="1:15" x14ac:dyDescent="0.3">
      <c r="A155">
        <v>3977333714</v>
      </c>
      <c r="B155" s="1">
        <v>42461</v>
      </c>
      <c r="C155">
        <v>4499</v>
      </c>
      <c r="D155">
        <v>3.0099999904632599</v>
      </c>
      <c r="E155">
        <v>3.0099999904632599</v>
      </c>
      <c r="F155">
        <v>0</v>
      </c>
      <c r="G155">
        <v>0</v>
      </c>
      <c r="H155">
        <v>0</v>
      </c>
      <c r="I155">
        <v>3.0099999904632599</v>
      </c>
      <c r="J155">
        <v>0</v>
      </c>
      <c r="K155">
        <v>0</v>
      </c>
      <c r="L155">
        <v>0</v>
      </c>
      <c r="M155">
        <v>168</v>
      </c>
      <c r="N155">
        <v>842</v>
      </c>
      <c r="O155">
        <v>1288</v>
      </c>
    </row>
    <row r="156" spans="1:15" x14ac:dyDescent="0.3">
      <c r="A156">
        <v>3977333714</v>
      </c>
      <c r="B156" s="1">
        <v>42462</v>
      </c>
      <c r="C156">
        <v>7618</v>
      </c>
      <c r="D156">
        <v>5.0999999046325701</v>
      </c>
      <c r="E156">
        <v>5.0999999046325701</v>
      </c>
      <c r="F156">
        <v>0</v>
      </c>
      <c r="G156">
        <v>0</v>
      </c>
      <c r="H156">
        <v>0.18000000715255701</v>
      </c>
      <c r="I156">
        <v>4.9099998474121103</v>
      </c>
      <c r="J156">
        <v>0</v>
      </c>
      <c r="K156">
        <v>0</v>
      </c>
      <c r="L156">
        <v>6</v>
      </c>
      <c r="M156">
        <v>302</v>
      </c>
      <c r="N156">
        <v>842</v>
      </c>
      <c r="O156">
        <v>1490</v>
      </c>
    </row>
    <row r="157" spans="1:15" x14ac:dyDescent="0.3">
      <c r="A157">
        <v>3977333714</v>
      </c>
      <c r="B157" s="1">
        <v>42463</v>
      </c>
      <c r="C157">
        <v>11508</v>
      </c>
      <c r="D157">
        <v>7.6999998092651403</v>
      </c>
      <c r="E157">
        <v>7.6999998092651403</v>
      </c>
      <c r="F157">
        <v>0</v>
      </c>
      <c r="G157">
        <v>2.1700000762939502</v>
      </c>
      <c r="H157">
        <v>0.83999997377395597</v>
      </c>
      <c r="I157">
        <v>4.6900000572204599</v>
      </c>
      <c r="J157">
        <v>0</v>
      </c>
      <c r="K157">
        <v>29</v>
      </c>
      <c r="L157">
        <v>22</v>
      </c>
      <c r="M157">
        <v>282</v>
      </c>
      <c r="N157">
        <v>748</v>
      </c>
      <c r="O157">
        <v>1630</v>
      </c>
    </row>
    <row r="158" spans="1:15" x14ac:dyDescent="0.3">
      <c r="A158">
        <v>3977333714</v>
      </c>
      <c r="B158" s="1">
        <v>42464</v>
      </c>
      <c r="C158">
        <v>11943</v>
      </c>
      <c r="D158">
        <v>7.9899997711181596</v>
      </c>
      <c r="E158">
        <v>7.9899997711181596</v>
      </c>
      <c r="F158">
        <v>0</v>
      </c>
      <c r="G158">
        <v>1.0299999713897701</v>
      </c>
      <c r="H158">
        <v>2.0099999904632599</v>
      </c>
      <c r="I158">
        <v>4.9499998092651403</v>
      </c>
      <c r="J158">
        <v>0</v>
      </c>
      <c r="K158">
        <v>16</v>
      </c>
      <c r="L158">
        <v>43</v>
      </c>
      <c r="M158">
        <v>297</v>
      </c>
      <c r="N158">
        <v>710</v>
      </c>
      <c r="O158">
        <v>1648</v>
      </c>
    </row>
    <row r="159" spans="1:15" x14ac:dyDescent="0.3">
      <c r="A159">
        <v>3977333714</v>
      </c>
      <c r="B159" s="1">
        <v>42465</v>
      </c>
      <c r="C159">
        <v>12303</v>
      </c>
      <c r="D159">
        <v>8.2299995422363299</v>
      </c>
      <c r="E159">
        <v>8.2299995422363299</v>
      </c>
      <c r="F159">
        <v>0</v>
      </c>
      <c r="G159">
        <v>1.71000003814697</v>
      </c>
      <c r="H159">
        <v>1.3500000238418599</v>
      </c>
      <c r="I159">
        <v>5.1700000762939498</v>
      </c>
      <c r="J159">
        <v>0</v>
      </c>
      <c r="K159">
        <v>26</v>
      </c>
      <c r="L159">
        <v>32</v>
      </c>
      <c r="M159">
        <v>291</v>
      </c>
      <c r="N159">
        <v>605</v>
      </c>
      <c r="O159">
        <v>1649</v>
      </c>
    </row>
    <row r="160" spans="1:15" x14ac:dyDescent="0.3">
      <c r="A160">
        <v>3977333714</v>
      </c>
      <c r="B160" s="1">
        <v>42466</v>
      </c>
      <c r="C160">
        <v>15425</v>
      </c>
      <c r="D160">
        <v>10.319999694824199</v>
      </c>
      <c r="E160">
        <v>10.319999694824199</v>
      </c>
      <c r="F160">
        <v>0</v>
      </c>
      <c r="G160">
        <v>1.62000000476837</v>
      </c>
      <c r="H160">
        <v>1.8200000524520901</v>
      </c>
      <c r="I160">
        <v>6.8699998855590803</v>
      </c>
      <c r="J160">
        <v>0</v>
      </c>
      <c r="K160">
        <v>24</v>
      </c>
      <c r="L160">
        <v>45</v>
      </c>
      <c r="M160">
        <v>331</v>
      </c>
      <c r="N160">
        <v>614</v>
      </c>
      <c r="O160">
        <v>1783</v>
      </c>
    </row>
    <row r="161" spans="1:15" x14ac:dyDescent="0.3">
      <c r="A161">
        <v>3977333714</v>
      </c>
      <c r="B161" s="1">
        <v>42467</v>
      </c>
      <c r="C161">
        <v>8422</v>
      </c>
      <c r="D161">
        <v>5.6300001144409197</v>
      </c>
      <c r="E161">
        <v>5.6300001144409197</v>
      </c>
      <c r="F161">
        <v>0</v>
      </c>
      <c r="G161">
        <v>0</v>
      </c>
      <c r="H161">
        <v>3.5999999046325701</v>
      </c>
      <c r="I161">
        <v>2.03999996185303</v>
      </c>
      <c r="J161">
        <v>0</v>
      </c>
      <c r="K161">
        <v>0</v>
      </c>
      <c r="L161">
        <v>81</v>
      </c>
      <c r="M161">
        <v>139</v>
      </c>
      <c r="N161">
        <v>815</v>
      </c>
      <c r="O161">
        <v>1431</v>
      </c>
    </row>
    <row r="162" spans="1:15" x14ac:dyDescent="0.3">
      <c r="A162">
        <v>3977333714</v>
      </c>
      <c r="B162" s="1">
        <v>42468</v>
      </c>
      <c r="C162">
        <v>10226</v>
      </c>
      <c r="D162">
        <v>6.8400001525878897</v>
      </c>
      <c r="E162">
        <v>6.8400001525878897</v>
      </c>
      <c r="F162">
        <v>0</v>
      </c>
      <c r="G162">
        <v>0</v>
      </c>
      <c r="H162">
        <v>4.4400000572204599</v>
      </c>
      <c r="I162">
        <v>2.4000000953674299</v>
      </c>
      <c r="J162">
        <v>0</v>
      </c>
      <c r="K162">
        <v>0</v>
      </c>
      <c r="L162">
        <v>101</v>
      </c>
      <c r="M162">
        <v>174</v>
      </c>
      <c r="N162">
        <v>685</v>
      </c>
      <c r="O162">
        <v>1524</v>
      </c>
    </row>
    <row r="163" spans="1:15" x14ac:dyDescent="0.3">
      <c r="A163">
        <v>3977333714</v>
      </c>
      <c r="B163" s="1">
        <v>42469</v>
      </c>
      <c r="C163">
        <v>14583</v>
      </c>
      <c r="D163">
        <v>9.7600002288818395</v>
      </c>
      <c r="E163">
        <v>9.7600002288818395</v>
      </c>
      <c r="F163">
        <v>0</v>
      </c>
      <c r="G163">
        <v>2.4800000190734899</v>
      </c>
      <c r="H163">
        <v>1.7400000095367401</v>
      </c>
      <c r="I163">
        <v>5.5300002098083496</v>
      </c>
      <c r="J163">
        <v>0</v>
      </c>
      <c r="K163">
        <v>35</v>
      </c>
      <c r="L163">
        <v>36</v>
      </c>
      <c r="M163">
        <v>254</v>
      </c>
      <c r="N163">
        <v>697</v>
      </c>
      <c r="O163">
        <v>1697</v>
      </c>
    </row>
    <row r="164" spans="1:15" x14ac:dyDescent="0.3">
      <c r="A164">
        <v>3977333714</v>
      </c>
      <c r="B164" s="1">
        <v>42470</v>
      </c>
      <c r="C164">
        <v>3573</v>
      </c>
      <c r="D164">
        <v>2.3900001049041699</v>
      </c>
      <c r="E164">
        <v>2.3900001049041699</v>
      </c>
      <c r="F164">
        <v>0</v>
      </c>
      <c r="G164">
        <v>0.93999999761581399</v>
      </c>
      <c r="H164">
        <v>0.40999999642372098</v>
      </c>
      <c r="I164">
        <v>0.97000002861022905</v>
      </c>
      <c r="J164">
        <v>0</v>
      </c>
      <c r="K164">
        <v>15</v>
      </c>
      <c r="L164">
        <v>8</v>
      </c>
      <c r="M164">
        <v>99</v>
      </c>
      <c r="N164">
        <v>866</v>
      </c>
      <c r="O164">
        <v>1232</v>
      </c>
    </row>
    <row r="165" spans="1:15" x14ac:dyDescent="0.3">
      <c r="A165">
        <v>3977333714</v>
      </c>
      <c r="B165" s="1">
        <v>42471</v>
      </c>
      <c r="C165">
        <v>3108</v>
      </c>
      <c r="D165">
        <v>2.1400001049041699</v>
      </c>
      <c r="E165">
        <v>2.1400001049041699</v>
      </c>
      <c r="F165">
        <v>0</v>
      </c>
      <c r="G165">
        <v>7.0000000298023196E-2</v>
      </c>
      <c r="H165">
        <v>3.9999999105930301E-2</v>
      </c>
      <c r="I165">
        <v>1.96000003814697</v>
      </c>
      <c r="J165">
        <v>0</v>
      </c>
      <c r="K165">
        <v>1</v>
      </c>
      <c r="L165">
        <v>1</v>
      </c>
      <c r="M165">
        <v>129</v>
      </c>
      <c r="N165">
        <v>894</v>
      </c>
      <c r="O165">
        <v>1223</v>
      </c>
    </row>
    <row r="166" spans="1:15" x14ac:dyDescent="0.3">
      <c r="A166">
        <v>3977333714</v>
      </c>
      <c r="B166" s="1">
        <v>42472</v>
      </c>
      <c r="C166">
        <v>759</v>
      </c>
      <c r="D166">
        <v>0.56999999284744296</v>
      </c>
      <c r="E166">
        <v>0.56999999284744296</v>
      </c>
      <c r="F166">
        <v>0</v>
      </c>
      <c r="G166">
        <v>0</v>
      </c>
      <c r="H166">
        <v>0</v>
      </c>
      <c r="I166">
        <v>0.56999999284744296</v>
      </c>
      <c r="J166">
        <v>0</v>
      </c>
      <c r="K166">
        <v>0</v>
      </c>
      <c r="L166">
        <v>0</v>
      </c>
      <c r="M166">
        <v>17</v>
      </c>
      <c r="N166">
        <v>187</v>
      </c>
      <c r="O166">
        <v>182</v>
      </c>
    </row>
    <row r="167" spans="1:15" x14ac:dyDescent="0.3">
      <c r="A167">
        <v>4020332650</v>
      </c>
      <c r="B167" s="1">
        <v>42441</v>
      </c>
      <c r="C167">
        <v>5543</v>
      </c>
      <c r="D167">
        <v>3.9700000286102299</v>
      </c>
      <c r="E167">
        <v>3.9700000286102299</v>
      </c>
      <c r="F167">
        <v>0</v>
      </c>
      <c r="G167">
        <v>0</v>
      </c>
      <c r="H167">
        <v>0</v>
      </c>
      <c r="I167">
        <v>3.96000003814697</v>
      </c>
      <c r="J167">
        <v>9.9999997764825804E-3</v>
      </c>
      <c r="K167">
        <v>0</v>
      </c>
      <c r="L167">
        <v>0</v>
      </c>
      <c r="M167">
        <v>254</v>
      </c>
      <c r="N167">
        <v>757</v>
      </c>
      <c r="O167">
        <v>2990</v>
      </c>
    </row>
    <row r="168" spans="1:15" x14ac:dyDescent="0.3">
      <c r="A168">
        <v>4020332650</v>
      </c>
      <c r="B168" s="1">
        <v>42442</v>
      </c>
      <c r="C168">
        <v>3226</v>
      </c>
      <c r="D168">
        <v>2.3099999427795401</v>
      </c>
      <c r="E168">
        <v>2.3099999427795401</v>
      </c>
      <c r="F168">
        <v>0</v>
      </c>
      <c r="G168">
        <v>0</v>
      </c>
      <c r="H168">
        <v>0</v>
      </c>
      <c r="I168">
        <v>2.2799999713897701</v>
      </c>
      <c r="J168">
        <v>0</v>
      </c>
      <c r="K168">
        <v>0</v>
      </c>
      <c r="L168">
        <v>0</v>
      </c>
      <c r="M168">
        <v>136</v>
      </c>
      <c r="N168">
        <v>771</v>
      </c>
      <c r="O168">
        <v>2480</v>
      </c>
    </row>
    <row r="169" spans="1:15" x14ac:dyDescent="0.3">
      <c r="A169">
        <v>4020332650</v>
      </c>
      <c r="B169" s="1">
        <v>42443</v>
      </c>
      <c r="C169">
        <v>3023</v>
      </c>
      <c r="D169">
        <v>2.1700000762939502</v>
      </c>
      <c r="E169">
        <v>2.1700000762939502</v>
      </c>
      <c r="F169">
        <v>0</v>
      </c>
      <c r="G169">
        <v>0</v>
      </c>
      <c r="H169">
        <v>0</v>
      </c>
      <c r="I169">
        <v>2.1400001049041699</v>
      </c>
      <c r="J169">
        <v>0</v>
      </c>
      <c r="K169">
        <v>0</v>
      </c>
      <c r="L169">
        <v>0</v>
      </c>
      <c r="M169">
        <v>145</v>
      </c>
      <c r="N169">
        <v>1005</v>
      </c>
      <c r="O169">
        <v>2570</v>
      </c>
    </row>
    <row r="170" spans="1:15" x14ac:dyDescent="0.3">
      <c r="A170">
        <v>4020332650</v>
      </c>
      <c r="B170" s="1">
        <v>42444</v>
      </c>
      <c r="C170">
        <v>5906</v>
      </c>
      <c r="D170">
        <v>4.2300000190734899</v>
      </c>
      <c r="E170">
        <v>4.2300000190734899</v>
      </c>
      <c r="F170">
        <v>0</v>
      </c>
      <c r="G170">
        <v>0</v>
      </c>
      <c r="H170">
        <v>0.15999999642372101</v>
      </c>
      <c r="I170">
        <v>4.03999996185303</v>
      </c>
      <c r="J170">
        <v>0</v>
      </c>
      <c r="K170">
        <v>0</v>
      </c>
      <c r="L170">
        <v>10</v>
      </c>
      <c r="M170">
        <v>215</v>
      </c>
      <c r="N170">
        <v>874</v>
      </c>
      <c r="O170">
        <v>3016</v>
      </c>
    </row>
    <row r="171" spans="1:15" x14ac:dyDescent="0.3">
      <c r="A171">
        <v>4020332650</v>
      </c>
      <c r="B171" s="1">
        <v>42445</v>
      </c>
      <c r="C171">
        <v>12483</v>
      </c>
      <c r="D171">
        <v>8.9899997711181605</v>
      </c>
      <c r="E171">
        <v>8.9899997711181605</v>
      </c>
      <c r="F171">
        <v>0</v>
      </c>
      <c r="G171">
        <v>1.45000004768372</v>
      </c>
      <c r="H171">
        <v>0.56999999284744296</v>
      </c>
      <c r="I171">
        <v>6.9000000953674299</v>
      </c>
      <c r="J171">
        <v>0</v>
      </c>
      <c r="K171">
        <v>25</v>
      </c>
      <c r="L171">
        <v>14</v>
      </c>
      <c r="M171">
        <v>309</v>
      </c>
      <c r="N171">
        <v>599</v>
      </c>
      <c r="O171">
        <v>3830</v>
      </c>
    </row>
    <row r="172" spans="1:15" x14ac:dyDescent="0.3">
      <c r="A172">
        <v>4020332650</v>
      </c>
      <c r="B172" s="1">
        <v>42446</v>
      </c>
      <c r="C172">
        <v>8940</v>
      </c>
      <c r="D172">
        <v>6.4099998474121103</v>
      </c>
      <c r="E172">
        <v>6.4099998474121103</v>
      </c>
      <c r="F172">
        <v>0</v>
      </c>
      <c r="G172">
        <v>0</v>
      </c>
      <c r="H172">
        <v>0</v>
      </c>
      <c r="I172">
        <v>0.61000001430511497</v>
      </c>
      <c r="J172">
        <v>3.9999999105930301E-2</v>
      </c>
      <c r="K172">
        <v>0</v>
      </c>
      <c r="L172">
        <v>0</v>
      </c>
      <c r="M172">
        <v>47</v>
      </c>
      <c r="N172">
        <v>986</v>
      </c>
      <c r="O172">
        <v>3706</v>
      </c>
    </row>
    <row r="173" spans="1:15" x14ac:dyDescent="0.3">
      <c r="A173">
        <v>4020332650</v>
      </c>
      <c r="B173" s="1">
        <v>42447</v>
      </c>
      <c r="C173">
        <v>368</v>
      </c>
      <c r="D173">
        <v>0.259999990463257</v>
      </c>
      <c r="E173">
        <v>0.259999990463257</v>
      </c>
      <c r="F173">
        <v>0</v>
      </c>
      <c r="G173">
        <v>0</v>
      </c>
      <c r="H173">
        <v>0</v>
      </c>
      <c r="I173">
        <v>0</v>
      </c>
      <c r="J173">
        <v>0</v>
      </c>
      <c r="K173">
        <v>0</v>
      </c>
      <c r="L173">
        <v>0</v>
      </c>
      <c r="M173">
        <v>0</v>
      </c>
      <c r="N173">
        <v>1440</v>
      </c>
      <c r="O173">
        <v>2024</v>
      </c>
    </row>
    <row r="174" spans="1:15" x14ac:dyDescent="0.3">
      <c r="A174">
        <v>4020332650</v>
      </c>
      <c r="B174" s="1">
        <v>42448</v>
      </c>
      <c r="C174">
        <v>5702</v>
      </c>
      <c r="D174">
        <v>4.0900001525878897</v>
      </c>
      <c r="E174">
        <v>4.0900001525878897</v>
      </c>
      <c r="F174">
        <v>0</v>
      </c>
      <c r="G174">
        <v>0</v>
      </c>
      <c r="H174">
        <v>0</v>
      </c>
      <c r="I174">
        <v>0</v>
      </c>
      <c r="J174">
        <v>0</v>
      </c>
      <c r="K174">
        <v>0</v>
      </c>
      <c r="L174">
        <v>0</v>
      </c>
      <c r="M174">
        <v>0</v>
      </c>
      <c r="N174">
        <v>1440</v>
      </c>
      <c r="O174">
        <v>2980</v>
      </c>
    </row>
    <row r="175" spans="1:15" x14ac:dyDescent="0.3">
      <c r="A175">
        <v>4020332650</v>
      </c>
      <c r="B175" s="1">
        <v>42449</v>
      </c>
      <c r="C175">
        <v>10330</v>
      </c>
      <c r="D175">
        <v>7.4099998474121103</v>
      </c>
      <c r="E175">
        <v>7.4099998474121103</v>
      </c>
      <c r="F175">
        <v>0</v>
      </c>
      <c r="G175">
        <v>0</v>
      </c>
      <c r="H175">
        <v>0</v>
      </c>
      <c r="I175">
        <v>0</v>
      </c>
      <c r="J175">
        <v>0</v>
      </c>
      <c r="K175">
        <v>0</v>
      </c>
      <c r="L175">
        <v>0</v>
      </c>
      <c r="M175">
        <v>0</v>
      </c>
      <c r="N175">
        <v>1440</v>
      </c>
      <c r="O175">
        <v>3728</v>
      </c>
    </row>
    <row r="176" spans="1:15" x14ac:dyDescent="0.3">
      <c r="A176">
        <v>4020332650</v>
      </c>
      <c r="B176" s="1">
        <v>42450</v>
      </c>
      <c r="C176">
        <v>8778</v>
      </c>
      <c r="D176">
        <v>6.28999996185303</v>
      </c>
      <c r="E176">
        <v>6.28999996185303</v>
      </c>
      <c r="F176">
        <v>0</v>
      </c>
      <c r="G176">
        <v>0</v>
      </c>
      <c r="H176">
        <v>0</v>
      </c>
      <c r="I176">
        <v>0</v>
      </c>
      <c r="J176">
        <v>0</v>
      </c>
      <c r="K176">
        <v>0</v>
      </c>
      <c r="L176">
        <v>0</v>
      </c>
      <c r="M176">
        <v>0</v>
      </c>
      <c r="N176">
        <v>1440</v>
      </c>
      <c r="O176">
        <v>3348</v>
      </c>
    </row>
    <row r="177" spans="1:15" x14ac:dyDescent="0.3">
      <c r="A177">
        <v>4020332650</v>
      </c>
      <c r="B177" s="1">
        <v>42451</v>
      </c>
      <c r="C177">
        <v>6662</v>
      </c>
      <c r="D177">
        <v>4.7800002098083496</v>
      </c>
      <c r="E177">
        <v>4.7800002098083496</v>
      </c>
      <c r="F177">
        <v>0</v>
      </c>
      <c r="G177">
        <v>0</v>
      </c>
      <c r="H177">
        <v>0</v>
      </c>
      <c r="I177">
        <v>0</v>
      </c>
      <c r="J177">
        <v>0</v>
      </c>
      <c r="K177">
        <v>0</v>
      </c>
      <c r="L177">
        <v>0</v>
      </c>
      <c r="M177">
        <v>0</v>
      </c>
      <c r="N177">
        <v>1440</v>
      </c>
      <c r="O177">
        <v>3162</v>
      </c>
    </row>
    <row r="178" spans="1:15" x14ac:dyDescent="0.3">
      <c r="A178">
        <v>4020332650</v>
      </c>
      <c r="B178" s="1">
        <v>42452</v>
      </c>
      <c r="C178">
        <v>6309</v>
      </c>
      <c r="D178">
        <v>4.5199999809265101</v>
      </c>
      <c r="E178">
        <v>4.5199999809265101</v>
      </c>
      <c r="F178">
        <v>0</v>
      </c>
      <c r="G178">
        <v>0</v>
      </c>
      <c r="H178">
        <v>0</v>
      </c>
      <c r="I178">
        <v>0</v>
      </c>
      <c r="J178">
        <v>0</v>
      </c>
      <c r="K178">
        <v>0</v>
      </c>
      <c r="L178">
        <v>0</v>
      </c>
      <c r="M178">
        <v>0</v>
      </c>
      <c r="N178">
        <v>1440</v>
      </c>
      <c r="O178">
        <v>3140</v>
      </c>
    </row>
    <row r="179" spans="1:15" x14ac:dyDescent="0.3">
      <c r="A179">
        <v>4020332650</v>
      </c>
      <c r="B179" s="1">
        <v>42453</v>
      </c>
      <c r="C179">
        <v>1951</v>
      </c>
      <c r="D179">
        <v>1.4099999666214</v>
      </c>
      <c r="E179">
        <v>1.4099999666214</v>
      </c>
      <c r="F179">
        <v>0</v>
      </c>
      <c r="G179">
        <v>0</v>
      </c>
      <c r="H179">
        <v>0</v>
      </c>
      <c r="I179">
        <v>0</v>
      </c>
      <c r="J179">
        <v>0</v>
      </c>
      <c r="K179">
        <v>0</v>
      </c>
      <c r="L179">
        <v>0</v>
      </c>
      <c r="M179">
        <v>0</v>
      </c>
      <c r="N179">
        <v>1440</v>
      </c>
      <c r="O179">
        <v>1980</v>
      </c>
    </row>
    <row r="180" spans="1:15" x14ac:dyDescent="0.3">
      <c r="A180">
        <v>4020332650</v>
      </c>
      <c r="B180" s="1">
        <v>42454</v>
      </c>
      <c r="C180">
        <v>5563</v>
      </c>
      <c r="D180">
        <v>3.9900000095367401</v>
      </c>
      <c r="E180">
        <v>3.9900000095367401</v>
      </c>
      <c r="F180">
        <v>0</v>
      </c>
      <c r="G180">
        <v>0</v>
      </c>
      <c r="H180">
        <v>0</v>
      </c>
      <c r="I180">
        <v>0</v>
      </c>
      <c r="J180">
        <v>0</v>
      </c>
      <c r="K180">
        <v>0</v>
      </c>
      <c r="L180">
        <v>0</v>
      </c>
      <c r="M180">
        <v>0</v>
      </c>
      <c r="N180">
        <v>1440</v>
      </c>
      <c r="O180">
        <v>3681</v>
      </c>
    </row>
    <row r="181" spans="1:15" x14ac:dyDescent="0.3">
      <c r="A181">
        <v>4020332650</v>
      </c>
      <c r="B181" s="1">
        <v>42455</v>
      </c>
      <c r="C181">
        <v>4370</v>
      </c>
      <c r="D181">
        <v>3.1300001144409202</v>
      </c>
      <c r="E181">
        <v>3.1300001144409202</v>
      </c>
      <c r="F181">
        <v>0</v>
      </c>
      <c r="G181">
        <v>0</v>
      </c>
      <c r="H181">
        <v>0</v>
      </c>
      <c r="I181">
        <v>0</v>
      </c>
      <c r="J181">
        <v>0</v>
      </c>
      <c r="K181">
        <v>0</v>
      </c>
      <c r="L181">
        <v>0</v>
      </c>
      <c r="M181">
        <v>0</v>
      </c>
      <c r="N181">
        <v>1440</v>
      </c>
      <c r="O181">
        <v>3444</v>
      </c>
    </row>
    <row r="182" spans="1:15" x14ac:dyDescent="0.3">
      <c r="A182">
        <v>4020332650</v>
      </c>
      <c r="B182" s="1">
        <v>42456</v>
      </c>
      <c r="C182">
        <v>7144</v>
      </c>
      <c r="D182">
        <v>5.1199998855590803</v>
      </c>
      <c r="E182">
        <v>5.1199998855590803</v>
      </c>
      <c r="F182">
        <v>0</v>
      </c>
      <c r="G182">
        <v>0</v>
      </c>
      <c r="H182">
        <v>0</v>
      </c>
      <c r="I182">
        <v>0</v>
      </c>
      <c r="J182">
        <v>0</v>
      </c>
      <c r="K182">
        <v>0</v>
      </c>
      <c r="L182">
        <v>0</v>
      </c>
      <c r="M182">
        <v>0</v>
      </c>
      <c r="N182">
        <v>1440</v>
      </c>
      <c r="O182">
        <v>3510</v>
      </c>
    </row>
    <row r="183" spans="1:15" x14ac:dyDescent="0.3">
      <c r="A183">
        <v>4020332650</v>
      </c>
      <c r="B183" s="1">
        <v>42457</v>
      </c>
      <c r="C183">
        <v>2106</v>
      </c>
      <c r="D183">
        <v>1.5099999904632599</v>
      </c>
      <c r="E183">
        <v>1.5099999904632599</v>
      </c>
      <c r="F183">
        <v>0</v>
      </c>
      <c r="G183">
        <v>1.9999999552965199E-2</v>
      </c>
      <c r="H183">
        <v>5.0000000745058101E-2</v>
      </c>
      <c r="I183">
        <v>0.20999999344348899</v>
      </c>
      <c r="J183">
        <v>0</v>
      </c>
      <c r="K183">
        <v>31</v>
      </c>
      <c r="L183">
        <v>45</v>
      </c>
      <c r="M183">
        <v>75</v>
      </c>
      <c r="N183">
        <v>1289</v>
      </c>
      <c r="O183">
        <v>4010</v>
      </c>
    </row>
    <row r="184" spans="1:15" x14ac:dyDescent="0.3">
      <c r="A184">
        <v>4020332650</v>
      </c>
      <c r="B184" s="1">
        <v>42458</v>
      </c>
      <c r="C184">
        <v>4152</v>
      </c>
      <c r="D184">
        <v>2.9800000190734899</v>
      </c>
      <c r="E184">
        <v>2.9800000190734899</v>
      </c>
      <c r="F184">
        <v>0</v>
      </c>
      <c r="G184">
        <v>0</v>
      </c>
      <c r="H184">
        <v>0</v>
      </c>
      <c r="I184">
        <v>2.96000003814697</v>
      </c>
      <c r="J184">
        <v>0</v>
      </c>
      <c r="K184">
        <v>0</v>
      </c>
      <c r="L184">
        <v>0</v>
      </c>
      <c r="M184">
        <v>187</v>
      </c>
      <c r="N184">
        <v>1253</v>
      </c>
      <c r="O184">
        <v>2976</v>
      </c>
    </row>
    <row r="185" spans="1:15" x14ac:dyDescent="0.3">
      <c r="A185">
        <v>4020332650</v>
      </c>
      <c r="B185" s="1">
        <v>42459</v>
      </c>
      <c r="C185">
        <v>5400</v>
      </c>
      <c r="D185">
        <v>3.8699998855590798</v>
      </c>
      <c r="E185">
        <v>3.8699998855590798</v>
      </c>
      <c r="F185">
        <v>0</v>
      </c>
      <c r="G185">
        <v>0</v>
      </c>
      <c r="H185">
        <v>0</v>
      </c>
      <c r="I185">
        <v>3.8499999046325701</v>
      </c>
      <c r="J185">
        <v>0</v>
      </c>
      <c r="K185">
        <v>0</v>
      </c>
      <c r="L185">
        <v>0</v>
      </c>
      <c r="M185">
        <v>258</v>
      </c>
      <c r="N185">
        <v>795</v>
      </c>
      <c r="O185">
        <v>3418</v>
      </c>
    </row>
    <row r="186" spans="1:15" x14ac:dyDescent="0.3">
      <c r="A186">
        <v>4020332650</v>
      </c>
      <c r="B186" s="1">
        <v>42460</v>
      </c>
      <c r="C186">
        <v>7428</v>
      </c>
      <c r="D186">
        <v>5.3299999237060502</v>
      </c>
      <c r="E186">
        <v>5.3299999237060502</v>
      </c>
      <c r="F186">
        <v>0</v>
      </c>
      <c r="G186">
        <v>0.87000000476837203</v>
      </c>
      <c r="H186">
        <v>0.92000001668930098</v>
      </c>
      <c r="I186">
        <v>3.5099999904632599</v>
      </c>
      <c r="J186">
        <v>0</v>
      </c>
      <c r="K186">
        <v>18</v>
      </c>
      <c r="L186">
        <v>33</v>
      </c>
      <c r="M186">
        <v>261</v>
      </c>
      <c r="N186">
        <v>860</v>
      </c>
      <c r="O186">
        <v>3439</v>
      </c>
    </row>
    <row r="187" spans="1:15" x14ac:dyDescent="0.3">
      <c r="A187">
        <v>4020332650</v>
      </c>
      <c r="B187" s="1">
        <v>42461</v>
      </c>
      <c r="C187">
        <v>5351</v>
      </c>
      <c r="D187">
        <v>3.8399999141693102</v>
      </c>
      <c r="E187">
        <v>3.8399999141693102</v>
      </c>
      <c r="F187">
        <v>0</v>
      </c>
      <c r="G187">
        <v>0.62000000476837203</v>
      </c>
      <c r="H187">
        <v>0.18000000715255701</v>
      </c>
      <c r="I187">
        <v>3.0099999904632599</v>
      </c>
      <c r="J187">
        <v>0</v>
      </c>
      <c r="K187">
        <v>15</v>
      </c>
      <c r="L187">
        <v>17</v>
      </c>
      <c r="M187">
        <v>210</v>
      </c>
      <c r="N187">
        <v>748</v>
      </c>
      <c r="O187">
        <v>3338</v>
      </c>
    </row>
    <row r="188" spans="1:15" x14ac:dyDescent="0.3">
      <c r="A188">
        <v>4020332650</v>
      </c>
      <c r="B188" s="1">
        <v>42462</v>
      </c>
      <c r="C188">
        <v>4299</v>
      </c>
      <c r="D188">
        <v>3.0999999046325701</v>
      </c>
      <c r="E188">
        <v>3.0999999046325701</v>
      </c>
      <c r="F188">
        <v>0</v>
      </c>
      <c r="G188">
        <v>9.00000035762787E-2</v>
      </c>
      <c r="H188">
        <v>0.20999999344348899</v>
      </c>
      <c r="I188">
        <v>2.7400000095367401</v>
      </c>
      <c r="J188">
        <v>3.9999999105930301E-2</v>
      </c>
      <c r="K188">
        <v>3</v>
      </c>
      <c r="L188">
        <v>15</v>
      </c>
      <c r="M188">
        <v>162</v>
      </c>
      <c r="N188">
        <v>752</v>
      </c>
      <c r="O188">
        <v>2892</v>
      </c>
    </row>
    <row r="189" spans="1:15" x14ac:dyDescent="0.3">
      <c r="A189">
        <v>4020332650</v>
      </c>
      <c r="B189" s="1">
        <v>42463</v>
      </c>
      <c r="C189">
        <v>6107</v>
      </c>
      <c r="D189">
        <v>4.3800001144409197</v>
      </c>
      <c r="E189">
        <v>4.3800001144409197</v>
      </c>
      <c r="F189">
        <v>0</v>
      </c>
      <c r="G189">
        <v>0</v>
      </c>
      <c r="H189">
        <v>0</v>
      </c>
      <c r="I189">
        <v>4.3600001335143999</v>
      </c>
      <c r="J189">
        <v>0</v>
      </c>
      <c r="K189">
        <v>0</v>
      </c>
      <c r="L189">
        <v>0</v>
      </c>
      <c r="M189">
        <v>265</v>
      </c>
      <c r="N189">
        <v>776</v>
      </c>
      <c r="O189">
        <v>3313</v>
      </c>
    </row>
    <row r="190" spans="1:15" x14ac:dyDescent="0.3">
      <c r="A190">
        <v>4020332650</v>
      </c>
      <c r="B190" s="1">
        <v>42464</v>
      </c>
      <c r="C190">
        <v>6429</v>
      </c>
      <c r="D190">
        <v>4.5999999046325701</v>
      </c>
      <c r="E190">
        <v>4.5999999046325701</v>
      </c>
      <c r="F190">
        <v>0</v>
      </c>
      <c r="G190">
        <v>0</v>
      </c>
      <c r="H190">
        <v>0.94999998807907104</v>
      </c>
      <c r="I190">
        <v>3.6500000953674299</v>
      </c>
      <c r="J190">
        <v>0</v>
      </c>
      <c r="K190">
        <v>0</v>
      </c>
      <c r="L190">
        <v>28</v>
      </c>
      <c r="M190">
        <v>193</v>
      </c>
      <c r="N190">
        <v>741</v>
      </c>
      <c r="O190">
        <v>3118</v>
      </c>
    </row>
    <row r="191" spans="1:15" x14ac:dyDescent="0.3">
      <c r="A191">
        <v>4020332650</v>
      </c>
      <c r="B191" s="1">
        <v>42465</v>
      </c>
      <c r="C191">
        <v>6880</v>
      </c>
      <c r="D191">
        <v>4.9299998283386204</v>
      </c>
      <c r="E191">
        <v>4.9299998283386204</v>
      </c>
      <c r="F191">
        <v>0</v>
      </c>
      <c r="G191">
        <v>0.5</v>
      </c>
      <c r="H191">
        <v>0.75999999046325695</v>
      </c>
      <c r="I191">
        <v>3.6500000953674299</v>
      </c>
      <c r="J191">
        <v>0</v>
      </c>
      <c r="K191">
        <v>7</v>
      </c>
      <c r="L191">
        <v>19</v>
      </c>
      <c r="M191">
        <v>165</v>
      </c>
      <c r="N191">
        <v>1249</v>
      </c>
      <c r="O191">
        <v>2966</v>
      </c>
    </row>
    <row r="192" spans="1:15" x14ac:dyDescent="0.3">
      <c r="A192">
        <v>4020332650</v>
      </c>
      <c r="B192" s="1">
        <v>42466</v>
      </c>
      <c r="C192">
        <v>7476</v>
      </c>
      <c r="D192">
        <v>5.3600001335143999</v>
      </c>
      <c r="E192">
        <v>5.3600001335143999</v>
      </c>
      <c r="F192">
        <v>0</v>
      </c>
      <c r="G192">
        <v>0</v>
      </c>
      <c r="H192">
        <v>0</v>
      </c>
      <c r="I192">
        <v>5.3099999427795401</v>
      </c>
      <c r="J192">
        <v>0</v>
      </c>
      <c r="K192">
        <v>0</v>
      </c>
      <c r="L192">
        <v>0</v>
      </c>
      <c r="M192">
        <v>263</v>
      </c>
      <c r="N192">
        <v>920</v>
      </c>
      <c r="O192">
        <v>3253</v>
      </c>
    </row>
    <row r="193" spans="1:15" x14ac:dyDescent="0.3">
      <c r="A193">
        <v>4020332650</v>
      </c>
      <c r="B193" s="1">
        <v>42467</v>
      </c>
      <c r="C193">
        <v>6581</v>
      </c>
      <c r="D193">
        <v>4.7199997901916504</v>
      </c>
      <c r="E193">
        <v>4.7199997901916504</v>
      </c>
      <c r="F193">
        <v>0</v>
      </c>
      <c r="G193">
        <v>0</v>
      </c>
      <c r="H193">
        <v>0.28999999165535001</v>
      </c>
      <c r="I193">
        <v>4.3899998664856001</v>
      </c>
      <c r="J193">
        <v>0</v>
      </c>
      <c r="K193">
        <v>0</v>
      </c>
      <c r="L193">
        <v>8</v>
      </c>
      <c r="M193">
        <v>241</v>
      </c>
      <c r="N193">
        <v>1191</v>
      </c>
      <c r="O193">
        <v>3032</v>
      </c>
    </row>
    <row r="194" spans="1:15" x14ac:dyDescent="0.3">
      <c r="A194">
        <v>4020332650</v>
      </c>
      <c r="B194" s="1">
        <v>42468</v>
      </c>
      <c r="C194">
        <v>10480</v>
      </c>
      <c r="D194">
        <v>7.5100002288818404</v>
      </c>
      <c r="E194">
        <v>7.5100002288818404</v>
      </c>
      <c r="F194">
        <v>0</v>
      </c>
      <c r="G194">
        <v>0.40999999642372098</v>
      </c>
      <c r="H194">
        <v>1.4700000286102299</v>
      </c>
      <c r="I194">
        <v>5.0100002288818404</v>
      </c>
      <c r="J194">
        <v>3.9999999105930301E-2</v>
      </c>
      <c r="K194">
        <v>6</v>
      </c>
      <c r="L194">
        <v>37</v>
      </c>
      <c r="M194">
        <v>272</v>
      </c>
      <c r="N194">
        <v>1125</v>
      </c>
      <c r="O194">
        <v>4034</v>
      </c>
    </row>
    <row r="195" spans="1:15" x14ac:dyDescent="0.3">
      <c r="A195">
        <v>4020332650</v>
      </c>
      <c r="B195" s="1">
        <v>42469</v>
      </c>
      <c r="C195">
        <v>7734</v>
      </c>
      <c r="D195">
        <v>5.5500001907348597</v>
      </c>
      <c r="E195">
        <v>5.5500001907348597</v>
      </c>
      <c r="F195">
        <v>0</v>
      </c>
      <c r="G195">
        <v>1.1599999666214</v>
      </c>
      <c r="H195">
        <v>0.490000009536743</v>
      </c>
      <c r="I195">
        <v>3.8199999332428001</v>
      </c>
      <c r="J195">
        <v>5.9999998658895499E-2</v>
      </c>
      <c r="K195">
        <v>20</v>
      </c>
      <c r="L195">
        <v>12</v>
      </c>
      <c r="M195">
        <v>223</v>
      </c>
      <c r="N195">
        <v>1185</v>
      </c>
      <c r="O195">
        <v>3264</v>
      </c>
    </row>
    <row r="196" spans="1:15" x14ac:dyDescent="0.3">
      <c r="A196">
        <v>4020332650</v>
      </c>
      <c r="B196" s="1">
        <v>42470</v>
      </c>
      <c r="C196">
        <v>5129</v>
      </c>
      <c r="D196">
        <v>3.6800000667571999</v>
      </c>
      <c r="E196">
        <v>3.6800000667571999</v>
      </c>
      <c r="F196">
        <v>0</v>
      </c>
      <c r="G196">
        <v>0.18000000715255701</v>
      </c>
      <c r="H196">
        <v>0.239999994635582</v>
      </c>
      <c r="I196">
        <v>3.21000003814697</v>
      </c>
      <c r="J196">
        <v>9.9999997764825804E-3</v>
      </c>
      <c r="K196">
        <v>5</v>
      </c>
      <c r="L196">
        <v>7</v>
      </c>
      <c r="M196">
        <v>176</v>
      </c>
      <c r="N196">
        <v>1178</v>
      </c>
      <c r="O196">
        <v>2817</v>
      </c>
    </row>
    <row r="197" spans="1:15" x14ac:dyDescent="0.3">
      <c r="A197">
        <v>4020332650</v>
      </c>
      <c r="B197" s="1">
        <v>42471</v>
      </c>
      <c r="C197">
        <v>2993</v>
      </c>
      <c r="D197">
        <v>2.1500000953674299</v>
      </c>
      <c r="E197">
        <v>2.1500000953674299</v>
      </c>
      <c r="F197">
        <v>0</v>
      </c>
      <c r="G197">
        <v>0</v>
      </c>
      <c r="H197">
        <v>0</v>
      </c>
      <c r="I197">
        <v>2.0899999141693102</v>
      </c>
      <c r="J197">
        <v>0</v>
      </c>
      <c r="K197">
        <v>0</v>
      </c>
      <c r="L197">
        <v>0</v>
      </c>
      <c r="M197">
        <v>114</v>
      </c>
      <c r="N197">
        <v>888</v>
      </c>
      <c r="O197">
        <v>2507</v>
      </c>
    </row>
    <row r="198" spans="1:15" x14ac:dyDescent="0.3">
      <c r="A198">
        <v>4020332650</v>
      </c>
      <c r="B198" s="1">
        <v>42472</v>
      </c>
      <c r="C198">
        <v>8</v>
      </c>
      <c r="D198">
        <v>9.9999997764825804E-3</v>
      </c>
      <c r="E198">
        <v>9.9999997764825804E-3</v>
      </c>
      <c r="F198">
        <v>0</v>
      </c>
      <c r="G198">
        <v>0</v>
      </c>
      <c r="H198">
        <v>0</v>
      </c>
      <c r="I198">
        <v>9.9999997764825804E-3</v>
      </c>
      <c r="J198">
        <v>0</v>
      </c>
      <c r="K198">
        <v>0</v>
      </c>
      <c r="L198">
        <v>0</v>
      </c>
      <c r="M198">
        <v>1</v>
      </c>
      <c r="N198">
        <v>321</v>
      </c>
      <c r="O198">
        <v>446</v>
      </c>
    </row>
    <row r="199" spans="1:15" x14ac:dyDescent="0.3">
      <c r="A199">
        <v>4057192912</v>
      </c>
      <c r="B199" s="1">
        <v>42441</v>
      </c>
      <c r="C199">
        <v>0</v>
      </c>
      <c r="D199">
        <v>0</v>
      </c>
      <c r="E199">
        <v>0</v>
      </c>
      <c r="F199">
        <v>0</v>
      </c>
      <c r="G199">
        <v>0</v>
      </c>
      <c r="H199">
        <v>0</v>
      </c>
      <c r="I199">
        <v>0</v>
      </c>
      <c r="J199">
        <v>0</v>
      </c>
      <c r="K199">
        <v>0</v>
      </c>
      <c r="L199">
        <v>0</v>
      </c>
      <c r="M199">
        <v>0</v>
      </c>
      <c r="N199">
        <v>1440</v>
      </c>
      <c r="O199">
        <v>1777</v>
      </c>
    </row>
    <row r="200" spans="1:15" x14ac:dyDescent="0.3">
      <c r="A200">
        <v>4057192912</v>
      </c>
      <c r="B200" s="1">
        <v>42442</v>
      </c>
      <c r="C200">
        <v>0</v>
      </c>
      <c r="D200">
        <v>0</v>
      </c>
      <c r="E200">
        <v>0</v>
      </c>
      <c r="F200">
        <v>0</v>
      </c>
      <c r="G200">
        <v>0</v>
      </c>
      <c r="H200">
        <v>0</v>
      </c>
      <c r="I200">
        <v>0</v>
      </c>
      <c r="J200">
        <v>0</v>
      </c>
      <c r="K200">
        <v>0</v>
      </c>
      <c r="L200">
        <v>0</v>
      </c>
      <c r="M200">
        <v>0</v>
      </c>
      <c r="N200">
        <v>1440</v>
      </c>
      <c r="O200">
        <v>1777</v>
      </c>
    </row>
    <row r="201" spans="1:15" x14ac:dyDescent="0.3">
      <c r="A201">
        <v>4057192912</v>
      </c>
      <c r="B201" s="1">
        <v>42443</v>
      </c>
      <c r="C201">
        <v>8433</v>
      </c>
      <c r="D201">
        <v>6.2300000190734899</v>
      </c>
      <c r="E201">
        <v>6.2300000190734899</v>
      </c>
      <c r="F201">
        <v>0</v>
      </c>
      <c r="G201">
        <v>2.4500000476837198</v>
      </c>
      <c r="H201">
        <v>0.33000001311302202</v>
      </c>
      <c r="I201">
        <v>3.4400000572204599</v>
      </c>
      <c r="J201">
        <v>0</v>
      </c>
      <c r="K201">
        <v>30</v>
      </c>
      <c r="L201">
        <v>7</v>
      </c>
      <c r="M201">
        <v>135</v>
      </c>
      <c r="N201">
        <v>1268</v>
      </c>
      <c r="O201">
        <v>2453</v>
      </c>
    </row>
    <row r="202" spans="1:15" x14ac:dyDescent="0.3">
      <c r="A202">
        <v>4057192912</v>
      </c>
      <c r="B202" s="1">
        <v>42444</v>
      </c>
      <c r="C202">
        <v>0</v>
      </c>
      <c r="D202">
        <v>0</v>
      </c>
      <c r="E202">
        <v>0</v>
      </c>
      <c r="F202">
        <v>0</v>
      </c>
      <c r="G202">
        <v>0</v>
      </c>
      <c r="H202">
        <v>0</v>
      </c>
      <c r="I202">
        <v>0</v>
      </c>
      <c r="J202">
        <v>0</v>
      </c>
      <c r="K202">
        <v>0</v>
      </c>
      <c r="L202">
        <v>0</v>
      </c>
      <c r="M202">
        <v>0</v>
      </c>
      <c r="N202">
        <v>1440</v>
      </c>
      <c r="O202">
        <v>1776</v>
      </c>
    </row>
    <row r="203" spans="1:15" x14ac:dyDescent="0.3">
      <c r="A203">
        <v>4057192912</v>
      </c>
      <c r="B203" s="1">
        <v>42445</v>
      </c>
      <c r="C203">
        <v>2139</v>
      </c>
      <c r="D203">
        <v>1.5599999427795399</v>
      </c>
      <c r="E203">
        <v>1.5599999427795399</v>
      </c>
      <c r="F203">
        <v>0</v>
      </c>
      <c r="G203">
        <v>0</v>
      </c>
      <c r="H203">
        <v>1.29999995231628</v>
      </c>
      <c r="I203">
        <v>0.259999990463257</v>
      </c>
      <c r="J203">
        <v>0</v>
      </c>
      <c r="K203">
        <v>0</v>
      </c>
      <c r="L203">
        <v>28</v>
      </c>
      <c r="M203">
        <v>15</v>
      </c>
      <c r="N203">
        <v>1397</v>
      </c>
      <c r="O203">
        <v>1935</v>
      </c>
    </row>
    <row r="204" spans="1:15" x14ac:dyDescent="0.3">
      <c r="A204">
        <v>4057192912</v>
      </c>
      <c r="B204" s="1">
        <v>42446</v>
      </c>
      <c r="C204">
        <v>0</v>
      </c>
      <c r="D204">
        <v>0</v>
      </c>
      <c r="E204">
        <v>0</v>
      </c>
      <c r="F204">
        <v>0</v>
      </c>
      <c r="G204">
        <v>0</v>
      </c>
      <c r="H204">
        <v>0</v>
      </c>
      <c r="I204">
        <v>0</v>
      </c>
      <c r="J204">
        <v>0</v>
      </c>
      <c r="K204">
        <v>0</v>
      </c>
      <c r="L204">
        <v>0</v>
      </c>
      <c r="M204">
        <v>0</v>
      </c>
      <c r="N204">
        <v>1440</v>
      </c>
      <c r="O204">
        <v>1776</v>
      </c>
    </row>
    <row r="205" spans="1:15" x14ac:dyDescent="0.3">
      <c r="A205">
        <v>4057192912</v>
      </c>
      <c r="B205" s="1">
        <v>42447</v>
      </c>
      <c r="C205">
        <v>949</v>
      </c>
      <c r="D205">
        <v>0.68999999761581399</v>
      </c>
      <c r="E205">
        <v>0.68999999761581399</v>
      </c>
      <c r="F205">
        <v>0</v>
      </c>
      <c r="G205">
        <v>0</v>
      </c>
      <c r="H205">
        <v>0</v>
      </c>
      <c r="I205">
        <v>0.68999999761581399</v>
      </c>
      <c r="J205">
        <v>0</v>
      </c>
      <c r="K205">
        <v>0</v>
      </c>
      <c r="L205">
        <v>0</v>
      </c>
      <c r="M205">
        <v>34</v>
      </c>
      <c r="N205">
        <v>1406</v>
      </c>
      <c r="O205">
        <v>1870</v>
      </c>
    </row>
    <row r="206" spans="1:15" x14ac:dyDescent="0.3">
      <c r="A206">
        <v>4057192912</v>
      </c>
      <c r="B206" s="1">
        <v>42448</v>
      </c>
      <c r="C206">
        <v>0</v>
      </c>
      <c r="D206">
        <v>0</v>
      </c>
      <c r="E206">
        <v>0</v>
      </c>
      <c r="F206">
        <v>0</v>
      </c>
      <c r="G206">
        <v>0</v>
      </c>
      <c r="H206">
        <v>0</v>
      </c>
      <c r="I206">
        <v>0</v>
      </c>
      <c r="J206">
        <v>0</v>
      </c>
      <c r="K206">
        <v>0</v>
      </c>
      <c r="L206">
        <v>0</v>
      </c>
      <c r="M206">
        <v>0</v>
      </c>
      <c r="N206">
        <v>1440</v>
      </c>
      <c r="O206">
        <v>1777</v>
      </c>
    </row>
    <row r="207" spans="1:15" x14ac:dyDescent="0.3">
      <c r="A207">
        <v>4057192912</v>
      </c>
      <c r="B207" s="1">
        <v>42449</v>
      </c>
      <c r="C207">
        <v>44</v>
      </c>
      <c r="D207">
        <v>2.9999999329447701E-2</v>
      </c>
      <c r="E207">
        <v>2.9999999329447701E-2</v>
      </c>
      <c r="F207">
        <v>0</v>
      </c>
      <c r="G207">
        <v>0</v>
      </c>
      <c r="H207">
        <v>0</v>
      </c>
      <c r="I207">
        <v>2.9999999329447701E-2</v>
      </c>
      <c r="J207">
        <v>0</v>
      </c>
      <c r="K207">
        <v>0</v>
      </c>
      <c r="L207">
        <v>0</v>
      </c>
      <c r="M207">
        <v>2</v>
      </c>
      <c r="N207">
        <v>1438</v>
      </c>
      <c r="O207">
        <v>1782</v>
      </c>
    </row>
    <row r="208" spans="1:15" x14ac:dyDescent="0.3">
      <c r="A208">
        <v>4057192912</v>
      </c>
      <c r="B208" s="1">
        <v>42450</v>
      </c>
      <c r="C208">
        <v>2660</v>
      </c>
      <c r="D208">
        <v>1.9400000572204601</v>
      </c>
      <c r="E208">
        <v>1.9400000572204601</v>
      </c>
      <c r="F208">
        <v>0</v>
      </c>
      <c r="G208">
        <v>0</v>
      </c>
      <c r="H208">
        <v>0</v>
      </c>
      <c r="I208">
        <v>1.9400000572204601</v>
      </c>
      <c r="J208">
        <v>0</v>
      </c>
      <c r="K208">
        <v>0</v>
      </c>
      <c r="L208">
        <v>0</v>
      </c>
      <c r="M208">
        <v>46</v>
      </c>
      <c r="N208">
        <v>1394</v>
      </c>
      <c r="O208">
        <v>1978</v>
      </c>
    </row>
    <row r="209" spans="1:15" x14ac:dyDescent="0.3">
      <c r="A209">
        <v>4057192912</v>
      </c>
      <c r="B209" s="1">
        <v>42451</v>
      </c>
      <c r="C209">
        <v>5561</v>
      </c>
      <c r="D209">
        <v>4.1900000572204599</v>
      </c>
      <c r="E209">
        <v>4.1900000572204599</v>
      </c>
      <c r="F209">
        <v>0</v>
      </c>
      <c r="G209">
        <v>0</v>
      </c>
      <c r="H209">
        <v>0</v>
      </c>
      <c r="I209">
        <v>4.0700001716613796</v>
      </c>
      <c r="J209">
        <v>0</v>
      </c>
      <c r="K209">
        <v>0</v>
      </c>
      <c r="L209">
        <v>0</v>
      </c>
      <c r="M209">
        <v>169</v>
      </c>
      <c r="N209">
        <v>1271</v>
      </c>
      <c r="O209">
        <v>2296</v>
      </c>
    </row>
    <row r="210" spans="1:15" x14ac:dyDescent="0.3">
      <c r="A210">
        <v>4057192912</v>
      </c>
      <c r="B210" s="1">
        <v>42452</v>
      </c>
      <c r="C210">
        <v>7239</v>
      </c>
      <c r="D210">
        <v>5.3400001525878897</v>
      </c>
      <c r="E210">
        <v>5.3400001525878897</v>
      </c>
      <c r="F210">
        <v>0</v>
      </c>
      <c r="G210">
        <v>0.55000001192092896</v>
      </c>
      <c r="H210">
        <v>0.36000001430511502</v>
      </c>
      <c r="I210">
        <v>4.3800001144409197</v>
      </c>
      <c r="J210">
        <v>0</v>
      </c>
      <c r="K210">
        <v>7</v>
      </c>
      <c r="L210">
        <v>7</v>
      </c>
      <c r="M210">
        <v>190</v>
      </c>
      <c r="N210">
        <v>1236</v>
      </c>
      <c r="O210">
        <v>2484</v>
      </c>
    </row>
    <row r="211" spans="1:15" x14ac:dyDescent="0.3">
      <c r="A211">
        <v>4057192912</v>
      </c>
      <c r="B211" s="1">
        <v>42453</v>
      </c>
      <c r="C211">
        <v>7</v>
      </c>
      <c r="D211">
        <v>9.9999997764825804E-3</v>
      </c>
      <c r="E211">
        <v>9.9999997764825804E-3</v>
      </c>
      <c r="F211">
        <v>0</v>
      </c>
      <c r="G211">
        <v>0</v>
      </c>
      <c r="H211">
        <v>0</v>
      </c>
      <c r="I211">
        <v>9.9999997764825804E-3</v>
      </c>
      <c r="J211">
        <v>0</v>
      </c>
      <c r="K211">
        <v>0</v>
      </c>
      <c r="L211">
        <v>0</v>
      </c>
      <c r="M211">
        <v>1</v>
      </c>
      <c r="N211">
        <v>1439</v>
      </c>
      <c r="O211">
        <v>1787</v>
      </c>
    </row>
    <row r="212" spans="1:15" x14ac:dyDescent="0.3">
      <c r="A212">
        <v>4057192912</v>
      </c>
      <c r="B212" s="1">
        <v>42454</v>
      </c>
      <c r="C212">
        <v>0</v>
      </c>
      <c r="D212">
        <v>0</v>
      </c>
      <c r="E212">
        <v>0</v>
      </c>
      <c r="F212">
        <v>0</v>
      </c>
      <c r="G212">
        <v>0</v>
      </c>
      <c r="H212">
        <v>0</v>
      </c>
      <c r="I212">
        <v>0</v>
      </c>
      <c r="J212">
        <v>0</v>
      </c>
      <c r="K212">
        <v>0</v>
      </c>
      <c r="L212">
        <v>0</v>
      </c>
      <c r="M212">
        <v>0</v>
      </c>
      <c r="N212">
        <v>1440</v>
      </c>
      <c r="O212">
        <v>1776</v>
      </c>
    </row>
    <row r="213" spans="1:15" x14ac:dyDescent="0.3">
      <c r="A213">
        <v>4057192912</v>
      </c>
      <c r="B213" s="1">
        <v>42455</v>
      </c>
      <c r="C213">
        <v>0</v>
      </c>
      <c r="D213">
        <v>0</v>
      </c>
      <c r="E213">
        <v>0</v>
      </c>
      <c r="F213">
        <v>0</v>
      </c>
      <c r="G213">
        <v>0</v>
      </c>
      <c r="H213">
        <v>0</v>
      </c>
      <c r="I213">
        <v>0</v>
      </c>
      <c r="J213">
        <v>0</v>
      </c>
      <c r="K213">
        <v>0</v>
      </c>
      <c r="L213">
        <v>0</v>
      </c>
      <c r="M213">
        <v>0</v>
      </c>
      <c r="N213">
        <v>1440</v>
      </c>
      <c r="O213">
        <v>1776</v>
      </c>
    </row>
    <row r="214" spans="1:15" x14ac:dyDescent="0.3">
      <c r="A214">
        <v>4057192912</v>
      </c>
      <c r="B214" s="1">
        <v>42456</v>
      </c>
      <c r="C214">
        <v>2275</v>
      </c>
      <c r="D214">
        <v>1.6799999475479099</v>
      </c>
      <c r="E214">
        <v>1.6799999475479099</v>
      </c>
      <c r="F214">
        <v>0</v>
      </c>
      <c r="G214">
        <v>0</v>
      </c>
      <c r="H214">
        <v>0</v>
      </c>
      <c r="I214">
        <v>1.6599999666214</v>
      </c>
      <c r="J214">
        <v>0</v>
      </c>
      <c r="K214">
        <v>0</v>
      </c>
      <c r="L214">
        <v>0</v>
      </c>
      <c r="M214">
        <v>86</v>
      </c>
      <c r="N214">
        <v>1354</v>
      </c>
      <c r="O214">
        <v>2005</v>
      </c>
    </row>
    <row r="215" spans="1:15" x14ac:dyDescent="0.3">
      <c r="A215">
        <v>4057192912</v>
      </c>
      <c r="B215" s="1">
        <v>42457</v>
      </c>
      <c r="C215">
        <v>8</v>
      </c>
      <c r="D215">
        <v>9.9999997764825804E-3</v>
      </c>
      <c r="E215">
        <v>9.9999997764825804E-3</v>
      </c>
      <c r="F215">
        <v>0</v>
      </c>
      <c r="G215">
        <v>0</v>
      </c>
      <c r="H215">
        <v>0</v>
      </c>
      <c r="I215">
        <v>9.9999997764825804E-3</v>
      </c>
      <c r="J215">
        <v>0</v>
      </c>
      <c r="K215">
        <v>0</v>
      </c>
      <c r="L215">
        <v>0</v>
      </c>
      <c r="M215">
        <v>1</v>
      </c>
      <c r="N215">
        <v>1439</v>
      </c>
      <c r="O215">
        <v>1778</v>
      </c>
    </row>
    <row r="216" spans="1:15" x14ac:dyDescent="0.3">
      <c r="A216">
        <v>4057192912</v>
      </c>
      <c r="B216" s="1">
        <v>42458</v>
      </c>
      <c r="C216">
        <v>5137</v>
      </c>
      <c r="D216">
        <v>3.7599999904632599</v>
      </c>
      <c r="E216">
        <v>3.7599999904632599</v>
      </c>
      <c r="F216">
        <v>0</v>
      </c>
      <c r="G216">
        <v>0</v>
      </c>
      <c r="H216">
        <v>0</v>
      </c>
      <c r="I216">
        <v>3.7599999904632599</v>
      </c>
      <c r="J216">
        <v>0</v>
      </c>
      <c r="K216">
        <v>0</v>
      </c>
      <c r="L216">
        <v>0</v>
      </c>
      <c r="M216">
        <v>160</v>
      </c>
      <c r="N216">
        <v>1280</v>
      </c>
      <c r="O216">
        <v>2293</v>
      </c>
    </row>
    <row r="217" spans="1:15" x14ac:dyDescent="0.3">
      <c r="A217">
        <v>4057192912</v>
      </c>
      <c r="B217" s="1">
        <v>42459</v>
      </c>
      <c r="C217">
        <v>5419</v>
      </c>
      <c r="D217">
        <v>4</v>
      </c>
      <c r="E217">
        <v>4.5700001716613796</v>
      </c>
      <c r="F217">
        <v>5.5842999368906E-2</v>
      </c>
      <c r="G217">
        <v>0</v>
      </c>
      <c r="H217">
        <v>0</v>
      </c>
      <c r="I217">
        <v>3.9100000858306898</v>
      </c>
      <c r="J217">
        <v>5.9999998658895499E-2</v>
      </c>
      <c r="K217">
        <v>0</v>
      </c>
      <c r="L217">
        <v>0</v>
      </c>
      <c r="M217">
        <v>145</v>
      </c>
      <c r="N217">
        <v>1295</v>
      </c>
      <c r="O217">
        <v>2259</v>
      </c>
    </row>
    <row r="218" spans="1:15" x14ac:dyDescent="0.3">
      <c r="A218">
        <v>4057192912</v>
      </c>
      <c r="B218" s="1">
        <v>42460</v>
      </c>
      <c r="C218">
        <v>0</v>
      </c>
      <c r="D218">
        <v>0</v>
      </c>
      <c r="E218">
        <v>0</v>
      </c>
      <c r="F218">
        <v>0</v>
      </c>
      <c r="G218">
        <v>0</v>
      </c>
      <c r="H218">
        <v>0</v>
      </c>
      <c r="I218">
        <v>0</v>
      </c>
      <c r="J218">
        <v>0</v>
      </c>
      <c r="K218">
        <v>0</v>
      </c>
      <c r="L218">
        <v>0</v>
      </c>
      <c r="M218">
        <v>0</v>
      </c>
      <c r="N218">
        <v>1440</v>
      </c>
      <c r="O218">
        <v>1776</v>
      </c>
    </row>
    <row r="219" spans="1:15" x14ac:dyDescent="0.3">
      <c r="A219">
        <v>4057192912</v>
      </c>
      <c r="B219" s="1">
        <v>42461</v>
      </c>
      <c r="C219">
        <v>0</v>
      </c>
      <c r="D219">
        <v>0</v>
      </c>
      <c r="E219">
        <v>0</v>
      </c>
      <c r="F219">
        <v>0</v>
      </c>
      <c r="G219">
        <v>0</v>
      </c>
      <c r="H219">
        <v>0</v>
      </c>
      <c r="I219">
        <v>0</v>
      </c>
      <c r="J219">
        <v>0</v>
      </c>
      <c r="K219">
        <v>0</v>
      </c>
      <c r="L219">
        <v>0</v>
      </c>
      <c r="M219">
        <v>0</v>
      </c>
      <c r="N219">
        <v>1440</v>
      </c>
      <c r="O219">
        <v>1776</v>
      </c>
    </row>
    <row r="220" spans="1:15" x14ac:dyDescent="0.3">
      <c r="A220">
        <v>4057192912</v>
      </c>
      <c r="B220" s="1">
        <v>42462</v>
      </c>
      <c r="C220">
        <v>0</v>
      </c>
      <c r="D220">
        <v>0</v>
      </c>
      <c r="E220">
        <v>0</v>
      </c>
      <c r="F220">
        <v>0</v>
      </c>
      <c r="G220">
        <v>0</v>
      </c>
      <c r="H220">
        <v>0</v>
      </c>
      <c r="I220">
        <v>0</v>
      </c>
      <c r="J220">
        <v>0</v>
      </c>
      <c r="K220">
        <v>0</v>
      </c>
      <c r="L220">
        <v>0</v>
      </c>
      <c r="M220">
        <v>0</v>
      </c>
      <c r="N220">
        <v>1440</v>
      </c>
      <c r="O220">
        <v>1776</v>
      </c>
    </row>
    <row r="221" spans="1:15" x14ac:dyDescent="0.3">
      <c r="A221">
        <v>4057192912</v>
      </c>
      <c r="B221" s="1">
        <v>42463</v>
      </c>
      <c r="C221">
        <v>0</v>
      </c>
      <c r="D221">
        <v>0</v>
      </c>
      <c r="E221">
        <v>0</v>
      </c>
      <c r="F221">
        <v>0</v>
      </c>
      <c r="G221">
        <v>0</v>
      </c>
      <c r="H221">
        <v>0</v>
      </c>
      <c r="I221">
        <v>0</v>
      </c>
      <c r="J221">
        <v>0</v>
      </c>
      <c r="K221">
        <v>0</v>
      </c>
      <c r="L221">
        <v>0</v>
      </c>
      <c r="M221">
        <v>0</v>
      </c>
      <c r="N221">
        <v>1440</v>
      </c>
      <c r="O221">
        <v>1776</v>
      </c>
    </row>
    <row r="222" spans="1:15" x14ac:dyDescent="0.3">
      <c r="A222">
        <v>4057192912</v>
      </c>
      <c r="B222" s="1">
        <v>42464</v>
      </c>
      <c r="C222">
        <v>0</v>
      </c>
      <c r="D222">
        <v>0</v>
      </c>
      <c r="E222">
        <v>0</v>
      </c>
      <c r="F222">
        <v>0</v>
      </c>
      <c r="G222">
        <v>0</v>
      </c>
      <c r="H222">
        <v>0</v>
      </c>
      <c r="I222">
        <v>0</v>
      </c>
      <c r="J222">
        <v>0</v>
      </c>
      <c r="K222">
        <v>0</v>
      </c>
      <c r="L222">
        <v>0</v>
      </c>
      <c r="M222">
        <v>0</v>
      </c>
      <c r="N222">
        <v>1440</v>
      </c>
      <c r="O222">
        <v>1776</v>
      </c>
    </row>
    <row r="223" spans="1:15" x14ac:dyDescent="0.3">
      <c r="A223">
        <v>4057192912</v>
      </c>
      <c r="B223" s="1">
        <v>42465</v>
      </c>
      <c r="C223">
        <v>0</v>
      </c>
      <c r="D223">
        <v>0</v>
      </c>
      <c r="E223">
        <v>0</v>
      </c>
      <c r="F223">
        <v>0</v>
      </c>
      <c r="G223">
        <v>0</v>
      </c>
      <c r="H223">
        <v>0</v>
      </c>
      <c r="I223">
        <v>0</v>
      </c>
      <c r="J223">
        <v>0</v>
      </c>
      <c r="K223">
        <v>0</v>
      </c>
      <c r="L223">
        <v>0</v>
      </c>
      <c r="M223">
        <v>0</v>
      </c>
      <c r="N223">
        <v>1440</v>
      </c>
      <c r="O223">
        <v>1776</v>
      </c>
    </row>
    <row r="224" spans="1:15" x14ac:dyDescent="0.3">
      <c r="A224">
        <v>4057192912</v>
      </c>
      <c r="B224" s="1">
        <v>42466</v>
      </c>
      <c r="C224">
        <v>18</v>
      </c>
      <c r="D224">
        <v>9.9999997764825804E-3</v>
      </c>
      <c r="E224">
        <v>9.9999997764825804E-3</v>
      </c>
      <c r="F224">
        <v>0</v>
      </c>
      <c r="G224">
        <v>0</v>
      </c>
      <c r="H224">
        <v>0</v>
      </c>
      <c r="I224">
        <v>9.9999997764825804E-3</v>
      </c>
      <c r="J224">
        <v>0</v>
      </c>
      <c r="K224">
        <v>0</v>
      </c>
      <c r="L224">
        <v>0</v>
      </c>
      <c r="M224">
        <v>2</v>
      </c>
      <c r="N224">
        <v>1438</v>
      </c>
      <c r="O224">
        <v>1780</v>
      </c>
    </row>
    <row r="225" spans="1:15" x14ac:dyDescent="0.3">
      <c r="A225">
        <v>4057192912</v>
      </c>
      <c r="B225" s="1">
        <v>42467</v>
      </c>
      <c r="C225">
        <v>4</v>
      </c>
      <c r="D225">
        <v>0</v>
      </c>
      <c r="E225">
        <v>0</v>
      </c>
      <c r="F225">
        <v>0</v>
      </c>
      <c r="G225">
        <v>0</v>
      </c>
      <c r="H225">
        <v>0</v>
      </c>
      <c r="I225">
        <v>0</v>
      </c>
      <c r="J225">
        <v>0</v>
      </c>
      <c r="K225">
        <v>0</v>
      </c>
      <c r="L225">
        <v>0</v>
      </c>
      <c r="M225">
        <v>1</v>
      </c>
      <c r="N225">
        <v>1439</v>
      </c>
      <c r="O225">
        <v>1778</v>
      </c>
    </row>
    <row r="226" spans="1:15" x14ac:dyDescent="0.3">
      <c r="A226">
        <v>4057192912</v>
      </c>
      <c r="B226" s="1">
        <v>42468</v>
      </c>
      <c r="C226">
        <v>8426</v>
      </c>
      <c r="D226">
        <v>6.1599998474121103</v>
      </c>
      <c r="E226">
        <v>6.1599998474121103</v>
      </c>
      <c r="F226">
        <v>0</v>
      </c>
      <c r="G226">
        <v>0.129999995231628</v>
      </c>
      <c r="H226">
        <v>5.4899997711181596</v>
      </c>
      <c r="I226">
        <v>0.54000002145767201</v>
      </c>
      <c r="J226">
        <v>0</v>
      </c>
      <c r="K226">
        <v>2</v>
      </c>
      <c r="L226">
        <v>120</v>
      </c>
      <c r="M226">
        <v>25</v>
      </c>
      <c r="N226">
        <v>1293</v>
      </c>
      <c r="O226">
        <v>2360</v>
      </c>
    </row>
    <row r="227" spans="1:15" x14ac:dyDescent="0.3">
      <c r="A227">
        <v>4057192912</v>
      </c>
      <c r="B227" s="1">
        <v>42469</v>
      </c>
      <c r="C227">
        <v>1650</v>
      </c>
      <c r="D227">
        <v>1.21000003814697</v>
      </c>
      <c r="E227">
        <v>1.21000003814697</v>
      </c>
      <c r="F227">
        <v>0</v>
      </c>
      <c r="G227">
        <v>0</v>
      </c>
      <c r="H227">
        <v>0</v>
      </c>
      <c r="I227">
        <v>1.21000003814697</v>
      </c>
      <c r="J227">
        <v>0</v>
      </c>
      <c r="K227">
        <v>0</v>
      </c>
      <c r="L227">
        <v>0</v>
      </c>
      <c r="M227">
        <v>60</v>
      </c>
      <c r="N227">
        <v>1380</v>
      </c>
      <c r="O227">
        <v>1952</v>
      </c>
    </row>
    <row r="228" spans="1:15" x14ac:dyDescent="0.3">
      <c r="A228">
        <v>4057192912</v>
      </c>
      <c r="B228" s="1">
        <v>42470</v>
      </c>
      <c r="C228">
        <v>3434</v>
      </c>
      <c r="D228">
        <v>2.5099999904632599</v>
      </c>
      <c r="E228">
        <v>2.5099999904632599</v>
      </c>
      <c r="F228">
        <v>0</v>
      </c>
      <c r="G228">
        <v>7.0000000298023196E-2</v>
      </c>
      <c r="H228">
        <v>0.30000001192092901</v>
      </c>
      <c r="I228">
        <v>2.1400001049041699</v>
      </c>
      <c r="J228">
        <v>0</v>
      </c>
      <c r="K228">
        <v>1</v>
      </c>
      <c r="L228">
        <v>7</v>
      </c>
      <c r="M228">
        <v>108</v>
      </c>
      <c r="N228">
        <v>1324</v>
      </c>
      <c r="O228">
        <v>2101</v>
      </c>
    </row>
    <row r="229" spans="1:15" x14ac:dyDescent="0.3">
      <c r="A229">
        <v>4057192912</v>
      </c>
      <c r="B229" s="1">
        <v>42471</v>
      </c>
      <c r="C229">
        <v>6801</v>
      </c>
      <c r="D229">
        <v>4.9800000190734899</v>
      </c>
      <c r="E229">
        <v>4.9800000190734899</v>
      </c>
      <c r="F229">
        <v>0</v>
      </c>
      <c r="G229">
        <v>0</v>
      </c>
      <c r="H229">
        <v>0</v>
      </c>
      <c r="I229">
        <v>4.9699997901916504</v>
      </c>
      <c r="J229">
        <v>0</v>
      </c>
      <c r="K229">
        <v>0</v>
      </c>
      <c r="L229">
        <v>0</v>
      </c>
      <c r="M229">
        <v>193</v>
      </c>
      <c r="N229">
        <v>1247</v>
      </c>
      <c r="O229">
        <v>2393</v>
      </c>
    </row>
    <row r="230" spans="1:15" x14ac:dyDescent="0.3">
      <c r="A230">
        <v>4057192912</v>
      </c>
      <c r="B230" s="1">
        <v>42472</v>
      </c>
      <c r="C230">
        <v>187</v>
      </c>
      <c r="D230">
        <v>0.140000000596046</v>
      </c>
      <c r="E230">
        <v>0.140000000596046</v>
      </c>
      <c r="F230">
        <v>0</v>
      </c>
      <c r="G230">
        <v>0</v>
      </c>
      <c r="H230">
        <v>0</v>
      </c>
      <c r="I230">
        <v>0.140000000596046</v>
      </c>
      <c r="J230">
        <v>0</v>
      </c>
      <c r="K230">
        <v>0</v>
      </c>
      <c r="L230">
        <v>0</v>
      </c>
      <c r="M230">
        <v>11</v>
      </c>
      <c r="N230">
        <v>400</v>
      </c>
      <c r="O230">
        <v>538</v>
      </c>
    </row>
    <row r="231" spans="1:15" x14ac:dyDescent="0.3">
      <c r="A231">
        <v>4319703577</v>
      </c>
      <c r="B231" s="1">
        <v>42458</v>
      </c>
      <c r="C231">
        <v>5643</v>
      </c>
      <c r="D231">
        <v>3.78999996185303</v>
      </c>
      <c r="E231">
        <v>3.78999996185303</v>
      </c>
      <c r="F231">
        <v>0</v>
      </c>
      <c r="G231">
        <v>0.230000004172325</v>
      </c>
      <c r="H231">
        <v>0.33000001311302202</v>
      </c>
      <c r="I231">
        <v>3.2300000190734899</v>
      </c>
      <c r="J231">
        <v>0</v>
      </c>
      <c r="K231">
        <v>3</v>
      </c>
      <c r="L231">
        <v>8</v>
      </c>
      <c r="M231">
        <v>199</v>
      </c>
      <c r="N231">
        <v>683</v>
      </c>
      <c r="O231">
        <v>1958</v>
      </c>
    </row>
    <row r="232" spans="1:15" x14ac:dyDescent="0.3">
      <c r="A232">
        <v>4319703577</v>
      </c>
      <c r="B232" s="1">
        <v>42459</v>
      </c>
      <c r="C232">
        <v>9043</v>
      </c>
      <c r="D232">
        <v>6.0700001716613796</v>
      </c>
      <c r="E232">
        <v>6.0700001716613796</v>
      </c>
      <c r="F232">
        <v>0</v>
      </c>
      <c r="G232">
        <v>0.25</v>
      </c>
      <c r="H232">
        <v>0.43000000715255698</v>
      </c>
      <c r="I232">
        <v>5.3699998855590803</v>
      </c>
      <c r="J232">
        <v>0</v>
      </c>
      <c r="K232">
        <v>4</v>
      </c>
      <c r="L232">
        <v>12</v>
      </c>
      <c r="M232">
        <v>244</v>
      </c>
      <c r="N232">
        <v>702</v>
      </c>
      <c r="O232">
        <v>2141</v>
      </c>
    </row>
    <row r="233" spans="1:15" x14ac:dyDescent="0.3">
      <c r="A233">
        <v>4319703577</v>
      </c>
      <c r="B233" s="1">
        <v>42460</v>
      </c>
      <c r="C233">
        <v>8144</v>
      </c>
      <c r="D233">
        <v>5.46000003814697</v>
      </c>
      <c r="E233">
        <v>5.46000003814697</v>
      </c>
      <c r="F233">
        <v>0</v>
      </c>
      <c r="G233">
        <v>0.25</v>
      </c>
      <c r="H233">
        <v>0.61000001430511497</v>
      </c>
      <c r="I233">
        <v>4.6100001335143999</v>
      </c>
      <c r="J233">
        <v>0</v>
      </c>
      <c r="K233">
        <v>4</v>
      </c>
      <c r="L233">
        <v>17</v>
      </c>
      <c r="M233">
        <v>247</v>
      </c>
      <c r="N233">
        <v>1125</v>
      </c>
      <c r="O233">
        <v>2129</v>
      </c>
    </row>
    <row r="234" spans="1:15" x14ac:dyDescent="0.3">
      <c r="A234">
        <v>4319703577</v>
      </c>
      <c r="B234" s="1">
        <v>42461</v>
      </c>
      <c r="C234">
        <v>9343</v>
      </c>
      <c r="D234">
        <v>6.2699999809265101</v>
      </c>
      <c r="E234">
        <v>6.2699999809265101</v>
      </c>
      <c r="F234">
        <v>0</v>
      </c>
      <c r="G234">
        <v>0.95999997854232799</v>
      </c>
      <c r="H234">
        <v>0.85000002384185802</v>
      </c>
      <c r="I234">
        <v>4.46000003814697</v>
      </c>
      <c r="J234">
        <v>0</v>
      </c>
      <c r="K234">
        <v>14</v>
      </c>
      <c r="L234">
        <v>20</v>
      </c>
      <c r="M234">
        <v>268</v>
      </c>
      <c r="N234">
        <v>654</v>
      </c>
      <c r="O234">
        <v>2216</v>
      </c>
    </row>
    <row r="235" spans="1:15" x14ac:dyDescent="0.3">
      <c r="A235">
        <v>4319703577</v>
      </c>
      <c r="B235" s="1">
        <v>42462</v>
      </c>
      <c r="C235">
        <v>8405</v>
      </c>
      <c r="D235">
        <v>5.6599998474121103</v>
      </c>
      <c r="E235">
        <v>5.6599998474121103</v>
      </c>
      <c r="F235">
        <v>0</v>
      </c>
      <c r="G235">
        <v>1.12999999523163</v>
      </c>
      <c r="H235">
        <v>0.18999999761581399</v>
      </c>
      <c r="I235">
        <v>4.3400001525878897</v>
      </c>
      <c r="J235">
        <v>0</v>
      </c>
      <c r="K235">
        <v>15</v>
      </c>
      <c r="L235">
        <v>4</v>
      </c>
      <c r="M235">
        <v>257</v>
      </c>
      <c r="N235">
        <v>621</v>
      </c>
      <c r="O235">
        <v>2154</v>
      </c>
    </row>
    <row r="236" spans="1:15" x14ac:dyDescent="0.3">
      <c r="A236">
        <v>4319703577</v>
      </c>
      <c r="B236" s="1">
        <v>42463</v>
      </c>
      <c r="C236">
        <v>8223</v>
      </c>
      <c r="D236">
        <v>5.5199999809265101</v>
      </c>
      <c r="E236">
        <v>5.5199999809265101</v>
      </c>
      <c r="F236">
        <v>0</v>
      </c>
      <c r="G236">
        <v>0.80000001192092896</v>
      </c>
      <c r="H236">
        <v>1.5099999904632599</v>
      </c>
      <c r="I236">
        <v>3.21000003814697</v>
      </c>
      <c r="J236">
        <v>0</v>
      </c>
      <c r="K236">
        <v>12</v>
      </c>
      <c r="L236">
        <v>37</v>
      </c>
      <c r="M236">
        <v>257</v>
      </c>
      <c r="N236">
        <v>551</v>
      </c>
      <c r="O236">
        <v>2178</v>
      </c>
    </row>
    <row r="237" spans="1:15" x14ac:dyDescent="0.3">
      <c r="A237">
        <v>4319703577</v>
      </c>
      <c r="B237" s="1">
        <v>42464</v>
      </c>
      <c r="C237">
        <v>10067</v>
      </c>
      <c r="D237">
        <v>6.7600002288818404</v>
      </c>
      <c r="E237">
        <v>6.7600002288818404</v>
      </c>
      <c r="F237">
        <v>0</v>
      </c>
      <c r="G237">
        <v>0.36000001430511502</v>
      </c>
      <c r="H237">
        <v>1.41999995708466</v>
      </c>
      <c r="I237">
        <v>4.9699997901916504</v>
      </c>
      <c r="J237">
        <v>0</v>
      </c>
      <c r="K237">
        <v>5</v>
      </c>
      <c r="L237">
        <v>39</v>
      </c>
      <c r="M237">
        <v>313</v>
      </c>
      <c r="N237">
        <v>578</v>
      </c>
      <c r="O237">
        <v>2308</v>
      </c>
    </row>
    <row r="238" spans="1:15" x14ac:dyDescent="0.3">
      <c r="A238">
        <v>4319703577</v>
      </c>
      <c r="B238" s="1">
        <v>42465</v>
      </c>
      <c r="C238">
        <v>8359</v>
      </c>
      <c r="D238">
        <v>5.6300001144409197</v>
      </c>
      <c r="E238">
        <v>5.6300001144409197</v>
      </c>
      <c r="F238">
        <v>0</v>
      </c>
      <c r="G238">
        <v>0.230000004172325</v>
      </c>
      <c r="H238">
        <v>0.52999997138977095</v>
      </c>
      <c r="I238">
        <v>4.8699998855590803</v>
      </c>
      <c r="J238">
        <v>0</v>
      </c>
      <c r="K238">
        <v>3</v>
      </c>
      <c r="L238">
        <v>14</v>
      </c>
      <c r="M238">
        <v>311</v>
      </c>
      <c r="N238">
        <v>638</v>
      </c>
      <c r="O238">
        <v>2201</v>
      </c>
    </row>
    <row r="239" spans="1:15" x14ac:dyDescent="0.3">
      <c r="A239">
        <v>4319703577</v>
      </c>
      <c r="B239" s="1">
        <v>42466</v>
      </c>
      <c r="C239">
        <v>10946</v>
      </c>
      <c r="D239">
        <v>7.3499999046325701</v>
      </c>
      <c r="E239">
        <v>7.3499999046325701</v>
      </c>
      <c r="F239">
        <v>0</v>
      </c>
      <c r="G239">
        <v>0.54000002145767201</v>
      </c>
      <c r="H239">
        <v>2.0899999141693102</v>
      </c>
      <c r="I239">
        <v>4.7199997901916504</v>
      </c>
      <c r="J239">
        <v>0</v>
      </c>
      <c r="K239">
        <v>8</v>
      </c>
      <c r="L239">
        <v>51</v>
      </c>
      <c r="M239">
        <v>308</v>
      </c>
      <c r="N239">
        <v>569</v>
      </c>
      <c r="O239">
        <v>2341</v>
      </c>
    </row>
    <row r="240" spans="1:15" x14ac:dyDescent="0.3">
      <c r="A240">
        <v>4319703577</v>
      </c>
      <c r="B240" s="1">
        <v>42467</v>
      </c>
      <c r="C240">
        <v>9130</v>
      </c>
      <c r="D240">
        <v>6.1500000953674299</v>
      </c>
      <c r="E240">
        <v>6.1500000953674299</v>
      </c>
      <c r="F240">
        <v>0</v>
      </c>
      <c r="G240">
        <v>0.5</v>
      </c>
      <c r="H240">
        <v>0.37999999523162797</v>
      </c>
      <c r="I240">
        <v>5.2699999809265101</v>
      </c>
      <c r="J240">
        <v>0</v>
      </c>
      <c r="K240">
        <v>7</v>
      </c>
      <c r="L240">
        <v>11</v>
      </c>
      <c r="M240">
        <v>304</v>
      </c>
      <c r="N240">
        <v>668</v>
      </c>
      <c r="O240">
        <v>2236</v>
      </c>
    </row>
    <row r="241" spans="1:15" x14ac:dyDescent="0.3">
      <c r="A241">
        <v>4319703577</v>
      </c>
      <c r="B241" s="1">
        <v>42468</v>
      </c>
      <c r="C241">
        <v>6544</v>
      </c>
      <c r="D241">
        <v>4.4099998474121103</v>
      </c>
      <c r="E241">
        <v>4.4099998474121103</v>
      </c>
      <c r="F241">
        <v>0</v>
      </c>
      <c r="G241">
        <v>0.28999999165535001</v>
      </c>
      <c r="H241">
        <v>0.259999990463257</v>
      </c>
      <c r="I241">
        <v>3.8599998950958301</v>
      </c>
      <c r="J241">
        <v>0</v>
      </c>
      <c r="K241">
        <v>4</v>
      </c>
      <c r="L241">
        <v>6</v>
      </c>
      <c r="M241">
        <v>276</v>
      </c>
      <c r="N241">
        <v>1132</v>
      </c>
      <c r="O241">
        <v>2069</v>
      </c>
    </row>
    <row r="242" spans="1:15" x14ac:dyDescent="0.3">
      <c r="A242">
        <v>4319703577</v>
      </c>
      <c r="B242" s="1">
        <v>42469</v>
      </c>
      <c r="C242">
        <v>0</v>
      </c>
      <c r="D242">
        <v>0</v>
      </c>
      <c r="E242">
        <v>0</v>
      </c>
      <c r="F242">
        <v>0</v>
      </c>
      <c r="G242">
        <v>0</v>
      </c>
      <c r="H242">
        <v>0</v>
      </c>
      <c r="I242">
        <v>0</v>
      </c>
      <c r="J242">
        <v>0</v>
      </c>
      <c r="K242">
        <v>0</v>
      </c>
      <c r="L242">
        <v>0</v>
      </c>
      <c r="M242">
        <v>0</v>
      </c>
      <c r="N242">
        <v>1440</v>
      </c>
      <c r="O242">
        <v>0</v>
      </c>
    </row>
    <row r="243" spans="1:15" x14ac:dyDescent="0.3">
      <c r="A243">
        <v>4388161847</v>
      </c>
      <c r="B243" s="1">
        <v>42458</v>
      </c>
      <c r="C243">
        <v>0</v>
      </c>
      <c r="D243">
        <v>0</v>
      </c>
      <c r="E243">
        <v>0</v>
      </c>
      <c r="F243">
        <v>0</v>
      </c>
      <c r="G243">
        <v>0</v>
      </c>
      <c r="H243">
        <v>0</v>
      </c>
      <c r="I243">
        <v>0</v>
      </c>
      <c r="J243">
        <v>0</v>
      </c>
      <c r="K243">
        <v>0</v>
      </c>
      <c r="L243">
        <v>0</v>
      </c>
      <c r="M243">
        <v>0</v>
      </c>
      <c r="N243">
        <v>1440</v>
      </c>
      <c r="O243">
        <v>1878</v>
      </c>
    </row>
    <row r="244" spans="1:15" x14ac:dyDescent="0.3">
      <c r="A244">
        <v>4388161847</v>
      </c>
      <c r="B244" s="1">
        <v>42459</v>
      </c>
      <c r="C244">
        <v>0</v>
      </c>
      <c r="D244">
        <v>0</v>
      </c>
      <c r="E244">
        <v>0</v>
      </c>
      <c r="F244">
        <v>0</v>
      </c>
      <c r="G244">
        <v>0</v>
      </c>
      <c r="H244">
        <v>0</v>
      </c>
      <c r="I244">
        <v>0</v>
      </c>
      <c r="J244">
        <v>0</v>
      </c>
      <c r="K244">
        <v>0</v>
      </c>
      <c r="L244">
        <v>0</v>
      </c>
      <c r="M244">
        <v>0</v>
      </c>
      <c r="N244">
        <v>1440</v>
      </c>
      <c r="O244">
        <v>1878</v>
      </c>
    </row>
    <row r="245" spans="1:15" x14ac:dyDescent="0.3">
      <c r="A245">
        <v>4388161847</v>
      </c>
      <c r="B245" s="1">
        <v>42460</v>
      </c>
      <c r="C245">
        <v>0</v>
      </c>
      <c r="D245">
        <v>0</v>
      </c>
      <c r="E245">
        <v>0</v>
      </c>
      <c r="F245">
        <v>0</v>
      </c>
      <c r="G245">
        <v>0</v>
      </c>
      <c r="H245">
        <v>0</v>
      </c>
      <c r="I245">
        <v>0</v>
      </c>
      <c r="J245">
        <v>0</v>
      </c>
      <c r="K245">
        <v>0</v>
      </c>
      <c r="L245">
        <v>0</v>
      </c>
      <c r="M245">
        <v>0</v>
      </c>
      <c r="N245">
        <v>1440</v>
      </c>
      <c r="O245">
        <v>1878</v>
      </c>
    </row>
    <row r="246" spans="1:15" x14ac:dyDescent="0.3">
      <c r="A246">
        <v>4388161847</v>
      </c>
      <c r="B246" s="1">
        <v>42461</v>
      </c>
      <c r="C246">
        <v>0</v>
      </c>
      <c r="D246">
        <v>0</v>
      </c>
      <c r="E246">
        <v>0</v>
      </c>
      <c r="F246">
        <v>0</v>
      </c>
      <c r="G246">
        <v>0</v>
      </c>
      <c r="H246">
        <v>0</v>
      </c>
      <c r="I246">
        <v>0</v>
      </c>
      <c r="J246">
        <v>0</v>
      </c>
      <c r="K246">
        <v>0</v>
      </c>
      <c r="L246">
        <v>0</v>
      </c>
      <c r="M246">
        <v>0</v>
      </c>
      <c r="N246">
        <v>1440</v>
      </c>
      <c r="O246">
        <v>1878</v>
      </c>
    </row>
    <row r="247" spans="1:15" x14ac:dyDescent="0.3">
      <c r="A247">
        <v>4388161847</v>
      </c>
      <c r="B247" s="1">
        <v>42462</v>
      </c>
      <c r="C247">
        <v>0</v>
      </c>
      <c r="D247">
        <v>0</v>
      </c>
      <c r="E247">
        <v>0</v>
      </c>
      <c r="F247">
        <v>0</v>
      </c>
      <c r="G247">
        <v>0</v>
      </c>
      <c r="H247">
        <v>0</v>
      </c>
      <c r="I247">
        <v>0</v>
      </c>
      <c r="J247">
        <v>0</v>
      </c>
      <c r="K247">
        <v>0</v>
      </c>
      <c r="L247">
        <v>0</v>
      </c>
      <c r="M247">
        <v>0</v>
      </c>
      <c r="N247">
        <v>1440</v>
      </c>
      <c r="O247">
        <v>1878</v>
      </c>
    </row>
    <row r="248" spans="1:15" x14ac:dyDescent="0.3">
      <c r="A248">
        <v>4388161847</v>
      </c>
      <c r="B248" s="1">
        <v>42463</v>
      </c>
      <c r="C248">
        <v>0</v>
      </c>
      <c r="D248">
        <v>0</v>
      </c>
      <c r="E248">
        <v>0</v>
      </c>
      <c r="F248">
        <v>0</v>
      </c>
      <c r="G248">
        <v>0</v>
      </c>
      <c r="H248">
        <v>0</v>
      </c>
      <c r="I248">
        <v>0</v>
      </c>
      <c r="J248">
        <v>0</v>
      </c>
      <c r="K248">
        <v>0</v>
      </c>
      <c r="L248">
        <v>0</v>
      </c>
      <c r="M248">
        <v>0</v>
      </c>
      <c r="N248">
        <v>1440</v>
      </c>
      <c r="O248">
        <v>1878</v>
      </c>
    </row>
    <row r="249" spans="1:15" x14ac:dyDescent="0.3">
      <c r="A249">
        <v>4388161847</v>
      </c>
      <c r="B249" s="1">
        <v>42464</v>
      </c>
      <c r="C249">
        <v>0</v>
      </c>
      <c r="D249">
        <v>0</v>
      </c>
      <c r="E249">
        <v>0</v>
      </c>
      <c r="F249">
        <v>0</v>
      </c>
      <c r="G249">
        <v>0</v>
      </c>
      <c r="H249">
        <v>0</v>
      </c>
      <c r="I249">
        <v>0</v>
      </c>
      <c r="J249">
        <v>0</v>
      </c>
      <c r="K249">
        <v>0</v>
      </c>
      <c r="L249">
        <v>0</v>
      </c>
      <c r="M249">
        <v>0</v>
      </c>
      <c r="N249">
        <v>1440</v>
      </c>
      <c r="O249">
        <v>1878</v>
      </c>
    </row>
    <row r="250" spans="1:15" x14ac:dyDescent="0.3">
      <c r="A250">
        <v>4388161847</v>
      </c>
      <c r="B250" s="1">
        <v>42465</v>
      </c>
      <c r="C250">
        <v>0</v>
      </c>
      <c r="D250">
        <v>0</v>
      </c>
      <c r="E250">
        <v>0</v>
      </c>
      <c r="F250">
        <v>0</v>
      </c>
      <c r="G250">
        <v>0</v>
      </c>
      <c r="H250">
        <v>0</v>
      </c>
      <c r="I250">
        <v>0</v>
      </c>
      <c r="J250">
        <v>0</v>
      </c>
      <c r="K250">
        <v>0</v>
      </c>
      <c r="L250">
        <v>0</v>
      </c>
      <c r="M250">
        <v>0</v>
      </c>
      <c r="N250">
        <v>994</v>
      </c>
      <c r="O250">
        <v>1296</v>
      </c>
    </row>
    <row r="251" spans="1:15" x14ac:dyDescent="0.3">
      <c r="A251">
        <v>4445114986</v>
      </c>
      <c r="B251" s="1">
        <v>42458</v>
      </c>
      <c r="C251">
        <v>2303</v>
      </c>
      <c r="D251">
        <v>1.54999995231628</v>
      </c>
      <c r="E251">
        <v>1.54999995231628</v>
      </c>
      <c r="F251">
        <v>0</v>
      </c>
      <c r="G251">
        <v>0</v>
      </c>
      <c r="H251">
        <v>0</v>
      </c>
      <c r="I251">
        <v>1.54999995231628</v>
      </c>
      <c r="J251">
        <v>0</v>
      </c>
      <c r="K251">
        <v>0</v>
      </c>
      <c r="L251">
        <v>0</v>
      </c>
      <c r="M251">
        <v>155</v>
      </c>
      <c r="N251">
        <v>807</v>
      </c>
      <c r="O251">
        <v>2010</v>
      </c>
    </row>
    <row r="252" spans="1:15" x14ac:dyDescent="0.3">
      <c r="A252">
        <v>4445114986</v>
      </c>
      <c r="B252" s="1">
        <v>42459</v>
      </c>
      <c r="C252">
        <v>2600</v>
      </c>
      <c r="D252">
        <v>1.7400000095367401</v>
      </c>
      <c r="E252">
        <v>1.7400000095367401</v>
      </c>
      <c r="F252">
        <v>0</v>
      </c>
      <c r="G252">
        <v>0</v>
      </c>
      <c r="H252">
        <v>0</v>
      </c>
      <c r="I252">
        <v>1.7400000095367401</v>
      </c>
      <c r="J252">
        <v>0</v>
      </c>
      <c r="K252">
        <v>0</v>
      </c>
      <c r="L252">
        <v>0</v>
      </c>
      <c r="M252">
        <v>163</v>
      </c>
      <c r="N252">
        <v>1277</v>
      </c>
      <c r="O252">
        <v>2032</v>
      </c>
    </row>
    <row r="253" spans="1:15" x14ac:dyDescent="0.3">
      <c r="A253">
        <v>4445114986</v>
      </c>
      <c r="B253" s="1">
        <v>42460</v>
      </c>
      <c r="C253">
        <v>4804</v>
      </c>
      <c r="D253">
        <v>3.2200000286102299</v>
      </c>
      <c r="E253">
        <v>3.2200000286102299</v>
      </c>
      <c r="F253">
        <v>0</v>
      </c>
      <c r="G253">
        <v>0</v>
      </c>
      <c r="H253">
        <v>0</v>
      </c>
      <c r="I253">
        <v>3.2200000286102299</v>
      </c>
      <c r="J253">
        <v>0</v>
      </c>
      <c r="K253">
        <v>0</v>
      </c>
      <c r="L253">
        <v>0</v>
      </c>
      <c r="M253">
        <v>238</v>
      </c>
      <c r="N253">
        <v>786</v>
      </c>
      <c r="O253">
        <v>2227</v>
      </c>
    </row>
    <row r="254" spans="1:15" x14ac:dyDescent="0.3">
      <c r="A254">
        <v>4445114986</v>
      </c>
      <c r="B254" s="1">
        <v>42461</v>
      </c>
      <c r="C254">
        <v>3271</v>
      </c>
      <c r="D254">
        <v>2.1900000572204599</v>
      </c>
      <c r="E254">
        <v>2.1900000572204599</v>
      </c>
      <c r="F254">
        <v>0</v>
      </c>
      <c r="G254">
        <v>0</v>
      </c>
      <c r="H254">
        <v>0</v>
      </c>
      <c r="I254">
        <v>2.1900000572204599</v>
      </c>
      <c r="J254">
        <v>0</v>
      </c>
      <c r="K254">
        <v>0</v>
      </c>
      <c r="L254">
        <v>0</v>
      </c>
      <c r="M254">
        <v>205</v>
      </c>
      <c r="N254">
        <v>898</v>
      </c>
      <c r="O254">
        <v>2133</v>
      </c>
    </row>
    <row r="255" spans="1:15" x14ac:dyDescent="0.3">
      <c r="A255">
        <v>4445114986</v>
      </c>
      <c r="B255" s="1">
        <v>42462</v>
      </c>
      <c r="C255">
        <v>5406</v>
      </c>
      <c r="D255">
        <v>3.6300001144409202</v>
      </c>
      <c r="E255">
        <v>3.6300001144409202</v>
      </c>
      <c r="F255">
        <v>0</v>
      </c>
      <c r="G255">
        <v>0</v>
      </c>
      <c r="H255">
        <v>0</v>
      </c>
      <c r="I255">
        <v>3.6099998950958301</v>
      </c>
      <c r="J255">
        <v>0</v>
      </c>
      <c r="K255">
        <v>0</v>
      </c>
      <c r="L255">
        <v>0</v>
      </c>
      <c r="M255">
        <v>273</v>
      </c>
      <c r="N255">
        <v>672</v>
      </c>
      <c r="O255">
        <v>2317</v>
      </c>
    </row>
    <row r="256" spans="1:15" x14ac:dyDescent="0.3">
      <c r="A256">
        <v>4445114986</v>
      </c>
      <c r="B256" s="1">
        <v>42463</v>
      </c>
      <c r="C256">
        <v>3146</v>
      </c>
      <c r="D256">
        <v>2.1099998950958301</v>
      </c>
      <c r="E256">
        <v>2.1099998950958301</v>
      </c>
      <c r="F256">
        <v>0</v>
      </c>
      <c r="G256">
        <v>0</v>
      </c>
      <c r="H256">
        <v>0</v>
      </c>
      <c r="I256">
        <v>2.1099998950958301</v>
      </c>
      <c r="J256">
        <v>0</v>
      </c>
      <c r="K256">
        <v>0</v>
      </c>
      <c r="L256">
        <v>0</v>
      </c>
      <c r="M256">
        <v>171</v>
      </c>
      <c r="N256">
        <v>1269</v>
      </c>
      <c r="O256">
        <v>2058</v>
      </c>
    </row>
    <row r="257" spans="1:15" x14ac:dyDescent="0.3">
      <c r="A257">
        <v>4445114986</v>
      </c>
      <c r="B257" s="1">
        <v>42464</v>
      </c>
      <c r="C257">
        <v>2422</v>
      </c>
      <c r="D257">
        <v>1.62999999523163</v>
      </c>
      <c r="E257">
        <v>1.62999999523163</v>
      </c>
      <c r="F257">
        <v>0</v>
      </c>
      <c r="G257">
        <v>0</v>
      </c>
      <c r="H257">
        <v>0</v>
      </c>
      <c r="I257">
        <v>1.62999999523163</v>
      </c>
      <c r="J257">
        <v>0</v>
      </c>
      <c r="K257">
        <v>0</v>
      </c>
      <c r="L257">
        <v>0</v>
      </c>
      <c r="M257">
        <v>110</v>
      </c>
      <c r="N257">
        <v>1330</v>
      </c>
      <c r="O257">
        <v>1935</v>
      </c>
    </row>
    <row r="258" spans="1:15" x14ac:dyDescent="0.3">
      <c r="A258">
        <v>4445114986</v>
      </c>
      <c r="B258" s="1">
        <v>42465</v>
      </c>
      <c r="C258">
        <v>4239</v>
      </c>
      <c r="D258">
        <v>2.8399999141693102</v>
      </c>
      <c r="E258">
        <v>2.8399999141693102</v>
      </c>
      <c r="F258">
        <v>0</v>
      </c>
      <c r="G258">
        <v>5.9999998658895499E-2</v>
      </c>
      <c r="H258">
        <v>0.239999994635582</v>
      </c>
      <c r="I258">
        <v>2.5299999713897701</v>
      </c>
      <c r="J258">
        <v>0</v>
      </c>
      <c r="K258">
        <v>1</v>
      </c>
      <c r="L258">
        <v>6</v>
      </c>
      <c r="M258">
        <v>235</v>
      </c>
      <c r="N258">
        <v>702</v>
      </c>
      <c r="O258">
        <v>2217</v>
      </c>
    </row>
    <row r="259" spans="1:15" x14ac:dyDescent="0.3">
      <c r="A259">
        <v>4445114986</v>
      </c>
      <c r="B259" s="1">
        <v>42466</v>
      </c>
      <c r="C259">
        <v>6911</v>
      </c>
      <c r="D259">
        <v>4.7800002098083496</v>
      </c>
      <c r="E259">
        <v>4.7800002098083496</v>
      </c>
      <c r="F259">
        <v>0</v>
      </c>
      <c r="G259">
        <v>2.3199999332428001</v>
      </c>
      <c r="H259">
        <v>0.10000000149011599</v>
      </c>
      <c r="I259">
        <v>2.3599998950958301</v>
      </c>
      <c r="J259">
        <v>0</v>
      </c>
      <c r="K259">
        <v>28</v>
      </c>
      <c r="L259">
        <v>2</v>
      </c>
      <c r="M259">
        <v>215</v>
      </c>
      <c r="N259">
        <v>745</v>
      </c>
      <c r="O259">
        <v>2374</v>
      </c>
    </row>
    <row r="260" spans="1:15" x14ac:dyDescent="0.3">
      <c r="A260">
        <v>4445114986</v>
      </c>
      <c r="B260" s="1">
        <v>42467</v>
      </c>
      <c r="C260">
        <v>6667</v>
      </c>
      <c r="D260">
        <v>4.6100001335143999</v>
      </c>
      <c r="E260">
        <v>4.6100001335143999</v>
      </c>
      <c r="F260">
        <v>0</v>
      </c>
      <c r="G260">
        <v>2.0199999809265101</v>
      </c>
      <c r="H260">
        <v>5.0000000745058101E-2</v>
      </c>
      <c r="I260">
        <v>2.5499999523162802</v>
      </c>
      <c r="J260">
        <v>0</v>
      </c>
      <c r="K260">
        <v>24</v>
      </c>
      <c r="L260">
        <v>1</v>
      </c>
      <c r="M260">
        <v>208</v>
      </c>
      <c r="N260">
        <v>939</v>
      </c>
      <c r="O260">
        <v>2335</v>
      </c>
    </row>
    <row r="261" spans="1:15" x14ac:dyDescent="0.3">
      <c r="A261">
        <v>4445114986</v>
      </c>
      <c r="B261" s="1">
        <v>42468</v>
      </c>
      <c r="C261">
        <v>5543</v>
      </c>
      <c r="D261">
        <v>3.7200000286102299</v>
      </c>
      <c r="E261">
        <v>3.7200000286102299</v>
      </c>
      <c r="F261">
        <v>0</v>
      </c>
      <c r="G261">
        <v>0</v>
      </c>
      <c r="H261">
        <v>0</v>
      </c>
      <c r="I261">
        <v>3.7200000286102299</v>
      </c>
      <c r="J261">
        <v>0</v>
      </c>
      <c r="K261">
        <v>0</v>
      </c>
      <c r="L261">
        <v>0</v>
      </c>
      <c r="M261">
        <v>266</v>
      </c>
      <c r="N261">
        <v>941</v>
      </c>
      <c r="O261">
        <v>2303</v>
      </c>
    </row>
    <row r="262" spans="1:15" x14ac:dyDescent="0.3">
      <c r="A262">
        <v>4445114986</v>
      </c>
      <c r="B262" s="1">
        <v>42469</v>
      </c>
      <c r="C262">
        <v>4195</v>
      </c>
      <c r="D262">
        <v>2.8099999427795401</v>
      </c>
      <c r="E262">
        <v>2.8099999427795401</v>
      </c>
      <c r="F262">
        <v>0</v>
      </c>
      <c r="G262">
        <v>0</v>
      </c>
      <c r="H262">
        <v>0</v>
      </c>
      <c r="I262">
        <v>2.8099999427795401</v>
      </c>
      <c r="J262">
        <v>0</v>
      </c>
      <c r="K262">
        <v>0</v>
      </c>
      <c r="L262">
        <v>0</v>
      </c>
      <c r="M262">
        <v>239</v>
      </c>
      <c r="N262">
        <v>758</v>
      </c>
      <c r="O262">
        <v>2210</v>
      </c>
    </row>
    <row r="263" spans="1:15" x14ac:dyDescent="0.3">
      <c r="A263">
        <v>4445114986</v>
      </c>
      <c r="B263" s="1">
        <v>42470</v>
      </c>
      <c r="C263">
        <v>6625</v>
      </c>
      <c r="D263">
        <v>4.4499998092651403</v>
      </c>
      <c r="E263">
        <v>4.4499998092651403</v>
      </c>
      <c r="F263">
        <v>0</v>
      </c>
      <c r="G263">
        <v>0</v>
      </c>
      <c r="H263">
        <v>0</v>
      </c>
      <c r="I263">
        <v>4.4499998092651403</v>
      </c>
      <c r="J263">
        <v>0</v>
      </c>
      <c r="K263">
        <v>0</v>
      </c>
      <c r="L263">
        <v>0</v>
      </c>
      <c r="M263">
        <v>316</v>
      </c>
      <c r="N263">
        <v>755</v>
      </c>
      <c r="O263">
        <v>2424</v>
      </c>
    </row>
    <row r="264" spans="1:15" x14ac:dyDescent="0.3">
      <c r="A264">
        <v>4445114986</v>
      </c>
      <c r="B264" s="1">
        <v>42471</v>
      </c>
      <c r="C264">
        <v>5986</v>
      </c>
      <c r="D264">
        <v>4.1300001144409197</v>
      </c>
      <c r="E264">
        <v>4.1300001144409197</v>
      </c>
      <c r="F264">
        <v>0</v>
      </c>
      <c r="G264">
        <v>1.95000004768372</v>
      </c>
      <c r="H264">
        <v>0.230000004172325</v>
      </c>
      <c r="I264">
        <v>1.95000004768372</v>
      </c>
      <c r="J264">
        <v>0</v>
      </c>
      <c r="K264">
        <v>23</v>
      </c>
      <c r="L264">
        <v>5</v>
      </c>
      <c r="M264">
        <v>195</v>
      </c>
      <c r="N264">
        <v>789</v>
      </c>
      <c r="O264">
        <v>2297</v>
      </c>
    </row>
    <row r="265" spans="1:15" x14ac:dyDescent="0.3">
      <c r="A265">
        <v>4445114986</v>
      </c>
      <c r="B265" s="1">
        <v>42472</v>
      </c>
      <c r="C265">
        <v>278</v>
      </c>
      <c r="D265">
        <v>0.18999999761581399</v>
      </c>
      <c r="E265">
        <v>0.18999999761581399</v>
      </c>
      <c r="F265">
        <v>0</v>
      </c>
      <c r="G265">
        <v>0</v>
      </c>
      <c r="H265">
        <v>0</v>
      </c>
      <c r="I265">
        <v>0.18999999761581399</v>
      </c>
      <c r="J265">
        <v>0</v>
      </c>
      <c r="K265">
        <v>0</v>
      </c>
      <c r="L265">
        <v>0</v>
      </c>
      <c r="M265">
        <v>20</v>
      </c>
      <c r="N265">
        <v>253</v>
      </c>
      <c r="O265">
        <v>745</v>
      </c>
    </row>
    <row r="266" spans="1:15" x14ac:dyDescent="0.3">
      <c r="A266">
        <v>4558609924</v>
      </c>
      <c r="B266" s="1">
        <v>42461</v>
      </c>
      <c r="C266">
        <v>5336</v>
      </c>
      <c r="D266">
        <v>3.5299999713897701</v>
      </c>
      <c r="E266">
        <v>3.5299999713897701</v>
      </c>
      <c r="F266">
        <v>0</v>
      </c>
      <c r="G266">
        <v>0</v>
      </c>
      <c r="H266">
        <v>0</v>
      </c>
      <c r="I266">
        <v>3.5299999713897701</v>
      </c>
      <c r="J266">
        <v>0</v>
      </c>
      <c r="K266">
        <v>0</v>
      </c>
      <c r="L266">
        <v>0</v>
      </c>
      <c r="M266">
        <v>258</v>
      </c>
      <c r="N266">
        <v>1182</v>
      </c>
      <c r="O266">
        <v>1902</v>
      </c>
    </row>
    <row r="267" spans="1:15" x14ac:dyDescent="0.3">
      <c r="A267">
        <v>4558609924</v>
      </c>
      <c r="B267" s="1">
        <v>42462</v>
      </c>
      <c r="C267">
        <v>3183</v>
      </c>
      <c r="D267">
        <v>2.0999999046325701</v>
      </c>
      <c r="E267">
        <v>2.0999999046325701</v>
      </c>
      <c r="F267">
        <v>0</v>
      </c>
      <c r="G267">
        <v>0</v>
      </c>
      <c r="H267">
        <v>0</v>
      </c>
      <c r="I267">
        <v>2.0999999046325701</v>
      </c>
      <c r="J267">
        <v>0</v>
      </c>
      <c r="K267">
        <v>0</v>
      </c>
      <c r="L267">
        <v>0</v>
      </c>
      <c r="M267">
        <v>173</v>
      </c>
      <c r="N267">
        <v>1180</v>
      </c>
      <c r="O267">
        <v>1680</v>
      </c>
    </row>
    <row r="268" spans="1:15" x14ac:dyDescent="0.3">
      <c r="A268">
        <v>4558609924</v>
      </c>
      <c r="B268" s="1">
        <v>42463</v>
      </c>
      <c r="C268">
        <v>6176</v>
      </c>
      <c r="D268">
        <v>4.0799999237060502</v>
      </c>
      <c r="E268">
        <v>4.0799999237060502</v>
      </c>
      <c r="F268">
        <v>0</v>
      </c>
      <c r="G268">
        <v>7.0000000298023196E-2</v>
      </c>
      <c r="H268">
        <v>0.259999990463257</v>
      </c>
      <c r="I268">
        <v>3.75</v>
      </c>
      <c r="J268">
        <v>0</v>
      </c>
      <c r="K268">
        <v>1</v>
      </c>
      <c r="L268">
        <v>7</v>
      </c>
      <c r="M268">
        <v>269</v>
      </c>
      <c r="N268">
        <v>886</v>
      </c>
      <c r="O268">
        <v>1901</v>
      </c>
    </row>
    <row r="269" spans="1:15" x14ac:dyDescent="0.3">
      <c r="A269">
        <v>4558609924</v>
      </c>
      <c r="B269" s="1">
        <v>42464</v>
      </c>
      <c r="C269">
        <v>8205</v>
      </c>
      <c r="D269">
        <v>5.4200000762939498</v>
      </c>
      <c r="E269">
        <v>5.4200000762939498</v>
      </c>
      <c r="F269">
        <v>0</v>
      </c>
      <c r="G269">
        <v>0</v>
      </c>
      <c r="H269">
        <v>0</v>
      </c>
      <c r="I269">
        <v>5.4200000762939498</v>
      </c>
      <c r="J269">
        <v>0</v>
      </c>
      <c r="K269">
        <v>0</v>
      </c>
      <c r="L269">
        <v>0</v>
      </c>
      <c r="M269">
        <v>367</v>
      </c>
      <c r="N269">
        <v>1073</v>
      </c>
      <c r="O269">
        <v>2078</v>
      </c>
    </row>
    <row r="270" spans="1:15" x14ac:dyDescent="0.3">
      <c r="A270">
        <v>4558609924</v>
      </c>
      <c r="B270" s="1">
        <v>42465</v>
      </c>
      <c r="C270">
        <v>6799</v>
      </c>
      <c r="D270">
        <v>4.4899997711181596</v>
      </c>
      <c r="E270">
        <v>4.4899997711181596</v>
      </c>
      <c r="F270">
        <v>0</v>
      </c>
      <c r="G270">
        <v>1.5900000333786</v>
      </c>
      <c r="H270">
        <v>0.86000001430511497</v>
      </c>
      <c r="I270">
        <v>2.03999996185303</v>
      </c>
      <c r="J270">
        <v>0</v>
      </c>
      <c r="K270">
        <v>24</v>
      </c>
      <c r="L270">
        <v>14</v>
      </c>
      <c r="M270">
        <v>185</v>
      </c>
      <c r="N270">
        <v>1217</v>
      </c>
      <c r="O270">
        <v>1876</v>
      </c>
    </row>
    <row r="271" spans="1:15" x14ac:dyDescent="0.3">
      <c r="A271">
        <v>4558609924</v>
      </c>
      <c r="B271" s="1">
        <v>42466</v>
      </c>
      <c r="C271">
        <v>5668</v>
      </c>
      <c r="D271">
        <v>3.75</v>
      </c>
      <c r="E271">
        <v>3.75</v>
      </c>
      <c r="F271">
        <v>0</v>
      </c>
      <c r="G271">
        <v>0</v>
      </c>
      <c r="H271">
        <v>0</v>
      </c>
      <c r="I271">
        <v>3.75</v>
      </c>
      <c r="J271">
        <v>0</v>
      </c>
      <c r="K271">
        <v>0</v>
      </c>
      <c r="L271">
        <v>0</v>
      </c>
      <c r="M271">
        <v>259</v>
      </c>
      <c r="N271">
        <v>1181</v>
      </c>
      <c r="O271">
        <v>1853</v>
      </c>
    </row>
    <row r="272" spans="1:15" x14ac:dyDescent="0.3">
      <c r="A272">
        <v>4558609924</v>
      </c>
      <c r="B272" s="1">
        <v>42467</v>
      </c>
      <c r="C272">
        <v>7998</v>
      </c>
      <c r="D272">
        <v>5.28999996185303</v>
      </c>
      <c r="E272">
        <v>5.28999996185303</v>
      </c>
      <c r="F272">
        <v>0</v>
      </c>
      <c r="G272">
        <v>0.50999999046325695</v>
      </c>
      <c r="H272">
        <v>0.25</v>
      </c>
      <c r="I272">
        <v>4.5300002098083496</v>
      </c>
      <c r="J272">
        <v>0</v>
      </c>
      <c r="K272">
        <v>27</v>
      </c>
      <c r="L272">
        <v>12</v>
      </c>
      <c r="M272">
        <v>296</v>
      </c>
      <c r="N272">
        <v>1105</v>
      </c>
      <c r="O272">
        <v>2235</v>
      </c>
    </row>
    <row r="273" spans="1:15" x14ac:dyDescent="0.3">
      <c r="A273">
        <v>4558609924</v>
      </c>
      <c r="B273" s="1">
        <v>42468</v>
      </c>
      <c r="C273">
        <v>4195</v>
      </c>
      <c r="D273">
        <v>2.7699999809265101</v>
      </c>
      <c r="E273">
        <v>2.7699999809265101</v>
      </c>
      <c r="F273">
        <v>0</v>
      </c>
      <c r="G273">
        <v>0</v>
      </c>
      <c r="H273">
        <v>0</v>
      </c>
      <c r="I273">
        <v>2.7699999809265101</v>
      </c>
      <c r="J273">
        <v>0</v>
      </c>
      <c r="K273">
        <v>0</v>
      </c>
      <c r="L273">
        <v>0</v>
      </c>
      <c r="M273">
        <v>241</v>
      </c>
      <c r="N273">
        <v>1199</v>
      </c>
      <c r="O273">
        <v>1778</v>
      </c>
    </row>
    <row r="274" spans="1:15" x14ac:dyDescent="0.3">
      <c r="A274">
        <v>4558609924</v>
      </c>
      <c r="B274" s="1">
        <v>42469</v>
      </c>
      <c r="C274">
        <v>5512</v>
      </c>
      <c r="D274">
        <v>3.6400001049041699</v>
      </c>
      <c r="E274">
        <v>3.6400001049041699</v>
      </c>
      <c r="F274">
        <v>0</v>
      </c>
      <c r="G274">
        <v>0</v>
      </c>
      <c r="H274">
        <v>0</v>
      </c>
      <c r="I274">
        <v>3.6400001049041699</v>
      </c>
      <c r="J274">
        <v>0</v>
      </c>
      <c r="K274">
        <v>0</v>
      </c>
      <c r="L274">
        <v>0</v>
      </c>
      <c r="M274">
        <v>276</v>
      </c>
      <c r="N274">
        <v>1164</v>
      </c>
      <c r="O274">
        <v>1882</v>
      </c>
    </row>
    <row r="275" spans="1:15" x14ac:dyDescent="0.3">
      <c r="A275">
        <v>4558609924</v>
      </c>
      <c r="B275" s="1">
        <v>42470</v>
      </c>
      <c r="C275">
        <v>6263</v>
      </c>
      <c r="D275">
        <v>4.1399998664856001</v>
      </c>
      <c r="E275">
        <v>4.1399998664856001</v>
      </c>
      <c r="F275">
        <v>0</v>
      </c>
      <c r="G275">
        <v>0</v>
      </c>
      <c r="H275">
        <v>0</v>
      </c>
      <c r="I275">
        <v>4.1300001144409197</v>
      </c>
      <c r="J275">
        <v>0</v>
      </c>
      <c r="K275">
        <v>0</v>
      </c>
      <c r="L275">
        <v>0</v>
      </c>
      <c r="M275">
        <v>290</v>
      </c>
      <c r="N275">
        <v>1150</v>
      </c>
      <c r="O275">
        <v>1906</v>
      </c>
    </row>
    <row r="276" spans="1:15" x14ac:dyDescent="0.3">
      <c r="A276">
        <v>4558609924</v>
      </c>
      <c r="B276" s="1">
        <v>42471</v>
      </c>
      <c r="C276">
        <v>8828</v>
      </c>
      <c r="D276">
        <v>5.8400001525878897</v>
      </c>
      <c r="E276">
        <v>5.8400001525878897</v>
      </c>
      <c r="F276">
        <v>0</v>
      </c>
      <c r="G276">
        <v>0</v>
      </c>
      <c r="H276">
        <v>0</v>
      </c>
      <c r="I276">
        <v>5.8400001525878897</v>
      </c>
      <c r="J276">
        <v>0</v>
      </c>
      <c r="K276">
        <v>0</v>
      </c>
      <c r="L276">
        <v>0</v>
      </c>
      <c r="M276">
        <v>308</v>
      </c>
      <c r="N276">
        <v>1132</v>
      </c>
      <c r="O276">
        <v>2149</v>
      </c>
    </row>
    <row r="277" spans="1:15" x14ac:dyDescent="0.3">
      <c r="A277">
        <v>4558609924</v>
      </c>
      <c r="B277" s="1">
        <v>42472</v>
      </c>
      <c r="C277">
        <v>1260</v>
      </c>
      <c r="D277">
        <v>0.82999998331069902</v>
      </c>
      <c r="E277">
        <v>0.82999998331069902</v>
      </c>
      <c r="F277">
        <v>0</v>
      </c>
      <c r="G277">
        <v>0</v>
      </c>
      <c r="H277">
        <v>0</v>
      </c>
      <c r="I277">
        <v>0.81999999284744296</v>
      </c>
      <c r="J277">
        <v>0</v>
      </c>
      <c r="K277">
        <v>0</v>
      </c>
      <c r="L277">
        <v>0</v>
      </c>
      <c r="M277">
        <v>76</v>
      </c>
      <c r="N277">
        <v>555</v>
      </c>
      <c r="O277">
        <v>722</v>
      </c>
    </row>
    <row r="278" spans="1:15" x14ac:dyDescent="0.3">
      <c r="A278">
        <v>4702921684</v>
      </c>
      <c r="B278" s="1">
        <v>42458</v>
      </c>
      <c r="C278">
        <v>6506</v>
      </c>
      <c r="D278">
        <v>5.2800002098083496</v>
      </c>
      <c r="E278">
        <v>5.2800002098083496</v>
      </c>
      <c r="F278">
        <v>0</v>
      </c>
      <c r="G278">
        <v>0.33000001311302202</v>
      </c>
      <c r="H278">
        <v>0.270000010728836</v>
      </c>
      <c r="I278">
        <v>4.6700000762939498</v>
      </c>
      <c r="J278">
        <v>0</v>
      </c>
      <c r="K278">
        <v>4</v>
      </c>
      <c r="L278">
        <v>5</v>
      </c>
      <c r="M278">
        <v>241</v>
      </c>
      <c r="N278">
        <v>760</v>
      </c>
      <c r="O278">
        <v>2886</v>
      </c>
    </row>
    <row r="279" spans="1:15" x14ac:dyDescent="0.3">
      <c r="A279">
        <v>4702921684</v>
      </c>
      <c r="B279" s="1">
        <v>42459</v>
      </c>
      <c r="C279">
        <v>7583</v>
      </c>
      <c r="D279">
        <v>6.1500000953674299</v>
      </c>
      <c r="E279">
        <v>6.1500000953674299</v>
      </c>
      <c r="F279">
        <v>0</v>
      </c>
      <c r="G279">
        <v>0.25</v>
      </c>
      <c r="H279">
        <v>0.55000001192092896</v>
      </c>
      <c r="I279">
        <v>5.3499999046325701</v>
      </c>
      <c r="J279">
        <v>0</v>
      </c>
      <c r="K279">
        <v>3</v>
      </c>
      <c r="L279">
        <v>13</v>
      </c>
      <c r="M279">
        <v>227</v>
      </c>
      <c r="N279">
        <v>742</v>
      </c>
      <c r="O279">
        <v>2915</v>
      </c>
    </row>
    <row r="280" spans="1:15" x14ac:dyDescent="0.3">
      <c r="A280">
        <v>4702921684</v>
      </c>
      <c r="B280" s="1">
        <v>42460</v>
      </c>
      <c r="C280">
        <v>6963</v>
      </c>
      <c r="D280">
        <v>5.6500000953674299</v>
      </c>
      <c r="E280">
        <v>5.6500000953674299</v>
      </c>
      <c r="F280">
        <v>0</v>
      </c>
      <c r="G280">
        <v>0</v>
      </c>
      <c r="H280">
        <v>0</v>
      </c>
      <c r="I280">
        <v>5.6500000953674299</v>
      </c>
      <c r="J280">
        <v>0</v>
      </c>
      <c r="K280">
        <v>0</v>
      </c>
      <c r="L280">
        <v>0</v>
      </c>
      <c r="M280">
        <v>256</v>
      </c>
      <c r="N280">
        <v>759</v>
      </c>
      <c r="O280">
        <v>2895</v>
      </c>
    </row>
    <row r="281" spans="1:15" x14ac:dyDescent="0.3">
      <c r="A281">
        <v>4702921684</v>
      </c>
      <c r="B281" s="1">
        <v>42461</v>
      </c>
      <c r="C281">
        <v>7165</v>
      </c>
      <c r="D281">
        <v>5.8099999427795401</v>
      </c>
      <c r="E281">
        <v>5.8099999427795401</v>
      </c>
      <c r="F281">
        <v>0</v>
      </c>
      <c r="G281">
        <v>0</v>
      </c>
      <c r="H281">
        <v>0.37000000476837203</v>
      </c>
      <c r="I281">
        <v>5.4400000572204599</v>
      </c>
      <c r="J281">
        <v>0</v>
      </c>
      <c r="K281">
        <v>0</v>
      </c>
      <c r="L281">
        <v>9</v>
      </c>
      <c r="M281">
        <v>248</v>
      </c>
      <c r="N281">
        <v>708</v>
      </c>
      <c r="O281">
        <v>2923</v>
      </c>
    </row>
    <row r="282" spans="1:15" x14ac:dyDescent="0.3">
      <c r="A282">
        <v>4702921684</v>
      </c>
      <c r="B282" s="1">
        <v>42462</v>
      </c>
      <c r="C282">
        <v>10328</v>
      </c>
      <c r="D282">
        <v>8.3800001144409197</v>
      </c>
      <c r="E282">
        <v>8.3800001144409197</v>
      </c>
      <c r="F282">
        <v>0</v>
      </c>
      <c r="G282">
        <v>0</v>
      </c>
      <c r="H282">
        <v>1.46000003814697</v>
      </c>
      <c r="I282">
        <v>6.9200000762939498</v>
      </c>
      <c r="J282">
        <v>0</v>
      </c>
      <c r="K282">
        <v>0</v>
      </c>
      <c r="L282">
        <v>32</v>
      </c>
      <c r="M282">
        <v>367</v>
      </c>
      <c r="N282">
        <v>475</v>
      </c>
      <c r="O282">
        <v>3323</v>
      </c>
    </row>
    <row r="283" spans="1:15" x14ac:dyDescent="0.3">
      <c r="A283">
        <v>4702921684</v>
      </c>
      <c r="B283" s="1">
        <v>42463</v>
      </c>
      <c r="C283">
        <v>12116</v>
      </c>
      <c r="D283">
        <v>9.8299999237060494</v>
      </c>
      <c r="E283">
        <v>9.8299999237060494</v>
      </c>
      <c r="F283">
        <v>0</v>
      </c>
      <c r="G283">
        <v>0.25</v>
      </c>
      <c r="H283">
        <v>2.8499999046325701</v>
      </c>
      <c r="I283">
        <v>6.7199997901916504</v>
      </c>
      <c r="J283">
        <v>0</v>
      </c>
      <c r="K283">
        <v>3</v>
      </c>
      <c r="L283">
        <v>57</v>
      </c>
      <c r="M283">
        <v>323</v>
      </c>
      <c r="N283">
        <v>471</v>
      </c>
      <c r="O283">
        <v>3357</v>
      </c>
    </row>
    <row r="284" spans="1:15" x14ac:dyDescent="0.3">
      <c r="A284">
        <v>4702921684</v>
      </c>
      <c r="B284" s="1">
        <v>42464</v>
      </c>
      <c r="C284">
        <v>7810</v>
      </c>
      <c r="D284">
        <v>6.3600001335143999</v>
      </c>
      <c r="E284">
        <v>6.3600001335143999</v>
      </c>
      <c r="F284">
        <v>0</v>
      </c>
      <c r="G284">
        <v>0.479999989271164</v>
      </c>
      <c r="H284">
        <v>1.20000004768372</v>
      </c>
      <c r="I284">
        <v>4.6799998283386204</v>
      </c>
      <c r="J284">
        <v>0</v>
      </c>
      <c r="K284">
        <v>6</v>
      </c>
      <c r="L284">
        <v>27</v>
      </c>
      <c r="M284">
        <v>216</v>
      </c>
      <c r="N284">
        <v>746</v>
      </c>
      <c r="O284">
        <v>2931</v>
      </c>
    </row>
    <row r="285" spans="1:15" x14ac:dyDescent="0.3">
      <c r="A285">
        <v>4702921684</v>
      </c>
      <c r="B285" s="1">
        <v>42465</v>
      </c>
      <c r="C285">
        <v>6670</v>
      </c>
      <c r="D285">
        <v>5.4099998474121103</v>
      </c>
      <c r="E285">
        <v>5.4099998474121103</v>
      </c>
      <c r="F285">
        <v>0</v>
      </c>
      <c r="G285">
        <v>1.2400000095367401</v>
      </c>
      <c r="H285">
        <v>0.80000001192092896</v>
      </c>
      <c r="I285">
        <v>3.3699998855590798</v>
      </c>
      <c r="J285">
        <v>0</v>
      </c>
      <c r="K285">
        <v>15</v>
      </c>
      <c r="L285">
        <v>16</v>
      </c>
      <c r="M285">
        <v>199</v>
      </c>
      <c r="N285">
        <v>770</v>
      </c>
      <c r="O285">
        <v>2848</v>
      </c>
    </row>
    <row r="286" spans="1:15" x14ac:dyDescent="0.3">
      <c r="A286">
        <v>4702921684</v>
      </c>
      <c r="B286" s="1">
        <v>42466</v>
      </c>
      <c r="C286">
        <v>7605</v>
      </c>
      <c r="D286">
        <v>6.1799998283386204</v>
      </c>
      <c r="E286">
        <v>6.1799998283386204</v>
      </c>
      <c r="F286">
        <v>0</v>
      </c>
      <c r="G286">
        <v>0.33000001311302202</v>
      </c>
      <c r="H286">
        <v>0.20999999344348899</v>
      </c>
      <c r="I286">
        <v>5.6300001144409197</v>
      </c>
      <c r="J286">
        <v>0</v>
      </c>
      <c r="K286">
        <v>4</v>
      </c>
      <c r="L286">
        <v>4</v>
      </c>
      <c r="M286">
        <v>248</v>
      </c>
      <c r="N286">
        <v>708</v>
      </c>
      <c r="O286">
        <v>2943</v>
      </c>
    </row>
    <row r="287" spans="1:15" x14ac:dyDescent="0.3">
      <c r="A287">
        <v>4702921684</v>
      </c>
      <c r="B287" s="1">
        <v>42467</v>
      </c>
      <c r="C287">
        <v>6585</v>
      </c>
      <c r="D287">
        <v>5.3400001525878897</v>
      </c>
      <c r="E287">
        <v>5.3400001525878897</v>
      </c>
      <c r="F287">
        <v>0</v>
      </c>
      <c r="G287">
        <v>0</v>
      </c>
      <c r="H287">
        <v>0</v>
      </c>
      <c r="I287">
        <v>5.3400001525878897</v>
      </c>
      <c r="J287">
        <v>0</v>
      </c>
      <c r="K287">
        <v>0</v>
      </c>
      <c r="L287">
        <v>0</v>
      </c>
      <c r="M287">
        <v>210</v>
      </c>
      <c r="N287">
        <v>770</v>
      </c>
      <c r="O287">
        <v>2822</v>
      </c>
    </row>
    <row r="288" spans="1:15" x14ac:dyDescent="0.3">
      <c r="A288">
        <v>4702921684</v>
      </c>
      <c r="B288" s="1">
        <v>42468</v>
      </c>
      <c r="C288">
        <v>8184</v>
      </c>
      <c r="D288">
        <v>6.6399998664856001</v>
      </c>
      <c r="E288">
        <v>6.6399998664856001</v>
      </c>
      <c r="F288">
        <v>0</v>
      </c>
      <c r="G288">
        <v>0</v>
      </c>
      <c r="H288">
        <v>0.62000000476837203</v>
      </c>
      <c r="I288">
        <v>5.9499998092651403</v>
      </c>
      <c r="J288">
        <v>0</v>
      </c>
      <c r="K288">
        <v>0</v>
      </c>
      <c r="L288">
        <v>15</v>
      </c>
      <c r="M288">
        <v>247</v>
      </c>
      <c r="N288">
        <v>808</v>
      </c>
      <c r="O288">
        <v>2981</v>
      </c>
    </row>
    <row r="289" spans="1:15" x14ac:dyDescent="0.3">
      <c r="A289">
        <v>4702921684</v>
      </c>
      <c r="B289" s="1">
        <v>42469</v>
      </c>
      <c r="C289">
        <v>14002</v>
      </c>
      <c r="D289">
        <v>11.3599996566772</v>
      </c>
      <c r="E289">
        <v>11.3599996566772</v>
      </c>
      <c r="F289">
        <v>0</v>
      </c>
      <c r="G289">
        <v>0.61000001430511497</v>
      </c>
      <c r="H289">
        <v>2.6800000667571999</v>
      </c>
      <c r="I289">
        <v>8.0600004196166992</v>
      </c>
      <c r="J289">
        <v>0</v>
      </c>
      <c r="K289">
        <v>8</v>
      </c>
      <c r="L289">
        <v>56</v>
      </c>
      <c r="M289">
        <v>381</v>
      </c>
      <c r="N289">
        <v>407</v>
      </c>
      <c r="O289">
        <v>3597</v>
      </c>
    </row>
    <row r="290" spans="1:15" x14ac:dyDescent="0.3">
      <c r="A290">
        <v>4702921684</v>
      </c>
      <c r="B290" s="1">
        <v>42470</v>
      </c>
      <c r="C290">
        <v>11135</v>
      </c>
      <c r="D290">
        <v>9.0299997329711896</v>
      </c>
      <c r="E290">
        <v>9.0299997329711896</v>
      </c>
      <c r="F290">
        <v>0</v>
      </c>
      <c r="G290">
        <v>7.9999998211860698E-2</v>
      </c>
      <c r="H290">
        <v>1.1599999666214</v>
      </c>
      <c r="I290">
        <v>7.78999996185303</v>
      </c>
      <c r="J290">
        <v>0</v>
      </c>
      <c r="K290">
        <v>1</v>
      </c>
      <c r="L290">
        <v>25</v>
      </c>
      <c r="M290">
        <v>331</v>
      </c>
      <c r="N290">
        <v>528</v>
      </c>
      <c r="O290">
        <v>3224</v>
      </c>
    </row>
    <row r="291" spans="1:15" x14ac:dyDescent="0.3">
      <c r="A291">
        <v>4702921684</v>
      </c>
      <c r="B291" s="1">
        <v>42471</v>
      </c>
      <c r="C291">
        <v>6499</v>
      </c>
      <c r="D291">
        <v>5.2699999809265101</v>
      </c>
      <c r="E291">
        <v>5.2699999809265101</v>
      </c>
      <c r="F291">
        <v>0</v>
      </c>
      <c r="G291">
        <v>0</v>
      </c>
      <c r="H291">
        <v>0</v>
      </c>
      <c r="I291">
        <v>5.2699999809265101</v>
      </c>
      <c r="J291">
        <v>0</v>
      </c>
      <c r="K291">
        <v>0</v>
      </c>
      <c r="L291">
        <v>0</v>
      </c>
      <c r="M291">
        <v>207</v>
      </c>
      <c r="N291">
        <v>809</v>
      </c>
      <c r="O291">
        <v>2677</v>
      </c>
    </row>
    <row r="292" spans="1:15" x14ac:dyDescent="0.3">
      <c r="A292">
        <v>4702921684</v>
      </c>
      <c r="B292" s="1">
        <v>42472</v>
      </c>
      <c r="C292">
        <v>0</v>
      </c>
      <c r="D292">
        <v>0</v>
      </c>
      <c r="E292">
        <v>0</v>
      </c>
      <c r="F292">
        <v>0</v>
      </c>
      <c r="G292">
        <v>0</v>
      </c>
      <c r="H292">
        <v>0</v>
      </c>
      <c r="I292">
        <v>0</v>
      </c>
      <c r="J292">
        <v>0</v>
      </c>
      <c r="K292">
        <v>0</v>
      </c>
      <c r="L292">
        <v>0</v>
      </c>
      <c r="M292">
        <v>0</v>
      </c>
      <c r="N292">
        <v>1440</v>
      </c>
      <c r="O292">
        <v>0</v>
      </c>
    </row>
    <row r="293" spans="1:15" x14ac:dyDescent="0.3">
      <c r="A293">
        <v>5553957443</v>
      </c>
      <c r="B293" s="1">
        <v>42461</v>
      </c>
      <c r="C293">
        <v>12409</v>
      </c>
      <c r="D293">
        <v>8.1000003814697301</v>
      </c>
      <c r="E293">
        <v>8.1000003814697301</v>
      </c>
      <c r="F293">
        <v>0</v>
      </c>
      <c r="G293">
        <v>2.9000000953674299</v>
      </c>
      <c r="H293">
        <v>0.62999999523162797</v>
      </c>
      <c r="I293">
        <v>4.5799999237060502</v>
      </c>
      <c r="J293">
        <v>0</v>
      </c>
      <c r="K293">
        <v>51</v>
      </c>
      <c r="L293">
        <v>12</v>
      </c>
      <c r="M293">
        <v>235</v>
      </c>
      <c r="N293">
        <v>782</v>
      </c>
      <c r="O293">
        <v>2142</v>
      </c>
    </row>
    <row r="294" spans="1:15" x14ac:dyDescent="0.3">
      <c r="A294">
        <v>5553957443</v>
      </c>
      <c r="B294" s="1">
        <v>42462</v>
      </c>
      <c r="C294">
        <v>2937</v>
      </c>
      <c r="D294">
        <v>1.91999995708466</v>
      </c>
      <c r="E294">
        <v>1.91999995708466</v>
      </c>
      <c r="F294">
        <v>0</v>
      </c>
      <c r="G294">
        <v>0</v>
      </c>
      <c r="H294">
        <v>0</v>
      </c>
      <c r="I294">
        <v>1.9099999666214</v>
      </c>
      <c r="J294">
        <v>0</v>
      </c>
      <c r="K294">
        <v>0</v>
      </c>
      <c r="L294">
        <v>0</v>
      </c>
      <c r="M294">
        <v>181</v>
      </c>
      <c r="N294">
        <v>356</v>
      </c>
      <c r="O294">
        <v>1615</v>
      </c>
    </row>
    <row r="295" spans="1:15" x14ac:dyDescent="0.3">
      <c r="A295">
        <v>5553957443</v>
      </c>
      <c r="B295" s="1">
        <v>42463</v>
      </c>
      <c r="C295">
        <v>1515</v>
      </c>
      <c r="D295">
        <v>0.99000000953674305</v>
      </c>
      <c r="E295">
        <v>0.99000000953674305</v>
      </c>
      <c r="F295">
        <v>0</v>
      </c>
      <c r="G295">
        <v>0</v>
      </c>
      <c r="H295">
        <v>0</v>
      </c>
      <c r="I295">
        <v>0.99000000953674305</v>
      </c>
      <c r="J295">
        <v>0</v>
      </c>
      <c r="K295">
        <v>0</v>
      </c>
      <c r="L295">
        <v>0</v>
      </c>
      <c r="M295">
        <v>93</v>
      </c>
      <c r="N295">
        <v>507</v>
      </c>
      <c r="O295">
        <v>1481</v>
      </c>
    </row>
    <row r="296" spans="1:15" x14ac:dyDescent="0.3">
      <c r="A296">
        <v>5553957443</v>
      </c>
      <c r="B296" s="1">
        <v>42464</v>
      </c>
      <c r="C296">
        <v>8921</v>
      </c>
      <c r="D296">
        <v>5.8800001144409197</v>
      </c>
      <c r="E296">
        <v>5.8800001144409197</v>
      </c>
      <c r="F296">
        <v>0</v>
      </c>
      <c r="G296">
        <v>2.0699999332428001</v>
      </c>
      <c r="H296">
        <v>0.43999999761581399</v>
      </c>
      <c r="I296">
        <v>3.3599998950958301</v>
      </c>
      <c r="J296">
        <v>0</v>
      </c>
      <c r="K296">
        <v>27</v>
      </c>
      <c r="L296">
        <v>8</v>
      </c>
      <c r="M296">
        <v>198</v>
      </c>
      <c r="N296">
        <v>754</v>
      </c>
      <c r="O296">
        <v>1892</v>
      </c>
    </row>
    <row r="297" spans="1:15" x14ac:dyDescent="0.3">
      <c r="A297">
        <v>5553957443</v>
      </c>
      <c r="B297" s="1">
        <v>42465</v>
      </c>
      <c r="C297">
        <v>11306</v>
      </c>
      <c r="D297">
        <v>7.3800001144409197</v>
      </c>
      <c r="E297">
        <v>7.3800001144409197</v>
      </c>
      <c r="F297">
        <v>0</v>
      </c>
      <c r="G297">
        <v>2.3099999427795401</v>
      </c>
      <c r="H297">
        <v>0.980000019073486</v>
      </c>
      <c r="I297">
        <v>4.0900001525878897</v>
      </c>
      <c r="J297">
        <v>0</v>
      </c>
      <c r="K297">
        <v>40</v>
      </c>
      <c r="L297">
        <v>26</v>
      </c>
      <c r="M297">
        <v>218</v>
      </c>
      <c r="N297">
        <v>772</v>
      </c>
      <c r="O297">
        <v>2086</v>
      </c>
    </row>
    <row r="298" spans="1:15" x14ac:dyDescent="0.3">
      <c r="A298">
        <v>5553957443</v>
      </c>
      <c r="B298" s="1">
        <v>42466</v>
      </c>
      <c r="C298">
        <v>12252</v>
      </c>
      <c r="D298">
        <v>8</v>
      </c>
      <c r="E298">
        <v>8</v>
      </c>
      <c r="F298">
        <v>0</v>
      </c>
      <c r="G298">
        <v>2.4100000858306898</v>
      </c>
      <c r="H298">
        <v>1.70000004768372</v>
      </c>
      <c r="I298">
        <v>3.8900001049041699</v>
      </c>
      <c r="J298">
        <v>0</v>
      </c>
      <c r="K298">
        <v>33</v>
      </c>
      <c r="L298">
        <v>28</v>
      </c>
      <c r="M298">
        <v>229</v>
      </c>
      <c r="N298">
        <v>745</v>
      </c>
      <c r="O298">
        <v>2044</v>
      </c>
    </row>
    <row r="299" spans="1:15" x14ac:dyDescent="0.3">
      <c r="A299">
        <v>5553957443</v>
      </c>
      <c r="B299" s="1">
        <v>42467</v>
      </c>
      <c r="C299">
        <v>15444</v>
      </c>
      <c r="D299">
        <v>10.079999923706101</v>
      </c>
      <c r="E299">
        <v>10.079999923706101</v>
      </c>
      <c r="F299">
        <v>0</v>
      </c>
      <c r="G299">
        <v>3.2699999809265101</v>
      </c>
      <c r="H299">
        <v>1.7300000190734901</v>
      </c>
      <c r="I299">
        <v>5.0799999237060502</v>
      </c>
      <c r="J299">
        <v>0</v>
      </c>
      <c r="K299">
        <v>51</v>
      </c>
      <c r="L299">
        <v>39</v>
      </c>
      <c r="M299">
        <v>243</v>
      </c>
      <c r="N299">
        <v>731</v>
      </c>
      <c r="O299">
        <v>2249</v>
      </c>
    </row>
    <row r="300" spans="1:15" x14ac:dyDescent="0.3">
      <c r="A300">
        <v>5553957443</v>
      </c>
      <c r="B300" s="1">
        <v>42468</v>
      </c>
      <c r="C300">
        <v>9938</v>
      </c>
      <c r="D300">
        <v>6.4899997711181596</v>
      </c>
      <c r="E300">
        <v>6.4899997711181596</v>
      </c>
      <c r="F300">
        <v>0</v>
      </c>
      <c r="G300">
        <v>2.1400001049041699</v>
      </c>
      <c r="H300">
        <v>1.2799999713897701</v>
      </c>
      <c r="I300">
        <v>3.0799999237060498</v>
      </c>
      <c r="J300">
        <v>0</v>
      </c>
      <c r="K300">
        <v>38</v>
      </c>
      <c r="L300">
        <v>24</v>
      </c>
      <c r="M300">
        <v>193</v>
      </c>
      <c r="N300">
        <v>767</v>
      </c>
      <c r="O300">
        <v>2019</v>
      </c>
    </row>
    <row r="301" spans="1:15" x14ac:dyDescent="0.3">
      <c r="A301">
        <v>5553957443</v>
      </c>
      <c r="B301" s="1">
        <v>42469</v>
      </c>
      <c r="C301">
        <v>4599</v>
      </c>
      <c r="D301">
        <v>3</v>
      </c>
      <c r="E301">
        <v>3</v>
      </c>
      <c r="F301">
        <v>0</v>
      </c>
      <c r="G301">
        <v>0</v>
      </c>
      <c r="H301">
        <v>0</v>
      </c>
      <c r="I301">
        <v>3</v>
      </c>
      <c r="J301">
        <v>0</v>
      </c>
      <c r="K301">
        <v>0</v>
      </c>
      <c r="L301">
        <v>0</v>
      </c>
      <c r="M301">
        <v>176</v>
      </c>
      <c r="N301">
        <v>578</v>
      </c>
      <c r="O301">
        <v>1692</v>
      </c>
    </row>
    <row r="302" spans="1:15" x14ac:dyDescent="0.3">
      <c r="A302">
        <v>5553957443</v>
      </c>
      <c r="B302" s="1">
        <v>42470</v>
      </c>
      <c r="C302">
        <v>5594</v>
      </c>
      <c r="D302">
        <v>3.6500000953674299</v>
      </c>
      <c r="E302">
        <v>3.6500000953674299</v>
      </c>
      <c r="F302">
        <v>0</v>
      </c>
      <c r="G302">
        <v>0.28000000119209301</v>
      </c>
      <c r="H302">
        <v>1.4800000190734901</v>
      </c>
      <c r="I302">
        <v>1.8899999856948899</v>
      </c>
      <c r="J302">
        <v>0</v>
      </c>
      <c r="K302">
        <v>4</v>
      </c>
      <c r="L302">
        <v>25</v>
      </c>
      <c r="M302">
        <v>150</v>
      </c>
      <c r="N302">
        <v>552</v>
      </c>
      <c r="O302">
        <v>1712</v>
      </c>
    </row>
    <row r="303" spans="1:15" x14ac:dyDescent="0.3">
      <c r="A303">
        <v>5553957443</v>
      </c>
      <c r="B303" s="1">
        <v>42471</v>
      </c>
      <c r="C303">
        <v>11906</v>
      </c>
      <c r="D303">
        <v>7.7699999809265101</v>
      </c>
      <c r="E303">
        <v>7.7699999809265101</v>
      </c>
      <c r="F303">
        <v>0</v>
      </c>
      <c r="G303">
        <v>2.2599999904632599</v>
      </c>
      <c r="H303">
        <v>1.5199999809265099</v>
      </c>
      <c r="I303">
        <v>3.9900000095367401</v>
      </c>
      <c r="J303">
        <v>0</v>
      </c>
      <c r="K303">
        <v>32</v>
      </c>
      <c r="L303">
        <v>27</v>
      </c>
      <c r="M303">
        <v>234</v>
      </c>
      <c r="N303">
        <v>688</v>
      </c>
      <c r="O303">
        <v>2065</v>
      </c>
    </row>
    <row r="304" spans="1:15" x14ac:dyDescent="0.3">
      <c r="A304">
        <v>5553957443</v>
      </c>
      <c r="B304" s="1">
        <v>42472</v>
      </c>
      <c r="C304">
        <v>3436</v>
      </c>
      <c r="D304">
        <v>2.2400000095367401</v>
      </c>
      <c r="E304">
        <v>2.2400000095367401</v>
      </c>
      <c r="F304">
        <v>0</v>
      </c>
      <c r="G304">
        <v>0.5</v>
      </c>
      <c r="H304">
        <v>0.67000001668930098</v>
      </c>
      <c r="I304">
        <v>1.04999995231628</v>
      </c>
      <c r="J304">
        <v>0</v>
      </c>
      <c r="K304">
        <v>7</v>
      </c>
      <c r="L304">
        <v>11</v>
      </c>
      <c r="M304">
        <v>50</v>
      </c>
      <c r="N304">
        <v>61</v>
      </c>
      <c r="O304">
        <v>633</v>
      </c>
    </row>
    <row r="305" spans="1:15" x14ac:dyDescent="0.3">
      <c r="A305">
        <v>5577150313</v>
      </c>
      <c r="B305" s="1">
        <v>42461</v>
      </c>
      <c r="C305">
        <v>10461</v>
      </c>
      <c r="D305">
        <v>7.8699998855590803</v>
      </c>
      <c r="E305">
        <v>7.8699998855590803</v>
      </c>
      <c r="F305">
        <v>0</v>
      </c>
      <c r="G305">
        <v>4.7600002288818404</v>
      </c>
      <c r="H305">
        <v>0.85000002384185802</v>
      </c>
      <c r="I305">
        <v>2.25</v>
      </c>
      <c r="J305">
        <v>0</v>
      </c>
      <c r="K305">
        <v>99</v>
      </c>
      <c r="L305">
        <v>31</v>
      </c>
      <c r="M305">
        <v>142</v>
      </c>
      <c r="N305">
        <v>721</v>
      </c>
      <c r="O305">
        <v>3625</v>
      </c>
    </row>
    <row r="306" spans="1:15" x14ac:dyDescent="0.3">
      <c r="A306">
        <v>5577150313</v>
      </c>
      <c r="B306" s="1">
        <v>42462</v>
      </c>
      <c r="C306">
        <v>14873</v>
      </c>
      <c r="D306">
        <v>11.1099996566772</v>
      </c>
      <c r="E306">
        <v>11.1099996566772</v>
      </c>
      <c r="F306">
        <v>0</v>
      </c>
      <c r="G306">
        <v>8.1899995803833008</v>
      </c>
      <c r="H306">
        <v>0.60000002384185802</v>
      </c>
      <c r="I306">
        <v>2.3099999427795401</v>
      </c>
      <c r="J306">
        <v>0</v>
      </c>
      <c r="K306">
        <v>202</v>
      </c>
      <c r="L306">
        <v>36</v>
      </c>
      <c r="M306">
        <v>153</v>
      </c>
      <c r="N306">
        <v>663</v>
      </c>
      <c r="O306">
        <v>4430</v>
      </c>
    </row>
    <row r="307" spans="1:15" x14ac:dyDescent="0.3">
      <c r="A307">
        <v>5577150313</v>
      </c>
      <c r="B307" s="1">
        <v>42463</v>
      </c>
      <c r="C307">
        <v>9917</v>
      </c>
      <c r="D307">
        <v>7.4099998474121103</v>
      </c>
      <c r="E307">
        <v>7.4099998474121103</v>
      </c>
      <c r="F307">
        <v>0</v>
      </c>
      <c r="G307">
        <v>1.9900000095367401</v>
      </c>
      <c r="H307">
        <v>0.97000002861022905</v>
      </c>
      <c r="I307">
        <v>4.4400000572204599</v>
      </c>
      <c r="J307">
        <v>0</v>
      </c>
      <c r="K307">
        <v>58</v>
      </c>
      <c r="L307">
        <v>27</v>
      </c>
      <c r="M307">
        <v>240</v>
      </c>
      <c r="N307">
        <v>700</v>
      </c>
      <c r="O307">
        <v>3427</v>
      </c>
    </row>
    <row r="308" spans="1:15" x14ac:dyDescent="0.3">
      <c r="A308">
        <v>5577150313</v>
      </c>
      <c r="B308" s="1">
        <v>42464</v>
      </c>
      <c r="C308">
        <v>7401</v>
      </c>
      <c r="D308">
        <v>5.5599999427795401</v>
      </c>
      <c r="E308">
        <v>5.5599999427795401</v>
      </c>
      <c r="F308">
        <v>0</v>
      </c>
      <c r="G308">
        <v>2.3199999332428001</v>
      </c>
      <c r="H308">
        <v>0.36000001430511502</v>
      </c>
      <c r="I308">
        <v>2.8800001144409202</v>
      </c>
      <c r="J308">
        <v>0</v>
      </c>
      <c r="K308">
        <v>70</v>
      </c>
      <c r="L308">
        <v>19</v>
      </c>
      <c r="M308">
        <v>204</v>
      </c>
      <c r="N308">
        <v>689</v>
      </c>
      <c r="O308">
        <v>3492</v>
      </c>
    </row>
    <row r="309" spans="1:15" x14ac:dyDescent="0.3">
      <c r="A309">
        <v>5577150313</v>
      </c>
      <c r="B309" s="1">
        <v>42465</v>
      </c>
      <c r="C309">
        <v>8964</v>
      </c>
      <c r="D309">
        <v>6.6999998092651403</v>
      </c>
      <c r="E309">
        <v>6.6999998092651403</v>
      </c>
      <c r="F309">
        <v>0</v>
      </c>
      <c r="G309">
        <v>3.9700000286102299</v>
      </c>
      <c r="H309">
        <v>0.18999999761581399</v>
      </c>
      <c r="I309">
        <v>2.5299999713897701</v>
      </c>
      <c r="J309">
        <v>0</v>
      </c>
      <c r="K309">
        <v>107</v>
      </c>
      <c r="L309">
        <v>18</v>
      </c>
      <c r="M309">
        <v>145</v>
      </c>
      <c r="N309">
        <v>756</v>
      </c>
      <c r="O309">
        <v>3597</v>
      </c>
    </row>
    <row r="310" spans="1:15" x14ac:dyDescent="0.3">
      <c r="A310">
        <v>5577150313</v>
      </c>
      <c r="B310" s="1">
        <v>42466</v>
      </c>
      <c r="C310">
        <v>11080</v>
      </c>
      <c r="D310">
        <v>8.3000001907348597</v>
      </c>
      <c r="E310">
        <v>8.3000001907348597</v>
      </c>
      <c r="F310">
        <v>0</v>
      </c>
      <c r="G310">
        <v>3.1300001144409202</v>
      </c>
      <c r="H310">
        <v>1.37000000476837</v>
      </c>
      <c r="I310">
        <v>3.8099999427795401</v>
      </c>
      <c r="J310">
        <v>0</v>
      </c>
      <c r="K310">
        <v>83</v>
      </c>
      <c r="L310">
        <v>52</v>
      </c>
      <c r="M310">
        <v>190</v>
      </c>
      <c r="N310">
        <v>695</v>
      </c>
      <c r="O310">
        <v>3765</v>
      </c>
    </row>
    <row r="311" spans="1:15" x14ac:dyDescent="0.3">
      <c r="A311">
        <v>5577150313</v>
      </c>
      <c r="B311" s="1">
        <v>42467</v>
      </c>
      <c r="C311">
        <v>4499</v>
      </c>
      <c r="D311">
        <v>3.3599998950958301</v>
      </c>
      <c r="E311">
        <v>3.3599998950958301</v>
      </c>
      <c r="F311">
        <v>0</v>
      </c>
      <c r="G311">
        <v>0.88999998569488503</v>
      </c>
      <c r="H311">
        <v>0.259999990463257</v>
      </c>
      <c r="I311">
        <v>2.21000003814697</v>
      </c>
      <c r="J311">
        <v>0</v>
      </c>
      <c r="K311">
        <v>31</v>
      </c>
      <c r="L311">
        <v>11</v>
      </c>
      <c r="M311">
        <v>146</v>
      </c>
      <c r="N311">
        <v>756</v>
      </c>
      <c r="O311">
        <v>2775</v>
      </c>
    </row>
    <row r="312" spans="1:15" x14ac:dyDescent="0.3">
      <c r="A312">
        <v>5577150313</v>
      </c>
      <c r="B312" s="1">
        <v>42468</v>
      </c>
      <c r="C312">
        <v>4363</v>
      </c>
      <c r="D312">
        <v>3.2599999904632599</v>
      </c>
      <c r="E312">
        <v>3.2599999904632599</v>
      </c>
      <c r="F312">
        <v>0</v>
      </c>
      <c r="G312">
        <v>0.129999995231628</v>
      </c>
      <c r="H312">
        <v>5.9999998658895499E-2</v>
      </c>
      <c r="I312">
        <v>3.0799999237060498</v>
      </c>
      <c r="J312">
        <v>0</v>
      </c>
      <c r="K312">
        <v>8</v>
      </c>
      <c r="L312">
        <v>2</v>
      </c>
      <c r="M312">
        <v>156</v>
      </c>
      <c r="N312">
        <v>813</v>
      </c>
      <c r="O312">
        <v>2486</v>
      </c>
    </row>
    <row r="313" spans="1:15" x14ac:dyDescent="0.3">
      <c r="A313">
        <v>5577150313</v>
      </c>
      <c r="B313" s="1">
        <v>42469</v>
      </c>
      <c r="C313">
        <v>10494</v>
      </c>
      <c r="D313">
        <v>7.8400001525878897</v>
      </c>
      <c r="E313">
        <v>7.8400001525878897</v>
      </c>
      <c r="F313">
        <v>0</v>
      </c>
      <c r="G313">
        <v>4.9099998474121103</v>
      </c>
      <c r="H313">
        <v>0.77999997138977095</v>
      </c>
      <c r="I313">
        <v>2.1500000953674299</v>
      </c>
      <c r="J313">
        <v>0</v>
      </c>
      <c r="K313">
        <v>123</v>
      </c>
      <c r="L313">
        <v>62</v>
      </c>
      <c r="M313">
        <v>138</v>
      </c>
      <c r="N313">
        <v>601</v>
      </c>
      <c r="O313">
        <v>3817</v>
      </c>
    </row>
    <row r="314" spans="1:15" x14ac:dyDescent="0.3">
      <c r="A314">
        <v>5577150313</v>
      </c>
      <c r="B314" s="1">
        <v>42470</v>
      </c>
      <c r="C314">
        <v>9776</v>
      </c>
      <c r="D314">
        <v>7.3800001144409197</v>
      </c>
      <c r="E314">
        <v>7.3800001144409197</v>
      </c>
      <c r="F314">
        <v>0</v>
      </c>
      <c r="G314">
        <v>2.9300000667571999</v>
      </c>
      <c r="H314">
        <v>1.4299999475479099</v>
      </c>
      <c r="I314">
        <v>3.0199999809265101</v>
      </c>
      <c r="J314">
        <v>0</v>
      </c>
      <c r="K314">
        <v>80</v>
      </c>
      <c r="L314">
        <v>35</v>
      </c>
      <c r="M314">
        <v>162</v>
      </c>
      <c r="N314">
        <v>721</v>
      </c>
      <c r="O314">
        <v>3378</v>
      </c>
    </row>
    <row r="315" spans="1:15" x14ac:dyDescent="0.3">
      <c r="A315">
        <v>5577150313</v>
      </c>
      <c r="B315" s="1">
        <v>42471</v>
      </c>
      <c r="C315">
        <v>2862</v>
      </c>
      <c r="D315">
        <v>2.1400001049041699</v>
      </c>
      <c r="E315">
        <v>2.1400001049041699</v>
      </c>
      <c r="F315">
        <v>0</v>
      </c>
      <c r="G315">
        <v>1.03999996185303</v>
      </c>
      <c r="H315">
        <v>0.25</v>
      </c>
      <c r="I315">
        <v>0.83999997377395597</v>
      </c>
      <c r="J315">
        <v>0</v>
      </c>
      <c r="K315">
        <v>39</v>
      </c>
      <c r="L315">
        <v>17</v>
      </c>
      <c r="M315">
        <v>54</v>
      </c>
      <c r="N315">
        <v>209</v>
      </c>
      <c r="O315">
        <v>1511</v>
      </c>
    </row>
    <row r="316" spans="1:15" x14ac:dyDescent="0.3">
      <c r="A316">
        <v>6117666160</v>
      </c>
      <c r="B316" s="1">
        <v>42461</v>
      </c>
      <c r="C316">
        <v>7444</v>
      </c>
      <c r="D316">
        <v>5.6199998855590803</v>
      </c>
      <c r="E316">
        <v>5.6199998855590803</v>
      </c>
      <c r="F316">
        <v>0</v>
      </c>
      <c r="G316">
        <v>0</v>
      </c>
      <c r="H316">
        <v>0</v>
      </c>
      <c r="I316">
        <v>5.6199998855590803</v>
      </c>
      <c r="J316">
        <v>0</v>
      </c>
      <c r="K316">
        <v>0</v>
      </c>
      <c r="L316">
        <v>0</v>
      </c>
      <c r="M316">
        <v>286</v>
      </c>
      <c r="N316">
        <v>568</v>
      </c>
      <c r="O316">
        <v>2210</v>
      </c>
    </row>
    <row r="317" spans="1:15" x14ac:dyDescent="0.3">
      <c r="A317">
        <v>6117666160</v>
      </c>
      <c r="B317" s="1">
        <v>42462</v>
      </c>
      <c r="C317">
        <v>19658</v>
      </c>
      <c r="D317">
        <v>14.8400001525879</v>
      </c>
      <c r="E317">
        <v>14.8400001525879</v>
      </c>
      <c r="F317">
        <v>0</v>
      </c>
      <c r="G317">
        <v>0.239999994635582</v>
      </c>
      <c r="H317">
        <v>2.0899999141693102</v>
      </c>
      <c r="I317">
        <v>12.5100002288818</v>
      </c>
      <c r="J317">
        <v>0</v>
      </c>
      <c r="K317">
        <v>3</v>
      </c>
      <c r="L317">
        <v>30</v>
      </c>
      <c r="M317">
        <v>475</v>
      </c>
      <c r="N317">
        <v>466</v>
      </c>
      <c r="O317">
        <v>2884</v>
      </c>
    </row>
    <row r="318" spans="1:15" x14ac:dyDescent="0.3">
      <c r="A318">
        <v>6117666160</v>
      </c>
      <c r="B318" s="1">
        <v>42463</v>
      </c>
      <c r="C318">
        <v>0</v>
      </c>
      <c r="D318">
        <v>0</v>
      </c>
      <c r="E318">
        <v>0</v>
      </c>
      <c r="F318">
        <v>0</v>
      </c>
      <c r="G318">
        <v>0</v>
      </c>
      <c r="H318">
        <v>0</v>
      </c>
      <c r="I318">
        <v>0</v>
      </c>
      <c r="J318">
        <v>0</v>
      </c>
      <c r="K318">
        <v>0</v>
      </c>
      <c r="L318">
        <v>0</v>
      </c>
      <c r="M318">
        <v>0</v>
      </c>
      <c r="N318">
        <v>1440</v>
      </c>
      <c r="O318">
        <v>1496</v>
      </c>
    </row>
    <row r="319" spans="1:15" x14ac:dyDescent="0.3">
      <c r="A319">
        <v>6117666160</v>
      </c>
      <c r="B319" s="1">
        <v>42464</v>
      </c>
      <c r="C319">
        <v>8468</v>
      </c>
      <c r="D319">
        <v>6.3899998664856001</v>
      </c>
      <c r="E319">
        <v>6.3899998664856001</v>
      </c>
      <c r="F319">
        <v>0</v>
      </c>
      <c r="G319">
        <v>0.18000000715255701</v>
      </c>
      <c r="H319">
        <v>0.63999998569488503</v>
      </c>
      <c r="I319">
        <v>5.5700001716613796</v>
      </c>
      <c r="J319">
        <v>0</v>
      </c>
      <c r="K319">
        <v>2</v>
      </c>
      <c r="L319">
        <v>11</v>
      </c>
      <c r="M319">
        <v>279</v>
      </c>
      <c r="N319">
        <v>1148</v>
      </c>
      <c r="O319">
        <v>2262</v>
      </c>
    </row>
    <row r="320" spans="1:15" x14ac:dyDescent="0.3">
      <c r="A320">
        <v>6117666160</v>
      </c>
      <c r="B320" s="1">
        <v>42465</v>
      </c>
      <c r="C320">
        <v>9910</v>
      </c>
      <c r="D320">
        <v>7.4800000190734899</v>
      </c>
      <c r="E320">
        <v>7.4800000190734899</v>
      </c>
      <c r="F320">
        <v>0</v>
      </c>
      <c r="G320">
        <v>0</v>
      </c>
      <c r="H320">
        <v>0</v>
      </c>
      <c r="I320">
        <v>7.4800000190734899</v>
      </c>
      <c r="J320">
        <v>0</v>
      </c>
      <c r="K320">
        <v>0</v>
      </c>
      <c r="L320">
        <v>0</v>
      </c>
      <c r="M320">
        <v>384</v>
      </c>
      <c r="N320">
        <v>990</v>
      </c>
      <c r="O320">
        <v>2445</v>
      </c>
    </row>
    <row r="321" spans="1:15" x14ac:dyDescent="0.3">
      <c r="A321">
        <v>6117666160</v>
      </c>
      <c r="B321" s="1">
        <v>42466</v>
      </c>
      <c r="C321">
        <v>12409</v>
      </c>
      <c r="D321">
        <v>9.3699998855590803</v>
      </c>
      <c r="E321">
        <v>9.3699998855590803</v>
      </c>
      <c r="F321">
        <v>0</v>
      </c>
      <c r="G321">
        <v>0</v>
      </c>
      <c r="H321">
        <v>0</v>
      </c>
      <c r="I321">
        <v>9.3699998855590803</v>
      </c>
      <c r="J321">
        <v>0</v>
      </c>
      <c r="K321">
        <v>0</v>
      </c>
      <c r="L321">
        <v>0</v>
      </c>
      <c r="M321">
        <v>491</v>
      </c>
      <c r="N321">
        <v>388</v>
      </c>
      <c r="O321">
        <v>2694</v>
      </c>
    </row>
    <row r="322" spans="1:15" x14ac:dyDescent="0.3">
      <c r="A322">
        <v>6117666160</v>
      </c>
      <c r="B322" s="1">
        <v>42467</v>
      </c>
      <c r="C322">
        <v>4853</v>
      </c>
      <c r="D322">
        <v>3.6600000858306898</v>
      </c>
      <c r="E322">
        <v>3.6600000858306898</v>
      </c>
      <c r="F322">
        <v>0</v>
      </c>
      <c r="G322">
        <v>0</v>
      </c>
      <c r="H322">
        <v>0</v>
      </c>
      <c r="I322">
        <v>3.6600000858306898</v>
      </c>
      <c r="J322">
        <v>0</v>
      </c>
      <c r="K322">
        <v>0</v>
      </c>
      <c r="L322">
        <v>0</v>
      </c>
      <c r="M322">
        <v>156</v>
      </c>
      <c r="N322">
        <v>770</v>
      </c>
      <c r="O322">
        <v>1903</v>
      </c>
    </row>
    <row r="323" spans="1:15" x14ac:dyDescent="0.3">
      <c r="A323">
        <v>6117666160</v>
      </c>
      <c r="B323" s="1">
        <v>42468</v>
      </c>
      <c r="C323">
        <v>8955</v>
      </c>
      <c r="D323">
        <v>6.7600002288818404</v>
      </c>
      <c r="E323">
        <v>6.7600002288818404</v>
      </c>
      <c r="F323">
        <v>0</v>
      </c>
      <c r="G323">
        <v>0</v>
      </c>
      <c r="H323">
        <v>0</v>
      </c>
      <c r="I323">
        <v>6.7300000190734899</v>
      </c>
      <c r="J323">
        <v>0</v>
      </c>
      <c r="K323">
        <v>0</v>
      </c>
      <c r="L323">
        <v>0</v>
      </c>
      <c r="M323">
        <v>422</v>
      </c>
      <c r="N323">
        <v>1018</v>
      </c>
      <c r="O323">
        <v>2482</v>
      </c>
    </row>
    <row r="324" spans="1:15" x14ac:dyDescent="0.3">
      <c r="A324">
        <v>6117666160</v>
      </c>
      <c r="B324" s="1">
        <v>42469</v>
      </c>
      <c r="C324">
        <v>10789</v>
      </c>
      <c r="D324">
        <v>8.1499996185302699</v>
      </c>
      <c r="E324">
        <v>8.1499996185302699</v>
      </c>
      <c r="F324">
        <v>0</v>
      </c>
      <c r="G324">
        <v>0</v>
      </c>
      <c r="H324">
        <v>0</v>
      </c>
      <c r="I324">
        <v>8.1499996185302699</v>
      </c>
      <c r="J324">
        <v>0</v>
      </c>
      <c r="K324">
        <v>0</v>
      </c>
      <c r="L324">
        <v>0</v>
      </c>
      <c r="M324">
        <v>506</v>
      </c>
      <c r="N324">
        <v>413</v>
      </c>
      <c r="O324">
        <v>2617</v>
      </c>
    </row>
    <row r="325" spans="1:15" x14ac:dyDescent="0.3">
      <c r="A325">
        <v>6117666160</v>
      </c>
      <c r="B325" s="1">
        <v>42470</v>
      </c>
      <c r="C325">
        <v>0</v>
      </c>
      <c r="D325">
        <v>0</v>
      </c>
      <c r="E325">
        <v>0</v>
      </c>
      <c r="F325">
        <v>0</v>
      </c>
      <c r="G325">
        <v>0</v>
      </c>
      <c r="H325">
        <v>0</v>
      </c>
      <c r="I325">
        <v>0</v>
      </c>
      <c r="J325">
        <v>0</v>
      </c>
      <c r="K325">
        <v>0</v>
      </c>
      <c r="L325">
        <v>0</v>
      </c>
      <c r="M325">
        <v>0</v>
      </c>
      <c r="N325">
        <v>1440</v>
      </c>
      <c r="O325">
        <v>0</v>
      </c>
    </row>
    <row r="326" spans="1:15" x14ac:dyDescent="0.3">
      <c r="A326">
        <v>6290855005</v>
      </c>
      <c r="B326" s="1">
        <v>42461</v>
      </c>
      <c r="C326">
        <v>6633</v>
      </c>
      <c r="D326">
        <v>5.0100002288818404</v>
      </c>
      <c r="E326">
        <v>5.0100002288818404</v>
      </c>
      <c r="F326">
        <v>0</v>
      </c>
      <c r="G326">
        <v>0</v>
      </c>
      <c r="H326">
        <v>0</v>
      </c>
      <c r="I326">
        <v>5.0100002288818404</v>
      </c>
      <c r="J326">
        <v>0</v>
      </c>
      <c r="K326">
        <v>0</v>
      </c>
      <c r="L326">
        <v>0</v>
      </c>
      <c r="M326">
        <v>280</v>
      </c>
      <c r="N326">
        <v>1160</v>
      </c>
      <c r="O326">
        <v>2778</v>
      </c>
    </row>
    <row r="327" spans="1:15" x14ac:dyDescent="0.3">
      <c r="A327">
        <v>6290855005</v>
      </c>
      <c r="B327" s="1">
        <v>42462</v>
      </c>
      <c r="C327">
        <v>9548</v>
      </c>
      <c r="D327">
        <v>7.2199997901916504</v>
      </c>
      <c r="E327">
        <v>7.2199997901916504</v>
      </c>
      <c r="F327">
        <v>0</v>
      </c>
      <c r="G327">
        <v>2.0199999809265101</v>
      </c>
      <c r="H327">
        <v>3.6800000667571999</v>
      </c>
      <c r="I327">
        <v>1.5199999809265099</v>
      </c>
      <c r="J327">
        <v>0</v>
      </c>
      <c r="K327">
        <v>25</v>
      </c>
      <c r="L327">
        <v>107</v>
      </c>
      <c r="M327">
        <v>113</v>
      </c>
      <c r="N327">
        <v>1195</v>
      </c>
      <c r="O327">
        <v>3119</v>
      </c>
    </row>
    <row r="328" spans="1:15" x14ac:dyDescent="0.3">
      <c r="A328">
        <v>6290855005</v>
      </c>
      <c r="B328" s="1">
        <v>42463</v>
      </c>
      <c r="C328">
        <v>0</v>
      </c>
      <c r="D328">
        <v>0</v>
      </c>
      <c r="E328">
        <v>0</v>
      </c>
      <c r="F328">
        <v>0</v>
      </c>
      <c r="G328">
        <v>0</v>
      </c>
      <c r="H328">
        <v>0</v>
      </c>
      <c r="I328">
        <v>0</v>
      </c>
      <c r="J328">
        <v>0</v>
      </c>
      <c r="K328">
        <v>33</v>
      </c>
      <c r="L328">
        <v>0</v>
      </c>
      <c r="M328">
        <v>0</v>
      </c>
      <c r="N328">
        <v>1407</v>
      </c>
      <c r="O328">
        <v>2664</v>
      </c>
    </row>
    <row r="329" spans="1:15" x14ac:dyDescent="0.3">
      <c r="A329">
        <v>6290855005</v>
      </c>
      <c r="B329" s="1">
        <v>42464</v>
      </c>
      <c r="C329">
        <v>0</v>
      </c>
      <c r="D329">
        <v>0</v>
      </c>
      <c r="E329">
        <v>0</v>
      </c>
      <c r="F329">
        <v>0</v>
      </c>
      <c r="G329">
        <v>0</v>
      </c>
      <c r="H329">
        <v>0</v>
      </c>
      <c r="I329">
        <v>0</v>
      </c>
      <c r="J329">
        <v>0</v>
      </c>
      <c r="K329">
        <v>0</v>
      </c>
      <c r="L329">
        <v>0</v>
      </c>
      <c r="M329">
        <v>0</v>
      </c>
      <c r="N329">
        <v>1440</v>
      </c>
      <c r="O329">
        <v>2060</v>
      </c>
    </row>
    <row r="330" spans="1:15" x14ac:dyDescent="0.3">
      <c r="A330">
        <v>6290855005</v>
      </c>
      <c r="B330" s="1">
        <v>42465</v>
      </c>
      <c r="C330">
        <v>0</v>
      </c>
      <c r="D330">
        <v>0</v>
      </c>
      <c r="E330">
        <v>0</v>
      </c>
      <c r="F330">
        <v>0</v>
      </c>
      <c r="G330">
        <v>0</v>
      </c>
      <c r="H330">
        <v>0</v>
      </c>
      <c r="I330">
        <v>0</v>
      </c>
      <c r="J330">
        <v>0</v>
      </c>
      <c r="K330">
        <v>0</v>
      </c>
      <c r="L330">
        <v>0</v>
      </c>
      <c r="M330">
        <v>0</v>
      </c>
      <c r="N330">
        <v>1440</v>
      </c>
      <c r="O330">
        <v>2060</v>
      </c>
    </row>
    <row r="331" spans="1:15" x14ac:dyDescent="0.3">
      <c r="A331">
        <v>6290855005</v>
      </c>
      <c r="B331" s="1">
        <v>42466</v>
      </c>
      <c r="C331">
        <v>0</v>
      </c>
      <c r="D331">
        <v>0</v>
      </c>
      <c r="E331">
        <v>0</v>
      </c>
      <c r="F331">
        <v>0</v>
      </c>
      <c r="G331">
        <v>0</v>
      </c>
      <c r="H331">
        <v>0</v>
      </c>
      <c r="I331">
        <v>0</v>
      </c>
      <c r="J331">
        <v>0</v>
      </c>
      <c r="K331">
        <v>0</v>
      </c>
      <c r="L331">
        <v>0</v>
      </c>
      <c r="M331">
        <v>0</v>
      </c>
      <c r="N331">
        <v>1440</v>
      </c>
      <c r="O331">
        <v>2060</v>
      </c>
    </row>
    <row r="332" spans="1:15" x14ac:dyDescent="0.3">
      <c r="A332">
        <v>6290855005</v>
      </c>
      <c r="B332" s="1">
        <v>42467</v>
      </c>
      <c r="C332">
        <v>0</v>
      </c>
      <c r="D332">
        <v>0</v>
      </c>
      <c r="E332">
        <v>0</v>
      </c>
      <c r="F332">
        <v>0</v>
      </c>
      <c r="G332">
        <v>0</v>
      </c>
      <c r="H332">
        <v>0</v>
      </c>
      <c r="I332">
        <v>0</v>
      </c>
      <c r="J332">
        <v>0</v>
      </c>
      <c r="K332">
        <v>0</v>
      </c>
      <c r="L332">
        <v>0</v>
      </c>
      <c r="M332">
        <v>0</v>
      </c>
      <c r="N332">
        <v>1440</v>
      </c>
      <c r="O332">
        <v>2060</v>
      </c>
    </row>
    <row r="333" spans="1:15" x14ac:dyDescent="0.3">
      <c r="A333">
        <v>6290855005</v>
      </c>
      <c r="B333" s="1">
        <v>42468</v>
      </c>
      <c r="C333">
        <v>0</v>
      </c>
      <c r="D333">
        <v>0</v>
      </c>
      <c r="E333">
        <v>0</v>
      </c>
      <c r="F333">
        <v>0</v>
      </c>
      <c r="G333">
        <v>0</v>
      </c>
      <c r="H333">
        <v>0</v>
      </c>
      <c r="I333">
        <v>0</v>
      </c>
      <c r="J333">
        <v>0</v>
      </c>
      <c r="K333">
        <v>0</v>
      </c>
      <c r="L333">
        <v>0</v>
      </c>
      <c r="M333">
        <v>0</v>
      </c>
      <c r="N333">
        <v>1440</v>
      </c>
      <c r="O333">
        <v>2060</v>
      </c>
    </row>
    <row r="334" spans="1:15" x14ac:dyDescent="0.3">
      <c r="A334">
        <v>6290855005</v>
      </c>
      <c r="B334" s="1">
        <v>42469</v>
      </c>
      <c r="C334">
        <v>0</v>
      </c>
      <c r="D334">
        <v>0</v>
      </c>
      <c r="E334">
        <v>0</v>
      </c>
      <c r="F334">
        <v>0</v>
      </c>
      <c r="G334">
        <v>0</v>
      </c>
      <c r="H334">
        <v>0</v>
      </c>
      <c r="I334">
        <v>0</v>
      </c>
      <c r="J334">
        <v>0</v>
      </c>
      <c r="K334">
        <v>0</v>
      </c>
      <c r="L334">
        <v>0</v>
      </c>
      <c r="M334">
        <v>0</v>
      </c>
      <c r="N334">
        <v>1440</v>
      </c>
      <c r="O334">
        <v>2060</v>
      </c>
    </row>
    <row r="335" spans="1:15" x14ac:dyDescent="0.3">
      <c r="A335">
        <v>6290855005</v>
      </c>
      <c r="B335" s="1">
        <v>42470</v>
      </c>
      <c r="C335">
        <v>0</v>
      </c>
      <c r="D335">
        <v>0</v>
      </c>
      <c r="E335">
        <v>0</v>
      </c>
      <c r="F335">
        <v>0</v>
      </c>
      <c r="G335">
        <v>0</v>
      </c>
      <c r="H335">
        <v>0</v>
      </c>
      <c r="I335">
        <v>0</v>
      </c>
      <c r="J335">
        <v>0</v>
      </c>
      <c r="K335">
        <v>20</v>
      </c>
      <c r="L335">
        <v>0</v>
      </c>
      <c r="M335">
        <v>0</v>
      </c>
      <c r="N335">
        <v>494</v>
      </c>
      <c r="O335">
        <v>735</v>
      </c>
    </row>
    <row r="336" spans="1:15" x14ac:dyDescent="0.3">
      <c r="A336">
        <v>6391747486</v>
      </c>
      <c r="B336" s="1">
        <v>42461</v>
      </c>
      <c r="C336">
        <v>0</v>
      </c>
      <c r="D336">
        <v>0</v>
      </c>
      <c r="E336">
        <v>0</v>
      </c>
      <c r="F336">
        <v>0</v>
      </c>
      <c r="G336">
        <v>0</v>
      </c>
      <c r="H336">
        <v>0</v>
      </c>
      <c r="I336">
        <v>0</v>
      </c>
      <c r="J336">
        <v>0</v>
      </c>
      <c r="K336">
        <v>0</v>
      </c>
      <c r="L336">
        <v>0</v>
      </c>
      <c r="M336">
        <v>0</v>
      </c>
      <c r="N336">
        <v>1440</v>
      </c>
      <c r="O336">
        <v>1820</v>
      </c>
    </row>
    <row r="337" spans="1:15" x14ac:dyDescent="0.3">
      <c r="A337">
        <v>6391747486</v>
      </c>
      <c r="B337" s="1">
        <v>42462</v>
      </c>
      <c r="C337">
        <v>2101</v>
      </c>
      <c r="D337">
        <v>2.0299999713897701</v>
      </c>
      <c r="E337">
        <v>0</v>
      </c>
      <c r="F337">
        <v>2.0277729034423801</v>
      </c>
      <c r="G337">
        <v>2.0299999713897701</v>
      </c>
      <c r="H337">
        <v>0</v>
      </c>
      <c r="I337">
        <v>0</v>
      </c>
      <c r="J337">
        <v>0</v>
      </c>
      <c r="K337">
        <v>46</v>
      </c>
      <c r="L337">
        <v>0</v>
      </c>
      <c r="M337">
        <v>0</v>
      </c>
      <c r="N337">
        <v>1394</v>
      </c>
      <c r="O337">
        <v>2224</v>
      </c>
    </row>
    <row r="338" spans="1:15" x14ac:dyDescent="0.3">
      <c r="A338">
        <v>6391747486</v>
      </c>
      <c r="B338" s="1">
        <v>42463</v>
      </c>
      <c r="C338">
        <v>0</v>
      </c>
      <c r="D338">
        <v>0</v>
      </c>
      <c r="E338">
        <v>0</v>
      </c>
      <c r="F338">
        <v>0</v>
      </c>
      <c r="G338">
        <v>0</v>
      </c>
      <c r="H338">
        <v>0</v>
      </c>
      <c r="I338">
        <v>0</v>
      </c>
      <c r="J338">
        <v>0</v>
      </c>
      <c r="K338">
        <v>0</v>
      </c>
      <c r="L338">
        <v>0</v>
      </c>
      <c r="M338">
        <v>0</v>
      </c>
      <c r="N338">
        <v>1440</v>
      </c>
      <c r="O338">
        <v>1820</v>
      </c>
    </row>
    <row r="339" spans="1:15" x14ac:dyDescent="0.3">
      <c r="A339">
        <v>6391747486</v>
      </c>
      <c r="B339" s="1">
        <v>42464</v>
      </c>
      <c r="C339">
        <v>0</v>
      </c>
      <c r="D339">
        <v>0</v>
      </c>
      <c r="E339">
        <v>0</v>
      </c>
      <c r="F339">
        <v>0</v>
      </c>
      <c r="G339">
        <v>0</v>
      </c>
      <c r="H339">
        <v>0</v>
      </c>
      <c r="I339">
        <v>0</v>
      </c>
      <c r="J339">
        <v>0</v>
      </c>
      <c r="K339">
        <v>0</v>
      </c>
      <c r="L339">
        <v>0</v>
      </c>
      <c r="M339">
        <v>0</v>
      </c>
      <c r="N339">
        <v>1440</v>
      </c>
      <c r="O339">
        <v>1820</v>
      </c>
    </row>
    <row r="340" spans="1:15" x14ac:dyDescent="0.3">
      <c r="A340">
        <v>6391747486</v>
      </c>
      <c r="B340" s="1">
        <v>42465</v>
      </c>
      <c r="C340">
        <v>9766</v>
      </c>
      <c r="D340">
        <v>7.5100002288818404</v>
      </c>
      <c r="E340">
        <v>0.77999997138977095</v>
      </c>
      <c r="F340">
        <v>6.7270569801330602</v>
      </c>
      <c r="G340">
        <v>0</v>
      </c>
      <c r="H340">
        <v>5.0000000745058101E-2</v>
      </c>
      <c r="I340">
        <v>7.46000003814697</v>
      </c>
      <c r="J340">
        <v>0</v>
      </c>
      <c r="K340">
        <v>0</v>
      </c>
      <c r="L340">
        <v>6</v>
      </c>
      <c r="M340">
        <v>301</v>
      </c>
      <c r="N340">
        <v>1133</v>
      </c>
      <c r="O340">
        <v>2442</v>
      </c>
    </row>
    <row r="341" spans="1:15" x14ac:dyDescent="0.3">
      <c r="A341">
        <v>6391747486</v>
      </c>
      <c r="B341" s="1">
        <v>42466</v>
      </c>
      <c r="C341">
        <v>165</v>
      </c>
      <c r="D341">
        <v>0.129999995231628</v>
      </c>
      <c r="E341">
        <v>0.129999995231628</v>
      </c>
      <c r="F341">
        <v>0</v>
      </c>
      <c r="G341">
        <v>0</v>
      </c>
      <c r="H341">
        <v>0</v>
      </c>
      <c r="I341">
        <v>0.129999995231628</v>
      </c>
      <c r="J341">
        <v>0</v>
      </c>
      <c r="K341">
        <v>0</v>
      </c>
      <c r="L341">
        <v>0</v>
      </c>
      <c r="M341">
        <v>8</v>
      </c>
      <c r="N341">
        <v>1432</v>
      </c>
      <c r="O341">
        <v>1849</v>
      </c>
    </row>
    <row r="342" spans="1:15" x14ac:dyDescent="0.3">
      <c r="A342">
        <v>6391747486</v>
      </c>
      <c r="B342" s="1">
        <v>42467</v>
      </c>
      <c r="C342">
        <v>0</v>
      </c>
      <c r="D342">
        <v>0</v>
      </c>
      <c r="E342">
        <v>0</v>
      </c>
      <c r="F342">
        <v>0</v>
      </c>
      <c r="G342">
        <v>0</v>
      </c>
      <c r="H342">
        <v>0</v>
      </c>
      <c r="I342">
        <v>0</v>
      </c>
      <c r="J342">
        <v>0</v>
      </c>
      <c r="K342">
        <v>0</v>
      </c>
      <c r="L342">
        <v>0</v>
      </c>
      <c r="M342">
        <v>0</v>
      </c>
      <c r="N342">
        <v>1440</v>
      </c>
      <c r="O342">
        <v>1822</v>
      </c>
    </row>
    <row r="343" spans="1:15" x14ac:dyDescent="0.3">
      <c r="A343">
        <v>6391747486</v>
      </c>
      <c r="B343" s="1">
        <v>42468</v>
      </c>
      <c r="C343">
        <v>0</v>
      </c>
      <c r="D343">
        <v>0</v>
      </c>
      <c r="E343">
        <v>0</v>
      </c>
      <c r="F343">
        <v>0</v>
      </c>
      <c r="G343">
        <v>0</v>
      </c>
      <c r="H343">
        <v>0</v>
      </c>
      <c r="I343">
        <v>0</v>
      </c>
      <c r="J343">
        <v>0</v>
      </c>
      <c r="K343">
        <v>0</v>
      </c>
      <c r="L343">
        <v>0</v>
      </c>
      <c r="M343">
        <v>0</v>
      </c>
      <c r="N343">
        <v>1440</v>
      </c>
      <c r="O343">
        <v>1820</v>
      </c>
    </row>
    <row r="344" spans="1:15" x14ac:dyDescent="0.3">
      <c r="A344">
        <v>6391747486</v>
      </c>
      <c r="B344" s="1">
        <v>42469</v>
      </c>
      <c r="C344">
        <v>0</v>
      </c>
      <c r="D344">
        <v>0</v>
      </c>
      <c r="E344">
        <v>0</v>
      </c>
      <c r="F344">
        <v>0</v>
      </c>
      <c r="G344">
        <v>0</v>
      </c>
      <c r="H344">
        <v>0</v>
      </c>
      <c r="I344">
        <v>0</v>
      </c>
      <c r="J344">
        <v>0</v>
      </c>
      <c r="K344">
        <v>0</v>
      </c>
      <c r="L344">
        <v>0</v>
      </c>
      <c r="M344">
        <v>0</v>
      </c>
      <c r="N344">
        <v>198</v>
      </c>
      <c r="O344">
        <v>251</v>
      </c>
    </row>
    <row r="345" spans="1:15" x14ac:dyDescent="0.3">
      <c r="A345">
        <v>6775888955</v>
      </c>
      <c r="B345" s="1">
        <v>42461</v>
      </c>
      <c r="C345">
        <v>7225</v>
      </c>
      <c r="D345">
        <v>5.1799998283386204</v>
      </c>
      <c r="E345">
        <v>5.1799998283386204</v>
      </c>
      <c r="F345">
        <v>0</v>
      </c>
      <c r="G345">
        <v>1.7300000190734901</v>
      </c>
      <c r="H345">
        <v>1.2699999809265099</v>
      </c>
      <c r="I345">
        <v>2.1800000667571999</v>
      </c>
      <c r="J345">
        <v>0</v>
      </c>
      <c r="K345">
        <v>25</v>
      </c>
      <c r="L345">
        <v>50</v>
      </c>
      <c r="M345">
        <v>163</v>
      </c>
      <c r="N345">
        <v>1189</v>
      </c>
      <c r="O345">
        <v>3065</v>
      </c>
    </row>
    <row r="346" spans="1:15" x14ac:dyDescent="0.3">
      <c r="A346">
        <v>6775888955</v>
      </c>
      <c r="B346" s="1">
        <v>42462</v>
      </c>
      <c r="C346">
        <v>1988</v>
      </c>
      <c r="D346">
        <v>1.4299999475479099</v>
      </c>
      <c r="E346">
        <v>1.4299999475479099</v>
      </c>
      <c r="F346">
        <v>0</v>
      </c>
      <c r="G346">
        <v>0</v>
      </c>
      <c r="H346">
        <v>0</v>
      </c>
      <c r="I346">
        <v>1.4299999475479099</v>
      </c>
      <c r="J346">
        <v>0</v>
      </c>
      <c r="K346">
        <v>0</v>
      </c>
      <c r="L346">
        <v>0</v>
      </c>
      <c r="M346">
        <v>79</v>
      </c>
      <c r="N346">
        <v>909</v>
      </c>
      <c r="O346">
        <v>2207</v>
      </c>
    </row>
    <row r="347" spans="1:15" x14ac:dyDescent="0.3">
      <c r="A347">
        <v>6775888955</v>
      </c>
      <c r="B347" s="1">
        <v>42463</v>
      </c>
      <c r="C347">
        <v>1577</v>
      </c>
      <c r="D347">
        <v>1.12999999523163</v>
      </c>
      <c r="E347">
        <v>1.12999999523163</v>
      </c>
      <c r="F347">
        <v>0</v>
      </c>
      <c r="G347">
        <v>7.0000000298023196E-2</v>
      </c>
      <c r="H347">
        <v>0.88999998569488503</v>
      </c>
      <c r="I347">
        <v>0.17000000178813901</v>
      </c>
      <c r="J347">
        <v>0</v>
      </c>
      <c r="K347">
        <v>1</v>
      </c>
      <c r="L347">
        <v>17</v>
      </c>
      <c r="M347">
        <v>8</v>
      </c>
      <c r="N347">
        <v>1414</v>
      </c>
      <c r="O347">
        <v>1977</v>
      </c>
    </row>
    <row r="348" spans="1:15" x14ac:dyDescent="0.3">
      <c r="A348">
        <v>6775888955</v>
      </c>
      <c r="B348" s="1">
        <v>42464</v>
      </c>
      <c r="C348">
        <v>0</v>
      </c>
      <c r="D348">
        <v>0</v>
      </c>
      <c r="E348">
        <v>0</v>
      </c>
      <c r="F348">
        <v>0</v>
      </c>
      <c r="G348">
        <v>0</v>
      </c>
      <c r="H348">
        <v>0</v>
      </c>
      <c r="I348">
        <v>0</v>
      </c>
      <c r="J348">
        <v>0</v>
      </c>
      <c r="K348">
        <v>0</v>
      </c>
      <c r="L348">
        <v>0</v>
      </c>
      <c r="M348">
        <v>0</v>
      </c>
      <c r="N348">
        <v>1440</v>
      </c>
      <c r="O348">
        <v>1841</v>
      </c>
    </row>
    <row r="349" spans="1:15" x14ac:dyDescent="0.3">
      <c r="A349">
        <v>6775888955</v>
      </c>
      <c r="B349" s="1">
        <v>42465</v>
      </c>
      <c r="C349">
        <v>9348</v>
      </c>
      <c r="D349">
        <v>6.6999998092651403</v>
      </c>
      <c r="E349">
        <v>6.6999998092651403</v>
      </c>
      <c r="F349">
        <v>0</v>
      </c>
      <c r="G349">
        <v>1.12999999523163</v>
      </c>
      <c r="H349">
        <v>2.03999996185303</v>
      </c>
      <c r="I349">
        <v>3.1400001049041699</v>
      </c>
      <c r="J349">
        <v>0</v>
      </c>
      <c r="K349">
        <v>56</v>
      </c>
      <c r="L349">
        <v>133</v>
      </c>
      <c r="M349">
        <v>240</v>
      </c>
      <c r="N349">
        <v>1011</v>
      </c>
      <c r="O349">
        <v>4286</v>
      </c>
    </row>
    <row r="350" spans="1:15" x14ac:dyDescent="0.3">
      <c r="A350">
        <v>6775888955</v>
      </c>
      <c r="B350" s="1">
        <v>42466</v>
      </c>
      <c r="C350">
        <v>11761</v>
      </c>
      <c r="D350">
        <v>8.4300003051757795</v>
      </c>
      <c r="E350">
        <v>8.4300003051757795</v>
      </c>
      <c r="F350">
        <v>0</v>
      </c>
      <c r="G350">
        <v>1.3099999427795399</v>
      </c>
      <c r="H350">
        <v>2.4400000572204599</v>
      </c>
      <c r="I350">
        <v>4.6799998283386204</v>
      </c>
      <c r="J350">
        <v>0</v>
      </c>
      <c r="K350">
        <v>24</v>
      </c>
      <c r="L350">
        <v>99</v>
      </c>
      <c r="M350">
        <v>300</v>
      </c>
      <c r="N350">
        <v>550</v>
      </c>
      <c r="O350">
        <v>3920</v>
      </c>
    </row>
    <row r="351" spans="1:15" x14ac:dyDescent="0.3">
      <c r="A351">
        <v>6775888955</v>
      </c>
      <c r="B351" s="1">
        <v>42467</v>
      </c>
      <c r="C351">
        <v>13987</v>
      </c>
      <c r="D351">
        <v>10.0299997329712</v>
      </c>
      <c r="E351">
        <v>10.0299997329712</v>
      </c>
      <c r="F351">
        <v>0</v>
      </c>
      <c r="G351">
        <v>2.8699998855590798</v>
      </c>
      <c r="H351">
        <v>3.3399999141693102</v>
      </c>
      <c r="I351">
        <v>3.8199999332428001</v>
      </c>
      <c r="J351">
        <v>0</v>
      </c>
      <c r="K351">
        <v>46</v>
      </c>
      <c r="L351">
        <v>114</v>
      </c>
      <c r="M351">
        <v>250</v>
      </c>
      <c r="N351">
        <v>739</v>
      </c>
      <c r="O351">
        <v>3856</v>
      </c>
    </row>
    <row r="352" spans="1:15" x14ac:dyDescent="0.3">
      <c r="A352">
        <v>6775888955</v>
      </c>
      <c r="B352" s="1">
        <v>42468</v>
      </c>
      <c r="C352">
        <v>4131</v>
      </c>
      <c r="D352">
        <v>2.96000003814697</v>
      </c>
      <c r="E352">
        <v>2.96000003814697</v>
      </c>
      <c r="F352">
        <v>0</v>
      </c>
      <c r="G352">
        <v>1.37000000476837</v>
      </c>
      <c r="H352">
        <v>0.61000001430511497</v>
      </c>
      <c r="I352">
        <v>0.980000019073486</v>
      </c>
      <c r="J352">
        <v>0</v>
      </c>
      <c r="K352">
        <v>27</v>
      </c>
      <c r="L352">
        <v>30</v>
      </c>
      <c r="M352">
        <v>75</v>
      </c>
      <c r="N352">
        <v>1308</v>
      </c>
      <c r="O352">
        <v>2584</v>
      </c>
    </row>
    <row r="353" spans="1:15" x14ac:dyDescent="0.3">
      <c r="A353">
        <v>6775888955</v>
      </c>
      <c r="B353" s="1">
        <v>42469</v>
      </c>
      <c r="C353">
        <v>14</v>
      </c>
      <c r="D353">
        <v>9.9999997764825804E-3</v>
      </c>
      <c r="E353">
        <v>9.9999997764825804E-3</v>
      </c>
      <c r="F353">
        <v>0</v>
      </c>
      <c r="G353">
        <v>0</v>
      </c>
      <c r="H353">
        <v>0</v>
      </c>
      <c r="I353">
        <v>9.9999997764825804E-3</v>
      </c>
      <c r="J353">
        <v>0</v>
      </c>
      <c r="K353">
        <v>0</v>
      </c>
      <c r="L353">
        <v>0</v>
      </c>
      <c r="M353">
        <v>1</v>
      </c>
      <c r="N353">
        <v>601</v>
      </c>
      <c r="O353">
        <v>787</v>
      </c>
    </row>
    <row r="354" spans="1:15" x14ac:dyDescent="0.3">
      <c r="A354">
        <v>6962181067</v>
      </c>
      <c r="B354" s="1">
        <v>42459</v>
      </c>
      <c r="C354">
        <v>15491</v>
      </c>
      <c r="D354">
        <v>10.2399997711182</v>
      </c>
      <c r="E354">
        <v>10.2399997711182</v>
      </c>
      <c r="F354">
        <v>0</v>
      </c>
      <c r="G354">
        <v>1.28999996185303</v>
      </c>
      <c r="H354">
        <v>4.4899997711181596</v>
      </c>
      <c r="I354">
        <v>4.46000003814697</v>
      </c>
      <c r="J354">
        <v>0</v>
      </c>
      <c r="K354">
        <v>18</v>
      </c>
      <c r="L354">
        <v>77</v>
      </c>
      <c r="M354">
        <v>272</v>
      </c>
      <c r="N354">
        <v>641</v>
      </c>
      <c r="O354">
        <v>2244</v>
      </c>
    </row>
    <row r="355" spans="1:15" x14ac:dyDescent="0.3">
      <c r="A355">
        <v>6962181067</v>
      </c>
      <c r="B355" s="1">
        <v>42460</v>
      </c>
      <c r="C355">
        <v>14097</v>
      </c>
      <c r="D355">
        <v>9.3199996948242205</v>
      </c>
      <c r="E355">
        <v>9.3199996948242205</v>
      </c>
      <c r="F355">
        <v>0</v>
      </c>
      <c r="G355">
        <v>3.5</v>
      </c>
      <c r="H355">
        <v>1.91999995708466</v>
      </c>
      <c r="I355">
        <v>3.9000000953674299</v>
      </c>
      <c r="J355">
        <v>0</v>
      </c>
      <c r="K355">
        <v>50</v>
      </c>
      <c r="L355">
        <v>32</v>
      </c>
      <c r="M355">
        <v>234</v>
      </c>
      <c r="N355">
        <v>595</v>
      </c>
      <c r="O355">
        <v>2188</v>
      </c>
    </row>
    <row r="356" spans="1:15" x14ac:dyDescent="0.3">
      <c r="A356">
        <v>6962181067</v>
      </c>
      <c r="B356" s="1">
        <v>42461</v>
      </c>
      <c r="C356">
        <v>10467</v>
      </c>
      <c r="D356">
        <v>6.9800000190734899</v>
      </c>
      <c r="E356">
        <v>6.9800000190734899</v>
      </c>
      <c r="F356">
        <v>0</v>
      </c>
      <c r="G356">
        <v>0.69999998807907104</v>
      </c>
      <c r="H356">
        <v>2.4300000667571999</v>
      </c>
      <c r="I356">
        <v>3.8499999046325701</v>
      </c>
      <c r="J356">
        <v>0</v>
      </c>
      <c r="K356">
        <v>9</v>
      </c>
      <c r="L356">
        <v>45</v>
      </c>
      <c r="M356">
        <v>252</v>
      </c>
      <c r="N356">
        <v>602</v>
      </c>
      <c r="O356">
        <v>2014</v>
      </c>
    </row>
    <row r="357" spans="1:15" x14ac:dyDescent="0.3">
      <c r="A357">
        <v>6962181067</v>
      </c>
      <c r="B357" s="1">
        <v>42462</v>
      </c>
      <c r="C357">
        <v>12437</v>
      </c>
      <c r="D357">
        <v>8.3000001907348597</v>
      </c>
      <c r="E357">
        <v>8.3000001907348597</v>
      </c>
      <c r="F357">
        <v>0</v>
      </c>
      <c r="G357">
        <v>3.7599999904632599</v>
      </c>
      <c r="H357">
        <v>1.28999996185303</v>
      </c>
      <c r="I357">
        <v>3.2400000095367401</v>
      </c>
      <c r="J357">
        <v>0</v>
      </c>
      <c r="K357">
        <v>50</v>
      </c>
      <c r="L357">
        <v>24</v>
      </c>
      <c r="M357">
        <v>219</v>
      </c>
      <c r="N357">
        <v>732</v>
      </c>
      <c r="O357">
        <v>2115</v>
      </c>
    </row>
    <row r="358" spans="1:15" x14ac:dyDescent="0.3">
      <c r="A358">
        <v>6962181067</v>
      </c>
      <c r="B358" s="1">
        <v>42463</v>
      </c>
      <c r="C358">
        <v>12307</v>
      </c>
      <c r="D358">
        <v>8.1400003433227504</v>
      </c>
      <c r="E358">
        <v>8.1400003433227504</v>
      </c>
      <c r="F358">
        <v>0</v>
      </c>
      <c r="G358">
        <v>1.0099999904632599</v>
      </c>
      <c r="H358">
        <v>3.2599999904632599</v>
      </c>
      <c r="I358">
        <v>3.8699998855590798</v>
      </c>
      <c r="J358">
        <v>0</v>
      </c>
      <c r="K358">
        <v>14</v>
      </c>
      <c r="L358">
        <v>51</v>
      </c>
      <c r="M358">
        <v>218</v>
      </c>
      <c r="N358">
        <v>589</v>
      </c>
      <c r="O358">
        <v>2055</v>
      </c>
    </row>
    <row r="359" spans="1:15" x14ac:dyDescent="0.3">
      <c r="A359">
        <v>6962181067</v>
      </c>
      <c r="B359" s="1">
        <v>42464</v>
      </c>
      <c r="C359">
        <v>18952</v>
      </c>
      <c r="D359">
        <v>12.800000190734901</v>
      </c>
      <c r="E359">
        <v>12.800000190734901</v>
      </c>
      <c r="F359">
        <v>0</v>
      </c>
      <c r="G359">
        <v>5.9099998474121103</v>
      </c>
      <c r="H359">
        <v>1.2300000190734901</v>
      </c>
      <c r="I359">
        <v>5.6599998474121103</v>
      </c>
      <c r="J359">
        <v>0</v>
      </c>
      <c r="K359">
        <v>73</v>
      </c>
      <c r="L359">
        <v>20</v>
      </c>
      <c r="M359">
        <v>327</v>
      </c>
      <c r="N359">
        <v>570</v>
      </c>
      <c r="O359">
        <v>2437</v>
      </c>
    </row>
    <row r="360" spans="1:15" x14ac:dyDescent="0.3">
      <c r="A360">
        <v>6962181067</v>
      </c>
      <c r="B360" s="1">
        <v>42465</v>
      </c>
      <c r="C360">
        <v>12010</v>
      </c>
      <c r="D360">
        <v>7.9400000572204599</v>
      </c>
      <c r="E360">
        <v>7.9400000572204599</v>
      </c>
      <c r="F360">
        <v>0</v>
      </c>
      <c r="G360">
        <v>2.3800001144409202</v>
      </c>
      <c r="H360">
        <v>0.94999998807907104</v>
      </c>
      <c r="I360">
        <v>4.6100001335143999</v>
      </c>
      <c r="J360">
        <v>0</v>
      </c>
      <c r="K360">
        <v>38</v>
      </c>
      <c r="L360">
        <v>17</v>
      </c>
      <c r="M360">
        <v>287</v>
      </c>
      <c r="N360">
        <v>692</v>
      </c>
      <c r="O360">
        <v>2158</v>
      </c>
    </row>
    <row r="361" spans="1:15" x14ac:dyDescent="0.3">
      <c r="A361">
        <v>6962181067</v>
      </c>
      <c r="B361" s="1">
        <v>42466</v>
      </c>
      <c r="C361">
        <v>12480</v>
      </c>
      <c r="D361">
        <v>8.8599996566772496</v>
      </c>
      <c r="E361">
        <v>8.25</v>
      </c>
      <c r="F361">
        <v>3.9727950096130402</v>
      </c>
      <c r="G361">
        <v>4.1799998283386204</v>
      </c>
      <c r="H361">
        <v>0.68999999761581399</v>
      </c>
      <c r="I361">
        <v>4</v>
      </c>
      <c r="J361">
        <v>0</v>
      </c>
      <c r="K361">
        <v>55</v>
      </c>
      <c r="L361">
        <v>14</v>
      </c>
      <c r="M361">
        <v>276</v>
      </c>
      <c r="N361">
        <v>593</v>
      </c>
      <c r="O361">
        <v>2170</v>
      </c>
    </row>
    <row r="362" spans="1:15" x14ac:dyDescent="0.3">
      <c r="A362">
        <v>6962181067</v>
      </c>
      <c r="B362" s="1">
        <v>42467</v>
      </c>
      <c r="C362">
        <v>13417</v>
      </c>
      <c r="D362">
        <v>9.6499996185302699</v>
      </c>
      <c r="E362">
        <v>8.8699998855590803</v>
      </c>
      <c r="F362">
        <v>1.92630195617676</v>
      </c>
      <c r="G362">
        <v>3.3900001049041699</v>
      </c>
      <c r="H362">
        <v>1.25</v>
      </c>
      <c r="I362">
        <v>4.9099998474121103</v>
      </c>
      <c r="J362">
        <v>0.10000000149011599</v>
      </c>
      <c r="K362">
        <v>45</v>
      </c>
      <c r="L362">
        <v>16</v>
      </c>
      <c r="M362">
        <v>284</v>
      </c>
      <c r="N362">
        <v>665</v>
      </c>
      <c r="O362">
        <v>2244</v>
      </c>
    </row>
    <row r="363" spans="1:15" x14ac:dyDescent="0.3">
      <c r="A363">
        <v>6962181067</v>
      </c>
      <c r="B363" s="1">
        <v>42468</v>
      </c>
      <c r="C363">
        <v>14400</v>
      </c>
      <c r="D363">
        <v>10.8800001144409</v>
      </c>
      <c r="E363">
        <v>9.5200004577636701</v>
      </c>
      <c r="F363">
        <v>5.4568638801574698</v>
      </c>
      <c r="G363">
        <v>2.4700000286102299</v>
      </c>
      <c r="H363">
        <v>2.8800001144409202</v>
      </c>
      <c r="I363">
        <v>5.5300002098083496</v>
      </c>
      <c r="J363">
        <v>0</v>
      </c>
      <c r="K363">
        <v>27</v>
      </c>
      <c r="L363">
        <v>37</v>
      </c>
      <c r="M363">
        <v>276</v>
      </c>
      <c r="N363">
        <v>697</v>
      </c>
      <c r="O363">
        <v>2188</v>
      </c>
    </row>
    <row r="364" spans="1:15" x14ac:dyDescent="0.3">
      <c r="A364">
        <v>6962181067</v>
      </c>
      <c r="B364" s="1">
        <v>42469</v>
      </c>
      <c r="C364">
        <v>12495</v>
      </c>
      <c r="D364">
        <v>8.2600002288818395</v>
      </c>
      <c r="E364">
        <v>8.2600002288818395</v>
      </c>
      <c r="F364">
        <v>0</v>
      </c>
      <c r="G364">
        <v>2.21000003814697</v>
      </c>
      <c r="H364">
        <v>1.0900000333786</v>
      </c>
      <c r="I364">
        <v>4.96000003814697</v>
      </c>
      <c r="J364">
        <v>0</v>
      </c>
      <c r="K364">
        <v>33</v>
      </c>
      <c r="L364">
        <v>19</v>
      </c>
      <c r="M364">
        <v>324</v>
      </c>
      <c r="N364">
        <v>609</v>
      </c>
      <c r="O364">
        <v>2231</v>
      </c>
    </row>
    <row r="365" spans="1:15" x14ac:dyDescent="0.3">
      <c r="A365">
        <v>6962181067</v>
      </c>
      <c r="B365" s="1">
        <v>42470</v>
      </c>
      <c r="C365">
        <v>10148</v>
      </c>
      <c r="D365">
        <v>6.71000003814697</v>
      </c>
      <c r="E365">
        <v>6.71000003814697</v>
      </c>
      <c r="F365">
        <v>0</v>
      </c>
      <c r="G365">
        <v>1.3600000143051101</v>
      </c>
      <c r="H365">
        <v>0.21999999880790699</v>
      </c>
      <c r="I365">
        <v>5.1300001144409197</v>
      </c>
      <c r="J365">
        <v>0</v>
      </c>
      <c r="K365">
        <v>19</v>
      </c>
      <c r="L365">
        <v>7</v>
      </c>
      <c r="M365">
        <v>306</v>
      </c>
      <c r="N365">
        <v>679</v>
      </c>
      <c r="O365">
        <v>2100</v>
      </c>
    </row>
    <row r="366" spans="1:15" x14ac:dyDescent="0.3">
      <c r="A366">
        <v>6962181067</v>
      </c>
      <c r="B366" s="1">
        <v>42471</v>
      </c>
      <c r="C366">
        <v>12362</v>
      </c>
      <c r="D366">
        <v>9.0900001525878906</v>
      </c>
      <c r="E366">
        <v>8.1700000762939506</v>
      </c>
      <c r="F366">
        <v>2.6964550018310498</v>
      </c>
      <c r="G366">
        <v>1.0900000333786</v>
      </c>
      <c r="H366">
        <v>2.7300000190734899</v>
      </c>
      <c r="I366">
        <v>5.2699999809265101</v>
      </c>
      <c r="J366">
        <v>0</v>
      </c>
      <c r="K366">
        <v>21</v>
      </c>
      <c r="L366">
        <v>38</v>
      </c>
      <c r="M366">
        <v>297</v>
      </c>
      <c r="N366">
        <v>678</v>
      </c>
      <c r="O366">
        <v>2188</v>
      </c>
    </row>
    <row r="367" spans="1:15" x14ac:dyDescent="0.3">
      <c r="A367">
        <v>6962181067</v>
      </c>
      <c r="B367" s="1">
        <v>42472</v>
      </c>
      <c r="C367">
        <v>5893</v>
      </c>
      <c r="D367">
        <v>3.9000000953674299</v>
      </c>
      <c r="E367">
        <v>3.9000000953674299</v>
      </c>
      <c r="F367">
        <v>0</v>
      </c>
      <c r="G367">
        <v>2.8800001144409202</v>
      </c>
      <c r="H367">
        <v>0.56000000238418601</v>
      </c>
      <c r="I367">
        <v>0.46000000834464999</v>
      </c>
      <c r="J367">
        <v>0</v>
      </c>
      <c r="K367">
        <v>43</v>
      </c>
      <c r="L367">
        <v>9</v>
      </c>
      <c r="M367">
        <v>48</v>
      </c>
      <c r="N367">
        <v>146</v>
      </c>
      <c r="O367">
        <v>917</v>
      </c>
    </row>
    <row r="368" spans="1:15" x14ac:dyDescent="0.3">
      <c r="A368">
        <v>7007744171</v>
      </c>
      <c r="B368" s="1">
        <v>42461</v>
      </c>
      <c r="C368">
        <v>11680</v>
      </c>
      <c r="D368">
        <v>9.0600004196166992</v>
      </c>
      <c r="E368">
        <v>7.8099999427795401</v>
      </c>
      <c r="F368">
        <v>4.9012827873229998</v>
      </c>
      <c r="G368">
        <v>4.4899997711181596</v>
      </c>
      <c r="H368">
        <v>0.33000001311302202</v>
      </c>
      <c r="I368">
        <v>4.2399997711181596</v>
      </c>
      <c r="J368">
        <v>0</v>
      </c>
      <c r="K368">
        <v>50</v>
      </c>
      <c r="L368">
        <v>7</v>
      </c>
      <c r="M368">
        <v>244</v>
      </c>
      <c r="N368">
        <v>1139</v>
      </c>
      <c r="O368">
        <v>2573</v>
      </c>
    </row>
    <row r="369" spans="1:15" x14ac:dyDescent="0.3">
      <c r="A369">
        <v>7007744171</v>
      </c>
      <c r="B369" s="1">
        <v>42462</v>
      </c>
      <c r="C369">
        <v>10976</v>
      </c>
      <c r="D369">
        <v>7.3400001525878897</v>
      </c>
      <c r="E369">
        <v>7.3400001525878897</v>
      </c>
      <c r="F369">
        <v>0</v>
      </c>
      <c r="G369">
        <v>0.55000001192092896</v>
      </c>
      <c r="H369">
        <v>0.67000001668930098</v>
      </c>
      <c r="I369">
        <v>6.1300001144409197</v>
      </c>
      <c r="J369">
        <v>0</v>
      </c>
      <c r="K369">
        <v>9</v>
      </c>
      <c r="L369">
        <v>16</v>
      </c>
      <c r="M369">
        <v>271</v>
      </c>
      <c r="N369">
        <v>1075</v>
      </c>
      <c r="O369">
        <v>2575</v>
      </c>
    </row>
    <row r="370" spans="1:15" x14ac:dyDescent="0.3">
      <c r="A370">
        <v>7007744171</v>
      </c>
      <c r="B370" s="1">
        <v>42463</v>
      </c>
      <c r="C370">
        <v>16806</v>
      </c>
      <c r="D370">
        <v>11.2399997711182</v>
      </c>
      <c r="E370">
        <v>11.2399997711182</v>
      </c>
      <c r="F370">
        <v>0</v>
      </c>
      <c r="G370">
        <v>6.4099998474121103</v>
      </c>
      <c r="H370">
        <v>1.37000000476837</v>
      </c>
      <c r="I370">
        <v>3.4700000286102299</v>
      </c>
      <c r="J370">
        <v>0</v>
      </c>
      <c r="K370">
        <v>104</v>
      </c>
      <c r="L370">
        <v>31</v>
      </c>
      <c r="M370">
        <v>230</v>
      </c>
      <c r="N370">
        <v>1002</v>
      </c>
      <c r="O370">
        <v>3086</v>
      </c>
    </row>
    <row r="371" spans="1:15" x14ac:dyDescent="0.3">
      <c r="A371">
        <v>7007744171</v>
      </c>
      <c r="B371" s="1">
        <v>42464</v>
      </c>
      <c r="C371">
        <v>15266</v>
      </c>
      <c r="D371">
        <v>11.3999996185303</v>
      </c>
      <c r="E371">
        <v>10.210000038146999</v>
      </c>
      <c r="F371">
        <v>5.1898498535156303</v>
      </c>
      <c r="G371">
        <v>5.8000001907348597</v>
      </c>
      <c r="H371">
        <v>0.75999999046325695</v>
      </c>
      <c r="I371">
        <v>4.78999996185303</v>
      </c>
      <c r="J371">
        <v>5.0000000745058101E-2</v>
      </c>
      <c r="K371">
        <v>70</v>
      </c>
      <c r="L371">
        <v>21</v>
      </c>
      <c r="M371">
        <v>292</v>
      </c>
      <c r="N371">
        <v>1057</v>
      </c>
      <c r="O371">
        <v>2886</v>
      </c>
    </row>
    <row r="372" spans="1:15" x14ac:dyDescent="0.3">
      <c r="A372">
        <v>7007744171</v>
      </c>
      <c r="B372" s="1">
        <v>42465</v>
      </c>
      <c r="C372">
        <v>12084</v>
      </c>
      <c r="D372">
        <v>9.1400003433227504</v>
      </c>
      <c r="E372">
        <v>8.0799999237060494</v>
      </c>
      <c r="F372">
        <v>4.8363800048828098</v>
      </c>
      <c r="G372">
        <v>4.3899998664856001</v>
      </c>
      <c r="H372">
        <v>0.46000000834464999</v>
      </c>
      <c r="I372">
        <v>4.28999996185303</v>
      </c>
      <c r="J372">
        <v>0</v>
      </c>
      <c r="K372">
        <v>50</v>
      </c>
      <c r="L372">
        <v>6</v>
      </c>
      <c r="M372">
        <v>284</v>
      </c>
      <c r="N372">
        <v>1030</v>
      </c>
      <c r="O372">
        <v>2676</v>
      </c>
    </row>
    <row r="373" spans="1:15" x14ac:dyDescent="0.3">
      <c r="A373">
        <v>7007744171</v>
      </c>
      <c r="B373" s="1">
        <v>42466</v>
      </c>
      <c r="C373">
        <v>13513</v>
      </c>
      <c r="D373">
        <v>10.25</v>
      </c>
      <c r="E373">
        <v>9.0699996948242205</v>
      </c>
      <c r="F373">
        <v>4.8357200622558603</v>
      </c>
      <c r="G373">
        <v>5.3499999046325701</v>
      </c>
      <c r="H373">
        <v>0.33000001311302202</v>
      </c>
      <c r="I373">
        <v>4.5599999427795401</v>
      </c>
      <c r="J373">
        <v>0</v>
      </c>
      <c r="K373">
        <v>64</v>
      </c>
      <c r="L373">
        <v>8</v>
      </c>
      <c r="M373">
        <v>270</v>
      </c>
      <c r="N373">
        <v>1098</v>
      </c>
      <c r="O373">
        <v>2811</v>
      </c>
    </row>
    <row r="374" spans="1:15" x14ac:dyDescent="0.3">
      <c r="A374">
        <v>7007744171</v>
      </c>
      <c r="B374" s="1">
        <v>42467</v>
      </c>
      <c r="C374">
        <v>14100</v>
      </c>
      <c r="D374">
        <v>10.579999923706101</v>
      </c>
      <c r="E374">
        <v>9.4300003051757795</v>
      </c>
      <c r="F374">
        <v>4.8759899139404297</v>
      </c>
      <c r="G374">
        <v>5.0999999046325701</v>
      </c>
      <c r="H374">
        <v>1.1900000572204601</v>
      </c>
      <c r="I374">
        <v>4.2800002098083496</v>
      </c>
      <c r="J374">
        <v>0</v>
      </c>
      <c r="K374">
        <v>61</v>
      </c>
      <c r="L374">
        <v>33</v>
      </c>
      <c r="M374">
        <v>265</v>
      </c>
      <c r="N374">
        <v>1015</v>
      </c>
      <c r="O374">
        <v>2840</v>
      </c>
    </row>
    <row r="375" spans="1:15" x14ac:dyDescent="0.3">
      <c r="A375">
        <v>7007744171</v>
      </c>
      <c r="B375" s="1">
        <v>42468</v>
      </c>
      <c r="C375">
        <v>12627</v>
      </c>
      <c r="D375">
        <v>9.6499996185302699</v>
      </c>
      <c r="E375">
        <v>8.4499998092651403</v>
      </c>
      <c r="F375">
        <v>4.8423199653625497</v>
      </c>
      <c r="G375">
        <v>4.6999998092651403</v>
      </c>
      <c r="H375">
        <v>0.74000000953674305</v>
      </c>
      <c r="I375">
        <v>4.21000003814697</v>
      </c>
      <c r="J375">
        <v>0</v>
      </c>
      <c r="K375">
        <v>54</v>
      </c>
      <c r="L375">
        <v>22</v>
      </c>
      <c r="M375">
        <v>301</v>
      </c>
      <c r="N375">
        <v>1063</v>
      </c>
      <c r="O375">
        <v>2871</v>
      </c>
    </row>
    <row r="376" spans="1:15" x14ac:dyDescent="0.3">
      <c r="A376">
        <v>7007744171</v>
      </c>
      <c r="B376" s="1">
        <v>42469</v>
      </c>
      <c r="C376">
        <v>10345</v>
      </c>
      <c r="D376">
        <v>6.9200000762939498</v>
      </c>
      <c r="E376">
        <v>6.9200000762939498</v>
      </c>
      <c r="F376">
        <v>0</v>
      </c>
      <c r="G376">
        <v>7.0000000298023196E-2</v>
      </c>
      <c r="H376">
        <v>0.270000010728836</v>
      </c>
      <c r="I376">
        <v>6.5799999237060502</v>
      </c>
      <c r="J376">
        <v>0</v>
      </c>
      <c r="K376">
        <v>2</v>
      </c>
      <c r="L376">
        <v>6</v>
      </c>
      <c r="M376">
        <v>358</v>
      </c>
      <c r="N376">
        <v>1074</v>
      </c>
      <c r="O376">
        <v>2613</v>
      </c>
    </row>
    <row r="377" spans="1:15" x14ac:dyDescent="0.3">
      <c r="A377">
        <v>7007744171</v>
      </c>
      <c r="B377" s="1">
        <v>42470</v>
      </c>
      <c r="C377">
        <v>10146</v>
      </c>
      <c r="D377">
        <v>6.78999996185303</v>
      </c>
      <c r="E377">
        <v>6.78999996185303</v>
      </c>
      <c r="F377">
        <v>0</v>
      </c>
      <c r="G377">
        <v>7.0000000298023196E-2</v>
      </c>
      <c r="H377">
        <v>0.61000001430511497</v>
      </c>
      <c r="I377">
        <v>6.1100001335143999</v>
      </c>
      <c r="J377">
        <v>0</v>
      </c>
      <c r="K377">
        <v>1</v>
      </c>
      <c r="L377">
        <v>12</v>
      </c>
      <c r="M377">
        <v>397</v>
      </c>
      <c r="N377">
        <v>1030</v>
      </c>
      <c r="O377">
        <v>2700</v>
      </c>
    </row>
    <row r="378" spans="1:15" x14ac:dyDescent="0.3">
      <c r="A378">
        <v>7007744171</v>
      </c>
      <c r="B378" s="1">
        <v>42471</v>
      </c>
      <c r="C378">
        <v>12168</v>
      </c>
      <c r="D378">
        <v>8.1400003433227504</v>
      </c>
      <c r="E378">
        <v>8.1400003433227504</v>
      </c>
      <c r="F378">
        <v>0</v>
      </c>
      <c r="G378">
        <v>1.04999995231628</v>
      </c>
      <c r="H378">
        <v>0.79000002145767201</v>
      </c>
      <c r="I378">
        <v>6.28999996185303</v>
      </c>
      <c r="J378">
        <v>0</v>
      </c>
      <c r="K378">
        <v>18</v>
      </c>
      <c r="L378">
        <v>27</v>
      </c>
      <c r="M378">
        <v>375</v>
      </c>
      <c r="N378">
        <v>1020</v>
      </c>
      <c r="O378">
        <v>2871</v>
      </c>
    </row>
    <row r="379" spans="1:15" x14ac:dyDescent="0.3">
      <c r="A379">
        <v>7007744171</v>
      </c>
      <c r="B379" s="1">
        <v>42472</v>
      </c>
      <c r="C379">
        <v>7413</v>
      </c>
      <c r="D379">
        <v>5.7699999809265101</v>
      </c>
      <c r="E379">
        <v>4.96000003814697</v>
      </c>
      <c r="F379">
        <v>4.8697829246520996</v>
      </c>
      <c r="G379">
        <v>4.5</v>
      </c>
      <c r="H379">
        <v>0.34000000357627902</v>
      </c>
      <c r="I379">
        <v>0.93999999761581399</v>
      </c>
      <c r="J379">
        <v>0</v>
      </c>
      <c r="K379">
        <v>53</v>
      </c>
      <c r="L379">
        <v>6</v>
      </c>
      <c r="M379">
        <v>43</v>
      </c>
      <c r="N379">
        <v>405</v>
      </c>
      <c r="O379">
        <v>1023</v>
      </c>
    </row>
    <row r="380" spans="1:15" x14ac:dyDescent="0.3">
      <c r="A380">
        <v>7086361926</v>
      </c>
      <c r="B380" s="1">
        <v>42461</v>
      </c>
      <c r="C380">
        <v>11463</v>
      </c>
      <c r="D380">
        <v>7.6700000762939498</v>
      </c>
      <c r="E380">
        <v>7.6700000762939498</v>
      </c>
      <c r="F380">
        <v>0</v>
      </c>
      <c r="G380">
        <v>2.8299999237060498</v>
      </c>
      <c r="H380">
        <v>1.8899999856948899</v>
      </c>
      <c r="I380">
        <v>2.9300000667571999</v>
      </c>
      <c r="J380">
        <v>0</v>
      </c>
      <c r="K380">
        <v>38</v>
      </c>
      <c r="L380">
        <v>30</v>
      </c>
      <c r="M380">
        <v>154</v>
      </c>
      <c r="N380">
        <v>777</v>
      </c>
      <c r="O380">
        <v>2496</v>
      </c>
    </row>
    <row r="381" spans="1:15" x14ac:dyDescent="0.3">
      <c r="A381">
        <v>7086361926</v>
      </c>
      <c r="B381" s="1">
        <v>42462</v>
      </c>
      <c r="C381">
        <v>87</v>
      </c>
      <c r="D381">
        <v>1.9999999552965199E-2</v>
      </c>
      <c r="E381">
        <v>1.9999999552965199E-2</v>
      </c>
      <c r="F381">
        <v>0</v>
      </c>
      <c r="G381">
        <v>0</v>
      </c>
      <c r="H381">
        <v>0</v>
      </c>
      <c r="I381">
        <v>9.9999997764825804E-3</v>
      </c>
      <c r="J381">
        <v>0</v>
      </c>
      <c r="K381">
        <v>0</v>
      </c>
      <c r="L381">
        <v>0</v>
      </c>
      <c r="M381">
        <v>2</v>
      </c>
      <c r="N381">
        <v>872</v>
      </c>
      <c r="O381">
        <v>1641</v>
      </c>
    </row>
    <row r="382" spans="1:15" x14ac:dyDescent="0.3">
      <c r="A382">
        <v>7086361926</v>
      </c>
      <c r="B382" s="1">
        <v>42463</v>
      </c>
      <c r="C382">
        <v>1949</v>
      </c>
      <c r="D382">
        <v>1.3099999427795399</v>
      </c>
      <c r="E382">
        <v>1.3099999427795399</v>
      </c>
      <c r="F382">
        <v>0</v>
      </c>
      <c r="G382">
        <v>0.230000004172325</v>
      </c>
      <c r="H382">
        <v>0.34999999403953602</v>
      </c>
      <c r="I382">
        <v>0.730000019073486</v>
      </c>
      <c r="J382">
        <v>0</v>
      </c>
      <c r="K382">
        <v>3</v>
      </c>
      <c r="L382">
        <v>6</v>
      </c>
      <c r="M382">
        <v>27</v>
      </c>
      <c r="N382">
        <v>1404</v>
      </c>
      <c r="O382">
        <v>1794</v>
      </c>
    </row>
    <row r="383" spans="1:15" x14ac:dyDescent="0.3">
      <c r="A383">
        <v>7086361926</v>
      </c>
      <c r="B383" s="1">
        <v>42464</v>
      </c>
      <c r="C383">
        <v>6101</v>
      </c>
      <c r="D383">
        <v>3.8699998855590798</v>
      </c>
      <c r="E383">
        <v>3.8699998855590798</v>
      </c>
      <c r="F383">
        <v>0</v>
      </c>
      <c r="G383">
        <v>0.52999997138977095</v>
      </c>
      <c r="H383">
        <v>0.230000004172325</v>
      </c>
      <c r="I383">
        <v>3.0999999046325701</v>
      </c>
      <c r="J383">
        <v>0</v>
      </c>
      <c r="K383">
        <v>31</v>
      </c>
      <c r="L383">
        <v>24</v>
      </c>
      <c r="M383">
        <v>138</v>
      </c>
      <c r="N383">
        <v>1247</v>
      </c>
      <c r="O383">
        <v>2421</v>
      </c>
    </row>
    <row r="384" spans="1:15" x14ac:dyDescent="0.3">
      <c r="A384">
        <v>7086361926</v>
      </c>
      <c r="B384" s="1">
        <v>42465</v>
      </c>
      <c r="C384">
        <v>7478</v>
      </c>
      <c r="D384">
        <v>4.9899997711181596</v>
      </c>
      <c r="E384">
        <v>4.9899997711181596</v>
      </c>
      <c r="F384">
        <v>0</v>
      </c>
      <c r="G384">
        <v>1.79999995231628</v>
      </c>
      <c r="H384">
        <v>0.52999997138977095</v>
      </c>
      <c r="I384">
        <v>2.6099998950958301</v>
      </c>
      <c r="J384">
        <v>2.9999999329447701E-2</v>
      </c>
      <c r="K384">
        <v>25</v>
      </c>
      <c r="L384">
        <v>33</v>
      </c>
      <c r="M384">
        <v>132</v>
      </c>
      <c r="N384">
        <v>1159</v>
      </c>
      <c r="O384">
        <v>2439</v>
      </c>
    </row>
    <row r="385" spans="1:15" x14ac:dyDescent="0.3">
      <c r="A385">
        <v>7086361926</v>
      </c>
      <c r="B385" s="1">
        <v>42466</v>
      </c>
      <c r="C385">
        <v>7352</v>
      </c>
      <c r="D385">
        <v>4.7300000190734899</v>
      </c>
      <c r="E385">
        <v>4.7300000190734899</v>
      </c>
      <c r="F385">
        <v>0</v>
      </c>
      <c r="G385">
        <v>1.4099999666214</v>
      </c>
      <c r="H385">
        <v>0.77999997138977095</v>
      </c>
      <c r="I385">
        <v>2.5299999713897701</v>
      </c>
      <c r="J385">
        <v>0</v>
      </c>
      <c r="K385">
        <v>19</v>
      </c>
      <c r="L385">
        <v>14</v>
      </c>
      <c r="M385">
        <v>124</v>
      </c>
      <c r="N385">
        <v>814</v>
      </c>
      <c r="O385">
        <v>2233</v>
      </c>
    </row>
    <row r="386" spans="1:15" x14ac:dyDescent="0.3">
      <c r="A386">
        <v>7086361926</v>
      </c>
      <c r="B386" s="1">
        <v>42467</v>
      </c>
      <c r="C386">
        <v>14604</v>
      </c>
      <c r="D386">
        <v>10.819999694824199</v>
      </c>
      <c r="E386">
        <v>10.819999694824199</v>
      </c>
      <c r="F386">
        <v>0</v>
      </c>
      <c r="G386">
        <v>7.2300000190734899</v>
      </c>
      <c r="H386">
        <v>1.12000000476837</v>
      </c>
      <c r="I386">
        <v>2.4300000667571999</v>
      </c>
      <c r="J386">
        <v>2.9999999329447701E-2</v>
      </c>
      <c r="K386">
        <v>76</v>
      </c>
      <c r="L386">
        <v>30</v>
      </c>
      <c r="M386">
        <v>127</v>
      </c>
      <c r="N386">
        <v>695</v>
      </c>
      <c r="O386">
        <v>2862</v>
      </c>
    </row>
    <row r="387" spans="1:15" x14ac:dyDescent="0.3">
      <c r="A387">
        <v>7086361926</v>
      </c>
      <c r="B387" s="1">
        <v>42468</v>
      </c>
      <c r="C387">
        <v>9634</v>
      </c>
      <c r="D387">
        <v>6.5199999809265101</v>
      </c>
      <c r="E387">
        <v>6.5199999809265101</v>
      </c>
      <c r="F387">
        <v>0</v>
      </c>
      <c r="G387">
        <v>2.5</v>
      </c>
      <c r="H387">
        <v>1.3999999761581401</v>
      </c>
      <c r="I387">
        <v>2.5899999141693102</v>
      </c>
      <c r="J387">
        <v>0</v>
      </c>
      <c r="K387">
        <v>50</v>
      </c>
      <c r="L387">
        <v>48</v>
      </c>
      <c r="M387">
        <v>140</v>
      </c>
      <c r="N387">
        <v>797</v>
      </c>
      <c r="O387">
        <v>2752</v>
      </c>
    </row>
    <row r="388" spans="1:15" x14ac:dyDescent="0.3">
      <c r="A388">
        <v>7086361926</v>
      </c>
      <c r="B388" s="1">
        <v>42469</v>
      </c>
      <c r="C388">
        <v>7338</v>
      </c>
      <c r="D388">
        <v>4.6700000762939498</v>
      </c>
      <c r="E388">
        <v>4.6700000762939498</v>
      </c>
      <c r="F388">
        <v>0</v>
      </c>
      <c r="G388">
        <v>1.08000004291534</v>
      </c>
      <c r="H388">
        <v>0.129999995231628</v>
      </c>
      <c r="I388">
        <v>3.46000003814697</v>
      </c>
      <c r="J388">
        <v>0</v>
      </c>
      <c r="K388">
        <v>27</v>
      </c>
      <c r="L388">
        <v>5</v>
      </c>
      <c r="M388">
        <v>204</v>
      </c>
      <c r="N388">
        <v>717</v>
      </c>
      <c r="O388">
        <v>2519</v>
      </c>
    </row>
    <row r="389" spans="1:15" x14ac:dyDescent="0.3">
      <c r="A389">
        <v>7086361926</v>
      </c>
      <c r="B389" s="1">
        <v>42470</v>
      </c>
      <c r="C389">
        <v>569</v>
      </c>
      <c r="D389">
        <v>0.34999999403953602</v>
      </c>
      <c r="E389">
        <v>0.34999999403953602</v>
      </c>
      <c r="F389">
        <v>0</v>
      </c>
      <c r="G389">
        <v>0</v>
      </c>
      <c r="H389">
        <v>0</v>
      </c>
      <c r="I389">
        <v>0.34000000357627902</v>
      </c>
      <c r="J389">
        <v>0</v>
      </c>
      <c r="K389">
        <v>0</v>
      </c>
      <c r="L389">
        <v>0</v>
      </c>
      <c r="M389">
        <v>27</v>
      </c>
      <c r="N389">
        <v>1368</v>
      </c>
      <c r="O389">
        <v>1799</v>
      </c>
    </row>
    <row r="390" spans="1:15" x14ac:dyDescent="0.3">
      <c r="A390">
        <v>7086361926</v>
      </c>
      <c r="B390" s="1">
        <v>42471</v>
      </c>
      <c r="C390">
        <v>6242</v>
      </c>
      <c r="D390">
        <v>3.9200000762939502</v>
      </c>
      <c r="E390">
        <v>3.9200000762939502</v>
      </c>
      <c r="F390">
        <v>0</v>
      </c>
      <c r="G390">
        <v>0.74000000953674305</v>
      </c>
      <c r="H390">
        <v>0.230000004172325</v>
      </c>
      <c r="I390">
        <v>2.9300000667571999</v>
      </c>
      <c r="J390">
        <v>0</v>
      </c>
      <c r="K390">
        <v>46</v>
      </c>
      <c r="L390">
        <v>22</v>
      </c>
      <c r="M390">
        <v>126</v>
      </c>
      <c r="N390">
        <v>741</v>
      </c>
      <c r="O390">
        <v>2543</v>
      </c>
    </row>
    <row r="391" spans="1:15" x14ac:dyDescent="0.3">
      <c r="A391">
        <v>7086361926</v>
      </c>
      <c r="B391" s="1">
        <v>42472</v>
      </c>
      <c r="C391">
        <v>430</v>
      </c>
      <c r="D391">
        <v>0.259999990463257</v>
      </c>
      <c r="E391">
        <v>0.259999990463257</v>
      </c>
      <c r="F391">
        <v>0</v>
      </c>
      <c r="G391">
        <v>0</v>
      </c>
      <c r="H391">
        <v>0</v>
      </c>
      <c r="I391">
        <v>0.259999990463257</v>
      </c>
      <c r="J391">
        <v>0</v>
      </c>
      <c r="K391">
        <v>0</v>
      </c>
      <c r="L391">
        <v>0</v>
      </c>
      <c r="M391">
        <v>14</v>
      </c>
      <c r="N391">
        <v>75</v>
      </c>
      <c r="O391">
        <v>625</v>
      </c>
    </row>
    <row r="392" spans="1:15" x14ac:dyDescent="0.3">
      <c r="A392">
        <v>8053475328</v>
      </c>
      <c r="B392" s="1">
        <v>42462</v>
      </c>
      <c r="C392">
        <v>20188</v>
      </c>
      <c r="D392">
        <v>15.6199998855591</v>
      </c>
      <c r="E392">
        <v>15.6199998855591</v>
      </c>
      <c r="F392">
        <v>0</v>
      </c>
      <c r="G392">
        <v>12.060000419616699</v>
      </c>
      <c r="H392">
        <v>0.85000002384185802</v>
      </c>
      <c r="I392">
        <v>2.71000003814697</v>
      </c>
      <c r="J392">
        <v>0</v>
      </c>
      <c r="K392">
        <v>124</v>
      </c>
      <c r="L392">
        <v>19</v>
      </c>
      <c r="M392">
        <v>172</v>
      </c>
      <c r="N392">
        <v>1125</v>
      </c>
      <c r="O392">
        <v>3377</v>
      </c>
    </row>
    <row r="393" spans="1:15" x14ac:dyDescent="0.3">
      <c r="A393">
        <v>8053475328</v>
      </c>
      <c r="B393" s="1">
        <v>42463</v>
      </c>
      <c r="C393">
        <v>25701</v>
      </c>
      <c r="D393">
        <v>20.139999389648398</v>
      </c>
      <c r="E393">
        <v>20.139999389648398</v>
      </c>
      <c r="F393">
        <v>0</v>
      </c>
      <c r="G393">
        <v>16.819999694824201</v>
      </c>
      <c r="H393">
        <v>1.62999999523163</v>
      </c>
      <c r="I393">
        <v>1.6900000572204601</v>
      </c>
      <c r="J393">
        <v>0</v>
      </c>
      <c r="K393">
        <v>165</v>
      </c>
      <c r="L393">
        <v>36</v>
      </c>
      <c r="M393">
        <v>97</v>
      </c>
      <c r="N393">
        <v>1142</v>
      </c>
      <c r="O393">
        <v>3697</v>
      </c>
    </row>
    <row r="394" spans="1:15" x14ac:dyDescent="0.3">
      <c r="A394">
        <v>8053475328</v>
      </c>
      <c r="B394" s="1">
        <v>42464</v>
      </c>
      <c r="C394">
        <v>17395</v>
      </c>
      <c r="D394">
        <v>13.210000038146999</v>
      </c>
      <c r="E394">
        <v>13.210000038146999</v>
      </c>
      <c r="F394">
        <v>0</v>
      </c>
      <c r="G394">
        <v>9.6700000762939506</v>
      </c>
      <c r="H394">
        <v>0.18000000715255701</v>
      </c>
      <c r="I394">
        <v>3.3499999046325701</v>
      </c>
      <c r="J394">
        <v>0</v>
      </c>
      <c r="K394">
        <v>100</v>
      </c>
      <c r="L394">
        <v>4</v>
      </c>
      <c r="M394">
        <v>213</v>
      </c>
      <c r="N394">
        <v>1123</v>
      </c>
      <c r="O394">
        <v>3209</v>
      </c>
    </row>
    <row r="395" spans="1:15" x14ac:dyDescent="0.3">
      <c r="A395">
        <v>8053475328</v>
      </c>
      <c r="B395" s="1">
        <v>42465</v>
      </c>
      <c r="C395">
        <v>17167</v>
      </c>
      <c r="D395">
        <v>13.4099998474121</v>
      </c>
      <c r="E395">
        <v>13.4099998474121</v>
      </c>
      <c r="F395">
        <v>0</v>
      </c>
      <c r="G395">
        <v>9.9600000381469709</v>
      </c>
      <c r="H395">
        <v>0.31000000238418601</v>
      </c>
      <c r="I395">
        <v>3.1400001049041699</v>
      </c>
      <c r="J395">
        <v>0</v>
      </c>
      <c r="K395">
        <v>98</v>
      </c>
      <c r="L395">
        <v>8</v>
      </c>
      <c r="M395">
        <v>184</v>
      </c>
      <c r="N395">
        <v>1150</v>
      </c>
      <c r="O395">
        <v>3167</v>
      </c>
    </row>
    <row r="396" spans="1:15" x14ac:dyDescent="0.3">
      <c r="A396">
        <v>8053475328</v>
      </c>
      <c r="B396" s="1">
        <v>42466</v>
      </c>
      <c r="C396">
        <v>16435</v>
      </c>
      <c r="D396">
        <v>12.420000076293899</v>
      </c>
      <c r="E396">
        <v>12.420000076293899</v>
      </c>
      <c r="F396">
        <v>0</v>
      </c>
      <c r="G396">
        <v>8.9600000381469709</v>
      </c>
      <c r="H396">
        <v>0.55000001192092896</v>
      </c>
      <c r="I396">
        <v>2.9100000858306898</v>
      </c>
      <c r="J396">
        <v>0</v>
      </c>
      <c r="K396">
        <v>100</v>
      </c>
      <c r="L396">
        <v>14</v>
      </c>
      <c r="M396">
        <v>191</v>
      </c>
      <c r="N396">
        <v>1135</v>
      </c>
      <c r="O396">
        <v>3122</v>
      </c>
    </row>
    <row r="397" spans="1:15" x14ac:dyDescent="0.3">
      <c r="A397">
        <v>8053475328</v>
      </c>
      <c r="B397" s="1">
        <v>42467</v>
      </c>
      <c r="C397">
        <v>17078</v>
      </c>
      <c r="D397">
        <v>13.199999809265099</v>
      </c>
      <c r="E397">
        <v>13.199999809265099</v>
      </c>
      <c r="F397">
        <v>0</v>
      </c>
      <c r="G397">
        <v>9.9700002670288104</v>
      </c>
      <c r="H397">
        <v>0.239999994635582</v>
      </c>
      <c r="I397">
        <v>2.9900000095367401</v>
      </c>
      <c r="J397">
        <v>0</v>
      </c>
      <c r="K397">
        <v>101</v>
      </c>
      <c r="L397">
        <v>6</v>
      </c>
      <c r="M397">
        <v>190</v>
      </c>
      <c r="N397">
        <v>1143</v>
      </c>
      <c r="O397">
        <v>3176</v>
      </c>
    </row>
    <row r="398" spans="1:15" x14ac:dyDescent="0.3">
      <c r="A398">
        <v>8053475328</v>
      </c>
      <c r="B398" s="1">
        <v>42468</v>
      </c>
      <c r="C398">
        <v>11693</v>
      </c>
      <c r="D398">
        <v>9.5399999618530291</v>
      </c>
      <c r="E398">
        <v>9.5399999618530291</v>
      </c>
      <c r="F398">
        <v>0</v>
      </c>
      <c r="G398">
        <v>6.7699999809265101</v>
      </c>
      <c r="H398">
        <v>0.259999990463257</v>
      </c>
      <c r="I398">
        <v>2.5</v>
      </c>
      <c r="J398">
        <v>0</v>
      </c>
      <c r="K398">
        <v>60</v>
      </c>
      <c r="L398">
        <v>6</v>
      </c>
      <c r="M398">
        <v>153</v>
      </c>
      <c r="N398">
        <v>1221</v>
      </c>
      <c r="O398">
        <v>2790</v>
      </c>
    </row>
    <row r="399" spans="1:15" x14ac:dyDescent="0.3">
      <c r="A399">
        <v>8053475328</v>
      </c>
      <c r="B399" s="1">
        <v>42469</v>
      </c>
      <c r="C399">
        <v>11159</v>
      </c>
      <c r="D399">
        <v>9.1400003433227504</v>
      </c>
      <c r="E399">
        <v>9.1400003433227504</v>
      </c>
      <c r="F399">
        <v>0</v>
      </c>
      <c r="G399">
        <v>6.6900000572204599</v>
      </c>
      <c r="H399">
        <v>0.25</v>
      </c>
      <c r="I399">
        <v>2.1900000572204599</v>
      </c>
      <c r="J399">
        <v>0</v>
      </c>
      <c r="K399">
        <v>59</v>
      </c>
      <c r="L399">
        <v>6</v>
      </c>
      <c r="M399">
        <v>120</v>
      </c>
      <c r="N399">
        <v>1255</v>
      </c>
      <c r="O399">
        <v>2715</v>
      </c>
    </row>
    <row r="400" spans="1:15" x14ac:dyDescent="0.3">
      <c r="A400">
        <v>8053475328</v>
      </c>
      <c r="B400" s="1">
        <v>42470</v>
      </c>
      <c r="C400">
        <v>10118</v>
      </c>
      <c r="D400">
        <v>7.7300000190734899</v>
      </c>
      <c r="E400">
        <v>7.7300000190734899</v>
      </c>
      <c r="F400">
        <v>0</v>
      </c>
      <c r="G400">
        <v>3.0499999523162802</v>
      </c>
      <c r="H400">
        <v>0.80000001192092896</v>
      </c>
      <c r="I400">
        <v>3.8800001144409202</v>
      </c>
      <c r="J400">
        <v>0</v>
      </c>
      <c r="K400">
        <v>30</v>
      </c>
      <c r="L400">
        <v>18</v>
      </c>
      <c r="M400">
        <v>207</v>
      </c>
      <c r="N400">
        <v>1185</v>
      </c>
      <c r="O400">
        <v>2684</v>
      </c>
    </row>
    <row r="401" spans="1:15" x14ac:dyDescent="0.3">
      <c r="A401">
        <v>8053475328</v>
      </c>
      <c r="B401" s="1">
        <v>42471</v>
      </c>
      <c r="C401">
        <v>16064</v>
      </c>
      <c r="D401">
        <v>12.7200002670288</v>
      </c>
      <c r="E401">
        <v>12.7200002670288</v>
      </c>
      <c r="F401">
        <v>0</v>
      </c>
      <c r="G401">
        <v>9.9799995422363299</v>
      </c>
      <c r="H401">
        <v>0.36000001430511502</v>
      </c>
      <c r="I401">
        <v>2.3800001144409202</v>
      </c>
      <c r="J401">
        <v>0</v>
      </c>
      <c r="K401">
        <v>96</v>
      </c>
      <c r="L401">
        <v>8</v>
      </c>
      <c r="M401">
        <v>155</v>
      </c>
      <c r="N401">
        <v>1181</v>
      </c>
      <c r="O401">
        <v>3097</v>
      </c>
    </row>
    <row r="402" spans="1:15" x14ac:dyDescent="0.3">
      <c r="A402">
        <v>8053475328</v>
      </c>
      <c r="B402" s="1">
        <v>42472</v>
      </c>
      <c r="C402">
        <v>290</v>
      </c>
      <c r="D402">
        <v>0.20999999344348899</v>
      </c>
      <c r="E402">
        <v>0.20999999344348899</v>
      </c>
      <c r="F402">
        <v>0</v>
      </c>
      <c r="G402">
        <v>0</v>
      </c>
      <c r="H402">
        <v>0</v>
      </c>
      <c r="I402">
        <v>0.20999999344348899</v>
      </c>
      <c r="J402">
        <v>0</v>
      </c>
      <c r="K402">
        <v>0</v>
      </c>
      <c r="L402">
        <v>0</v>
      </c>
      <c r="M402">
        <v>16</v>
      </c>
      <c r="N402">
        <v>599</v>
      </c>
      <c r="O402">
        <v>791</v>
      </c>
    </row>
    <row r="403" spans="1:15" x14ac:dyDescent="0.3">
      <c r="A403">
        <v>8253242879</v>
      </c>
      <c r="B403" s="1">
        <v>42461</v>
      </c>
      <c r="C403">
        <v>0</v>
      </c>
      <c r="D403">
        <v>0</v>
      </c>
      <c r="E403">
        <v>0</v>
      </c>
      <c r="F403">
        <v>0</v>
      </c>
      <c r="G403">
        <v>0</v>
      </c>
      <c r="H403">
        <v>0</v>
      </c>
      <c r="I403">
        <v>0</v>
      </c>
      <c r="J403">
        <v>0</v>
      </c>
      <c r="K403">
        <v>0</v>
      </c>
      <c r="L403">
        <v>0</v>
      </c>
      <c r="M403">
        <v>0</v>
      </c>
      <c r="N403">
        <v>1440</v>
      </c>
      <c r="O403">
        <v>1429</v>
      </c>
    </row>
    <row r="404" spans="1:15" x14ac:dyDescent="0.3">
      <c r="A404">
        <v>8253242879</v>
      </c>
      <c r="B404" s="1">
        <v>42462</v>
      </c>
      <c r="C404">
        <v>0</v>
      </c>
      <c r="D404">
        <v>0</v>
      </c>
      <c r="E404">
        <v>0</v>
      </c>
      <c r="F404">
        <v>0</v>
      </c>
      <c r="G404">
        <v>0</v>
      </c>
      <c r="H404">
        <v>0</v>
      </c>
      <c r="I404">
        <v>0</v>
      </c>
      <c r="J404">
        <v>0</v>
      </c>
      <c r="K404">
        <v>0</v>
      </c>
      <c r="L404">
        <v>0</v>
      </c>
      <c r="M404">
        <v>0</v>
      </c>
      <c r="N404">
        <v>1440</v>
      </c>
      <c r="O404">
        <v>1429</v>
      </c>
    </row>
    <row r="405" spans="1:15" x14ac:dyDescent="0.3">
      <c r="A405">
        <v>8253242879</v>
      </c>
      <c r="B405" s="1">
        <v>42463</v>
      </c>
      <c r="C405">
        <v>0</v>
      </c>
      <c r="D405">
        <v>0</v>
      </c>
      <c r="E405">
        <v>0</v>
      </c>
      <c r="F405">
        <v>0</v>
      </c>
      <c r="G405">
        <v>0</v>
      </c>
      <c r="H405">
        <v>0</v>
      </c>
      <c r="I405">
        <v>0</v>
      </c>
      <c r="J405">
        <v>0</v>
      </c>
      <c r="K405">
        <v>0</v>
      </c>
      <c r="L405">
        <v>0</v>
      </c>
      <c r="M405">
        <v>0</v>
      </c>
      <c r="N405">
        <v>1440</v>
      </c>
      <c r="O405">
        <v>1429</v>
      </c>
    </row>
    <row r="406" spans="1:15" x14ac:dyDescent="0.3">
      <c r="A406">
        <v>8253242879</v>
      </c>
      <c r="B406" s="1">
        <v>42464</v>
      </c>
      <c r="C406">
        <v>0</v>
      </c>
      <c r="D406">
        <v>0</v>
      </c>
      <c r="E406">
        <v>0</v>
      </c>
      <c r="F406">
        <v>0</v>
      </c>
      <c r="G406">
        <v>0</v>
      </c>
      <c r="H406">
        <v>0</v>
      </c>
      <c r="I406">
        <v>0</v>
      </c>
      <c r="J406">
        <v>0</v>
      </c>
      <c r="K406">
        <v>0</v>
      </c>
      <c r="L406">
        <v>0</v>
      </c>
      <c r="M406">
        <v>0</v>
      </c>
      <c r="N406">
        <v>1440</v>
      </c>
      <c r="O406">
        <v>1429</v>
      </c>
    </row>
    <row r="407" spans="1:15" x14ac:dyDescent="0.3">
      <c r="A407">
        <v>8253242879</v>
      </c>
      <c r="B407" s="1">
        <v>42465</v>
      </c>
      <c r="C407">
        <v>0</v>
      </c>
      <c r="D407">
        <v>0</v>
      </c>
      <c r="E407">
        <v>0</v>
      </c>
      <c r="F407">
        <v>0</v>
      </c>
      <c r="G407">
        <v>0</v>
      </c>
      <c r="H407">
        <v>0</v>
      </c>
      <c r="I407">
        <v>0</v>
      </c>
      <c r="J407">
        <v>0</v>
      </c>
      <c r="K407">
        <v>0</v>
      </c>
      <c r="L407">
        <v>0</v>
      </c>
      <c r="M407">
        <v>0</v>
      </c>
      <c r="N407">
        <v>1440</v>
      </c>
      <c r="O407">
        <v>1429</v>
      </c>
    </row>
    <row r="408" spans="1:15" x14ac:dyDescent="0.3">
      <c r="A408">
        <v>8253242879</v>
      </c>
      <c r="B408" s="1">
        <v>42466</v>
      </c>
      <c r="C408">
        <v>1931</v>
      </c>
      <c r="D408">
        <v>1.2799999713897701</v>
      </c>
      <c r="E408">
        <v>1.2799999713897701</v>
      </c>
      <c r="F408">
        <v>0</v>
      </c>
      <c r="G408">
        <v>0</v>
      </c>
      <c r="H408">
        <v>0</v>
      </c>
      <c r="I408">
        <v>1.2799999713897701</v>
      </c>
      <c r="J408">
        <v>0</v>
      </c>
      <c r="K408">
        <v>0</v>
      </c>
      <c r="L408">
        <v>0</v>
      </c>
      <c r="M408">
        <v>94</v>
      </c>
      <c r="N408">
        <v>1346</v>
      </c>
      <c r="O408">
        <v>1607</v>
      </c>
    </row>
    <row r="409" spans="1:15" x14ac:dyDescent="0.3">
      <c r="A409">
        <v>8253242879</v>
      </c>
      <c r="B409" s="1">
        <v>42467</v>
      </c>
      <c r="C409">
        <v>5181</v>
      </c>
      <c r="D409">
        <v>3.4200000762939502</v>
      </c>
      <c r="E409">
        <v>3.4200000762939502</v>
      </c>
      <c r="F409">
        <v>0</v>
      </c>
      <c r="G409">
        <v>1</v>
      </c>
      <c r="H409">
        <v>0.91000002622604403</v>
      </c>
      <c r="I409">
        <v>1.5099999904632599</v>
      </c>
      <c r="J409">
        <v>9.9999997764825804E-3</v>
      </c>
      <c r="K409">
        <v>15</v>
      </c>
      <c r="L409">
        <v>15</v>
      </c>
      <c r="M409">
        <v>107</v>
      </c>
      <c r="N409">
        <v>1303</v>
      </c>
      <c r="O409">
        <v>1776</v>
      </c>
    </row>
    <row r="410" spans="1:15" x14ac:dyDescent="0.3">
      <c r="A410">
        <v>8253242879</v>
      </c>
      <c r="B410" s="1">
        <v>42468</v>
      </c>
      <c r="C410">
        <v>12026</v>
      </c>
      <c r="D410">
        <v>9.1499996185302699</v>
      </c>
      <c r="E410">
        <v>9.1499996185302699</v>
      </c>
      <c r="F410">
        <v>0</v>
      </c>
      <c r="G410">
        <v>5.6999998092651403</v>
      </c>
      <c r="H410">
        <v>0.93000000715255704</v>
      </c>
      <c r="I410">
        <v>2.5099999904632599</v>
      </c>
      <c r="J410">
        <v>0</v>
      </c>
      <c r="K410">
        <v>47</v>
      </c>
      <c r="L410">
        <v>13</v>
      </c>
      <c r="M410">
        <v>150</v>
      </c>
      <c r="N410">
        <v>1230</v>
      </c>
      <c r="O410">
        <v>2162</v>
      </c>
    </row>
    <row r="411" spans="1:15" x14ac:dyDescent="0.3">
      <c r="A411">
        <v>8253242879</v>
      </c>
      <c r="B411" s="1">
        <v>42469</v>
      </c>
      <c r="C411">
        <v>5360</v>
      </c>
      <c r="D411">
        <v>3.53999996185303</v>
      </c>
      <c r="E411">
        <v>3.53999996185303</v>
      </c>
      <c r="F411">
        <v>0</v>
      </c>
      <c r="G411">
        <v>0.54000002145767201</v>
      </c>
      <c r="H411">
        <v>1.54999995231628</v>
      </c>
      <c r="I411">
        <v>1.46000003814697</v>
      </c>
      <c r="J411">
        <v>0</v>
      </c>
      <c r="K411">
        <v>8</v>
      </c>
      <c r="L411">
        <v>28</v>
      </c>
      <c r="M411">
        <v>148</v>
      </c>
      <c r="N411">
        <v>1256</v>
      </c>
      <c r="O411">
        <v>1832</v>
      </c>
    </row>
    <row r="412" spans="1:15" x14ac:dyDescent="0.3">
      <c r="A412">
        <v>8253242879</v>
      </c>
      <c r="B412" s="1">
        <v>42470</v>
      </c>
      <c r="C412">
        <v>2545</v>
      </c>
      <c r="D412">
        <v>1.6799999475479099</v>
      </c>
      <c r="E412">
        <v>1.6799999475479099</v>
      </c>
      <c r="F412">
        <v>0</v>
      </c>
      <c r="G412">
        <v>0</v>
      </c>
      <c r="H412">
        <v>0</v>
      </c>
      <c r="I412">
        <v>1.66999995708466</v>
      </c>
      <c r="J412">
        <v>1.9999999552965199E-2</v>
      </c>
      <c r="K412">
        <v>0</v>
      </c>
      <c r="L412">
        <v>0</v>
      </c>
      <c r="M412">
        <v>126</v>
      </c>
      <c r="N412">
        <v>1314</v>
      </c>
      <c r="O412">
        <v>1657</v>
      </c>
    </row>
    <row r="413" spans="1:15" x14ac:dyDescent="0.3">
      <c r="A413">
        <v>8253242879</v>
      </c>
      <c r="B413" s="1">
        <v>42471</v>
      </c>
      <c r="C413">
        <v>1636</v>
      </c>
      <c r="D413">
        <v>1.08000004291534</v>
      </c>
      <c r="E413">
        <v>1.08000004291534</v>
      </c>
      <c r="F413">
        <v>0</v>
      </c>
      <c r="G413">
        <v>0</v>
      </c>
      <c r="H413">
        <v>0</v>
      </c>
      <c r="I413">
        <v>1.08000004291534</v>
      </c>
      <c r="J413">
        <v>0</v>
      </c>
      <c r="K413">
        <v>0</v>
      </c>
      <c r="L413">
        <v>0</v>
      </c>
      <c r="M413">
        <v>86</v>
      </c>
      <c r="N413">
        <v>1139</v>
      </c>
      <c r="O413">
        <v>1377</v>
      </c>
    </row>
    <row r="414" spans="1:15" x14ac:dyDescent="0.3">
      <c r="A414">
        <v>8253242879</v>
      </c>
      <c r="B414" s="1">
        <v>42472</v>
      </c>
      <c r="C414">
        <v>0</v>
      </c>
      <c r="D414">
        <v>0</v>
      </c>
      <c r="E414">
        <v>0</v>
      </c>
      <c r="F414">
        <v>0</v>
      </c>
      <c r="G414">
        <v>0</v>
      </c>
      <c r="H414">
        <v>0</v>
      </c>
      <c r="I414">
        <v>0</v>
      </c>
      <c r="J414">
        <v>0</v>
      </c>
      <c r="K414">
        <v>0</v>
      </c>
      <c r="L414">
        <v>0</v>
      </c>
      <c r="M414">
        <v>0</v>
      </c>
      <c r="N414">
        <v>1440</v>
      </c>
      <c r="O414">
        <v>0</v>
      </c>
    </row>
    <row r="415" spans="1:15" x14ac:dyDescent="0.3">
      <c r="A415">
        <v>8378563200</v>
      </c>
      <c r="B415" s="1">
        <v>42461</v>
      </c>
      <c r="C415">
        <v>14179</v>
      </c>
      <c r="D415">
        <v>11.2399997711182</v>
      </c>
      <c r="E415">
        <v>11.2399997711182</v>
      </c>
      <c r="F415">
        <v>0</v>
      </c>
      <c r="G415">
        <v>6.2300000190734899</v>
      </c>
      <c r="H415">
        <v>1.0599999427795399</v>
      </c>
      <c r="I415">
        <v>3.96000003814697</v>
      </c>
      <c r="J415">
        <v>0</v>
      </c>
      <c r="K415">
        <v>73</v>
      </c>
      <c r="L415">
        <v>21</v>
      </c>
      <c r="M415">
        <v>195</v>
      </c>
      <c r="N415">
        <v>719</v>
      </c>
      <c r="O415">
        <v>3669</v>
      </c>
    </row>
    <row r="416" spans="1:15" x14ac:dyDescent="0.3">
      <c r="A416">
        <v>8378563200</v>
      </c>
      <c r="B416" s="1">
        <v>42462</v>
      </c>
      <c r="C416">
        <v>3358</v>
      </c>
      <c r="D416">
        <v>2.6600000858306898</v>
      </c>
      <c r="E416">
        <v>2.6600000858306898</v>
      </c>
      <c r="F416">
        <v>0</v>
      </c>
      <c r="G416">
        <v>0</v>
      </c>
      <c r="H416">
        <v>0</v>
      </c>
      <c r="I416">
        <v>2.6600000858306898</v>
      </c>
      <c r="J416">
        <v>0</v>
      </c>
      <c r="K416">
        <v>0</v>
      </c>
      <c r="L416">
        <v>0</v>
      </c>
      <c r="M416">
        <v>144</v>
      </c>
      <c r="N416">
        <v>657</v>
      </c>
      <c r="O416">
        <v>2702</v>
      </c>
    </row>
    <row r="417" spans="1:15" x14ac:dyDescent="0.3">
      <c r="A417">
        <v>8378563200</v>
      </c>
      <c r="B417" s="1">
        <v>42463</v>
      </c>
      <c r="C417">
        <v>9152</v>
      </c>
      <c r="D417">
        <v>7.2600002288818404</v>
      </c>
      <c r="E417">
        <v>7.2600002288818404</v>
      </c>
      <c r="F417">
        <v>0</v>
      </c>
      <c r="G417">
        <v>1.9900000095367401</v>
      </c>
      <c r="H417">
        <v>0.81999999284744296</v>
      </c>
      <c r="I417">
        <v>4.4499998092651403</v>
      </c>
      <c r="J417">
        <v>0</v>
      </c>
      <c r="K417">
        <v>25</v>
      </c>
      <c r="L417">
        <v>13</v>
      </c>
      <c r="M417">
        <v>243</v>
      </c>
      <c r="N417">
        <v>600</v>
      </c>
      <c r="O417">
        <v>3304</v>
      </c>
    </row>
    <row r="418" spans="1:15" x14ac:dyDescent="0.3">
      <c r="A418">
        <v>8378563200</v>
      </c>
      <c r="B418" s="1">
        <v>42464</v>
      </c>
      <c r="C418">
        <v>13935</v>
      </c>
      <c r="D418">
        <v>11.050000190734901</v>
      </c>
      <c r="E418">
        <v>11.050000190734901</v>
      </c>
      <c r="F418">
        <v>2.0921471118927002</v>
      </c>
      <c r="G418">
        <v>4.0900001525878897</v>
      </c>
      <c r="H418">
        <v>0.79000002145767201</v>
      </c>
      <c r="I418">
        <v>6.1700000762939498</v>
      </c>
      <c r="J418">
        <v>0</v>
      </c>
      <c r="K418">
        <v>105</v>
      </c>
      <c r="L418">
        <v>16</v>
      </c>
      <c r="M418">
        <v>220</v>
      </c>
      <c r="N418">
        <v>658</v>
      </c>
      <c r="O418">
        <v>4234</v>
      </c>
    </row>
    <row r="419" spans="1:15" x14ac:dyDescent="0.3">
      <c r="A419">
        <v>8378563200</v>
      </c>
      <c r="B419" s="1">
        <v>42465</v>
      </c>
      <c r="C419">
        <v>12846</v>
      </c>
      <c r="D419">
        <v>10.189999580383301</v>
      </c>
      <c r="E419">
        <v>10.189999580383301</v>
      </c>
      <c r="F419">
        <v>2.2530810832977299</v>
      </c>
      <c r="G419">
        <v>5</v>
      </c>
      <c r="H419">
        <v>0.75</v>
      </c>
      <c r="I419">
        <v>4.4400000572204599</v>
      </c>
      <c r="J419">
        <v>0</v>
      </c>
      <c r="K419">
        <v>113</v>
      </c>
      <c r="L419">
        <v>15</v>
      </c>
      <c r="M419">
        <v>189</v>
      </c>
      <c r="N419">
        <v>686</v>
      </c>
      <c r="O419">
        <v>4128</v>
      </c>
    </row>
    <row r="420" spans="1:15" x14ac:dyDescent="0.3">
      <c r="A420">
        <v>8378563200</v>
      </c>
      <c r="B420" s="1">
        <v>42466</v>
      </c>
      <c r="C420">
        <v>9124</v>
      </c>
      <c r="D420">
        <v>7.2399997711181596</v>
      </c>
      <c r="E420">
        <v>7.2399997711181596</v>
      </c>
      <c r="F420">
        <v>2.0921471118927002</v>
      </c>
      <c r="G420">
        <v>0</v>
      </c>
      <c r="H420">
        <v>0.25</v>
      </c>
      <c r="I420">
        <v>6.9899997711181596</v>
      </c>
      <c r="J420">
        <v>0</v>
      </c>
      <c r="K420">
        <v>55</v>
      </c>
      <c r="L420">
        <v>6</v>
      </c>
      <c r="M420">
        <v>230</v>
      </c>
      <c r="N420">
        <v>728</v>
      </c>
      <c r="O420">
        <v>3798</v>
      </c>
    </row>
    <row r="421" spans="1:15" x14ac:dyDescent="0.3">
      <c r="A421">
        <v>8378563200</v>
      </c>
      <c r="B421" s="1">
        <v>42467</v>
      </c>
      <c r="C421">
        <v>9725</v>
      </c>
      <c r="D421">
        <v>7.71000003814697</v>
      </c>
      <c r="E421">
        <v>7.71000003814697</v>
      </c>
      <c r="F421">
        <v>2.2530810832977299</v>
      </c>
      <c r="G421">
        <v>2.4100000858306898</v>
      </c>
      <c r="H421">
        <v>0.52999997138977095</v>
      </c>
      <c r="I421">
        <v>4.7699999809265101</v>
      </c>
      <c r="J421">
        <v>0</v>
      </c>
      <c r="K421">
        <v>83</v>
      </c>
      <c r="L421">
        <v>11</v>
      </c>
      <c r="M421">
        <v>181</v>
      </c>
      <c r="N421">
        <v>670</v>
      </c>
      <c r="O421">
        <v>3839</v>
      </c>
    </row>
    <row r="422" spans="1:15" x14ac:dyDescent="0.3">
      <c r="A422">
        <v>8378563200</v>
      </c>
      <c r="B422" s="1">
        <v>42468</v>
      </c>
      <c r="C422">
        <v>8350</v>
      </c>
      <c r="D422">
        <v>6.6199998855590803</v>
      </c>
      <c r="E422">
        <v>6.6199998855590803</v>
      </c>
      <c r="F422">
        <v>2.0921471118927002</v>
      </c>
      <c r="G422">
        <v>1.4900000095367401</v>
      </c>
      <c r="H422">
        <v>0.52999997138977095</v>
      </c>
      <c r="I422">
        <v>4.6100001335143999</v>
      </c>
      <c r="J422">
        <v>0</v>
      </c>
      <c r="K422">
        <v>72</v>
      </c>
      <c r="L422">
        <v>10</v>
      </c>
      <c r="M422">
        <v>167</v>
      </c>
      <c r="N422">
        <v>868</v>
      </c>
      <c r="O422">
        <v>3713</v>
      </c>
    </row>
    <row r="423" spans="1:15" x14ac:dyDescent="0.3">
      <c r="A423">
        <v>8378563200</v>
      </c>
      <c r="B423" s="1">
        <v>42469</v>
      </c>
      <c r="C423">
        <v>2240</v>
      </c>
      <c r="D423">
        <v>1.7799999713897701</v>
      </c>
      <c r="E423">
        <v>1.7799999713897701</v>
      </c>
      <c r="F423">
        <v>0</v>
      </c>
      <c r="G423">
        <v>0</v>
      </c>
      <c r="H423">
        <v>0</v>
      </c>
      <c r="I423">
        <v>1.7799999713897701</v>
      </c>
      <c r="J423">
        <v>0</v>
      </c>
      <c r="K423">
        <v>0</v>
      </c>
      <c r="L423">
        <v>0</v>
      </c>
      <c r="M423">
        <v>110</v>
      </c>
      <c r="N423">
        <v>843</v>
      </c>
      <c r="O423">
        <v>2606</v>
      </c>
    </row>
    <row r="424" spans="1:15" x14ac:dyDescent="0.3">
      <c r="A424">
        <v>8378563200</v>
      </c>
      <c r="B424" s="1">
        <v>42470</v>
      </c>
      <c r="C424">
        <v>2631</v>
      </c>
      <c r="D424">
        <v>2.0899999141693102</v>
      </c>
      <c r="E424">
        <v>2.0899999141693102</v>
      </c>
      <c r="F424">
        <v>0</v>
      </c>
      <c r="G424">
        <v>0</v>
      </c>
      <c r="H424">
        <v>0</v>
      </c>
      <c r="I424">
        <v>2.0899999141693102</v>
      </c>
      <c r="J424">
        <v>0</v>
      </c>
      <c r="K424">
        <v>0</v>
      </c>
      <c r="L424">
        <v>0</v>
      </c>
      <c r="M424">
        <v>117</v>
      </c>
      <c r="N424">
        <v>727</v>
      </c>
      <c r="O424">
        <v>2624</v>
      </c>
    </row>
    <row r="425" spans="1:15" x14ac:dyDescent="0.3">
      <c r="A425">
        <v>8378563200</v>
      </c>
      <c r="B425" s="1">
        <v>42471</v>
      </c>
      <c r="C425">
        <v>8837</v>
      </c>
      <c r="D425">
        <v>7.0100002288818404</v>
      </c>
      <c r="E425">
        <v>7.0100002288818404</v>
      </c>
      <c r="F425">
        <v>2.0921471118927002</v>
      </c>
      <c r="G425">
        <v>1.53999996185303</v>
      </c>
      <c r="H425">
        <v>0.87999999523162797</v>
      </c>
      <c r="I425">
        <v>4.5900001525878897</v>
      </c>
      <c r="J425">
        <v>0</v>
      </c>
      <c r="K425">
        <v>74</v>
      </c>
      <c r="L425">
        <v>17</v>
      </c>
      <c r="M425">
        <v>182</v>
      </c>
      <c r="N425">
        <v>811</v>
      </c>
      <c r="O425">
        <v>3775</v>
      </c>
    </row>
    <row r="426" spans="1:15" x14ac:dyDescent="0.3">
      <c r="A426">
        <v>8378563200</v>
      </c>
      <c r="B426" s="1">
        <v>42472</v>
      </c>
      <c r="C426">
        <v>3246</v>
      </c>
      <c r="D426">
        <v>2.5699999332428001</v>
      </c>
      <c r="E426">
        <v>2.5699999332428001</v>
      </c>
      <c r="F426">
        <v>2.2530810832977299</v>
      </c>
      <c r="G426">
        <v>0.82999998331069902</v>
      </c>
      <c r="H426">
        <v>0.70999997854232799</v>
      </c>
      <c r="I426">
        <v>1.0299999713897701</v>
      </c>
      <c r="J426">
        <v>0</v>
      </c>
      <c r="K426">
        <v>65</v>
      </c>
      <c r="L426">
        <v>15</v>
      </c>
      <c r="M426">
        <v>49</v>
      </c>
      <c r="N426">
        <v>243</v>
      </c>
      <c r="O426">
        <v>1882</v>
      </c>
    </row>
    <row r="427" spans="1:15" x14ac:dyDescent="0.3">
      <c r="A427">
        <v>8583815059</v>
      </c>
      <c r="B427" s="1">
        <v>42461</v>
      </c>
      <c r="C427">
        <v>2174</v>
      </c>
      <c r="D427">
        <v>1.70000004768372</v>
      </c>
      <c r="E427">
        <v>1.70000004768372</v>
      </c>
      <c r="F427">
        <v>0</v>
      </c>
      <c r="G427">
        <v>0</v>
      </c>
      <c r="H427">
        <v>0</v>
      </c>
      <c r="I427">
        <v>1.70000004768372</v>
      </c>
      <c r="J427">
        <v>0</v>
      </c>
      <c r="K427">
        <v>0</v>
      </c>
      <c r="L427">
        <v>0</v>
      </c>
      <c r="M427">
        <v>112</v>
      </c>
      <c r="N427">
        <v>1328</v>
      </c>
      <c r="O427">
        <v>2360</v>
      </c>
    </row>
    <row r="428" spans="1:15" x14ac:dyDescent="0.3">
      <c r="A428">
        <v>8583815059</v>
      </c>
      <c r="B428" s="1">
        <v>42462</v>
      </c>
      <c r="C428">
        <v>3494</v>
      </c>
      <c r="D428">
        <v>2.7300000190734899</v>
      </c>
      <c r="E428">
        <v>2.7300000190734899</v>
      </c>
      <c r="F428">
        <v>0</v>
      </c>
      <c r="G428">
        <v>0</v>
      </c>
      <c r="H428">
        <v>0</v>
      </c>
      <c r="I428">
        <v>2.6900000572204599</v>
      </c>
      <c r="J428">
        <v>0</v>
      </c>
      <c r="K428">
        <v>0</v>
      </c>
      <c r="L428">
        <v>0</v>
      </c>
      <c r="M428">
        <v>166</v>
      </c>
      <c r="N428">
        <v>1274</v>
      </c>
      <c r="O428">
        <v>2517</v>
      </c>
    </row>
    <row r="429" spans="1:15" x14ac:dyDescent="0.3">
      <c r="A429">
        <v>8583815059</v>
      </c>
      <c r="B429" s="1">
        <v>42463</v>
      </c>
      <c r="C429">
        <v>2380</v>
      </c>
      <c r="D429">
        <v>1.8600000143051101</v>
      </c>
      <c r="E429">
        <v>1.8600000143051101</v>
      </c>
      <c r="F429">
        <v>0</v>
      </c>
      <c r="G429">
        <v>0</v>
      </c>
      <c r="H429">
        <v>0</v>
      </c>
      <c r="I429">
        <v>1.8600000143051101</v>
      </c>
      <c r="J429">
        <v>0</v>
      </c>
      <c r="K429">
        <v>0</v>
      </c>
      <c r="L429">
        <v>0</v>
      </c>
      <c r="M429">
        <v>131</v>
      </c>
      <c r="N429">
        <v>1309</v>
      </c>
      <c r="O429">
        <v>2400</v>
      </c>
    </row>
    <row r="430" spans="1:15" x14ac:dyDescent="0.3">
      <c r="A430">
        <v>8583815059</v>
      </c>
      <c r="B430" s="1">
        <v>42464</v>
      </c>
      <c r="C430">
        <v>3159</v>
      </c>
      <c r="D430">
        <v>2.46000003814697</v>
      </c>
      <c r="E430">
        <v>2.46000003814697</v>
      </c>
      <c r="F430">
        <v>0</v>
      </c>
      <c r="G430">
        <v>0</v>
      </c>
      <c r="H430">
        <v>0</v>
      </c>
      <c r="I430">
        <v>2.46000003814697</v>
      </c>
      <c r="J430">
        <v>0</v>
      </c>
      <c r="K430">
        <v>0</v>
      </c>
      <c r="L430">
        <v>0</v>
      </c>
      <c r="M430">
        <v>147</v>
      </c>
      <c r="N430">
        <v>1293</v>
      </c>
      <c r="O430">
        <v>2462</v>
      </c>
    </row>
    <row r="431" spans="1:15" x14ac:dyDescent="0.3">
      <c r="A431">
        <v>8583815059</v>
      </c>
      <c r="B431" s="1">
        <v>42465</v>
      </c>
      <c r="C431">
        <v>6835</v>
      </c>
      <c r="D431">
        <v>5.3299999237060502</v>
      </c>
      <c r="E431">
        <v>5.3299999237060502</v>
      </c>
      <c r="F431">
        <v>0</v>
      </c>
      <c r="G431">
        <v>0.37000000476837203</v>
      </c>
      <c r="H431">
        <v>0.730000019073486</v>
      </c>
      <c r="I431">
        <v>4.2399997711181596</v>
      </c>
      <c r="J431">
        <v>0</v>
      </c>
      <c r="K431">
        <v>5</v>
      </c>
      <c r="L431">
        <v>15</v>
      </c>
      <c r="M431">
        <v>212</v>
      </c>
      <c r="N431">
        <v>1208</v>
      </c>
      <c r="O431">
        <v>2786</v>
      </c>
    </row>
    <row r="432" spans="1:15" x14ac:dyDescent="0.3">
      <c r="A432">
        <v>8583815059</v>
      </c>
      <c r="B432" s="1">
        <v>42466</v>
      </c>
      <c r="C432">
        <v>2098</v>
      </c>
      <c r="D432">
        <v>1.6399999856948899</v>
      </c>
      <c r="E432">
        <v>1.6399999856948899</v>
      </c>
      <c r="F432">
        <v>0</v>
      </c>
      <c r="G432">
        <v>0</v>
      </c>
      <c r="H432">
        <v>0</v>
      </c>
      <c r="I432">
        <v>1.62999999523163</v>
      </c>
      <c r="J432">
        <v>0</v>
      </c>
      <c r="K432">
        <v>0</v>
      </c>
      <c r="L432">
        <v>0</v>
      </c>
      <c r="M432">
        <v>112</v>
      </c>
      <c r="N432">
        <v>1328</v>
      </c>
      <c r="O432">
        <v>2354</v>
      </c>
    </row>
    <row r="433" spans="1:15" x14ac:dyDescent="0.3">
      <c r="A433">
        <v>8583815059</v>
      </c>
      <c r="B433" s="1">
        <v>42467</v>
      </c>
      <c r="C433">
        <v>2816</v>
      </c>
      <c r="D433">
        <v>2.2000000476837198</v>
      </c>
      <c r="E433">
        <v>2.2000000476837198</v>
      </c>
      <c r="F433">
        <v>0</v>
      </c>
      <c r="G433">
        <v>0</v>
      </c>
      <c r="H433">
        <v>0</v>
      </c>
      <c r="I433">
        <v>2.2000000476837198</v>
      </c>
      <c r="J433">
        <v>0</v>
      </c>
      <c r="K433">
        <v>0</v>
      </c>
      <c r="L433">
        <v>0</v>
      </c>
      <c r="M433">
        <v>138</v>
      </c>
      <c r="N433">
        <v>1302</v>
      </c>
      <c r="O433">
        <v>2437</v>
      </c>
    </row>
    <row r="434" spans="1:15" x14ac:dyDescent="0.3">
      <c r="A434">
        <v>8583815059</v>
      </c>
      <c r="B434" s="1">
        <v>42468</v>
      </c>
      <c r="C434">
        <v>1408</v>
      </c>
      <c r="D434">
        <v>1.1000000238418599</v>
      </c>
      <c r="E434">
        <v>1.1000000238418599</v>
      </c>
      <c r="F434">
        <v>0</v>
      </c>
      <c r="G434">
        <v>0</v>
      </c>
      <c r="H434">
        <v>0</v>
      </c>
      <c r="I434">
        <v>1.1000000238418599</v>
      </c>
      <c r="J434">
        <v>0</v>
      </c>
      <c r="K434">
        <v>0</v>
      </c>
      <c r="L434">
        <v>0</v>
      </c>
      <c r="M434">
        <v>79</v>
      </c>
      <c r="N434">
        <v>1052</v>
      </c>
      <c r="O434">
        <v>1814</v>
      </c>
    </row>
    <row r="435" spans="1:15" x14ac:dyDescent="0.3">
      <c r="A435">
        <v>8792009665</v>
      </c>
      <c r="B435" s="1">
        <v>42461</v>
      </c>
      <c r="C435">
        <v>4592</v>
      </c>
      <c r="D435">
        <v>2.9400000572204599</v>
      </c>
      <c r="E435">
        <v>2.9400000572204599</v>
      </c>
      <c r="F435">
        <v>0</v>
      </c>
      <c r="G435">
        <v>0.10000000149011599</v>
      </c>
      <c r="H435">
        <v>0.140000000596046</v>
      </c>
      <c r="I435">
        <v>2.7000000476837198</v>
      </c>
      <c r="J435">
        <v>0</v>
      </c>
      <c r="K435">
        <v>4</v>
      </c>
      <c r="L435">
        <v>8</v>
      </c>
      <c r="M435">
        <v>176</v>
      </c>
      <c r="N435">
        <v>748</v>
      </c>
      <c r="O435">
        <v>2260</v>
      </c>
    </row>
    <row r="436" spans="1:15" x14ac:dyDescent="0.3">
      <c r="A436">
        <v>8792009665</v>
      </c>
      <c r="B436" s="1">
        <v>42462</v>
      </c>
      <c r="C436">
        <v>8452</v>
      </c>
      <c r="D436">
        <v>5.4099998474121103</v>
      </c>
      <c r="E436">
        <v>5.4099998474121103</v>
      </c>
      <c r="F436">
        <v>0</v>
      </c>
      <c r="G436">
        <v>0.259999990463257</v>
      </c>
      <c r="H436">
        <v>0.38999998569488498</v>
      </c>
      <c r="I436">
        <v>4.7600002288818404</v>
      </c>
      <c r="J436">
        <v>0</v>
      </c>
      <c r="K436">
        <v>9</v>
      </c>
      <c r="L436">
        <v>24</v>
      </c>
      <c r="M436">
        <v>328</v>
      </c>
      <c r="N436">
        <v>1079</v>
      </c>
      <c r="O436">
        <v>3004</v>
      </c>
    </row>
    <row r="437" spans="1:15" x14ac:dyDescent="0.3">
      <c r="A437">
        <v>8792009665</v>
      </c>
      <c r="B437" s="1">
        <v>42463</v>
      </c>
      <c r="C437">
        <v>7238</v>
      </c>
      <c r="D437">
        <v>4.6300001144409197</v>
      </c>
      <c r="E437">
        <v>4.6300001144409197</v>
      </c>
      <c r="F437">
        <v>0</v>
      </c>
      <c r="G437">
        <v>0.109999999403954</v>
      </c>
      <c r="H437">
        <v>0.230000004172325</v>
      </c>
      <c r="I437">
        <v>4.28999996185303</v>
      </c>
      <c r="J437">
        <v>0</v>
      </c>
      <c r="K437">
        <v>2</v>
      </c>
      <c r="L437">
        <v>6</v>
      </c>
      <c r="M437">
        <v>279</v>
      </c>
      <c r="N437">
        <v>636</v>
      </c>
      <c r="O437">
        <v>2667</v>
      </c>
    </row>
    <row r="438" spans="1:15" x14ac:dyDescent="0.3">
      <c r="A438">
        <v>8792009665</v>
      </c>
      <c r="B438" s="1">
        <v>42464</v>
      </c>
      <c r="C438">
        <v>3821</v>
      </c>
      <c r="D438">
        <v>2.4500000476837198</v>
      </c>
      <c r="E438">
        <v>2.4500000476837198</v>
      </c>
      <c r="F438">
        <v>0</v>
      </c>
      <c r="G438">
        <v>0</v>
      </c>
      <c r="H438">
        <v>0.21999999880790699</v>
      </c>
      <c r="I438">
        <v>2.2300000190734899</v>
      </c>
      <c r="J438">
        <v>0</v>
      </c>
      <c r="K438">
        <v>0</v>
      </c>
      <c r="L438">
        <v>9</v>
      </c>
      <c r="M438">
        <v>161</v>
      </c>
      <c r="N438">
        <v>675</v>
      </c>
      <c r="O438">
        <v>2229</v>
      </c>
    </row>
    <row r="439" spans="1:15" x14ac:dyDescent="0.3">
      <c r="A439">
        <v>8792009665</v>
      </c>
      <c r="B439" s="1">
        <v>42465</v>
      </c>
      <c r="C439">
        <v>2332</v>
      </c>
      <c r="D439">
        <v>1.4900000095367401</v>
      </c>
      <c r="E439">
        <v>1.4900000095367401</v>
      </c>
      <c r="F439">
        <v>0</v>
      </c>
      <c r="G439">
        <v>9.9999997764825804E-3</v>
      </c>
      <c r="H439">
        <v>0.18000000715255701</v>
      </c>
      <c r="I439">
        <v>1.29999995231628</v>
      </c>
      <c r="J439">
        <v>0</v>
      </c>
      <c r="K439">
        <v>1</v>
      </c>
      <c r="L439">
        <v>10</v>
      </c>
      <c r="M439">
        <v>111</v>
      </c>
      <c r="N439">
        <v>904</v>
      </c>
      <c r="O439">
        <v>2100</v>
      </c>
    </row>
    <row r="440" spans="1:15" x14ac:dyDescent="0.3">
      <c r="A440">
        <v>8792009665</v>
      </c>
      <c r="B440" s="1">
        <v>42466</v>
      </c>
      <c r="C440">
        <v>2121</v>
      </c>
      <c r="D440">
        <v>1.3600000143051101</v>
      </c>
      <c r="E440">
        <v>1.3600000143051101</v>
      </c>
      <c r="F440">
        <v>0</v>
      </c>
      <c r="G440">
        <v>0</v>
      </c>
      <c r="H440">
        <v>0</v>
      </c>
      <c r="I440">
        <v>1.3600000143051101</v>
      </c>
      <c r="J440">
        <v>0</v>
      </c>
      <c r="K440">
        <v>0</v>
      </c>
      <c r="L440">
        <v>0</v>
      </c>
      <c r="M440">
        <v>122</v>
      </c>
      <c r="N440">
        <v>855</v>
      </c>
      <c r="O440">
        <v>2114</v>
      </c>
    </row>
    <row r="441" spans="1:15" x14ac:dyDescent="0.3">
      <c r="A441">
        <v>8792009665</v>
      </c>
      <c r="B441" s="1">
        <v>42467</v>
      </c>
      <c r="C441">
        <v>1291</v>
      </c>
      <c r="D441">
        <v>0.82999998331069902</v>
      </c>
      <c r="E441">
        <v>0.82999998331069902</v>
      </c>
      <c r="F441">
        <v>0</v>
      </c>
      <c r="G441">
        <v>0</v>
      </c>
      <c r="H441">
        <v>0</v>
      </c>
      <c r="I441">
        <v>0.82999998331069902</v>
      </c>
      <c r="J441">
        <v>0</v>
      </c>
      <c r="K441">
        <v>0</v>
      </c>
      <c r="L441">
        <v>0</v>
      </c>
      <c r="M441">
        <v>77</v>
      </c>
      <c r="N441">
        <v>888</v>
      </c>
      <c r="O441">
        <v>1961</v>
      </c>
    </row>
    <row r="442" spans="1:15" x14ac:dyDescent="0.3">
      <c r="A442">
        <v>8792009665</v>
      </c>
      <c r="B442" s="1">
        <v>42468</v>
      </c>
      <c r="C442">
        <v>1467</v>
      </c>
      <c r="D442">
        <v>0.93999999761581399</v>
      </c>
      <c r="E442">
        <v>0.93999999761581399</v>
      </c>
      <c r="F442">
        <v>0</v>
      </c>
      <c r="G442">
        <v>0.10000000149011599</v>
      </c>
      <c r="H442">
        <v>0.20999999344348899</v>
      </c>
      <c r="I442">
        <v>0.62999999523162797</v>
      </c>
      <c r="J442">
        <v>0</v>
      </c>
      <c r="K442">
        <v>2</v>
      </c>
      <c r="L442">
        <v>8</v>
      </c>
      <c r="M442">
        <v>71</v>
      </c>
      <c r="N442">
        <v>912</v>
      </c>
      <c r="O442">
        <v>1953</v>
      </c>
    </row>
    <row r="443" spans="1:15" x14ac:dyDescent="0.3">
      <c r="A443">
        <v>8792009665</v>
      </c>
      <c r="B443" s="1">
        <v>42469</v>
      </c>
      <c r="C443">
        <v>1022</v>
      </c>
      <c r="D443">
        <v>0.64999997615814198</v>
      </c>
      <c r="E443">
        <v>0.64999997615814198</v>
      </c>
      <c r="F443">
        <v>0</v>
      </c>
      <c r="G443">
        <v>0</v>
      </c>
      <c r="H443">
        <v>0</v>
      </c>
      <c r="I443">
        <v>0.64999997615814198</v>
      </c>
      <c r="J443">
        <v>0</v>
      </c>
      <c r="K443">
        <v>0</v>
      </c>
      <c r="L443">
        <v>0</v>
      </c>
      <c r="M443">
        <v>63</v>
      </c>
      <c r="N443">
        <v>739</v>
      </c>
      <c r="O443">
        <v>1890</v>
      </c>
    </row>
    <row r="444" spans="1:15" x14ac:dyDescent="0.3">
      <c r="A444">
        <v>8792009665</v>
      </c>
      <c r="B444" s="1">
        <v>42470</v>
      </c>
      <c r="C444">
        <v>4605</v>
      </c>
      <c r="D444">
        <v>2.9500000476837198</v>
      </c>
      <c r="E444">
        <v>2.9500000476837198</v>
      </c>
      <c r="F444">
        <v>0</v>
      </c>
      <c r="G444">
        <v>0</v>
      </c>
      <c r="H444">
        <v>0</v>
      </c>
      <c r="I444">
        <v>2.9500000476837198</v>
      </c>
      <c r="J444">
        <v>0</v>
      </c>
      <c r="K444">
        <v>0</v>
      </c>
      <c r="L444">
        <v>0</v>
      </c>
      <c r="M444">
        <v>179</v>
      </c>
      <c r="N444">
        <v>1261</v>
      </c>
      <c r="O444">
        <v>2253</v>
      </c>
    </row>
    <row r="445" spans="1:15" x14ac:dyDescent="0.3">
      <c r="A445">
        <v>8792009665</v>
      </c>
      <c r="B445" s="1">
        <v>42471</v>
      </c>
      <c r="C445">
        <v>178</v>
      </c>
      <c r="D445">
        <v>0.109999999403954</v>
      </c>
      <c r="E445">
        <v>0.109999999403954</v>
      </c>
      <c r="F445">
        <v>0</v>
      </c>
      <c r="G445">
        <v>0</v>
      </c>
      <c r="H445">
        <v>0</v>
      </c>
      <c r="I445">
        <v>0.109999999403954</v>
      </c>
      <c r="J445">
        <v>0</v>
      </c>
      <c r="K445">
        <v>0</v>
      </c>
      <c r="L445">
        <v>0</v>
      </c>
      <c r="M445">
        <v>12</v>
      </c>
      <c r="N445">
        <v>1428</v>
      </c>
      <c r="O445">
        <v>1725</v>
      </c>
    </row>
    <row r="446" spans="1:15" x14ac:dyDescent="0.3">
      <c r="A446">
        <v>8792009665</v>
      </c>
      <c r="B446" s="1">
        <v>42472</v>
      </c>
      <c r="C446">
        <v>20</v>
      </c>
      <c r="D446">
        <v>9.9999997764825804E-3</v>
      </c>
      <c r="E446">
        <v>9.9999997764825804E-3</v>
      </c>
      <c r="F446">
        <v>0</v>
      </c>
      <c r="G446">
        <v>0</v>
      </c>
      <c r="H446">
        <v>0</v>
      </c>
      <c r="I446">
        <v>9.9999997764825804E-3</v>
      </c>
      <c r="J446">
        <v>0</v>
      </c>
      <c r="K446">
        <v>0</v>
      </c>
      <c r="L446">
        <v>0</v>
      </c>
      <c r="M446">
        <v>6</v>
      </c>
      <c r="N446">
        <v>598</v>
      </c>
      <c r="O446">
        <v>728</v>
      </c>
    </row>
    <row r="447" spans="1:15" x14ac:dyDescent="0.3">
      <c r="A447">
        <v>8877689391</v>
      </c>
      <c r="B447" s="1">
        <v>42461</v>
      </c>
      <c r="C447">
        <v>18700</v>
      </c>
      <c r="D447">
        <v>15.819999694824199</v>
      </c>
      <c r="E447">
        <v>15.819999694824199</v>
      </c>
      <c r="F447">
        <v>0</v>
      </c>
      <c r="G447">
        <v>8.6999998092651403</v>
      </c>
      <c r="H447">
        <v>0.15999999642372101</v>
      </c>
      <c r="I447">
        <v>6.9099998474121103</v>
      </c>
      <c r="J447">
        <v>0</v>
      </c>
      <c r="K447">
        <v>67</v>
      </c>
      <c r="L447">
        <v>3</v>
      </c>
      <c r="M447">
        <v>247</v>
      </c>
      <c r="N447">
        <v>1123</v>
      </c>
      <c r="O447">
        <v>3527</v>
      </c>
    </row>
    <row r="448" spans="1:15" x14ac:dyDescent="0.3">
      <c r="A448">
        <v>8877689391</v>
      </c>
      <c r="B448" s="1">
        <v>42462</v>
      </c>
      <c r="C448">
        <v>27572</v>
      </c>
      <c r="D448">
        <v>23.389999389648398</v>
      </c>
      <c r="E448">
        <v>23.389999389648398</v>
      </c>
      <c r="F448">
        <v>0</v>
      </c>
      <c r="G448">
        <v>14.7200002670288</v>
      </c>
      <c r="H448">
        <v>1.21000003814697</v>
      </c>
      <c r="I448">
        <v>7.3400001525878897</v>
      </c>
      <c r="J448">
        <v>9.9999997764825804E-3</v>
      </c>
      <c r="K448">
        <v>116</v>
      </c>
      <c r="L448">
        <v>24</v>
      </c>
      <c r="M448">
        <v>260</v>
      </c>
      <c r="N448">
        <v>1040</v>
      </c>
      <c r="O448">
        <v>4220</v>
      </c>
    </row>
    <row r="449" spans="1:15" x14ac:dyDescent="0.3">
      <c r="A449">
        <v>8877689391</v>
      </c>
      <c r="B449" s="1">
        <v>42463</v>
      </c>
      <c r="C449">
        <v>15260</v>
      </c>
      <c r="D449">
        <v>8.1899995803833008</v>
      </c>
      <c r="E449">
        <v>8.1899995803833008</v>
      </c>
      <c r="F449">
        <v>0</v>
      </c>
      <c r="G449">
        <v>1.79999995231628</v>
      </c>
      <c r="H449">
        <v>0.75</v>
      </c>
      <c r="I449">
        <v>5.5700001716613796</v>
      </c>
      <c r="J449">
        <v>0</v>
      </c>
      <c r="K449">
        <v>106</v>
      </c>
      <c r="L449">
        <v>17</v>
      </c>
      <c r="M449">
        <v>259</v>
      </c>
      <c r="N449">
        <v>1058</v>
      </c>
      <c r="O449">
        <v>3864</v>
      </c>
    </row>
    <row r="450" spans="1:15" x14ac:dyDescent="0.3">
      <c r="A450">
        <v>8877689391</v>
      </c>
      <c r="B450" s="1">
        <v>42464</v>
      </c>
      <c r="C450">
        <v>20779</v>
      </c>
      <c r="D450">
        <v>18.409999847412099</v>
      </c>
      <c r="E450">
        <v>18.409999847412099</v>
      </c>
      <c r="F450">
        <v>0</v>
      </c>
      <c r="G450">
        <v>11.7299995422363</v>
      </c>
      <c r="H450">
        <v>0.64999997615814198</v>
      </c>
      <c r="I450">
        <v>6</v>
      </c>
      <c r="J450">
        <v>0</v>
      </c>
      <c r="K450">
        <v>78</v>
      </c>
      <c r="L450">
        <v>16</v>
      </c>
      <c r="M450">
        <v>208</v>
      </c>
      <c r="N450">
        <v>1138</v>
      </c>
      <c r="O450">
        <v>3662</v>
      </c>
    </row>
    <row r="451" spans="1:15" x14ac:dyDescent="0.3">
      <c r="A451">
        <v>8877689391</v>
      </c>
      <c r="B451" s="1">
        <v>42465</v>
      </c>
      <c r="C451">
        <v>10695</v>
      </c>
      <c r="D451">
        <v>8.1199998855590803</v>
      </c>
      <c r="E451">
        <v>8.1199998855590803</v>
      </c>
      <c r="F451">
        <v>0</v>
      </c>
      <c r="G451">
        <v>0.769999980926514</v>
      </c>
      <c r="H451">
        <v>0.18000000715255701</v>
      </c>
      <c r="I451">
        <v>7.0900001525878897</v>
      </c>
      <c r="J451">
        <v>9.9999997764825804E-3</v>
      </c>
      <c r="K451">
        <v>10</v>
      </c>
      <c r="L451">
        <v>3</v>
      </c>
      <c r="M451">
        <v>246</v>
      </c>
      <c r="N451">
        <v>1181</v>
      </c>
      <c r="O451">
        <v>2834</v>
      </c>
    </row>
    <row r="452" spans="1:15" x14ac:dyDescent="0.3">
      <c r="A452">
        <v>8877689391</v>
      </c>
      <c r="B452" s="1">
        <v>42466</v>
      </c>
      <c r="C452">
        <v>24136</v>
      </c>
      <c r="D452">
        <v>20.909999847412099</v>
      </c>
      <c r="E452">
        <v>20.909999847412099</v>
      </c>
      <c r="F452">
        <v>0</v>
      </c>
      <c r="G452">
        <v>12.2200002670288</v>
      </c>
      <c r="H452">
        <v>0.54000002145767201</v>
      </c>
      <c r="I452">
        <v>8.0799999237060494</v>
      </c>
      <c r="J452">
        <v>0</v>
      </c>
      <c r="K452">
        <v>87</v>
      </c>
      <c r="L452">
        <v>16</v>
      </c>
      <c r="M452">
        <v>318</v>
      </c>
      <c r="N452">
        <v>1019</v>
      </c>
      <c r="O452">
        <v>4039</v>
      </c>
    </row>
    <row r="453" spans="1:15" x14ac:dyDescent="0.3">
      <c r="A453">
        <v>8877689391</v>
      </c>
      <c r="B453" s="1">
        <v>42467</v>
      </c>
      <c r="C453">
        <v>10910</v>
      </c>
      <c r="D453">
        <v>8.4200000762939506</v>
      </c>
      <c r="E453">
        <v>8.4200000762939506</v>
      </c>
      <c r="F453">
        <v>0</v>
      </c>
      <c r="G453">
        <v>2.96000003814697</v>
      </c>
      <c r="H453">
        <v>0.38999998569488498</v>
      </c>
      <c r="I453">
        <v>5.0300002098083496</v>
      </c>
      <c r="J453">
        <v>0</v>
      </c>
      <c r="K453">
        <v>32</v>
      </c>
      <c r="L453">
        <v>11</v>
      </c>
      <c r="M453">
        <v>212</v>
      </c>
      <c r="N453">
        <v>1185</v>
      </c>
      <c r="O453">
        <v>2947</v>
      </c>
    </row>
    <row r="454" spans="1:15" x14ac:dyDescent="0.3">
      <c r="A454">
        <v>8877689391</v>
      </c>
      <c r="B454" s="1">
        <v>42468</v>
      </c>
      <c r="C454">
        <v>23014</v>
      </c>
      <c r="D454">
        <v>20.389999389648398</v>
      </c>
      <c r="E454">
        <v>20.389999389648398</v>
      </c>
      <c r="F454">
        <v>0</v>
      </c>
      <c r="G454">
        <v>11.1000003814697</v>
      </c>
      <c r="H454">
        <v>0.62999999523162797</v>
      </c>
      <c r="I454">
        <v>8.6199998855590803</v>
      </c>
      <c r="J454">
        <v>0</v>
      </c>
      <c r="K454">
        <v>70</v>
      </c>
      <c r="L454">
        <v>29</v>
      </c>
      <c r="M454">
        <v>359</v>
      </c>
      <c r="N454">
        <v>982</v>
      </c>
      <c r="O454">
        <v>4196</v>
      </c>
    </row>
    <row r="455" spans="1:15" x14ac:dyDescent="0.3">
      <c r="A455">
        <v>8877689391</v>
      </c>
      <c r="B455" s="1">
        <v>42469</v>
      </c>
      <c r="C455">
        <v>16470</v>
      </c>
      <c r="D455">
        <v>8.0699996948242205</v>
      </c>
      <c r="E455">
        <v>8.0699996948242205</v>
      </c>
      <c r="F455">
        <v>0</v>
      </c>
      <c r="G455">
        <v>0</v>
      </c>
      <c r="H455">
        <v>1.9999999552965199E-2</v>
      </c>
      <c r="I455">
        <v>8.0200004577636701</v>
      </c>
      <c r="J455">
        <v>0</v>
      </c>
      <c r="K455">
        <v>90</v>
      </c>
      <c r="L455">
        <v>9</v>
      </c>
      <c r="M455">
        <v>289</v>
      </c>
      <c r="N455">
        <v>1052</v>
      </c>
      <c r="O455">
        <v>3841</v>
      </c>
    </row>
    <row r="456" spans="1:15" x14ac:dyDescent="0.3">
      <c r="A456">
        <v>8877689391</v>
      </c>
      <c r="B456" s="1">
        <v>42470</v>
      </c>
      <c r="C456">
        <v>28497</v>
      </c>
      <c r="D456">
        <v>27.530000686645501</v>
      </c>
      <c r="E456">
        <v>27.530000686645501</v>
      </c>
      <c r="F456">
        <v>0</v>
      </c>
      <c r="G456">
        <v>21.920000076293899</v>
      </c>
      <c r="H456">
        <v>1.12000000476837</v>
      </c>
      <c r="I456">
        <v>4.46000003814697</v>
      </c>
      <c r="J456">
        <v>0</v>
      </c>
      <c r="K456">
        <v>128</v>
      </c>
      <c r="L456">
        <v>46</v>
      </c>
      <c r="M456">
        <v>211</v>
      </c>
      <c r="N456">
        <v>1055</v>
      </c>
      <c r="O456">
        <v>4526</v>
      </c>
    </row>
    <row r="457" spans="1:15" x14ac:dyDescent="0.3">
      <c r="A457">
        <v>8877689391</v>
      </c>
      <c r="B457" s="1">
        <v>42471</v>
      </c>
      <c r="C457">
        <v>10622</v>
      </c>
      <c r="D457">
        <v>8.0600004196166992</v>
      </c>
      <c r="E457">
        <v>8.0600004196166992</v>
      </c>
      <c r="F457">
        <v>0</v>
      </c>
      <c r="G457">
        <v>1.4700000286102299</v>
      </c>
      <c r="H457">
        <v>0.15000000596046401</v>
      </c>
      <c r="I457">
        <v>6.3699998855590803</v>
      </c>
      <c r="J457">
        <v>9.9999997764825804E-3</v>
      </c>
      <c r="K457">
        <v>18</v>
      </c>
      <c r="L457">
        <v>7</v>
      </c>
      <c r="M457">
        <v>225</v>
      </c>
      <c r="N457">
        <v>1190</v>
      </c>
      <c r="O457">
        <v>2820</v>
      </c>
    </row>
    <row r="458" spans="1:15" x14ac:dyDescent="0.3">
      <c r="A458">
        <v>8877689391</v>
      </c>
      <c r="B458" s="1">
        <v>42472</v>
      </c>
      <c r="C458">
        <v>2350</v>
      </c>
      <c r="D458">
        <v>1.7799999713897701</v>
      </c>
      <c r="E458">
        <v>1.7799999713897701</v>
      </c>
      <c r="F458">
        <v>0</v>
      </c>
      <c r="G458">
        <v>0</v>
      </c>
      <c r="H458">
        <v>0</v>
      </c>
      <c r="I458">
        <v>1.7799999713897701</v>
      </c>
      <c r="J458">
        <v>0</v>
      </c>
      <c r="K458">
        <v>0</v>
      </c>
      <c r="L458">
        <v>0</v>
      </c>
      <c r="M458">
        <v>58</v>
      </c>
      <c r="N458">
        <v>531</v>
      </c>
      <c r="O458">
        <v>938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5DA3-CDB5-4C41-AA3E-B7A1A036E504}">
  <sheetPr>
    <tabColor theme="2" tint="-0.749992370372631"/>
  </sheetPr>
  <dimension ref="A1:E414"/>
  <sheetViews>
    <sheetView workbookViewId="0">
      <selection sqref="A1:XFD1048576"/>
    </sheetView>
  </sheetViews>
  <sheetFormatPr defaultRowHeight="14.4" x14ac:dyDescent="0.3"/>
  <cols>
    <col min="2" max="2" width="18.6640625" customWidth="1"/>
    <col min="3" max="3" width="18.5546875" customWidth="1"/>
    <col min="4" max="4" width="19.21875" customWidth="1"/>
    <col min="5" max="5" width="15.88671875" customWidth="1"/>
  </cols>
  <sheetData>
    <row r="1" spans="1:5" x14ac:dyDescent="0.3">
      <c r="A1" t="s">
        <v>0</v>
      </c>
      <c r="B1" t="s">
        <v>15</v>
      </c>
      <c r="C1" t="s">
        <v>16</v>
      </c>
      <c r="D1" t="s">
        <v>17</v>
      </c>
      <c r="E1" t="s">
        <v>18</v>
      </c>
    </row>
    <row r="2" spans="1:5" x14ac:dyDescent="0.3">
      <c r="A2">
        <v>1503960366</v>
      </c>
      <c r="B2" s="2">
        <v>42472</v>
      </c>
      <c r="C2">
        <v>1</v>
      </c>
      <c r="D2">
        <v>327</v>
      </c>
      <c r="E2">
        <v>346</v>
      </c>
    </row>
    <row r="3" spans="1:5" x14ac:dyDescent="0.3">
      <c r="A3">
        <v>1503960366</v>
      </c>
      <c r="B3" s="2">
        <v>42473</v>
      </c>
      <c r="C3">
        <v>2</v>
      </c>
      <c r="D3">
        <v>384</v>
      </c>
      <c r="E3">
        <v>407</v>
      </c>
    </row>
    <row r="4" spans="1:5" x14ac:dyDescent="0.3">
      <c r="A4">
        <v>1503960366</v>
      </c>
      <c r="B4" s="2">
        <v>42475</v>
      </c>
      <c r="C4">
        <v>1</v>
      </c>
      <c r="D4">
        <v>412</v>
      </c>
      <c r="E4">
        <v>442</v>
      </c>
    </row>
    <row r="5" spans="1:5" x14ac:dyDescent="0.3">
      <c r="A5">
        <v>1503960366</v>
      </c>
      <c r="B5" s="2">
        <v>42476</v>
      </c>
      <c r="C5">
        <v>2</v>
      </c>
      <c r="D5">
        <v>340</v>
      </c>
      <c r="E5">
        <v>367</v>
      </c>
    </row>
    <row r="6" spans="1:5" x14ac:dyDescent="0.3">
      <c r="A6">
        <v>1503960366</v>
      </c>
      <c r="B6" s="2">
        <v>42477</v>
      </c>
      <c r="C6">
        <v>1</v>
      </c>
      <c r="D6">
        <v>700</v>
      </c>
      <c r="E6">
        <v>712</v>
      </c>
    </row>
    <row r="7" spans="1:5" x14ac:dyDescent="0.3">
      <c r="A7">
        <v>1503960366</v>
      </c>
      <c r="B7" s="2">
        <v>42479</v>
      </c>
      <c r="C7">
        <v>1</v>
      </c>
      <c r="D7">
        <v>304</v>
      </c>
      <c r="E7">
        <v>320</v>
      </c>
    </row>
    <row r="8" spans="1:5" x14ac:dyDescent="0.3">
      <c r="A8">
        <v>1503960366</v>
      </c>
      <c r="B8" s="2">
        <v>42480</v>
      </c>
      <c r="C8">
        <v>1</v>
      </c>
      <c r="D8">
        <v>360</v>
      </c>
      <c r="E8">
        <v>377</v>
      </c>
    </row>
    <row r="9" spans="1:5" x14ac:dyDescent="0.3">
      <c r="A9">
        <v>1503960366</v>
      </c>
      <c r="B9" s="2">
        <v>42481</v>
      </c>
      <c r="C9">
        <v>1</v>
      </c>
      <c r="D9">
        <v>325</v>
      </c>
      <c r="E9">
        <v>364</v>
      </c>
    </row>
    <row r="10" spans="1:5" x14ac:dyDescent="0.3">
      <c r="A10">
        <v>1503960366</v>
      </c>
      <c r="B10" s="2">
        <v>42483</v>
      </c>
      <c r="C10">
        <v>1</v>
      </c>
      <c r="D10">
        <v>361</v>
      </c>
      <c r="E10">
        <v>384</v>
      </c>
    </row>
    <row r="11" spans="1:5" x14ac:dyDescent="0.3">
      <c r="A11">
        <v>1503960366</v>
      </c>
      <c r="B11" s="2">
        <v>42484</v>
      </c>
      <c r="C11">
        <v>1</v>
      </c>
      <c r="D11">
        <v>430</v>
      </c>
      <c r="E11">
        <v>449</v>
      </c>
    </row>
    <row r="12" spans="1:5" x14ac:dyDescent="0.3">
      <c r="A12">
        <v>1503960366</v>
      </c>
      <c r="B12" s="2">
        <v>42485</v>
      </c>
      <c r="C12">
        <v>1</v>
      </c>
      <c r="D12">
        <v>277</v>
      </c>
      <c r="E12">
        <v>323</v>
      </c>
    </row>
    <row r="13" spans="1:5" x14ac:dyDescent="0.3">
      <c r="A13">
        <v>1503960366</v>
      </c>
      <c r="B13" s="2">
        <v>42486</v>
      </c>
      <c r="C13">
        <v>1</v>
      </c>
      <c r="D13">
        <v>245</v>
      </c>
      <c r="E13">
        <v>274</v>
      </c>
    </row>
    <row r="14" spans="1:5" x14ac:dyDescent="0.3">
      <c r="A14">
        <v>1503960366</v>
      </c>
      <c r="B14" s="2">
        <v>42488</v>
      </c>
      <c r="C14">
        <v>1</v>
      </c>
      <c r="D14">
        <v>366</v>
      </c>
      <c r="E14">
        <v>393</v>
      </c>
    </row>
    <row r="15" spans="1:5" x14ac:dyDescent="0.3">
      <c r="A15">
        <v>1503960366</v>
      </c>
      <c r="B15" s="2">
        <v>42489</v>
      </c>
      <c r="C15">
        <v>1</v>
      </c>
      <c r="D15">
        <v>341</v>
      </c>
      <c r="E15">
        <v>354</v>
      </c>
    </row>
    <row r="16" spans="1:5" x14ac:dyDescent="0.3">
      <c r="A16">
        <v>1503960366</v>
      </c>
      <c r="B16" s="2">
        <v>42490</v>
      </c>
      <c r="C16">
        <v>1</v>
      </c>
      <c r="D16">
        <v>404</v>
      </c>
      <c r="E16">
        <v>425</v>
      </c>
    </row>
    <row r="17" spans="1:5" x14ac:dyDescent="0.3">
      <c r="A17">
        <v>1503960366</v>
      </c>
      <c r="B17" s="2">
        <v>42491</v>
      </c>
      <c r="C17">
        <v>1</v>
      </c>
      <c r="D17">
        <v>369</v>
      </c>
      <c r="E17">
        <v>396</v>
      </c>
    </row>
    <row r="18" spans="1:5" x14ac:dyDescent="0.3">
      <c r="A18">
        <v>1503960366</v>
      </c>
      <c r="B18" s="2">
        <v>42492</v>
      </c>
      <c r="C18">
        <v>1</v>
      </c>
      <c r="D18">
        <v>277</v>
      </c>
      <c r="E18">
        <v>309</v>
      </c>
    </row>
    <row r="19" spans="1:5" x14ac:dyDescent="0.3">
      <c r="A19">
        <v>1503960366</v>
      </c>
      <c r="B19" s="2">
        <v>42493</v>
      </c>
      <c r="C19">
        <v>1</v>
      </c>
      <c r="D19">
        <v>273</v>
      </c>
      <c r="E19">
        <v>296</v>
      </c>
    </row>
    <row r="20" spans="1:5" x14ac:dyDescent="0.3">
      <c r="A20">
        <v>1503960366</v>
      </c>
      <c r="B20" s="2">
        <v>42495</v>
      </c>
      <c r="C20">
        <v>1</v>
      </c>
      <c r="D20">
        <v>247</v>
      </c>
      <c r="E20">
        <v>264</v>
      </c>
    </row>
    <row r="21" spans="1:5" x14ac:dyDescent="0.3">
      <c r="A21">
        <v>1503960366</v>
      </c>
      <c r="B21" s="2">
        <v>42496</v>
      </c>
      <c r="C21">
        <v>1</v>
      </c>
      <c r="D21">
        <v>334</v>
      </c>
      <c r="E21">
        <v>367</v>
      </c>
    </row>
    <row r="22" spans="1:5" x14ac:dyDescent="0.3">
      <c r="A22">
        <v>1503960366</v>
      </c>
      <c r="B22" s="2">
        <v>42497</v>
      </c>
      <c r="C22">
        <v>1</v>
      </c>
      <c r="D22">
        <v>331</v>
      </c>
      <c r="E22">
        <v>349</v>
      </c>
    </row>
    <row r="23" spans="1:5" x14ac:dyDescent="0.3">
      <c r="A23">
        <v>1503960366</v>
      </c>
      <c r="B23" s="2">
        <v>42498</v>
      </c>
      <c r="C23">
        <v>1</v>
      </c>
      <c r="D23">
        <v>594</v>
      </c>
      <c r="E23">
        <v>611</v>
      </c>
    </row>
    <row r="24" spans="1:5" x14ac:dyDescent="0.3">
      <c r="A24">
        <v>1503960366</v>
      </c>
      <c r="B24" s="2">
        <v>42499</v>
      </c>
      <c r="C24">
        <v>1</v>
      </c>
      <c r="D24">
        <v>338</v>
      </c>
      <c r="E24">
        <v>342</v>
      </c>
    </row>
    <row r="25" spans="1:5" x14ac:dyDescent="0.3">
      <c r="A25">
        <v>1503960366</v>
      </c>
      <c r="B25" s="2">
        <v>42500</v>
      </c>
      <c r="C25">
        <v>1</v>
      </c>
      <c r="D25">
        <v>383</v>
      </c>
      <c r="E25">
        <v>403</v>
      </c>
    </row>
    <row r="26" spans="1:5" x14ac:dyDescent="0.3">
      <c r="A26">
        <v>1503960366</v>
      </c>
      <c r="B26" s="2">
        <v>42501</v>
      </c>
      <c r="C26">
        <v>1</v>
      </c>
      <c r="D26">
        <v>285</v>
      </c>
      <c r="E26">
        <v>306</v>
      </c>
    </row>
    <row r="27" spans="1:5" x14ac:dyDescent="0.3">
      <c r="A27">
        <v>1644430081</v>
      </c>
      <c r="B27" s="2">
        <v>42489</v>
      </c>
      <c r="C27">
        <v>1</v>
      </c>
      <c r="D27">
        <v>119</v>
      </c>
      <c r="E27">
        <v>127</v>
      </c>
    </row>
    <row r="28" spans="1:5" x14ac:dyDescent="0.3">
      <c r="A28">
        <v>1644430081</v>
      </c>
      <c r="B28" s="2">
        <v>42490</v>
      </c>
      <c r="C28">
        <v>1</v>
      </c>
      <c r="D28">
        <v>124</v>
      </c>
      <c r="E28">
        <v>142</v>
      </c>
    </row>
    <row r="29" spans="1:5" x14ac:dyDescent="0.3">
      <c r="A29">
        <v>1644430081</v>
      </c>
      <c r="B29" s="2">
        <v>42492</v>
      </c>
      <c r="C29">
        <v>1</v>
      </c>
      <c r="D29">
        <v>796</v>
      </c>
      <c r="E29">
        <v>961</v>
      </c>
    </row>
    <row r="30" spans="1:5" x14ac:dyDescent="0.3">
      <c r="A30">
        <v>1644430081</v>
      </c>
      <c r="B30" s="2">
        <v>42498</v>
      </c>
      <c r="C30">
        <v>1</v>
      </c>
      <c r="D30">
        <v>137</v>
      </c>
      <c r="E30">
        <v>154</v>
      </c>
    </row>
    <row r="31" spans="1:5" x14ac:dyDescent="0.3">
      <c r="A31">
        <v>1844505072</v>
      </c>
      <c r="B31" s="2">
        <v>42475</v>
      </c>
      <c r="C31">
        <v>1</v>
      </c>
      <c r="D31">
        <v>644</v>
      </c>
      <c r="E31">
        <v>961</v>
      </c>
    </row>
    <row r="32" spans="1:5" x14ac:dyDescent="0.3">
      <c r="A32">
        <v>1844505072</v>
      </c>
      <c r="B32" s="2">
        <v>42490</v>
      </c>
      <c r="C32">
        <v>1</v>
      </c>
      <c r="D32">
        <v>722</v>
      </c>
      <c r="E32">
        <v>961</v>
      </c>
    </row>
    <row r="33" spans="1:5" x14ac:dyDescent="0.3">
      <c r="A33">
        <v>1844505072</v>
      </c>
      <c r="B33" s="2">
        <v>42491</v>
      </c>
      <c r="C33">
        <v>1</v>
      </c>
      <c r="D33">
        <v>590</v>
      </c>
      <c r="E33">
        <v>961</v>
      </c>
    </row>
    <row r="34" spans="1:5" x14ac:dyDescent="0.3">
      <c r="A34">
        <v>1927972279</v>
      </c>
      <c r="B34" s="2">
        <v>42472</v>
      </c>
      <c r="C34">
        <v>3</v>
      </c>
      <c r="D34">
        <v>750</v>
      </c>
      <c r="E34">
        <v>775</v>
      </c>
    </row>
    <row r="35" spans="1:5" x14ac:dyDescent="0.3">
      <c r="A35">
        <v>1927972279</v>
      </c>
      <c r="B35" s="2">
        <v>42473</v>
      </c>
      <c r="C35">
        <v>1</v>
      </c>
      <c r="D35">
        <v>398</v>
      </c>
      <c r="E35">
        <v>422</v>
      </c>
    </row>
    <row r="36" spans="1:5" x14ac:dyDescent="0.3">
      <c r="A36">
        <v>1927972279</v>
      </c>
      <c r="B36" s="2">
        <v>42475</v>
      </c>
      <c r="C36">
        <v>2</v>
      </c>
      <c r="D36">
        <v>475</v>
      </c>
      <c r="E36">
        <v>499</v>
      </c>
    </row>
    <row r="37" spans="1:5" x14ac:dyDescent="0.3">
      <c r="A37">
        <v>1927972279</v>
      </c>
      <c r="B37" s="2">
        <v>42486</v>
      </c>
      <c r="C37">
        <v>1</v>
      </c>
      <c r="D37">
        <v>296</v>
      </c>
      <c r="E37">
        <v>315</v>
      </c>
    </row>
    <row r="38" spans="1:5" x14ac:dyDescent="0.3">
      <c r="A38">
        <v>1927972279</v>
      </c>
      <c r="B38" s="2">
        <v>42488</v>
      </c>
      <c r="C38">
        <v>1</v>
      </c>
      <c r="D38">
        <v>166</v>
      </c>
      <c r="E38">
        <v>178</v>
      </c>
    </row>
    <row r="39" spans="1:5" x14ac:dyDescent="0.3">
      <c r="A39">
        <v>2026352035</v>
      </c>
      <c r="B39" s="2">
        <v>42472</v>
      </c>
      <c r="C39">
        <v>1</v>
      </c>
      <c r="D39">
        <v>503</v>
      </c>
      <c r="E39">
        <v>546</v>
      </c>
    </row>
    <row r="40" spans="1:5" x14ac:dyDescent="0.3">
      <c r="A40">
        <v>2026352035</v>
      </c>
      <c r="B40" s="2">
        <v>42473</v>
      </c>
      <c r="C40">
        <v>1</v>
      </c>
      <c r="D40">
        <v>531</v>
      </c>
      <c r="E40">
        <v>565</v>
      </c>
    </row>
    <row r="41" spans="1:5" x14ac:dyDescent="0.3">
      <c r="A41">
        <v>2026352035</v>
      </c>
      <c r="B41" s="2">
        <v>42474</v>
      </c>
      <c r="C41">
        <v>1</v>
      </c>
      <c r="D41">
        <v>545</v>
      </c>
      <c r="E41">
        <v>568</v>
      </c>
    </row>
    <row r="42" spans="1:5" x14ac:dyDescent="0.3">
      <c r="A42">
        <v>2026352035</v>
      </c>
      <c r="B42" s="2">
        <v>42475</v>
      </c>
      <c r="C42">
        <v>1</v>
      </c>
      <c r="D42">
        <v>523</v>
      </c>
      <c r="E42">
        <v>573</v>
      </c>
    </row>
    <row r="43" spans="1:5" x14ac:dyDescent="0.3">
      <c r="A43">
        <v>2026352035</v>
      </c>
      <c r="B43" s="2">
        <v>42476</v>
      </c>
      <c r="C43">
        <v>1</v>
      </c>
      <c r="D43">
        <v>524</v>
      </c>
      <c r="E43">
        <v>567</v>
      </c>
    </row>
    <row r="44" spans="1:5" x14ac:dyDescent="0.3">
      <c r="A44">
        <v>2026352035</v>
      </c>
      <c r="B44" s="2">
        <v>42477</v>
      </c>
      <c r="C44">
        <v>1</v>
      </c>
      <c r="D44">
        <v>437</v>
      </c>
      <c r="E44">
        <v>498</v>
      </c>
    </row>
    <row r="45" spans="1:5" x14ac:dyDescent="0.3">
      <c r="A45">
        <v>2026352035</v>
      </c>
      <c r="B45" s="2">
        <v>42479</v>
      </c>
      <c r="C45">
        <v>1</v>
      </c>
      <c r="D45">
        <v>498</v>
      </c>
      <c r="E45">
        <v>540</v>
      </c>
    </row>
    <row r="46" spans="1:5" x14ac:dyDescent="0.3">
      <c r="A46">
        <v>2026352035</v>
      </c>
      <c r="B46" s="2">
        <v>42480</v>
      </c>
      <c r="C46">
        <v>1</v>
      </c>
      <c r="D46">
        <v>461</v>
      </c>
      <c r="E46">
        <v>510</v>
      </c>
    </row>
    <row r="47" spans="1:5" x14ac:dyDescent="0.3">
      <c r="A47">
        <v>2026352035</v>
      </c>
      <c r="B47" s="2">
        <v>42481</v>
      </c>
      <c r="C47">
        <v>1</v>
      </c>
      <c r="D47">
        <v>477</v>
      </c>
      <c r="E47">
        <v>514</v>
      </c>
    </row>
    <row r="48" spans="1:5" x14ac:dyDescent="0.3">
      <c r="A48">
        <v>2026352035</v>
      </c>
      <c r="B48" s="2">
        <v>42482</v>
      </c>
      <c r="C48">
        <v>1</v>
      </c>
      <c r="D48">
        <v>520</v>
      </c>
      <c r="E48">
        <v>545</v>
      </c>
    </row>
    <row r="49" spans="1:5" x14ac:dyDescent="0.3">
      <c r="A49">
        <v>2026352035</v>
      </c>
      <c r="B49" s="2">
        <v>42483</v>
      </c>
      <c r="C49">
        <v>1</v>
      </c>
      <c r="D49">
        <v>522</v>
      </c>
      <c r="E49">
        <v>554</v>
      </c>
    </row>
    <row r="50" spans="1:5" x14ac:dyDescent="0.3">
      <c r="A50">
        <v>2026352035</v>
      </c>
      <c r="B50" s="2">
        <v>42484</v>
      </c>
      <c r="C50">
        <v>1</v>
      </c>
      <c r="D50">
        <v>555</v>
      </c>
      <c r="E50">
        <v>591</v>
      </c>
    </row>
    <row r="51" spans="1:5" x14ac:dyDescent="0.3">
      <c r="A51">
        <v>2026352035</v>
      </c>
      <c r="B51" s="2">
        <v>42485</v>
      </c>
      <c r="C51">
        <v>1</v>
      </c>
      <c r="D51">
        <v>506</v>
      </c>
      <c r="E51">
        <v>531</v>
      </c>
    </row>
    <row r="52" spans="1:5" x14ac:dyDescent="0.3">
      <c r="A52">
        <v>2026352035</v>
      </c>
      <c r="B52" s="2">
        <v>42487</v>
      </c>
      <c r="C52">
        <v>1</v>
      </c>
      <c r="D52">
        <v>508</v>
      </c>
      <c r="E52">
        <v>545</v>
      </c>
    </row>
    <row r="53" spans="1:5" x14ac:dyDescent="0.3">
      <c r="A53">
        <v>2026352035</v>
      </c>
      <c r="B53" s="2">
        <v>42488</v>
      </c>
      <c r="C53">
        <v>1</v>
      </c>
      <c r="D53">
        <v>513</v>
      </c>
      <c r="E53">
        <v>545</v>
      </c>
    </row>
    <row r="54" spans="1:5" x14ac:dyDescent="0.3">
      <c r="A54">
        <v>2026352035</v>
      </c>
      <c r="B54" s="2">
        <v>42489</v>
      </c>
      <c r="C54">
        <v>1</v>
      </c>
      <c r="D54">
        <v>490</v>
      </c>
      <c r="E54">
        <v>510</v>
      </c>
    </row>
    <row r="55" spans="1:5" x14ac:dyDescent="0.3">
      <c r="A55">
        <v>2026352035</v>
      </c>
      <c r="B55" s="2">
        <v>42490</v>
      </c>
      <c r="C55">
        <v>1</v>
      </c>
      <c r="D55">
        <v>573</v>
      </c>
      <c r="E55">
        <v>607</v>
      </c>
    </row>
    <row r="56" spans="1:5" x14ac:dyDescent="0.3">
      <c r="A56">
        <v>2026352035</v>
      </c>
      <c r="B56" s="2">
        <v>42491</v>
      </c>
      <c r="C56">
        <v>1</v>
      </c>
      <c r="D56">
        <v>527</v>
      </c>
      <c r="E56">
        <v>546</v>
      </c>
    </row>
    <row r="57" spans="1:5" x14ac:dyDescent="0.3">
      <c r="A57">
        <v>2026352035</v>
      </c>
      <c r="B57" s="2">
        <v>42492</v>
      </c>
      <c r="C57">
        <v>1</v>
      </c>
      <c r="D57">
        <v>511</v>
      </c>
      <c r="E57">
        <v>543</v>
      </c>
    </row>
    <row r="58" spans="1:5" x14ac:dyDescent="0.3">
      <c r="A58">
        <v>2026352035</v>
      </c>
      <c r="B58" s="2">
        <v>42494</v>
      </c>
      <c r="C58">
        <v>1</v>
      </c>
      <c r="D58">
        <v>538</v>
      </c>
      <c r="E58">
        <v>560</v>
      </c>
    </row>
    <row r="59" spans="1:5" x14ac:dyDescent="0.3">
      <c r="A59">
        <v>2026352035</v>
      </c>
      <c r="B59" s="2">
        <v>42495</v>
      </c>
      <c r="C59">
        <v>1</v>
      </c>
      <c r="D59">
        <v>468</v>
      </c>
      <c r="E59">
        <v>485</v>
      </c>
    </row>
    <row r="60" spans="1:5" x14ac:dyDescent="0.3">
      <c r="A60">
        <v>2026352035</v>
      </c>
      <c r="B60" s="2">
        <v>42496</v>
      </c>
      <c r="C60">
        <v>1</v>
      </c>
      <c r="D60">
        <v>524</v>
      </c>
      <c r="E60">
        <v>548</v>
      </c>
    </row>
    <row r="61" spans="1:5" x14ac:dyDescent="0.3">
      <c r="A61">
        <v>2026352035</v>
      </c>
      <c r="B61" s="2">
        <v>42497</v>
      </c>
      <c r="C61">
        <v>1</v>
      </c>
      <c r="D61">
        <v>511</v>
      </c>
      <c r="E61">
        <v>521</v>
      </c>
    </row>
    <row r="62" spans="1:5" x14ac:dyDescent="0.3">
      <c r="A62">
        <v>2026352035</v>
      </c>
      <c r="B62" s="2">
        <v>42498</v>
      </c>
      <c r="C62">
        <v>1</v>
      </c>
      <c r="D62">
        <v>541</v>
      </c>
      <c r="E62">
        <v>568</v>
      </c>
    </row>
    <row r="63" spans="1:5" x14ac:dyDescent="0.3">
      <c r="A63">
        <v>2026352035</v>
      </c>
      <c r="B63" s="2">
        <v>42499</v>
      </c>
      <c r="C63">
        <v>1</v>
      </c>
      <c r="D63">
        <v>531</v>
      </c>
      <c r="E63">
        <v>556</v>
      </c>
    </row>
    <row r="64" spans="1:5" x14ac:dyDescent="0.3">
      <c r="A64">
        <v>2026352035</v>
      </c>
      <c r="B64" s="2">
        <v>42500</v>
      </c>
      <c r="C64">
        <v>1</v>
      </c>
      <c r="D64">
        <v>357</v>
      </c>
      <c r="E64">
        <v>380</v>
      </c>
    </row>
    <row r="65" spans="1:5" x14ac:dyDescent="0.3">
      <c r="A65">
        <v>2026352035</v>
      </c>
      <c r="B65" s="2">
        <v>42501</v>
      </c>
      <c r="C65">
        <v>1</v>
      </c>
      <c r="D65">
        <v>523</v>
      </c>
      <c r="E65">
        <v>553</v>
      </c>
    </row>
    <row r="66" spans="1:5" x14ac:dyDescent="0.3">
      <c r="A66">
        <v>2026352035</v>
      </c>
      <c r="B66" s="2">
        <v>42502</v>
      </c>
      <c r="C66">
        <v>1</v>
      </c>
      <c r="D66">
        <v>456</v>
      </c>
      <c r="E66">
        <v>485</v>
      </c>
    </row>
    <row r="67" spans="1:5" x14ac:dyDescent="0.3">
      <c r="A67">
        <v>2320127002</v>
      </c>
      <c r="B67" s="2">
        <v>42483</v>
      </c>
      <c r="C67">
        <v>1</v>
      </c>
      <c r="D67">
        <v>61</v>
      </c>
      <c r="E67">
        <v>69</v>
      </c>
    </row>
    <row r="68" spans="1:5" x14ac:dyDescent="0.3">
      <c r="A68">
        <v>2347167796</v>
      </c>
      <c r="B68" s="2">
        <v>42473</v>
      </c>
      <c r="C68">
        <v>1</v>
      </c>
      <c r="D68">
        <v>467</v>
      </c>
      <c r="E68">
        <v>531</v>
      </c>
    </row>
    <row r="69" spans="1:5" x14ac:dyDescent="0.3">
      <c r="A69">
        <v>2347167796</v>
      </c>
      <c r="B69" s="2">
        <v>42474</v>
      </c>
      <c r="C69">
        <v>1</v>
      </c>
      <c r="D69">
        <v>445</v>
      </c>
      <c r="E69">
        <v>489</v>
      </c>
    </row>
    <row r="70" spans="1:5" x14ac:dyDescent="0.3">
      <c r="A70">
        <v>2347167796</v>
      </c>
      <c r="B70" s="2">
        <v>42475</v>
      </c>
      <c r="C70">
        <v>1</v>
      </c>
      <c r="D70">
        <v>452</v>
      </c>
      <c r="E70">
        <v>504</v>
      </c>
    </row>
    <row r="71" spans="1:5" x14ac:dyDescent="0.3">
      <c r="A71">
        <v>2347167796</v>
      </c>
      <c r="B71" s="2">
        <v>42477</v>
      </c>
      <c r="C71">
        <v>1</v>
      </c>
      <c r="D71">
        <v>556</v>
      </c>
      <c r="E71">
        <v>602</v>
      </c>
    </row>
    <row r="72" spans="1:5" x14ac:dyDescent="0.3">
      <c r="A72">
        <v>2347167796</v>
      </c>
      <c r="B72" s="2">
        <v>42478</v>
      </c>
      <c r="C72">
        <v>1</v>
      </c>
      <c r="D72">
        <v>500</v>
      </c>
      <c r="E72">
        <v>557</v>
      </c>
    </row>
    <row r="73" spans="1:5" x14ac:dyDescent="0.3">
      <c r="A73">
        <v>2347167796</v>
      </c>
      <c r="B73" s="2">
        <v>42479</v>
      </c>
      <c r="C73">
        <v>1</v>
      </c>
      <c r="D73">
        <v>465</v>
      </c>
      <c r="E73">
        <v>514</v>
      </c>
    </row>
    <row r="74" spans="1:5" x14ac:dyDescent="0.3">
      <c r="A74">
        <v>2347167796</v>
      </c>
      <c r="B74" s="2">
        <v>42481</v>
      </c>
      <c r="C74">
        <v>1</v>
      </c>
      <c r="D74">
        <v>460</v>
      </c>
      <c r="E74">
        <v>484</v>
      </c>
    </row>
    <row r="75" spans="1:5" x14ac:dyDescent="0.3">
      <c r="A75">
        <v>2347167796</v>
      </c>
      <c r="B75" s="2">
        <v>42482</v>
      </c>
      <c r="C75">
        <v>1</v>
      </c>
      <c r="D75">
        <v>405</v>
      </c>
      <c r="E75">
        <v>461</v>
      </c>
    </row>
    <row r="76" spans="1:5" x14ac:dyDescent="0.3">
      <c r="A76">
        <v>2347167796</v>
      </c>
      <c r="B76" s="2">
        <v>42483</v>
      </c>
      <c r="C76">
        <v>1</v>
      </c>
      <c r="D76">
        <v>374</v>
      </c>
      <c r="E76">
        <v>386</v>
      </c>
    </row>
    <row r="77" spans="1:5" x14ac:dyDescent="0.3">
      <c r="A77">
        <v>2347167796</v>
      </c>
      <c r="B77" s="2">
        <v>42484</v>
      </c>
      <c r="C77">
        <v>1</v>
      </c>
      <c r="D77">
        <v>442</v>
      </c>
      <c r="E77">
        <v>459</v>
      </c>
    </row>
    <row r="78" spans="1:5" x14ac:dyDescent="0.3">
      <c r="A78">
        <v>2347167796</v>
      </c>
      <c r="B78" s="2">
        <v>42485</v>
      </c>
      <c r="C78">
        <v>1</v>
      </c>
      <c r="D78">
        <v>433</v>
      </c>
      <c r="E78">
        <v>471</v>
      </c>
    </row>
    <row r="79" spans="1:5" x14ac:dyDescent="0.3">
      <c r="A79">
        <v>2347167796</v>
      </c>
      <c r="B79" s="2">
        <v>42486</v>
      </c>
      <c r="C79">
        <v>1</v>
      </c>
      <c r="D79">
        <v>436</v>
      </c>
      <c r="E79">
        <v>490</v>
      </c>
    </row>
    <row r="80" spans="1:5" x14ac:dyDescent="0.3">
      <c r="A80">
        <v>2347167796</v>
      </c>
      <c r="B80" s="2">
        <v>42487</v>
      </c>
      <c r="C80">
        <v>1</v>
      </c>
      <c r="D80">
        <v>448</v>
      </c>
      <c r="E80">
        <v>499</v>
      </c>
    </row>
    <row r="81" spans="1:5" x14ac:dyDescent="0.3">
      <c r="A81">
        <v>2347167796</v>
      </c>
      <c r="B81" s="2">
        <v>42488</v>
      </c>
      <c r="C81">
        <v>1</v>
      </c>
      <c r="D81">
        <v>408</v>
      </c>
      <c r="E81">
        <v>450</v>
      </c>
    </row>
    <row r="82" spans="1:5" x14ac:dyDescent="0.3">
      <c r="A82">
        <v>2347167796</v>
      </c>
      <c r="B82" s="2">
        <v>42489</v>
      </c>
      <c r="C82">
        <v>1</v>
      </c>
      <c r="D82">
        <v>411</v>
      </c>
      <c r="E82">
        <v>473</v>
      </c>
    </row>
    <row r="83" spans="1:5" x14ac:dyDescent="0.3">
      <c r="A83">
        <v>3977333714</v>
      </c>
      <c r="B83" s="2">
        <v>42472</v>
      </c>
      <c r="C83">
        <v>1</v>
      </c>
      <c r="D83">
        <v>274</v>
      </c>
      <c r="E83">
        <v>469</v>
      </c>
    </row>
    <row r="84" spans="1:5" x14ac:dyDescent="0.3">
      <c r="A84">
        <v>3977333714</v>
      </c>
      <c r="B84" s="2">
        <v>42473</v>
      </c>
      <c r="C84">
        <v>2</v>
      </c>
      <c r="D84">
        <v>295</v>
      </c>
      <c r="E84">
        <v>456</v>
      </c>
    </row>
    <row r="85" spans="1:5" x14ac:dyDescent="0.3">
      <c r="A85">
        <v>3977333714</v>
      </c>
      <c r="B85" s="2">
        <v>42474</v>
      </c>
      <c r="C85">
        <v>1</v>
      </c>
      <c r="D85">
        <v>291</v>
      </c>
      <c r="E85">
        <v>397</v>
      </c>
    </row>
    <row r="86" spans="1:5" x14ac:dyDescent="0.3">
      <c r="A86">
        <v>3977333714</v>
      </c>
      <c r="B86" s="2">
        <v>42475</v>
      </c>
      <c r="C86">
        <v>1</v>
      </c>
      <c r="D86">
        <v>424</v>
      </c>
      <c r="E86">
        <v>556</v>
      </c>
    </row>
    <row r="87" spans="1:5" x14ac:dyDescent="0.3">
      <c r="A87">
        <v>3977333714</v>
      </c>
      <c r="B87" s="2">
        <v>42476</v>
      </c>
      <c r="C87">
        <v>1</v>
      </c>
      <c r="D87">
        <v>283</v>
      </c>
      <c r="E87">
        <v>510</v>
      </c>
    </row>
    <row r="88" spans="1:5" x14ac:dyDescent="0.3">
      <c r="A88">
        <v>3977333714</v>
      </c>
      <c r="B88" s="2">
        <v>42477</v>
      </c>
      <c r="C88">
        <v>1</v>
      </c>
      <c r="D88">
        <v>381</v>
      </c>
      <c r="E88">
        <v>566</v>
      </c>
    </row>
    <row r="89" spans="1:5" x14ac:dyDescent="0.3">
      <c r="A89">
        <v>3977333714</v>
      </c>
      <c r="B89" s="2">
        <v>42478</v>
      </c>
      <c r="C89">
        <v>2</v>
      </c>
      <c r="D89">
        <v>412</v>
      </c>
      <c r="E89">
        <v>522</v>
      </c>
    </row>
    <row r="90" spans="1:5" x14ac:dyDescent="0.3">
      <c r="A90">
        <v>3977333714</v>
      </c>
      <c r="B90" s="2">
        <v>42479</v>
      </c>
      <c r="C90">
        <v>1</v>
      </c>
      <c r="D90">
        <v>219</v>
      </c>
      <c r="E90">
        <v>395</v>
      </c>
    </row>
    <row r="91" spans="1:5" x14ac:dyDescent="0.3">
      <c r="A91">
        <v>3977333714</v>
      </c>
      <c r="B91" s="2">
        <v>42480</v>
      </c>
      <c r="C91">
        <v>2</v>
      </c>
      <c r="D91">
        <v>152</v>
      </c>
      <c r="E91">
        <v>305</v>
      </c>
    </row>
    <row r="92" spans="1:5" x14ac:dyDescent="0.3">
      <c r="A92">
        <v>3977333714</v>
      </c>
      <c r="B92" s="2">
        <v>42481</v>
      </c>
      <c r="C92">
        <v>1</v>
      </c>
      <c r="D92">
        <v>332</v>
      </c>
      <c r="E92">
        <v>512</v>
      </c>
    </row>
    <row r="93" spans="1:5" x14ac:dyDescent="0.3">
      <c r="A93">
        <v>3977333714</v>
      </c>
      <c r="B93" s="2">
        <v>42482</v>
      </c>
      <c r="C93">
        <v>1</v>
      </c>
      <c r="D93">
        <v>355</v>
      </c>
      <c r="E93">
        <v>476</v>
      </c>
    </row>
    <row r="94" spans="1:5" x14ac:dyDescent="0.3">
      <c r="A94">
        <v>3977333714</v>
      </c>
      <c r="B94" s="2">
        <v>42483</v>
      </c>
      <c r="C94">
        <v>1</v>
      </c>
      <c r="D94">
        <v>235</v>
      </c>
      <c r="E94">
        <v>372</v>
      </c>
    </row>
    <row r="95" spans="1:5" x14ac:dyDescent="0.3">
      <c r="A95">
        <v>3977333714</v>
      </c>
      <c r="B95" s="2">
        <v>42484</v>
      </c>
      <c r="C95">
        <v>1</v>
      </c>
      <c r="D95">
        <v>310</v>
      </c>
      <c r="E95">
        <v>526</v>
      </c>
    </row>
    <row r="96" spans="1:5" x14ac:dyDescent="0.3">
      <c r="A96">
        <v>3977333714</v>
      </c>
      <c r="B96" s="2">
        <v>42485</v>
      </c>
      <c r="C96">
        <v>1</v>
      </c>
      <c r="D96">
        <v>262</v>
      </c>
      <c r="E96">
        <v>467</v>
      </c>
    </row>
    <row r="97" spans="1:5" x14ac:dyDescent="0.3">
      <c r="A97">
        <v>3977333714</v>
      </c>
      <c r="B97" s="2">
        <v>42486</v>
      </c>
      <c r="C97">
        <v>1</v>
      </c>
      <c r="D97">
        <v>250</v>
      </c>
      <c r="E97">
        <v>371</v>
      </c>
    </row>
    <row r="98" spans="1:5" x14ac:dyDescent="0.3">
      <c r="A98">
        <v>3977333714</v>
      </c>
      <c r="B98" s="2">
        <v>42487</v>
      </c>
      <c r="C98">
        <v>1</v>
      </c>
      <c r="D98">
        <v>349</v>
      </c>
      <c r="E98">
        <v>540</v>
      </c>
    </row>
    <row r="99" spans="1:5" x14ac:dyDescent="0.3">
      <c r="A99">
        <v>3977333714</v>
      </c>
      <c r="B99" s="2">
        <v>42488</v>
      </c>
      <c r="C99">
        <v>1</v>
      </c>
      <c r="D99">
        <v>261</v>
      </c>
      <c r="E99">
        <v>423</v>
      </c>
    </row>
    <row r="100" spans="1:5" x14ac:dyDescent="0.3">
      <c r="A100">
        <v>3977333714</v>
      </c>
      <c r="B100" s="2">
        <v>42489</v>
      </c>
      <c r="C100">
        <v>1</v>
      </c>
      <c r="D100">
        <v>333</v>
      </c>
      <c r="E100">
        <v>478</v>
      </c>
    </row>
    <row r="101" spans="1:5" x14ac:dyDescent="0.3">
      <c r="A101">
        <v>3977333714</v>
      </c>
      <c r="B101" s="2">
        <v>42490</v>
      </c>
      <c r="C101">
        <v>1</v>
      </c>
      <c r="D101">
        <v>237</v>
      </c>
      <c r="E101">
        <v>382</v>
      </c>
    </row>
    <row r="102" spans="1:5" x14ac:dyDescent="0.3">
      <c r="A102">
        <v>3977333714</v>
      </c>
      <c r="B102" s="2">
        <v>42491</v>
      </c>
      <c r="C102">
        <v>1</v>
      </c>
      <c r="D102">
        <v>383</v>
      </c>
      <c r="E102">
        <v>626</v>
      </c>
    </row>
    <row r="103" spans="1:5" x14ac:dyDescent="0.3">
      <c r="A103">
        <v>3977333714</v>
      </c>
      <c r="B103" s="2">
        <v>42492</v>
      </c>
      <c r="C103">
        <v>1</v>
      </c>
      <c r="D103">
        <v>230</v>
      </c>
      <c r="E103">
        <v>384</v>
      </c>
    </row>
    <row r="104" spans="1:5" x14ac:dyDescent="0.3">
      <c r="A104">
        <v>3977333714</v>
      </c>
      <c r="B104" s="2">
        <v>42493</v>
      </c>
      <c r="C104">
        <v>1</v>
      </c>
      <c r="D104">
        <v>292</v>
      </c>
      <c r="E104">
        <v>500</v>
      </c>
    </row>
    <row r="105" spans="1:5" x14ac:dyDescent="0.3">
      <c r="A105">
        <v>3977333714</v>
      </c>
      <c r="B105" s="2">
        <v>42494</v>
      </c>
      <c r="C105">
        <v>1</v>
      </c>
      <c r="D105">
        <v>213</v>
      </c>
      <c r="E105">
        <v>336</v>
      </c>
    </row>
    <row r="106" spans="1:5" x14ac:dyDescent="0.3">
      <c r="A106">
        <v>3977333714</v>
      </c>
      <c r="B106" s="2">
        <v>42495</v>
      </c>
      <c r="C106">
        <v>1</v>
      </c>
      <c r="D106">
        <v>318</v>
      </c>
      <c r="E106">
        <v>480</v>
      </c>
    </row>
    <row r="107" spans="1:5" x14ac:dyDescent="0.3">
      <c r="A107">
        <v>3977333714</v>
      </c>
      <c r="B107" s="2">
        <v>42496</v>
      </c>
      <c r="C107">
        <v>1</v>
      </c>
      <c r="D107">
        <v>323</v>
      </c>
      <c r="E107">
        <v>512</v>
      </c>
    </row>
    <row r="108" spans="1:5" x14ac:dyDescent="0.3">
      <c r="A108">
        <v>3977333714</v>
      </c>
      <c r="B108" s="2">
        <v>42497</v>
      </c>
      <c r="C108">
        <v>1</v>
      </c>
      <c r="D108">
        <v>237</v>
      </c>
      <c r="E108">
        <v>443</v>
      </c>
    </row>
    <row r="109" spans="1:5" x14ac:dyDescent="0.3">
      <c r="A109">
        <v>3977333714</v>
      </c>
      <c r="B109" s="2">
        <v>42498</v>
      </c>
      <c r="C109">
        <v>2</v>
      </c>
      <c r="D109">
        <v>259</v>
      </c>
      <c r="E109">
        <v>456</v>
      </c>
    </row>
    <row r="110" spans="1:5" x14ac:dyDescent="0.3">
      <c r="A110">
        <v>3977333714</v>
      </c>
      <c r="B110" s="2">
        <v>42500</v>
      </c>
      <c r="C110">
        <v>1</v>
      </c>
      <c r="D110">
        <v>312</v>
      </c>
      <c r="E110">
        <v>452</v>
      </c>
    </row>
    <row r="111" spans="1:5" x14ac:dyDescent="0.3">
      <c r="A111">
        <v>4020332650</v>
      </c>
      <c r="B111" s="2">
        <v>42472</v>
      </c>
      <c r="C111">
        <v>1</v>
      </c>
      <c r="D111">
        <v>501</v>
      </c>
      <c r="E111">
        <v>541</v>
      </c>
    </row>
    <row r="112" spans="1:5" x14ac:dyDescent="0.3">
      <c r="A112">
        <v>4020332650</v>
      </c>
      <c r="B112" s="2">
        <v>42476</v>
      </c>
      <c r="C112">
        <v>1</v>
      </c>
      <c r="D112">
        <v>77</v>
      </c>
      <c r="E112">
        <v>77</v>
      </c>
    </row>
    <row r="113" spans="1:5" x14ac:dyDescent="0.3">
      <c r="A113">
        <v>4020332650</v>
      </c>
      <c r="B113" s="2">
        <v>42493</v>
      </c>
      <c r="C113">
        <v>1</v>
      </c>
      <c r="D113">
        <v>322</v>
      </c>
      <c r="E113">
        <v>332</v>
      </c>
    </row>
    <row r="114" spans="1:5" x14ac:dyDescent="0.3">
      <c r="A114">
        <v>4020332650</v>
      </c>
      <c r="B114" s="2">
        <v>42494</v>
      </c>
      <c r="C114">
        <v>1</v>
      </c>
      <c r="D114">
        <v>478</v>
      </c>
      <c r="E114">
        <v>536</v>
      </c>
    </row>
    <row r="115" spans="1:5" x14ac:dyDescent="0.3">
      <c r="A115">
        <v>4020332650</v>
      </c>
      <c r="B115" s="2">
        <v>42495</v>
      </c>
      <c r="C115">
        <v>1</v>
      </c>
      <c r="D115">
        <v>226</v>
      </c>
      <c r="E115">
        <v>248</v>
      </c>
    </row>
    <row r="116" spans="1:5" x14ac:dyDescent="0.3">
      <c r="A116">
        <v>4020332650</v>
      </c>
      <c r="B116" s="2">
        <v>42496</v>
      </c>
      <c r="C116">
        <v>1</v>
      </c>
      <c r="D116">
        <v>385</v>
      </c>
      <c r="E116">
        <v>408</v>
      </c>
    </row>
    <row r="117" spans="1:5" x14ac:dyDescent="0.3">
      <c r="A117">
        <v>4020332650</v>
      </c>
      <c r="B117" s="2">
        <v>42498</v>
      </c>
      <c r="C117">
        <v>1</v>
      </c>
      <c r="D117">
        <v>364</v>
      </c>
      <c r="E117">
        <v>402</v>
      </c>
    </row>
    <row r="118" spans="1:5" x14ac:dyDescent="0.3">
      <c r="A118">
        <v>4020332650</v>
      </c>
      <c r="B118" s="2">
        <v>42500</v>
      </c>
      <c r="C118">
        <v>1</v>
      </c>
      <c r="D118">
        <v>442</v>
      </c>
      <c r="E118">
        <v>494</v>
      </c>
    </row>
    <row r="119" spans="1:5" x14ac:dyDescent="0.3">
      <c r="A119">
        <v>4319703577</v>
      </c>
      <c r="B119" s="2">
        <v>42474</v>
      </c>
      <c r="C119">
        <v>1</v>
      </c>
      <c r="D119">
        <v>535</v>
      </c>
      <c r="E119">
        <v>557</v>
      </c>
    </row>
    <row r="120" spans="1:5" x14ac:dyDescent="0.3">
      <c r="A120">
        <v>4319703577</v>
      </c>
      <c r="B120" s="2">
        <v>42475</v>
      </c>
      <c r="C120">
        <v>1</v>
      </c>
      <c r="D120">
        <v>465</v>
      </c>
      <c r="E120">
        <v>491</v>
      </c>
    </row>
    <row r="121" spans="1:5" x14ac:dyDescent="0.3">
      <c r="A121">
        <v>4319703577</v>
      </c>
      <c r="B121" s="2">
        <v>42476</v>
      </c>
      <c r="C121">
        <v>1</v>
      </c>
      <c r="D121">
        <v>506</v>
      </c>
      <c r="E121">
        <v>522</v>
      </c>
    </row>
    <row r="122" spans="1:5" x14ac:dyDescent="0.3">
      <c r="A122">
        <v>4319703577</v>
      </c>
      <c r="B122" s="2">
        <v>42478</v>
      </c>
      <c r="C122">
        <v>1</v>
      </c>
      <c r="D122">
        <v>515</v>
      </c>
      <c r="E122">
        <v>551</v>
      </c>
    </row>
    <row r="123" spans="1:5" x14ac:dyDescent="0.3">
      <c r="A123">
        <v>4319703577</v>
      </c>
      <c r="B123" s="2">
        <v>42479</v>
      </c>
      <c r="C123">
        <v>2</v>
      </c>
      <c r="D123">
        <v>461</v>
      </c>
      <c r="E123">
        <v>498</v>
      </c>
    </row>
    <row r="124" spans="1:5" x14ac:dyDescent="0.3">
      <c r="A124">
        <v>4319703577</v>
      </c>
      <c r="B124" s="2">
        <v>42480</v>
      </c>
      <c r="C124">
        <v>1</v>
      </c>
      <c r="D124">
        <v>523</v>
      </c>
      <c r="E124">
        <v>543</v>
      </c>
    </row>
    <row r="125" spans="1:5" x14ac:dyDescent="0.3">
      <c r="A125">
        <v>4319703577</v>
      </c>
      <c r="B125" s="2">
        <v>42481</v>
      </c>
      <c r="C125">
        <v>1</v>
      </c>
      <c r="D125">
        <v>59</v>
      </c>
      <c r="E125">
        <v>65</v>
      </c>
    </row>
    <row r="126" spans="1:5" x14ac:dyDescent="0.3">
      <c r="A126">
        <v>4319703577</v>
      </c>
      <c r="B126" s="2">
        <v>42482</v>
      </c>
      <c r="C126">
        <v>1</v>
      </c>
      <c r="D126">
        <v>533</v>
      </c>
      <c r="E126">
        <v>550</v>
      </c>
    </row>
    <row r="127" spans="1:5" x14ac:dyDescent="0.3">
      <c r="A127">
        <v>4319703577</v>
      </c>
      <c r="B127" s="2">
        <v>42483</v>
      </c>
      <c r="C127">
        <v>1</v>
      </c>
      <c r="D127">
        <v>692</v>
      </c>
      <c r="E127">
        <v>722</v>
      </c>
    </row>
    <row r="128" spans="1:5" x14ac:dyDescent="0.3">
      <c r="A128">
        <v>4319703577</v>
      </c>
      <c r="B128" s="2">
        <v>42484</v>
      </c>
      <c r="C128">
        <v>1</v>
      </c>
      <c r="D128">
        <v>467</v>
      </c>
      <c r="E128">
        <v>501</v>
      </c>
    </row>
    <row r="129" spans="1:5" x14ac:dyDescent="0.3">
      <c r="A129">
        <v>4319703577</v>
      </c>
      <c r="B129" s="2">
        <v>42485</v>
      </c>
      <c r="C129">
        <v>1</v>
      </c>
      <c r="D129">
        <v>488</v>
      </c>
      <c r="E129">
        <v>506</v>
      </c>
    </row>
    <row r="130" spans="1:5" x14ac:dyDescent="0.3">
      <c r="A130">
        <v>4319703577</v>
      </c>
      <c r="B130" s="2">
        <v>42486</v>
      </c>
      <c r="C130">
        <v>1</v>
      </c>
      <c r="D130">
        <v>505</v>
      </c>
      <c r="E130">
        <v>516</v>
      </c>
    </row>
    <row r="131" spans="1:5" x14ac:dyDescent="0.3">
      <c r="A131">
        <v>4319703577</v>
      </c>
      <c r="B131" s="2">
        <v>42487</v>
      </c>
      <c r="C131">
        <v>1</v>
      </c>
      <c r="D131">
        <v>286</v>
      </c>
      <c r="E131">
        <v>307</v>
      </c>
    </row>
    <row r="132" spans="1:5" x14ac:dyDescent="0.3">
      <c r="A132">
        <v>4319703577</v>
      </c>
      <c r="B132" s="2">
        <v>42488</v>
      </c>
      <c r="C132">
        <v>1</v>
      </c>
      <c r="D132">
        <v>497</v>
      </c>
      <c r="E132">
        <v>522</v>
      </c>
    </row>
    <row r="133" spans="1:5" x14ac:dyDescent="0.3">
      <c r="A133">
        <v>4319703577</v>
      </c>
      <c r="B133" s="2">
        <v>42489</v>
      </c>
      <c r="C133">
        <v>1</v>
      </c>
      <c r="D133">
        <v>523</v>
      </c>
      <c r="E133">
        <v>546</v>
      </c>
    </row>
    <row r="134" spans="1:5" x14ac:dyDescent="0.3">
      <c r="A134">
        <v>4319703577</v>
      </c>
      <c r="B134" s="2">
        <v>42490</v>
      </c>
      <c r="C134">
        <v>1</v>
      </c>
      <c r="D134">
        <v>490</v>
      </c>
      <c r="E134">
        <v>516</v>
      </c>
    </row>
    <row r="135" spans="1:5" x14ac:dyDescent="0.3">
      <c r="A135">
        <v>4319703577</v>
      </c>
      <c r="B135" s="2">
        <v>42491</v>
      </c>
      <c r="C135">
        <v>1</v>
      </c>
      <c r="D135">
        <v>484</v>
      </c>
      <c r="E135">
        <v>500</v>
      </c>
    </row>
    <row r="136" spans="1:5" x14ac:dyDescent="0.3">
      <c r="A136">
        <v>4319703577</v>
      </c>
      <c r="B136" s="2">
        <v>42492</v>
      </c>
      <c r="C136">
        <v>1</v>
      </c>
      <c r="D136">
        <v>478</v>
      </c>
      <c r="E136">
        <v>506</v>
      </c>
    </row>
    <row r="137" spans="1:5" x14ac:dyDescent="0.3">
      <c r="A137">
        <v>4319703577</v>
      </c>
      <c r="B137" s="2">
        <v>42493</v>
      </c>
      <c r="C137">
        <v>1</v>
      </c>
      <c r="D137">
        <v>474</v>
      </c>
      <c r="E137">
        <v>512</v>
      </c>
    </row>
    <row r="138" spans="1:5" x14ac:dyDescent="0.3">
      <c r="A138">
        <v>4319703577</v>
      </c>
      <c r="B138" s="2">
        <v>42496</v>
      </c>
      <c r="C138">
        <v>1</v>
      </c>
      <c r="D138">
        <v>450</v>
      </c>
      <c r="E138">
        <v>491</v>
      </c>
    </row>
    <row r="139" spans="1:5" x14ac:dyDescent="0.3">
      <c r="A139">
        <v>4319703577</v>
      </c>
      <c r="B139" s="2">
        <v>42497</v>
      </c>
      <c r="C139">
        <v>1</v>
      </c>
      <c r="D139">
        <v>507</v>
      </c>
      <c r="E139">
        <v>530</v>
      </c>
    </row>
    <row r="140" spans="1:5" x14ac:dyDescent="0.3">
      <c r="A140">
        <v>4319703577</v>
      </c>
      <c r="B140" s="2">
        <v>42498</v>
      </c>
      <c r="C140">
        <v>1</v>
      </c>
      <c r="D140">
        <v>602</v>
      </c>
      <c r="E140">
        <v>638</v>
      </c>
    </row>
    <row r="141" spans="1:5" x14ac:dyDescent="0.3">
      <c r="A141">
        <v>4319703577</v>
      </c>
      <c r="B141" s="2">
        <v>42499</v>
      </c>
      <c r="C141">
        <v>1</v>
      </c>
      <c r="D141">
        <v>535</v>
      </c>
      <c r="E141">
        <v>565</v>
      </c>
    </row>
    <row r="142" spans="1:5" x14ac:dyDescent="0.3">
      <c r="A142">
        <v>4319703577</v>
      </c>
      <c r="B142" s="2">
        <v>42500</v>
      </c>
      <c r="C142">
        <v>1</v>
      </c>
      <c r="D142">
        <v>487</v>
      </c>
      <c r="E142">
        <v>517</v>
      </c>
    </row>
    <row r="143" spans="1:5" x14ac:dyDescent="0.3">
      <c r="A143">
        <v>4319703577</v>
      </c>
      <c r="B143" s="2">
        <v>42501</v>
      </c>
      <c r="C143">
        <v>1</v>
      </c>
      <c r="D143">
        <v>529</v>
      </c>
      <c r="E143">
        <v>558</v>
      </c>
    </row>
    <row r="144" spans="1:5" x14ac:dyDescent="0.3">
      <c r="A144">
        <v>4319703577</v>
      </c>
      <c r="B144" s="2">
        <v>42502</v>
      </c>
      <c r="C144">
        <v>1</v>
      </c>
      <c r="D144">
        <v>302</v>
      </c>
      <c r="E144">
        <v>321</v>
      </c>
    </row>
    <row r="145" spans="1:5" x14ac:dyDescent="0.3">
      <c r="A145">
        <v>4388161847</v>
      </c>
      <c r="B145" s="2">
        <v>42475</v>
      </c>
      <c r="C145">
        <v>1</v>
      </c>
      <c r="D145">
        <v>499</v>
      </c>
      <c r="E145">
        <v>526</v>
      </c>
    </row>
    <row r="146" spans="1:5" x14ac:dyDescent="0.3">
      <c r="A146">
        <v>4388161847</v>
      </c>
      <c r="B146" s="2">
        <v>42476</v>
      </c>
      <c r="C146">
        <v>2</v>
      </c>
      <c r="D146">
        <v>426</v>
      </c>
      <c r="E146">
        <v>448</v>
      </c>
    </row>
    <row r="147" spans="1:5" x14ac:dyDescent="0.3">
      <c r="A147">
        <v>4388161847</v>
      </c>
      <c r="B147" s="2">
        <v>42477</v>
      </c>
      <c r="C147">
        <v>2</v>
      </c>
      <c r="D147">
        <v>619</v>
      </c>
      <c r="E147">
        <v>641</v>
      </c>
    </row>
    <row r="148" spans="1:5" x14ac:dyDescent="0.3">
      <c r="A148">
        <v>4388161847</v>
      </c>
      <c r="B148" s="2">
        <v>42478</v>
      </c>
      <c r="C148">
        <v>1</v>
      </c>
      <c r="D148">
        <v>99</v>
      </c>
      <c r="E148">
        <v>104</v>
      </c>
    </row>
    <row r="149" spans="1:5" x14ac:dyDescent="0.3">
      <c r="A149">
        <v>4388161847</v>
      </c>
      <c r="B149" s="2">
        <v>42479</v>
      </c>
      <c r="C149">
        <v>1</v>
      </c>
      <c r="D149">
        <v>329</v>
      </c>
      <c r="E149">
        <v>338</v>
      </c>
    </row>
    <row r="150" spans="1:5" x14ac:dyDescent="0.3">
      <c r="A150">
        <v>4388161847</v>
      </c>
      <c r="B150" s="2">
        <v>42480</v>
      </c>
      <c r="C150">
        <v>1</v>
      </c>
      <c r="D150">
        <v>421</v>
      </c>
      <c r="E150">
        <v>451</v>
      </c>
    </row>
    <row r="151" spans="1:5" x14ac:dyDescent="0.3">
      <c r="A151">
        <v>4388161847</v>
      </c>
      <c r="B151" s="2">
        <v>42481</v>
      </c>
      <c r="C151">
        <v>1</v>
      </c>
      <c r="D151">
        <v>442</v>
      </c>
      <c r="E151">
        <v>458</v>
      </c>
    </row>
    <row r="152" spans="1:5" x14ac:dyDescent="0.3">
      <c r="A152">
        <v>4388161847</v>
      </c>
      <c r="B152" s="2">
        <v>42482</v>
      </c>
      <c r="C152">
        <v>1</v>
      </c>
      <c r="D152">
        <v>82</v>
      </c>
      <c r="E152">
        <v>85</v>
      </c>
    </row>
    <row r="153" spans="1:5" x14ac:dyDescent="0.3">
      <c r="A153">
        <v>4388161847</v>
      </c>
      <c r="B153" s="2">
        <v>42483</v>
      </c>
      <c r="C153">
        <v>1</v>
      </c>
      <c r="D153">
        <v>478</v>
      </c>
      <c r="E153">
        <v>501</v>
      </c>
    </row>
    <row r="154" spans="1:5" x14ac:dyDescent="0.3">
      <c r="A154">
        <v>4388161847</v>
      </c>
      <c r="B154" s="2">
        <v>42484</v>
      </c>
      <c r="C154">
        <v>3</v>
      </c>
      <c r="D154">
        <v>552</v>
      </c>
      <c r="E154">
        <v>595</v>
      </c>
    </row>
    <row r="155" spans="1:5" x14ac:dyDescent="0.3">
      <c r="A155">
        <v>4388161847</v>
      </c>
      <c r="B155" s="2">
        <v>42486</v>
      </c>
      <c r="C155">
        <v>1</v>
      </c>
      <c r="D155">
        <v>319</v>
      </c>
      <c r="E155">
        <v>346</v>
      </c>
    </row>
    <row r="156" spans="1:5" x14ac:dyDescent="0.3">
      <c r="A156">
        <v>4388161847</v>
      </c>
      <c r="B156" s="2">
        <v>42487</v>
      </c>
      <c r="C156">
        <v>1</v>
      </c>
      <c r="D156">
        <v>439</v>
      </c>
      <c r="E156">
        <v>500</v>
      </c>
    </row>
    <row r="157" spans="1:5" x14ac:dyDescent="0.3">
      <c r="A157">
        <v>4388161847</v>
      </c>
      <c r="B157" s="2">
        <v>42488</v>
      </c>
      <c r="C157">
        <v>1</v>
      </c>
      <c r="D157">
        <v>428</v>
      </c>
      <c r="E157">
        <v>458</v>
      </c>
    </row>
    <row r="158" spans="1:5" x14ac:dyDescent="0.3">
      <c r="A158">
        <v>4388161847</v>
      </c>
      <c r="B158" s="2">
        <v>42490</v>
      </c>
      <c r="C158">
        <v>2</v>
      </c>
      <c r="D158">
        <v>409</v>
      </c>
      <c r="E158">
        <v>430</v>
      </c>
    </row>
    <row r="159" spans="1:5" x14ac:dyDescent="0.3">
      <c r="A159">
        <v>4388161847</v>
      </c>
      <c r="B159" s="2">
        <v>42491</v>
      </c>
      <c r="C159">
        <v>1</v>
      </c>
      <c r="D159">
        <v>547</v>
      </c>
      <c r="E159">
        <v>597</v>
      </c>
    </row>
    <row r="160" spans="1:5" x14ac:dyDescent="0.3">
      <c r="A160">
        <v>4388161847</v>
      </c>
      <c r="B160" s="2">
        <v>42492</v>
      </c>
      <c r="C160">
        <v>2</v>
      </c>
      <c r="D160">
        <v>368</v>
      </c>
      <c r="E160">
        <v>376</v>
      </c>
    </row>
    <row r="161" spans="1:5" x14ac:dyDescent="0.3">
      <c r="A161">
        <v>4388161847</v>
      </c>
      <c r="B161" s="2">
        <v>42494</v>
      </c>
      <c r="C161">
        <v>1</v>
      </c>
      <c r="D161">
        <v>390</v>
      </c>
      <c r="E161">
        <v>414</v>
      </c>
    </row>
    <row r="162" spans="1:5" x14ac:dyDescent="0.3">
      <c r="A162">
        <v>4388161847</v>
      </c>
      <c r="B162" s="2">
        <v>42495</v>
      </c>
      <c r="C162">
        <v>1</v>
      </c>
      <c r="D162">
        <v>471</v>
      </c>
      <c r="E162">
        <v>495</v>
      </c>
    </row>
    <row r="163" spans="1:5" x14ac:dyDescent="0.3">
      <c r="A163">
        <v>4388161847</v>
      </c>
      <c r="B163" s="2">
        <v>42495</v>
      </c>
      <c r="C163">
        <v>1</v>
      </c>
      <c r="D163">
        <v>471</v>
      </c>
      <c r="E163">
        <v>495</v>
      </c>
    </row>
    <row r="164" spans="1:5" x14ac:dyDescent="0.3">
      <c r="A164">
        <v>4388161847</v>
      </c>
      <c r="B164" s="2">
        <v>42497</v>
      </c>
      <c r="C164">
        <v>1</v>
      </c>
      <c r="D164">
        <v>472</v>
      </c>
      <c r="E164">
        <v>496</v>
      </c>
    </row>
    <row r="165" spans="1:5" x14ac:dyDescent="0.3">
      <c r="A165">
        <v>4388161847</v>
      </c>
      <c r="B165" s="2">
        <v>42498</v>
      </c>
      <c r="C165">
        <v>2</v>
      </c>
      <c r="D165">
        <v>529</v>
      </c>
      <c r="E165">
        <v>541</v>
      </c>
    </row>
    <row r="166" spans="1:5" x14ac:dyDescent="0.3">
      <c r="A166">
        <v>4388161847</v>
      </c>
      <c r="B166" s="2">
        <v>42499</v>
      </c>
      <c r="C166">
        <v>1</v>
      </c>
      <c r="D166">
        <v>62</v>
      </c>
      <c r="E166">
        <v>65</v>
      </c>
    </row>
    <row r="167" spans="1:5" x14ac:dyDescent="0.3">
      <c r="A167">
        <v>4388161847</v>
      </c>
      <c r="B167" s="2">
        <v>42500</v>
      </c>
      <c r="C167">
        <v>1</v>
      </c>
      <c r="D167">
        <v>354</v>
      </c>
      <c r="E167">
        <v>375</v>
      </c>
    </row>
    <row r="168" spans="1:5" x14ac:dyDescent="0.3">
      <c r="A168">
        <v>4388161847</v>
      </c>
      <c r="B168" s="2">
        <v>42501</v>
      </c>
      <c r="C168">
        <v>1</v>
      </c>
      <c r="D168">
        <v>469</v>
      </c>
      <c r="E168">
        <v>494</v>
      </c>
    </row>
    <row r="169" spans="1:5" x14ac:dyDescent="0.3">
      <c r="A169">
        <v>4445114986</v>
      </c>
      <c r="B169" s="2">
        <v>42472</v>
      </c>
      <c r="C169">
        <v>2</v>
      </c>
      <c r="D169">
        <v>429</v>
      </c>
      <c r="E169">
        <v>457</v>
      </c>
    </row>
    <row r="170" spans="1:5" x14ac:dyDescent="0.3">
      <c r="A170">
        <v>4445114986</v>
      </c>
      <c r="B170" s="2">
        <v>42473</v>
      </c>
      <c r="C170">
        <v>2</v>
      </c>
      <c r="D170">
        <v>370</v>
      </c>
      <c r="E170">
        <v>406</v>
      </c>
    </row>
    <row r="171" spans="1:5" x14ac:dyDescent="0.3">
      <c r="A171">
        <v>4445114986</v>
      </c>
      <c r="B171" s="2">
        <v>42474</v>
      </c>
      <c r="C171">
        <v>1</v>
      </c>
      <c r="D171">
        <v>441</v>
      </c>
      <c r="E171">
        <v>492</v>
      </c>
    </row>
    <row r="172" spans="1:5" x14ac:dyDescent="0.3">
      <c r="A172">
        <v>4445114986</v>
      </c>
      <c r="B172" s="2">
        <v>42475</v>
      </c>
      <c r="C172">
        <v>2</v>
      </c>
      <c r="D172">
        <v>337</v>
      </c>
      <c r="E172">
        <v>379</v>
      </c>
    </row>
    <row r="173" spans="1:5" x14ac:dyDescent="0.3">
      <c r="A173">
        <v>4445114986</v>
      </c>
      <c r="B173" s="2">
        <v>42476</v>
      </c>
      <c r="C173">
        <v>1</v>
      </c>
      <c r="D173">
        <v>462</v>
      </c>
      <c r="E173">
        <v>499</v>
      </c>
    </row>
    <row r="174" spans="1:5" x14ac:dyDescent="0.3">
      <c r="A174">
        <v>4445114986</v>
      </c>
      <c r="B174" s="2">
        <v>42477</v>
      </c>
      <c r="C174">
        <v>1</v>
      </c>
      <c r="D174">
        <v>98</v>
      </c>
      <c r="E174">
        <v>107</v>
      </c>
    </row>
    <row r="175" spans="1:5" x14ac:dyDescent="0.3">
      <c r="A175">
        <v>4445114986</v>
      </c>
      <c r="B175" s="2">
        <v>42479</v>
      </c>
      <c r="C175">
        <v>2</v>
      </c>
      <c r="D175">
        <v>388</v>
      </c>
      <c r="E175">
        <v>424</v>
      </c>
    </row>
    <row r="176" spans="1:5" x14ac:dyDescent="0.3">
      <c r="A176">
        <v>4445114986</v>
      </c>
      <c r="B176" s="2">
        <v>42480</v>
      </c>
      <c r="C176">
        <v>1</v>
      </c>
      <c r="D176">
        <v>439</v>
      </c>
      <c r="E176">
        <v>462</v>
      </c>
    </row>
    <row r="177" spans="1:5" x14ac:dyDescent="0.3">
      <c r="A177">
        <v>4445114986</v>
      </c>
      <c r="B177" s="2">
        <v>42481</v>
      </c>
      <c r="C177">
        <v>1</v>
      </c>
      <c r="D177">
        <v>436</v>
      </c>
      <c r="E177">
        <v>469</v>
      </c>
    </row>
    <row r="178" spans="1:5" x14ac:dyDescent="0.3">
      <c r="A178">
        <v>4445114986</v>
      </c>
      <c r="B178" s="2">
        <v>42482</v>
      </c>
      <c r="C178">
        <v>1</v>
      </c>
      <c r="D178">
        <v>388</v>
      </c>
      <c r="E178">
        <v>417</v>
      </c>
    </row>
    <row r="179" spans="1:5" x14ac:dyDescent="0.3">
      <c r="A179">
        <v>4445114986</v>
      </c>
      <c r="B179" s="2">
        <v>42485</v>
      </c>
      <c r="C179">
        <v>1</v>
      </c>
      <c r="D179">
        <v>328</v>
      </c>
      <c r="E179">
        <v>345</v>
      </c>
    </row>
    <row r="180" spans="1:5" x14ac:dyDescent="0.3">
      <c r="A180">
        <v>4445114986</v>
      </c>
      <c r="B180" s="2">
        <v>42486</v>
      </c>
      <c r="C180">
        <v>2</v>
      </c>
      <c r="D180">
        <v>353</v>
      </c>
      <c r="E180">
        <v>391</v>
      </c>
    </row>
    <row r="181" spans="1:5" x14ac:dyDescent="0.3">
      <c r="A181">
        <v>4445114986</v>
      </c>
      <c r="B181" s="2">
        <v>42487</v>
      </c>
      <c r="C181">
        <v>1</v>
      </c>
      <c r="D181">
        <v>332</v>
      </c>
      <c r="E181">
        <v>374</v>
      </c>
    </row>
    <row r="182" spans="1:5" x14ac:dyDescent="0.3">
      <c r="A182">
        <v>4445114986</v>
      </c>
      <c r="B182" s="2">
        <v>42488</v>
      </c>
      <c r="C182">
        <v>1</v>
      </c>
      <c r="D182">
        <v>419</v>
      </c>
      <c r="E182">
        <v>442</v>
      </c>
    </row>
    <row r="183" spans="1:5" x14ac:dyDescent="0.3">
      <c r="A183">
        <v>4445114986</v>
      </c>
      <c r="B183" s="2">
        <v>42489</v>
      </c>
      <c r="C183">
        <v>1</v>
      </c>
      <c r="D183">
        <v>106</v>
      </c>
      <c r="E183">
        <v>108</v>
      </c>
    </row>
    <row r="184" spans="1:5" x14ac:dyDescent="0.3">
      <c r="A184">
        <v>4445114986</v>
      </c>
      <c r="B184" s="2">
        <v>42490</v>
      </c>
      <c r="C184">
        <v>1</v>
      </c>
      <c r="D184">
        <v>322</v>
      </c>
      <c r="E184">
        <v>353</v>
      </c>
    </row>
    <row r="185" spans="1:5" x14ac:dyDescent="0.3">
      <c r="A185">
        <v>4445114986</v>
      </c>
      <c r="B185" s="2">
        <v>42491</v>
      </c>
      <c r="C185">
        <v>2</v>
      </c>
      <c r="D185">
        <v>439</v>
      </c>
      <c r="E185">
        <v>459</v>
      </c>
    </row>
    <row r="186" spans="1:5" x14ac:dyDescent="0.3">
      <c r="A186">
        <v>4445114986</v>
      </c>
      <c r="B186" s="2">
        <v>42492</v>
      </c>
      <c r="C186">
        <v>1</v>
      </c>
      <c r="D186">
        <v>502</v>
      </c>
      <c r="E186">
        <v>542</v>
      </c>
    </row>
    <row r="187" spans="1:5" x14ac:dyDescent="0.3">
      <c r="A187">
        <v>4445114986</v>
      </c>
      <c r="B187" s="2">
        <v>42493</v>
      </c>
      <c r="C187">
        <v>2</v>
      </c>
      <c r="D187">
        <v>417</v>
      </c>
      <c r="E187">
        <v>450</v>
      </c>
    </row>
    <row r="188" spans="1:5" x14ac:dyDescent="0.3">
      <c r="A188">
        <v>4445114986</v>
      </c>
      <c r="B188" s="2">
        <v>42494</v>
      </c>
      <c r="C188">
        <v>2</v>
      </c>
      <c r="D188">
        <v>337</v>
      </c>
      <c r="E188">
        <v>363</v>
      </c>
    </row>
    <row r="189" spans="1:5" x14ac:dyDescent="0.3">
      <c r="A189">
        <v>4445114986</v>
      </c>
      <c r="B189" s="2">
        <v>42495</v>
      </c>
      <c r="C189">
        <v>2</v>
      </c>
      <c r="D189">
        <v>462</v>
      </c>
      <c r="E189">
        <v>513</v>
      </c>
    </row>
    <row r="190" spans="1:5" x14ac:dyDescent="0.3">
      <c r="A190">
        <v>4445114986</v>
      </c>
      <c r="B190" s="2">
        <v>42496</v>
      </c>
      <c r="C190">
        <v>2</v>
      </c>
      <c r="D190">
        <v>374</v>
      </c>
      <c r="E190">
        <v>402</v>
      </c>
    </row>
    <row r="191" spans="1:5" x14ac:dyDescent="0.3">
      <c r="A191">
        <v>4445114986</v>
      </c>
      <c r="B191" s="2">
        <v>42497</v>
      </c>
      <c r="C191">
        <v>2</v>
      </c>
      <c r="D191">
        <v>401</v>
      </c>
      <c r="E191">
        <v>436</v>
      </c>
    </row>
    <row r="192" spans="1:5" x14ac:dyDescent="0.3">
      <c r="A192">
        <v>4445114986</v>
      </c>
      <c r="B192" s="2">
        <v>42498</v>
      </c>
      <c r="C192">
        <v>1</v>
      </c>
      <c r="D192">
        <v>361</v>
      </c>
      <c r="E192">
        <v>391</v>
      </c>
    </row>
    <row r="193" spans="1:5" x14ac:dyDescent="0.3">
      <c r="A193">
        <v>4445114986</v>
      </c>
      <c r="B193" s="2">
        <v>42499</v>
      </c>
      <c r="C193">
        <v>1</v>
      </c>
      <c r="D193">
        <v>457</v>
      </c>
      <c r="E193">
        <v>533</v>
      </c>
    </row>
    <row r="194" spans="1:5" x14ac:dyDescent="0.3">
      <c r="A194">
        <v>4445114986</v>
      </c>
      <c r="B194" s="2">
        <v>42500</v>
      </c>
      <c r="C194">
        <v>1</v>
      </c>
      <c r="D194">
        <v>405</v>
      </c>
      <c r="E194">
        <v>426</v>
      </c>
    </row>
    <row r="195" spans="1:5" x14ac:dyDescent="0.3">
      <c r="A195">
        <v>4445114986</v>
      </c>
      <c r="B195" s="2">
        <v>42501</v>
      </c>
      <c r="C195">
        <v>1</v>
      </c>
      <c r="D195">
        <v>499</v>
      </c>
      <c r="E195">
        <v>530</v>
      </c>
    </row>
    <row r="196" spans="1:5" x14ac:dyDescent="0.3">
      <c r="A196">
        <v>4445114986</v>
      </c>
      <c r="B196" s="2">
        <v>42502</v>
      </c>
      <c r="C196">
        <v>1</v>
      </c>
      <c r="D196">
        <v>483</v>
      </c>
      <c r="E196">
        <v>501</v>
      </c>
    </row>
    <row r="197" spans="1:5" x14ac:dyDescent="0.3">
      <c r="A197">
        <v>4558609924</v>
      </c>
      <c r="B197" s="2">
        <v>42481</v>
      </c>
      <c r="C197">
        <v>1</v>
      </c>
      <c r="D197">
        <v>126</v>
      </c>
      <c r="E197">
        <v>137</v>
      </c>
    </row>
    <row r="198" spans="1:5" x14ac:dyDescent="0.3">
      <c r="A198">
        <v>4558609924</v>
      </c>
      <c r="B198" s="2">
        <v>42486</v>
      </c>
      <c r="C198">
        <v>1</v>
      </c>
      <c r="D198">
        <v>103</v>
      </c>
      <c r="E198">
        <v>121</v>
      </c>
    </row>
    <row r="199" spans="1:5" x14ac:dyDescent="0.3">
      <c r="A199">
        <v>4558609924</v>
      </c>
      <c r="B199" s="2">
        <v>42489</v>
      </c>
      <c r="C199">
        <v>1</v>
      </c>
      <c r="D199">
        <v>171</v>
      </c>
      <c r="E199">
        <v>179</v>
      </c>
    </row>
    <row r="200" spans="1:5" x14ac:dyDescent="0.3">
      <c r="A200">
        <v>4558609924</v>
      </c>
      <c r="B200" s="2">
        <v>42491</v>
      </c>
      <c r="C200">
        <v>1</v>
      </c>
      <c r="D200">
        <v>115</v>
      </c>
      <c r="E200">
        <v>129</v>
      </c>
    </row>
    <row r="201" spans="1:5" x14ac:dyDescent="0.3">
      <c r="A201">
        <v>4558609924</v>
      </c>
      <c r="B201" s="2">
        <v>42498</v>
      </c>
      <c r="C201">
        <v>1</v>
      </c>
      <c r="D201">
        <v>123</v>
      </c>
      <c r="E201">
        <v>134</v>
      </c>
    </row>
    <row r="202" spans="1:5" x14ac:dyDescent="0.3">
      <c r="A202">
        <v>4702921684</v>
      </c>
      <c r="B202" s="2">
        <v>42472</v>
      </c>
      <c r="C202">
        <v>1</v>
      </c>
      <c r="D202">
        <v>425</v>
      </c>
      <c r="E202">
        <v>439</v>
      </c>
    </row>
    <row r="203" spans="1:5" x14ac:dyDescent="0.3">
      <c r="A203">
        <v>4702921684</v>
      </c>
      <c r="B203" s="2">
        <v>42473</v>
      </c>
      <c r="C203">
        <v>2</v>
      </c>
      <c r="D203">
        <v>400</v>
      </c>
      <c r="E203">
        <v>430</v>
      </c>
    </row>
    <row r="204" spans="1:5" x14ac:dyDescent="0.3">
      <c r="A204">
        <v>4702921684</v>
      </c>
      <c r="B204" s="2">
        <v>42474</v>
      </c>
      <c r="C204">
        <v>1</v>
      </c>
      <c r="D204">
        <v>384</v>
      </c>
      <c r="E204">
        <v>415</v>
      </c>
    </row>
    <row r="205" spans="1:5" x14ac:dyDescent="0.3">
      <c r="A205">
        <v>4702921684</v>
      </c>
      <c r="B205" s="2">
        <v>42475</v>
      </c>
      <c r="C205">
        <v>1</v>
      </c>
      <c r="D205">
        <v>253</v>
      </c>
      <c r="E205">
        <v>257</v>
      </c>
    </row>
    <row r="206" spans="1:5" x14ac:dyDescent="0.3">
      <c r="A206">
        <v>4702921684</v>
      </c>
      <c r="B206" s="2">
        <v>42476</v>
      </c>
      <c r="C206">
        <v>2</v>
      </c>
      <c r="D206">
        <v>382</v>
      </c>
      <c r="E206">
        <v>406</v>
      </c>
    </row>
    <row r="207" spans="1:5" x14ac:dyDescent="0.3">
      <c r="A207">
        <v>4702921684</v>
      </c>
      <c r="B207" s="2">
        <v>42477</v>
      </c>
      <c r="C207">
        <v>1</v>
      </c>
      <c r="D207">
        <v>591</v>
      </c>
      <c r="E207">
        <v>612</v>
      </c>
    </row>
    <row r="208" spans="1:5" x14ac:dyDescent="0.3">
      <c r="A208">
        <v>4702921684</v>
      </c>
      <c r="B208" s="2">
        <v>42478</v>
      </c>
      <c r="C208">
        <v>1</v>
      </c>
      <c r="D208">
        <v>293</v>
      </c>
      <c r="E208">
        <v>312</v>
      </c>
    </row>
    <row r="209" spans="1:5" x14ac:dyDescent="0.3">
      <c r="A209">
        <v>4702921684</v>
      </c>
      <c r="B209" s="2">
        <v>42479</v>
      </c>
      <c r="C209">
        <v>1</v>
      </c>
      <c r="D209">
        <v>457</v>
      </c>
      <c r="E209">
        <v>487</v>
      </c>
    </row>
    <row r="210" spans="1:5" x14ac:dyDescent="0.3">
      <c r="A210">
        <v>4702921684</v>
      </c>
      <c r="B210" s="2">
        <v>42480</v>
      </c>
      <c r="C210">
        <v>1</v>
      </c>
      <c r="D210">
        <v>454</v>
      </c>
      <c r="E210">
        <v>468</v>
      </c>
    </row>
    <row r="211" spans="1:5" x14ac:dyDescent="0.3">
      <c r="A211">
        <v>4702921684</v>
      </c>
      <c r="B211" s="2">
        <v>42481</v>
      </c>
      <c r="C211">
        <v>1</v>
      </c>
      <c r="D211">
        <v>425</v>
      </c>
      <c r="E211">
        <v>434</v>
      </c>
    </row>
    <row r="212" spans="1:5" x14ac:dyDescent="0.3">
      <c r="A212">
        <v>4702921684</v>
      </c>
      <c r="B212" s="2">
        <v>42483</v>
      </c>
      <c r="C212">
        <v>1</v>
      </c>
      <c r="D212">
        <v>465</v>
      </c>
      <c r="E212">
        <v>475</v>
      </c>
    </row>
    <row r="213" spans="1:5" x14ac:dyDescent="0.3">
      <c r="A213">
        <v>4702921684</v>
      </c>
      <c r="B213" s="2">
        <v>42484</v>
      </c>
      <c r="C213">
        <v>1</v>
      </c>
      <c r="D213">
        <v>480</v>
      </c>
      <c r="E213">
        <v>506</v>
      </c>
    </row>
    <row r="214" spans="1:5" x14ac:dyDescent="0.3">
      <c r="A214">
        <v>4702921684</v>
      </c>
      <c r="B214" s="2">
        <v>42485</v>
      </c>
      <c r="C214">
        <v>1</v>
      </c>
      <c r="D214">
        <v>370</v>
      </c>
      <c r="E214">
        <v>380</v>
      </c>
    </row>
    <row r="215" spans="1:5" x14ac:dyDescent="0.3">
      <c r="A215">
        <v>4702921684</v>
      </c>
      <c r="B215" s="2">
        <v>42486</v>
      </c>
      <c r="C215">
        <v>1</v>
      </c>
      <c r="D215">
        <v>421</v>
      </c>
      <c r="E215">
        <v>429</v>
      </c>
    </row>
    <row r="216" spans="1:5" x14ac:dyDescent="0.3">
      <c r="A216">
        <v>4702921684</v>
      </c>
      <c r="B216" s="2">
        <v>42487</v>
      </c>
      <c r="C216">
        <v>1</v>
      </c>
      <c r="D216">
        <v>432</v>
      </c>
      <c r="E216">
        <v>449</v>
      </c>
    </row>
    <row r="217" spans="1:5" x14ac:dyDescent="0.3">
      <c r="A217">
        <v>4702921684</v>
      </c>
      <c r="B217" s="2">
        <v>42488</v>
      </c>
      <c r="C217">
        <v>1</v>
      </c>
      <c r="D217">
        <v>442</v>
      </c>
      <c r="E217">
        <v>461</v>
      </c>
    </row>
    <row r="218" spans="1:5" x14ac:dyDescent="0.3">
      <c r="A218">
        <v>4702921684</v>
      </c>
      <c r="B218" s="2">
        <v>42489</v>
      </c>
      <c r="C218">
        <v>1</v>
      </c>
      <c r="D218">
        <v>433</v>
      </c>
      <c r="E218">
        <v>447</v>
      </c>
    </row>
    <row r="219" spans="1:5" x14ac:dyDescent="0.3">
      <c r="A219">
        <v>4702921684</v>
      </c>
      <c r="B219" s="2">
        <v>42490</v>
      </c>
      <c r="C219">
        <v>1</v>
      </c>
      <c r="D219">
        <v>479</v>
      </c>
      <c r="E219">
        <v>501</v>
      </c>
    </row>
    <row r="220" spans="1:5" x14ac:dyDescent="0.3">
      <c r="A220">
        <v>4702921684</v>
      </c>
      <c r="B220" s="2">
        <v>42493</v>
      </c>
      <c r="C220">
        <v>1</v>
      </c>
      <c r="D220">
        <v>327</v>
      </c>
      <c r="E220">
        <v>373</v>
      </c>
    </row>
    <row r="221" spans="1:5" x14ac:dyDescent="0.3">
      <c r="A221">
        <v>4702921684</v>
      </c>
      <c r="B221" s="2">
        <v>42494</v>
      </c>
      <c r="C221">
        <v>1</v>
      </c>
      <c r="D221">
        <v>412</v>
      </c>
      <c r="E221">
        <v>434</v>
      </c>
    </row>
    <row r="222" spans="1:5" x14ac:dyDescent="0.3">
      <c r="A222">
        <v>4702921684</v>
      </c>
      <c r="B222" s="2">
        <v>42495</v>
      </c>
      <c r="C222">
        <v>1</v>
      </c>
      <c r="D222">
        <v>414</v>
      </c>
      <c r="E222">
        <v>428</v>
      </c>
    </row>
    <row r="223" spans="1:5" x14ac:dyDescent="0.3">
      <c r="A223">
        <v>4702921684</v>
      </c>
      <c r="B223" s="2">
        <v>42496</v>
      </c>
      <c r="C223">
        <v>1</v>
      </c>
      <c r="D223">
        <v>404</v>
      </c>
      <c r="E223">
        <v>449</v>
      </c>
    </row>
    <row r="224" spans="1:5" x14ac:dyDescent="0.3">
      <c r="A224">
        <v>4702921684</v>
      </c>
      <c r="B224" s="2">
        <v>42497</v>
      </c>
      <c r="C224">
        <v>1</v>
      </c>
      <c r="D224">
        <v>520</v>
      </c>
      <c r="E224">
        <v>543</v>
      </c>
    </row>
    <row r="225" spans="1:5" x14ac:dyDescent="0.3">
      <c r="A225">
        <v>4702921684</v>
      </c>
      <c r="B225" s="2">
        <v>42497</v>
      </c>
      <c r="C225">
        <v>1</v>
      </c>
      <c r="D225">
        <v>520</v>
      </c>
      <c r="E225">
        <v>543</v>
      </c>
    </row>
    <row r="226" spans="1:5" x14ac:dyDescent="0.3">
      <c r="A226">
        <v>4702921684</v>
      </c>
      <c r="B226" s="2">
        <v>42499</v>
      </c>
      <c r="C226">
        <v>1</v>
      </c>
      <c r="D226">
        <v>435</v>
      </c>
      <c r="E226">
        <v>458</v>
      </c>
    </row>
    <row r="227" spans="1:5" x14ac:dyDescent="0.3">
      <c r="A227">
        <v>4702921684</v>
      </c>
      <c r="B227" s="2">
        <v>42500</v>
      </c>
      <c r="C227">
        <v>1</v>
      </c>
      <c r="D227">
        <v>416</v>
      </c>
      <c r="E227">
        <v>431</v>
      </c>
    </row>
    <row r="228" spans="1:5" x14ac:dyDescent="0.3">
      <c r="A228">
        <v>4702921684</v>
      </c>
      <c r="B228" s="2">
        <v>42501</v>
      </c>
      <c r="C228">
        <v>1</v>
      </c>
      <c r="D228">
        <v>354</v>
      </c>
      <c r="E228">
        <v>366</v>
      </c>
    </row>
    <row r="229" spans="1:5" x14ac:dyDescent="0.3">
      <c r="A229">
        <v>4702921684</v>
      </c>
      <c r="B229" s="2">
        <v>42502</v>
      </c>
      <c r="C229">
        <v>1</v>
      </c>
      <c r="D229">
        <v>404</v>
      </c>
      <c r="E229">
        <v>442</v>
      </c>
    </row>
    <row r="230" spans="1:5" x14ac:dyDescent="0.3">
      <c r="A230">
        <v>5553957443</v>
      </c>
      <c r="B230" s="2">
        <v>42472</v>
      </c>
      <c r="C230">
        <v>1</v>
      </c>
      <c r="D230">
        <v>441</v>
      </c>
      <c r="E230">
        <v>464</v>
      </c>
    </row>
    <row r="231" spans="1:5" x14ac:dyDescent="0.3">
      <c r="A231">
        <v>5553957443</v>
      </c>
      <c r="B231" s="2">
        <v>42473</v>
      </c>
      <c r="C231">
        <v>2</v>
      </c>
      <c r="D231">
        <v>455</v>
      </c>
      <c r="E231">
        <v>488</v>
      </c>
    </row>
    <row r="232" spans="1:5" x14ac:dyDescent="0.3">
      <c r="A232">
        <v>5553957443</v>
      </c>
      <c r="B232" s="2">
        <v>42474</v>
      </c>
      <c r="C232">
        <v>1</v>
      </c>
      <c r="D232">
        <v>357</v>
      </c>
      <c r="E232">
        <v>418</v>
      </c>
    </row>
    <row r="233" spans="1:5" x14ac:dyDescent="0.3">
      <c r="A233">
        <v>5553957443</v>
      </c>
      <c r="B233" s="2">
        <v>42475</v>
      </c>
      <c r="C233">
        <v>1</v>
      </c>
      <c r="D233">
        <v>377</v>
      </c>
      <c r="E233">
        <v>409</v>
      </c>
    </row>
    <row r="234" spans="1:5" x14ac:dyDescent="0.3">
      <c r="A234">
        <v>5553957443</v>
      </c>
      <c r="B234" s="2">
        <v>42476</v>
      </c>
      <c r="C234">
        <v>2</v>
      </c>
      <c r="D234">
        <v>651</v>
      </c>
      <c r="E234">
        <v>686</v>
      </c>
    </row>
    <row r="235" spans="1:5" x14ac:dyDescent="0.3">
      <c r="A235">
        <v>5553957443</v>
      </c>
      <c r="B235" s="2">
        <v>42477</v>
      </c>
      <c r="C235">
        <v>1</v>
      </c>
      <c r="D235">
        <v>350</v>
      </c>
      <c r="E235">
        <v>402</v>
      </c>
    </row>
    <row r="236" spans="1:5" x14ac:dyDescent="0.3">
      <c r="A236">
        <v>5553957443</v>
      </c>
      <c r="B236" s="2">
        <v>42478</v>
      </c>
      <c r="C236">
        <v>2</v>
      </c>
      <c r="D236">
        <v>520</v>
      </c>
      <c r="E236">
        <v>541</v>
      </c>
    </row>
    <row r="237" spans="1:5" x14ac:dyDescent="0.3">
      <c r="A237">
        <v>5553957443</v>
      </c>
      <c r="B237" s="2">
        <v>42479</v>
      </c>
      <c r="C237">
        <v>1</v>
      </c>
      <c r="D237">
        <v>357</v>
      </c>
      <c r="E237">
        <v>410</v>
      </c>
    </row>
    <row r="238" spans="1:5" x14ac:dyDescent="0.3">
      <c r="A238">
        <v>5553957443</v>
      </c>
      <c r="B238" s="2">
        <v>42480</v>
      </c>
      <c r="C238">
        <v>1</v>
      </c>
      <c r="D238">
        <v>658</v>
      </c>
      <c r="E238">
        <v>678</v>
      </c>
    </row>
    <row r="239" spans="1:5" x14ac:dyDescent="0.3">
      <c r="A239">
        <v>5553957443</v>
      </c>
      <c r="B239" s="2">
        <v>42481</v>
      </c>
      <c r="C239">
        <v>1</v>
      </c>
      <c r="D239">
        <v>399</v>
      </c>
      <c r="E239">
        <v>431</v>
      </c>
    </row>
    <row r="240" spans="1:5" x14ac:dyDescent="0.3">
      <c r="A240">
        <v>5553957443</v>
      </c>
      <c r="B240" s="2">
        <v>42482</v>
      </c>
      <c r="C240">
        <v>1</v>
      </c>
      <c r="D240">
        <v>322</v>
      </c>
      <c r="E240">
        <v>353</v>
      </c>
    </row>
    <row r="241" spans="1:5" x14ac:dyDescent="0.3">
      <c r="A241">
        <v>5553957443</v>
      </c>
      <c r="B241" s="2">
        <v>42483</v>
      </c>
      <c r="C241">
        <v>2</v>
      </c>
      <c r="D241">
        <v>631</v>
      </c>
      <c r="E241">
        <v>725</v>
      </c>
    </row>
    <row r="242" spans="1:5" x14ac:dyDescent="0.3">
      <c r="A242">
        <v>5553957443</v>
      </c>
      <c r="B242" s="2">
        <v>42484</v>
      </c>
      <c r="C242">
        <v>2</v>
      </c>
      <c r="D242">
        <v>553</v>
      </c>
      <c r="E242">
        <v>640</v>
      </c>
    </row>
    <row r="243" spans="1:5" x14ac:dyDescent="0.3">
      <c r="A243">
        <v>5553957443</v>
      </c>
      <c r="B243" s="2">
        <v>42485</v>
      </c>
      <c r="C243">
        <v>1</v>
      </c>
      <c r="D243">
        <v>433</v>
      </c>
      <c r="E243">
        <v>468</v>
      </c>
    </row>
    <row r="244" spans="1:5" x14ac:dyDescent="0.3">
      <c r="A244">
        <v>5553957443</v>
      </c>
      <c r="B244" s="2">
        <v>42486</v>
      </c>
      <c r="C244">
        <v>1</v>
      </c>
      <c r="D244">
        <v>412</v>
      </c>
      <c r="E244">
        <v>453</v>
      </c>
    </row>
    <row r="245" spans="1:5" x14ac:dyDescent="0.3">
      <c r="A245">
        <v>5553957443</v>
      </c>
      <c r="B245" s="2">
        <v>42487</v>
      </c>
      <c r="C245">
        <v>1</v>
      </c>
      <c r="D245">
        <v>347</v>
      </c>
      <c r="E245">
        <v>391</v>
      </c>
    </row>
    <row r="246" spans="1:5" x14ac:dyDescent="0.3">
      <c r="A246">
        <v>5553957443</v>
      </c>
      <c r="B246" s="2">
        <v>42488</v>
      </c>
      <c r="C246">
        <v>1</v>
      </c>
      <c r="D246">
        <v>421</v>
      </c>
      <c r="E246">
        <v>457</v>
      </c>
    </row>
    <row r="247" spans="1:5" x14ac:dyDescent="0.3">
      <c r="A247">
        <v>5553957443</v>
      </c>
      <c r="B247" s="2">
        <v>42489</v>
      </c>
      <c r="C247">
        <v>1</v>
      </c>
      <c r="D247">
        <v>450</v>
      </c>
      <c r="E247">
        <v>495</v>
      </c>
    </row>
    <row r="248" spans="1:5" x14ac:dyDescent="0.3">
      <c r="A248">
        <v>5553957443</v>
      </c>
      <c r="B248" s="2">
        <v>42490</v>
      </c>
      <c r="C248">
        <v>2</v>
      </c>
      <c r="D248">
        <v>775</v>
      </c>
      <c r="E248">
        <v>843</v>
      </c>
    </row>
    <row r="249" spans="1:5" x14ac:dyDescent="0.3">
      <c r="A249">
        <v>5553957443</v>
      </c>
      <c r="B249" s="2">
        <v>42491</v>
      </c>
      <c r="C249">
        <v>2</v>
      </c>
      <c r="D249">
        <v>622</v>
      </c>
      <c r="E249">
        <v>686</v>
      </c>
    </row>
    <row r="250" spans="1:5" x14ac:dyDescent="0.3">
      <c r="A250">
        <v>5553957443</v>
      </c>
      <c r="B250" s="2">
        <v>42492</v>
      </c>
      <c r="C250">
        <v>1</v>
      </c>
      <c r="D250">
        <v>409</v>
      </c>
      <c r="E250">
        <v>471</v>
      </c>
    </row>
    <row r="251" spans="1:5" x14ac:dyDescent="0.3">
      <c r="A251">
        <v>5553957443</v>
      </c>
      <c r="B251" s="2">
        <v>42493</v>
      </c>
      <c r="C251">
        <v>1</v>
      </c>
      <c r="D251">
        <v>380</v>
      </c>
      <c r="E251">
        <v>429</v>
      </c>
    </row>
    <row r="252" spans="1:5" x14ac:dyDescent="0.3">
      <c r="A252">
        <v>5553957443</v>
      </c>
      <c r="B252" s="2">
        <v>42494</v>
      </c>
      <c r="C252">
        <v>1</v>
      </c>
      <c r="D252">
        <v>447</v>
      </c>
      <c r="E252">
        <v>470</v>
      </c>
    </row>
    <row r="253" spans="1:5" x14ac:dyDescent="0.3">
      <c r="A253">
        <v>5553957443</v>
      </c>
      <c r="B253" s="2">
        <v>42495</v>
      </c>
      <c r="C253">
        <v>1</v>
      </c>
      <c r="D253">
        <v>419</v>
      </c>
      <c r="E253">
        <v>464</v>
      </c>
    </row>
    <row r="254" spans="1:5" x14ac:dyDescent="0.3">
      <c r="A254">
        <v>5553957443</v>
      </c>
      <c r="B254" s="2">
        <v>42496</v>
      </c>
      <c r="C254">
        <v>1</v>
      </c>
      <c r="D254">
        <v>400</v>
      </c>
      <c r="E254">
        <v>434</v>
      </c>
    </row>
    <row r="255" spans="1:5" x14ac:dyDescent="0.3">
      <c r="A255">
        <v>5553957443</v>
      </c>
      <c r="B255" s="2">
        <v>42497</v>
      </c>
      <c r="C255">
        <v>1</v>
      </c>
      <c r="D255">
        <v>442</v>
      </c>
      <c r="E255">
        <v>470</v>
      </c>
    </row>
    <row r="256" spans="1:5" x14ac:dyDescent="0.3">
      <c r="A256">
        <v>5553957443</v>
      </c>
      <c r="B256" s="2">
        <v>42498</v>
      </c>
      <c r="C256">
        <v>1</v>
      </c>
      <c r="D256">
        <v>568</v>
      </c>
      <c r="E256">
        <v>608</v>
      </c>
    </row>
    <row r="257" spans="1:5" x14ac:dyDescent="0.3">
      <c r="A257">
        <v>5553957443</v>
      </c>
      <c r="B257" s="2">
        <v>42499</v>
      </c>
      <c r="C257">
        <v>1</v>
      </c>
      <c r="D257">
        <v>453</v>
      </c>
      <c r="E257">
        <v>494</v>
      </c>
    </row>
    <row r="258" spans="1:5" x14ac:dyDescent="0.3">
      <c r="A258">
        <v>5553957443</v>
      </c>
      <c r="B258" s="2">
        <v>42500</v>
      </c>
      <c r="C258">
        <v>1</v>
      </c>
      <c r="D258">
        <v>418</v>
      </c>
      <c r="E258">
        <v>443</v>
      </c>
    </row>
    <row r="259" spans="1:5" x14ac:dyDescent="0.3">
      <c r="A259">
        <v>5553957443</v>
      </c>
      <c r="B259" s="2">
        <v>42501</v>
      </c>
      <c r="C259">
        <v>1</v>
      </c>
      <c r="D259">
        <v>463</v>
      </c>
      <c r="E259">
        <v>486</v>
      </c>
    </row>
    <row r="260" spans="1:5" x14ac:dyDescent="0.3">
      <c r="A260">
        <v>5553957443</v>
      </c>
      <c r="B260" s="2">
        <v>42502</v>
      </c>
      <c r="C260">
        <v>1</v>
      </c>
      <c r="D260">
        <v>438</v>
      </c>
      <c r="E260">
        <v>475</v>
      </c>
    </row>
    <row r="261" spans="1:5" x14ac:dyDescent="0.3">
      <c r="A261">
        <v>5577150313</v>
      </c>
      <c r="B261" s="2">
        <v>42472</v>
      </c>
      <c r="C261">
        <v>1</v>
      </c>
      <c r="D261">
        <v>419</v>
      </c>
      <c r="E261">
        <v>438</v>
      </c>
    </row>
    <row r="262" spans="1:5" x14ac:dyDescent="0.3">
      <c r="A262">
        <v>5577150313</v>
      </c>
      <c r="B262" s="2">
        <v>42473</v>
      </c>
      <c r="C262">
        <v>1</v>
      </c>
      <c r="D262">
        <v>432</v>
      </c>
      <c r="E262">
        <v>458</v>
      </c>
    </row>
    <row r="263" spans="1:5" x14ac:dyDescent="0.3">
      <c r="A263">
        <v>5577150313</v>
      </c>
      <c r="B263" s="2">
        <v>42474</v>
      </c>
      <c r="C263">
        <v>1</v>
      </c>
      <c r="D263">
        <v>477</v>
      </c>
      <c r="E263">
        <v>497</v>
      </c>
    </row>
    <row r="264" spans="1:5" x14ac:dyDescent="0.3">
      <c r="A264">
        <v>5577150313</v>
      </c>
      <c r="B264" s="2">
        <v>42475</v>
      </c>
      <c r="C264">
        <v>1</v>
      </c>
      <c r="D264">
        <v>392</v>
      </c>
      <c r="E264">
        <v>413</v>
      </c>
    </row>
    <row r="265" spans="1:5" x14ac:dyDescent="0.3">
      <c r="A265">
        <v>5577150313</v>
      </c>
      <c r="B265" s="2">
        <v>42476</v>
      </c>
      <c r="C265">
        <v>1</v>
      </c>
      <c r="D265">
        <v>406</v>
      </c>
      <c r="E265">
        <v>445</v>
      </c>
    </row>
    <row r="266" spans="1:5" x14ac:dyDescent="0.3">
      <c r="A266">
        <v>5577150313</v>
      </c>
      <c r="B266" s="2">
        <v>42477</v>
      </c>
      <c r="C266">
        <v>1</v>
      </c>
      <c r="D266">
        <v>549</v>
      </c>
      <c r="E266">
        <v>583</v>
      </c>
    </row>
    <row r="267" spans="1:5" x14ac:dyDescent="0.3">
      <c r="A267">
        <v>5577150313</v>
      </c>
      <c r="B267" s="2">
        <v>42478</v>
      </c>
      <c r="C267">
        <v>1</v>
      </c>
      <c r="D267">
        <v>527</v>
      </c>
      <c r="E267">
        <v>553</v>
      </c>
    </row>
    <row r="268" spans="1:5" x14ac:dyDescent="0.3">
      <c r="A268">
        <v>5577150313</v>
      </c>
      <c r="B268" s="2">
        <v>42479</v>
      </c>
      <c r="C268">
        <v>1</v>
      </c>
      <c r="D268">
        <v>449</v>
      </c>
      <c r="E268">
        <v>465</v>
      </c>
    </row>
    <row r="269" spans="1:5" x14ac:dyDescent="0.3">
      <c r="A269">
        <v>5577150313</v>
      </c>
      <c r="B269" s="2">
        <v>42480</v>
      </c>
      <c r="C269">
        <v>1</v>
      </c>
      <c r="D269">
        <v>447</v>
      </c>
      <c r="E269">
        <v>480</v>
      </c>
    </row>
    <row r="270" spans="1:5" x14ac:dyDescent="0.3">
      <c r="A270">
        <v>5577150313</v>
      </c>
      <c r="B270" s="2">
        <v>42481</v>
      </c>
      <c r="C270">
        <v>1</v>
      </c>
      <c r="D270">
        <v>414</v>
      </c>
      <c r="E270">
        <v>437</v>
      </c>
    </row>
    <row r="271" spans="1:5" x14ac:dyDescent="0.3">
      <c r="A271">
        <v>5577150313</v>
      </c>
      <c r="B271" s="2">
        <v>42482</v>
      </c>
      <c r="C271">
        <v>1</v>
      </c>
      <c r="D271">
        <v>338</v>
      </c>
      <c r="E271">
        <v>366</v>
      </c>
    </row>
    <row r="272" spans="1:5" x14ac:dyDescent="0.3">
      <c r="A272">
        <v>5577150313</v>
      </c>
      <c r="B272" s="2">
        <v>42483</v>
      </c>
      <c r="C272">
        <v>1</v>
      </c>
      <c r="D272">
        <v>384</v>
      </c>
      <c r="E272">
        <v>402</v>
      </c>
    </row>
    <row r="273" spans="1:5" x14ac:dyDescent="0.3">
      <c r="A273">
        <v>5577150313</v>
      </c>
      <c r="B273" s="2">
        <v>42484</v>
      </c>
      <c r="C273">
        <v>1</v>
      </c>
      <c r="D273">
        <v>543</v>
      </c>
      <c r="E273">
        <v>615</v>
      </c>
    </row>
    <row r="274" spans="1:5" x14ac:dyDescent="0.3">
      <c r="A274">
        <v>5577150313</v>
      </c>
      <c r="B274" s="2">
        <v>42485</v>
      </c>
      <c r="C274">
        <v>1</v>
      </c>
      <c r="D274">
        <v>421</v>
      </c>
      <c r="E274">
        <v>461</v>
      </c>
    </row>
    <row r="275" spans="1:5" x14ac:dyDescent="0.3">
      <c r="A275">
        <v>5577150313</v>
      </c>
      <c r="B275" s="2">
        <v>42486</v>
      </c>
      <c r="C275">
        <v>1</v>
      </c>
      <c r="D275">
        <v>354</v>
      </c>
      <c r="E275">
        <v>377</v>
      </c>
    </row>
    <row r="276" spans="1:5" x14ac:dyDescent="0.3">
      <c r="A276">
        <v>5577150313</v>
      </c>
      <c r="B276" s="2">
        <v>42487</v>
      </c>
      <c r="C276">
        <v>1</v>
      </c>
      <c r="D276">
        <v>424</v>
      </c>
      <c r="E276">
        <v>452</v>
      </c>
    </row>
    <row r="277" spans="1:5" x14ac:dyDescent="0.3">
      <c r="A277">
        <v>5577150313</v>
      </c>
      <c r="B277" s="2">
        <v>42488</v>
      </c>
      <c r="C277">
        <v>1</v>
      </c>
      <c r="D277">
        <v>361</v>
      </c>
      <c r="E277">
        <v>372</v>
      </c>
    </row>
    <row r="278" spans="1:5" x14ac:dyDescent="0.3">
      <c r="A278">
        <v>5577150313</v>
      </c>
      <c r="B278" s="2">
        <v>42489</v>
      </c>
      <c r="C278">
        <v>1</v>
      </c>
      <c r="D278">
        <v>459</v>
      </c>
      <c r="E278">
        <v>485</v>
      </c>
    </row>
    <row r="279" spans="1:5" x14ac:dyDescent="0.3">
      <c r="A279">
        <v>5577150313</v>
      </c>
      <c r="B279" s="2">
        <v>42490</v>
      </c>
      <c r="C279">
        <v>1</v>
      </c>
      <c r="D279">
        <v>412</v>
      </c>
      <c r="E279">
        <v>433</v>
      </c>
    </row>
    <row r="280" spans="1:5" x14ac:dyDescent="0.3">
      <c r="A280">
        <v>5577150313</v>
      </c>
      <c r="B280" s="2">
        <v>42491</v>
      </c>
      <c r="C280">
        <v>1</v>
      </c>
      <c r="D280">
        <v>379</v>
      </c>
      <c r="E280">
        <v>398</v>
      </c>
    </row>
    <row r="281" spans="1:5" x14ac:dyDescent="0.3">
      <c r="A281">
        <v>5577150313</v>
      </c>
      <c r="B281" s="2">
        <v>42492</v>
      </c>
      <c r="C281">
        <v>2</v>
      </c>
      <c r="D281">
        <v>525</v>
      </c>
      <c r="E281">
        <v>553</v>
      </c>
    </row>
    <row r="282" spans="1:5" x14ac:dyDescent="0.3">
      <c r="A282">
        <v>5577150313</v>
      </c>
      <c r="B282" s="2">
        <v>42493</v>
      </c>
      <c r="C282">
        <v>1</v>
      </c>
      <c r="D282">
        <v>508</v>
      </c>
      <c r="E282">
        <v>543</v>
      </c>
    </row>
    <row r="283" spans="1:5" x14ac:dyDescent="0.3">
      <c r="A283">
        <v>5577150313</v>
      </c>
      <c r="B283" s="2">
        <v>42494</v>
      </c>
      <c r="C283">
        <v>1</v>
      </c>
      <c r="D283">
        <v>603</v>
      </c>
      <c r="E283">
        <v>634</v>
      </c>
    </row>
    <row r="284" spans="1:5" x14ac:dyDescent="0.3">
      <c r="A284">
        <v>5577150313</v>
      </c>
      <c r="B284" s="2">
        <v>42495</v>
      </c>
      <c r="C284">
        <v>1</v>
      </c>
      <c r="D284">
        <v>74</v>
      </c>
      <c r="E284">
        <v>78</v>
      </c>
    </row>
    <row r="285" spans="1:5" x14ac:dyDescent="0.3">
      <c r="A285">
        <v>5577150313</v>
      </c>
      <c r="B285" s="2">
        <v>42500</v>
      </c>
      <c r="C285">
        <v>1</v>
      </c>
      <c r="D285">
        <v>504</v>
      </c>
      <c r="E285">
        <v>562</v>
      </c>
    </row>
    <row r="286" spans="1:5" x14ac:dyDescent="0.3">
      <c r="A286">
        <v>5577150313</v>
      </c>
      <c r="B286" s="2">
        <v>42501</v>
      </c>
      <c r="C286">
        <v>1</v>
      </c>
      <c r="D286">
        <v>431</v>
      </c>
      <c r="E286">
        <v>476</v>
      </c>
    </row>
    <row r="287" spans="1:5" x14ac:dyDescent="0.3">
      <c r="A287">
        <v>6117666160</v>
      </c>
      <c r="B287" s="2">
        <v>42476</v>
      </c>
      <c r="C287">
        <v>1</v>
      </c>
      <c r="D287">
        <v>380</v>
      </c>
      <c r="E287">
        <v>398</v>
      </c>
    </row>
    <row r="288" spans="1:5" x14ac:dyDescent="0.3">
      <c r="A288">
        <v>6117666160</v>
      </c>
      <c r="B288" s="2">
        <v>42477</v>
      </c>
      <c r="C288">
        <v>2</v>
      </c>
      <c r="D288">
        <v>336</v>
      </c>
      <c r="E288">
        <v>350</v>
      </c>
    </row>
    <row r="289" spans="1:5" x14ac:dyDescent="0.3">
      <c r="A289">
        <v>6117666160</v>
      </c>
      <c r="B289" s="2">
        <v>42478</v>
      </c>
      <c r="C289">
        <v>2</v>
      </c>
      <c r="D289">
        <v>493</v>
      </c>
      <c r="E289">
        <v>510</v>
      </c>
    </row>
    <row r="290" spans="1:5" x14ac:dyDescent="0.3">
      <c r="A290">
        <v>6117666160</v>
      </c>
      <c r="B290" s="2">
        <v>42479</v>
      </c>
      <c r="C290">
        <v>1</v>
      </c>
      <c r="D290">
        <v>465</v>
      </c>
      <c r="E290">
        <v>492</v>
      </c>
    </row>
    <row r="291" spans="1:5" x14ac:dyDescent="0.3">
      <c r="A291">
        <v>6117666160</v>
      </c>
      <c r="B291" s="2">
        <v>42480</v>
      </c>
      <c r="C291">
        <v>1</v>
      </c>
      <c r="D291">
        <v>474</v>
      </c>
      <c r="E291">
        <v>502</v>
      </c>
    </row>
    <row r="292" spans="1:5" x14ac:dyDescent="0.3">
      <c r="A292">
        <v>6117666160</v>
      </c>
      <c r="B292" s="2">
        <v>42481</v>
      </c>
      <c r="C292">
        <v>1</v>
      </c>
      <c r="D292">
        <v>508</v>
      </c>
      <c r="E292">
        <v>550</v>
      </c>
    </row>
    <row r="293" spans="1:5" x14ac:dyDescent="0.3">
      <c r="A293">
        <v>6117666160</v>
      </c>
      <c r="B293" s="2">
        <v>42482</v>
      </c>
      <c r="C293">
        <v>1</v>
      </c>
      <c r="D293">
        <v>480</v>
      </c>
      <c r="E293">
        <v>546</v>
      </c>
    </row>
    <row r="294" spans="1:5" x14ac:dyDescent="0.3">
      <c r="A294">
        <v>6117666160</v>
      </c>
      <c r="B294" s="2">
        <v>42483</v>
      </c>
      <c r="C294">
        <v>1</v>
      </c>
      <c r="D294">
        <v>492</v>
      </c>
      <c r="E294">
        <v>539</v>
      </c>
    </row>
    <row r="295" spans="1:5" x14ac:dyDescent="0.3">
      <c r="A295">
        <v>6117666160</v>
      </c>
      <c r="B295" s="2">
        <v>42484</v>
      </c>
      <c r="C295">
        <v>1</v>
      </c>
      <c r="D295">
        <v>353</v>
      </c>
      <c r="E295">
        <v>367</v>
      </c>
    </row>
    <row r="296" spans="1:5" x14ac:dyDescent="0.3">
      <c r="A296">
        <v>6117666160</v>
      </c>
      <c r="B296" s="2">
        <v>42487</v>
      </c>
      <c r="C296">
        <v>1</v>
      </c>
      <c r="D296">
        <v>542</v>
      </c>
      <c r="E296">
        <v>557</v>
      </c>
    </row>
    <row r="297" spans="1:5" x14ac:dyDescent="0.3">
      <c r="A297">
        <v>6117666160</v>
      </c>
      <c r="B297" s="2">
        <v>42488</v>
      </c>
      <c r="C297">
        <v>1</v>
      </c>
      <c r="D297">
        <v>393</v>
      </c>
      <c r="E297">
        <v>416</v>
      </c>
    </row>
    <row r="298" spans="1:5" x14ac:dyDescent="0.3">
      <c r="A298">
        <v>6117666160</v>
      </c>
      <c r="B298" s="2">
        <v>42489</v>
      </c>
      <c r="C298">
        <v>1</v>
      </c>
      <c r="D298">
        <v>600</v>
      </c>
      <c r="E298">
        <v>636</v>
      </c>
    </row>
    <row r="299" spans="1:5" x14ac:dyDescent="0.3">
      <c r="A299">
        <v>6117666160</v>
      </c>
      <c r="B299" s="2">
        <v>42491</v>
      </c>
      <c r="C299">
        <v>1</v>
      </c>
      <c r="D299">
        <v>507</v>
      </c>
      <c r="E299">
        <v>575</v>
      </c>
    </row>
    <row r="300" spans="1:5" x14ac:dyDescent="0.3">
      <c r="A300">
        <v>6117666160</v>
      </c>
      <c r="B300" s="2">
        <v>42495</v>
      </c>
      <c r="C300">
        <v>1</v>
      </c>
      <c r="D300">
        <v>392</v>
      </c>
      <c r="E300">
        <v>415</v>
      </c>
    </row>
    <row r="301" spans="1:5" x14ac:dyDescent="0.3">
      <c r="A301">
        <v>6117666160</v>
      </c>
      <c r="B301" s="2">
        <v>42496</v>
      </c>
      <c r="C301">
        <v>2</v>
      </c>
      <c r="D301">
        <v>658</v>
      </c>
      <c r="E301">
        <v>698</v>
      </c>
    </row>
    <row r="302" spans="1:5" x14ac:dyDescent="0.3">
      <c r="A302">
        <v>6117666160</v>
      </c>
      <c r="B302" s="2">
        <v>42497</v>
      </c>
      <c r="C302">
        <v>2</v>
      </c>
      <c r="D302">
        <v>498</v>
      </c>
      <c r="E302">
        <v>507</v>
      </c>
    </row>
    <row r="303" spans="1:5" x14ac:dyDescent="0.3">
      <c r="A303">
        <v>6117666160</v>
      </c>
      <c r="B303" s="2">
        <v>42498</v>
      </c>
      <c r="C303">
        <v>1</v>
      </c>
      <c r="D303">
        <v>555</v>
      </c>
      <c r="E303">
        <v>603</v>
      </c>
    </row>
    <row r="304" spans="1:5" x14ac:dyDescent="0.3">
      <c r="A304">
        <v>6117666160</v>
      </c>
      <c r="B304" s="2">
        <v>42499</v>
      </c>
      <c r="C304">
        <v>1</v>
      </c>
      <c r="D304">
        <v>492</v>
      </c>
      <c r="E304">
        <v>522</v>
      </c>
    </row>
    <row r="305" spans="1:5" x14ac:dyDescent="0.3">
      <c r="A305">
        <v>6775888955</v>
      </c>
      <c r="B305" s="2">
        <v>42473</v>
      </c>
      <c r="C305">
        <v>1</v>
      </c>
      <c r="D305">
        <v>235</v>
      </c>
      <c r="E305">
        <v>260</v>
      </c>
    </row>
    <row r="306" spans="1:5" x14ac:dyDescent="0.3">
      <c r="A306">
        <v>6775888955</v>
      </c>
      <c r="B306" s="2">
        <v>42474</v>
      </c>
      <c r="C306">
        <v>1</v>
      </c>
      <c r="D306">
        <v>423</v>
      </c>
      <c r="E306">
        <v>441</v>
      </c>
    </row>
    <row r="307" spans="1:5" x14ac:dyDescent="0.3">
      <c r="A307">
        <v>6775888955</v>
      </c>
      <c r="B307" s="2">
        <v>42475</v>
      </c>
      <c r="C307">
        <v>1</v>
      </c>
      <c r="D307">
        <v>391</v>
      </c>
      <c r="E307">
        <v>406</v>
      </c>
    </row>
    <row r="308" spans="1:5" x14ac:dyDescent="0.3">
      <c r="A308">
        <v>6962181067</v>
      </c>
      <c r="B308" s="2">
        <v>42472</v>
      </c>
      <c r="C308">
        <v>1</v>
      </c>
      <c r="D308">
        <v>366</v>
      </c>
      <c r="E308">
        <v>387</v>
      </c>
    </row>
    <row r="309" spans="1:5" x14ac:dyDescent="0.3">
      <c r="A309">
        <v>6962181067</v>
      </c>
      <c r="B309" s="2">
        <v>42473</v>
      </c>
      <c r="C309">
        <v>3</v>
      </c>
      <c r="D309">
        <v>630</v>
      </c>
      <c r="E309">
        <v>679</v>
      </c>
    </row>
    <row r="310" spans="1:5" x14ac:dyDescent="0.3">
      <c r="A310">
        <v>6962181067</v>
      </c>
      <c r="B310" s="2">
        <v>42474</v>
      </c>
      <c r="C310">
        <v>2</v>
      </c>
      <c r="D310">
        <v>508</v>
      </c>
      <c r="E310">
        <v>535</v>
      </c>
    </row>
    <row r="311" spans="1:5" x14ac:dyDescent="0.3">
      <c r="A311">
        <v>6962181067</v>
      </c>
      <c r="B311" s="2">
        <v>42475</v>
      </c>
      <c r="C311">
        <v>1</v>
      </c>
      <c r="D311">
        <v>370</v>
      </c>
      <c r="E311">
        <v>386</v>
      </c>
    </row>
    <row r="312" spans="1:5" x14ac:dyDescent="0.3">
      <c r="A312">
        <v>6962181067</v>
      </c>
      <c r="B312" s="2">
        <v>42476</v>
      </c>
      <c r="C312">
        <v>1</v>
      </c>
      <c r="D312">
        <v>357</v>
      </c>
      <c r="E312">
        <v>366</v>
      </c>
    </row>
    <row r="313" spans="1:5" x14ac:dyDescent="0.3">
      <c r="A313">
        <v>6962181067</v>
      </c>
      <c r="B313" s="2">
        <v>42477</v>
      </c>
      <c r="C313">
        <v>1</v>
      </c>
      <c r="D313">
        <v>427</v>
      </c>
      <c r="E313">
        <v>446</v>
      </c>
    </row>
    <row r="314" spans="1:5" x14ac:dyDescent="0.3">
      <c r="A314">
        <v>6962181067</v>
      </c>
      <c r="B314" s="2">
        <v>42478</v>
      </c>
      <c r="C314">
        <v>1</v>
      </c>
      <c r="D314">
        <v>442</v>
      </c>
      <c r="E314">
        <v>458</v>
      </c>
    </row>
    <row r="315" spans="1:5" x14ac:dyDescent="0.3">
      <c r="A315">
        <v>6962181067</v>
      </c>
      <c r="B315" s="2">
        <v>42479</v>
      </c>
      <c r="C315">
        <v>1</v>
      </c>
      <c r="D315">
        <v>476</v>
      </c>
      <c r="E315">
        <v>535</v>
      </c>
    </row>
    <row r="316" spans="1:5" x14ac:dyDescent="0.3">
      <c r="A316">
        <v>6962181067</v>
      </c>
      <c r="B316" s="2">
        <v>42480</v>
      </c>
      <c r="C316">
        <v>1</v>
      </c>
      <c r="D316">
        <v>418</v>
      </c>
      <c r="E316">
        <v>424</v>
      </c>
    </row>
    <row r="317" spans="1:5" x14ac:dyDescent="0.3">
      <c r="A317">
        <v>6962181067</v>
      </c>
      <c r="B317" s="2">
        <v>42481</v>
      </c>
      <c r="C317">
        <v>1</v>
      </c>
      <c r="D317">
        <v>451</v>
      </c>
      <c r="E317">
        <v>457</v>
      </c>
    </row>
    <row r="318" spans="1:5" x14ac:dyDescent="0.3">
      <c r="A318">
        <v>6962181067</v>
      </c>
      <c r="B318" s="2">
        <v>42482</v>
      </c>
      <c r="C318">
        <v>1</v>
      </c>
      <c r="D318">
        <v>425</v>
      </c>
      <c r="E318">
        <v>435</v>
      </c>
    </row>
    <row r="319" spans="1:5" x14ac:dyDescent="0.3">
      <c r="A319">
        <v>6962181067</v>
      </c>
      <c r="B319" s="2">
        <v>42483</v>
      </c>
      <c r="C319">
        <v>1</v>
      </c>
      <c r="D319">
        <v>528</v>
      </c>
      <c r="E319">
        <v>546</v>
      </c>
    </row>
    <row r="320" spans="1:5" x14ac:dyDescent="0.3">
      <c r="A320">
        <v>6962181067</v>
      </c>
      <c r="B320" s="2">
        <v>42484</v>
      </c>
      <c r="C320">
        <v>1</v>
      </c>
      <c r="D320">
        <v>511</v>
      </c>
      <c r="E320">
        <v>514</v>
      </c>
    </row>
    <row r="321" spans="1:5" x14ac:dyDescent="0.3">
      <c r="A321">
        <v>6962181067</v>
      </c>
      <c r="B321" s="2">
        <v>42485</v>
      </c>
      <c r="C321">
        <v>1</v>
      </c>
      <c r="D321">
        <v>400</v>
      </c>
      <c r="E321">
        <v>415</v>
      </c>
    </row>
    <row r="322" spans="1:5" x14ac:dyDescent="0.3">
      <c r="A322">
        <v>6962181067</v>
      </c>
      <c r="B322" s="2">
        <v>42486</v>
      </c>
      <c r="C322">
        <v>1</v>
      </c>
      <c r="D322">
        <v>441</v>
      </c>
      <c r="E322">
        <v>446</v>
      </c>
    </row>
    <row r="323" spans="1:5" x14ac:dyDescent="0.3">
      <c r="A323">
        <v>6962181067</v>
      </c>
      <c r="B323" s="2">
        <v>42487</v>
      </c>
      <c r="C323">
        <v>1</v>
      </c>
      <c r="D323">
        <v>455</v>
      </c>
      <c r="E323">
        <v>467</v>
      </c>
    </row>
    <row r="324" spans="1:5" x14ac:dyDescent="0.3">
      <c r="A324">
        <v>6962181067</v>
      </c>
      <c r="B324" s="2">
        <v>42488</v>
      </c>
      <c r="C324">
        <v>1</v>
      </c>
      <c r="D324">
        <v>440</v>
      </c>
      <c r="E324">
        <v>453</v>
      </c>
    </row>
    <row r="325" spans="1:5" x14ac:dyDescent="0.3">
      <c r="A325">
        <v>6962181067</v>
      </c>
      <c r="B325" s="2">
        <v>42489</v>
      </c>
      <c r="C325">
        <v>1</v>
      </c>
      <c r="D325">
        <v>433</v>
      </c>
      <c r="E325">
        <v>447</v>
      </c>
    </row>
    <row r="326" spans="1:5" x14ac:dyDescent="0.3">
      <c r="A326">
        <v>6962181067</v>
      </c>
      <c r="B326" s="2">
        <v>42490</v>
      </c>
      <c r="C326">
        <v>1</v>
      </c>
      <c r="D326">
        <v>422</v>
      </c>
      <c r="E326">
        <v>424</v>
      </c>
    </row>
    <row r="327" spans="1:5" x14ac:dyDescent="0.3">
      <c r="A327">
        <v>6962181067</v>
      </c>
      <c r="B327" s="2">
        <v>42491</v>
      </c>
      <c r="C327">
        <v>1</v>
      </c>
      <c r="D327">
        <v>411</v>
      </c>
      <c r="E327">
        <v>426</v>
      </c>
    </row>
    <row r="328" spans="1:5" x14ac:dyDescent="0.3">
      <c r="A328">
        <v>6962181067</v>
      </c>
      <c r="B328" s="2">
        <v>42492</v>
      </c>
      <c r="C328">
        <v>1</v>
      </c>
      <c r="D328">
        <v>466</v>
      </c>
      <c r="E328">
        <v>482</v>
      </c>
    </row>
    <row r="329" spans="1:5" x14ac:dyDescent="0.3">
      <c r="A329">
        <v>6962181067</v>
      </c>
      <c r="B329" s="2">
        <v>42493</v>
      </c>
      <c r="C329">
        <v>1</v>
      </c>
      <c r="D329">
        <v>394</v>
      </c>
      <c r="E329">
        <v>418</v>
      </c>
    </row>
    <row r="330" spans="1:5" x14ac:dyDescent="0.3">
      <c r="A330">
        <v>6962181067</v>
      </c>
      <c r="B330" s="2">
        <v>42494</v>
      </c>
      <c r="C330">
        <v>1</v>
      </c>
      <c r="D330">
        <v>442</v>
      </c>
      <c r="E330">
        <v>455</v>
      </c>
    </row>
    <row r="331" spans="1:5" x14ac:dyDescent="0.3">
      <c r="A331">
        <v>6962181067</v>
      </c>
      <c r="B331" s="2">
        <v>42495</v>
      </c>
      <c r="C331">
        <v>1</v>
      </c>
      <c r="D331">
        <v>467</v>
      </c>
      <c r="E331">
        <v>491</v>
      </c>
    </row>
    <row r="332" spans="1:5" x14ac:dyDescent="0.3">
      <c r="A332">
        <v>6962181067</v>
      </c>
      <c r="B332" s="2">
        <v>42496</v>
      </c>
      <c r="C332">
        <v>1</v>
      </c>
      <c r="D332">
        <v>443</v>
      </c>
      <c r="E332">
        <v>462</v>
      </c>
    </row>
    <row r="333" spans="1:5" x14ac:dyDescent="0.3">
      <c r="A333">
        <v>6962181067</v>
      </c>
      <c r="B333" s="2">
        <v>42497</v>
      </c>
      <c r="C333">
        <v>1</v>
      </c>
      <c r="D333">
        <v>298</v>
      </c>
      <c r="E333">
        <v>334</v>
      </c>
    </row>
    <row r="334" spans="1:5" x14ac:dyDescent="0.3">
      <c r="A334">
        <v>6962181067</v>
      </c>
      <c r="B334" s="2">
        <v>42498</v>
      </c>
      <c r="C334">
        <v>1</v>
      </c>
      <c r="D334">
        <v>541</v>
      </c>
      <c r="E334">
        <v>569</v>
      </c>
    </row>
    <row r="335" spans="1:5" x14ac:dyDescent="0.3">
      <c r="A335">
        <v>6962181067</v>
      </c>
      <c r="B335" s="2">
        <v>42499</v>
      </c>
      <c r="C335">
        <v>1</v>
      </c>
      <c r="D335">
        <v>489</v>
      </c>
      <c r="E335">
        <v>497</v>
      </c>
    </row>
    <row r="336" spans="1:5" x14ac:dyDescent="0.3">
      <c r="A336">
        <v>6962181067</v>
      </c>
      <c r="B336" s="2">
        <v>42500</v>
      </c>
      <c r="C336">
        <v>1</v>
      </c>
      <c r="D336">
        <v>469</v>
      </c>
      <c r="E336">
        <v>481</v>
      </c>
    </row>
    <row r="337" spans="1:5" x14ac:dyDescent="0.3">
      <c r="A337">
        <v>6962181067</v>
      </c>
      <c r="B337" s="2">
        <v>42501</v>
      </c>
      <c r="C337">
        <v>1</v>
      </c>
      <c r="D337">
        <v>452</v>
      </c>
      <c r="E337">
        <v>480</v>
      </c>
    </row>
    <row r="338" spans="1:5" x14ac:dyDescent="0.3">
      <c r="A338">
        <v>6962181067</v>
      </c>
      <c r="B338" s="2">
        <v>42502</v>
      </c>
      <c r="C338">
        <v>1</v>
      </c>
      <c r="D338">
        <v>516</v>
      </c>
      <c r="E338">
        <v>535</v>
      </c>
    </row>
    <row r="339" spans="1:5" x14ac:dyDescent="0.3">
      <c r="A339">
        <v>7007744171</v>
      </c>
      <c r="B339" s="2">
        <v>42476</v>
      </c>
      <c r="C339">
        <v>1</v>
      </c>
      <c r="D339">
        <v>79</v>
      </c>
      <c r="E339">
        <v>82</v>
      </c>
    </row>
    <row r="340" spans="1:5" x14ac:dyDescent="0.3">
      <c r="A340">
        <v>7007744171</v>
      </c>
      <c r="B340" s="2">
        <v>42491</v>
      </c>
      <c r="C340">
        <v>1</v>
      </c>
      <c r="D340">
        <v>58</v>
      </c>
      <c r="E340">
        <v>61</v>
      </c>
    </row>
    <row r="341" spans="1:5" x14ac:dyDescent="0.3">
      <c r="A341">
        <v>7086361926</v>
      </c>
      <c r="B341" s="2">
        <v>42472</v>
      </c>
      <c r="C341">
        <v>1</v>
      </c>
      <c r="D341">
        <v>514</v>
      </c>
      <c r="E341">
        <v>525</v>
      </c>
    </row>
    <row r="342" spans="1:5" x14ac:dyDescent="0.3">
      <c r="A342">
        <v>7086361926</v>
      </c>
      <c r="B342" s="2">
        <v>42473</v>
      </c>
      <c r="C342">
        <v>1</v>
      </c>
      <c r="D342">
        <v>451</v>
      </c>
      <c r="E342">
        <v>465</v>
      </c>
    </row>
    <row r="343" spans="1:5" x14ac:dyDescent="0.3">
      <c r="A343">
        <v>7086361926</v>
      </c>
      <c r="B343" s="2">
        <v>42474</v>
      </c>
      <c r="C343">
        <v>1</v>
      </c>
      <c r="D343">
        <v>472</v>
      </c>
      <c r="E343">
        <v>476</v>
      </c>
    </row>
    <row r="344" spans="1:5" x14ac:dyDescent="0.3">
      <c r="A344">
        <v>7086361926</v>
      </c>
      <c r="B344" s="2">
        <v>42475</v>
      </c>
      <c r="C344">
        <v>1</v>
      </c>
      <c r="D344">
        <v>377</v>
      </c>
      <c r="E344">
        <v>386</v>
      </c>
    </row>
    <row r="345" spans="1:5" x14ac:dyDescent="0.3">
      <c r="A345">
        <v>7086361926</v>
      </c>
      <c r="B345" s="2">
        <v>42479</v>
      </c>
      <c r="C345">
        <v>1</v>
      </c>
      <c r="D345">
        <v>472</v>
      </c>
      <c r="E345">
        <v>483</v>
      </c>
    </row>
    <row r="346" spans="1:5" x14ac:dyDescent="0.3">
      <c r="A346">
        <v>7086361926</v>
      </c>
      <c r="B346" s="2">
        <v>42480</v>
      </c>
      <c r="C346">
        <v>1</v>
      </c>
      <c r="D346">
        <v>492</v>
      </c>
      <c r="E346">
        <v>502</v>
      </c>
    </row>
    <row r="347" spans="1:5" x14ac:dyDescent="0.3">
      <c r="A347">
        <v>7086361926</v>
      </c>
      <c r="B347" s="2">
        <v>42481</v>
      </c>
      <c r="C347">
        <v>1</v>
      </c>
      <c r="D347">
        <v>390</v>
      </c>
      <c r="E347">
        <v>411</v>
      </c>
    </row>
    <row r="348" spans="1:5" x14ac:dyDescent="0.3">
      <c r="A348">
        <v>7086361926</v>
      </c>
      <c r="B348" s="2">
        <v>42482</v>
      </c>
      <c r="C348">
        <v>1</v>
      </c>
      <c r="D348">
        <v>428</v>
      </c>
      <c r="E348">
        <v>448</v>
      </c>
    </row>
    <row r="349" spans="1:5" x14ac:dyDescent="0.3">
      <c r="A349">
        <v>7086361926</v>
      </c>
      <c r="B349" s="2">
        <v>42484</v>
      </c>
      <c r="C349">
        <v>1</v>
      </c>
      <c r="D349">
        <v>681</v>
      </c>
      <c r="E349">
        <v>704</v>
      </c>
    </row>
    <row r="350" spans="1:5" x14ac:dyDescent="0.3">
      <c r="A350">
        <v>7086361926</v>
      </c>
      <c r="B350" s="2">
        <v>42485</v>
      </c>
      <c r="C350">
        <v>1</v>
      </c>
      <c r="D350">
        <v>446</v>
      </c>
      <c r="E350">
        <v>447</v>
      </c>
    </row>
    <row r="351" spans="1:5" x14ac:dyDescent="0.3">
      <c r="A351">
        <v>7086361926</v>
      </c>
      <c r="B351" s="2">
        <v>42486</v>
      </c>
      <c r="C351">
        <v>1</v>
      </c>
      <c r="D351">
        <v>485</v>
      </c>
      <c r="E351">
        <v>500</v>
      </c>
    </row>
    <row r="352" spans="1:5" x14ac:dyDescent="0.3">
      <c r="A352">
        <v>7086361926</v>
      </c>
      <c r="B352" s="2">
        <v>42487</v>
      </c>
      <c r="C352">
        <v>1</v>
      </c>
      <c r="D352">
        <v>469</v>
      </c>
      <c r="E352">
        <v>479</v>
      </c>
    </row>
    <row r="353" spans="1:5" x14ac:dyDescent="0.3">
      <c r="A353">
        <v>7086361926</v>
      </c>
      <c r="B353" s="2">
        <v>42488</v>
      </c>
      <c r="C353">
        <v>1</v>
      </c>
      <c r="D353">
        <v>354</v>
      </c>
      <c r="E353">
        <v>367</v>
      </c>
    </row>
    <row r="354" spans="1:5" x14ac:dyDescent="0.3">
      <c r="A354">
        <v>7086361926</v>
      </c>
      <c r="B354" s="2">
        <v>42490</v>
      </c>
      <c r="C354">
        <v>1</v>
      </c>
      <c r="D354">
        <v>485</v>
      </c>
      <c r="E354">
        <v>489</v>
      </c>
    </row>
    <row r="355" spans="1:5" x14ac:dyDescent="0.3">
      <c r="A355">
        <v>7086361926</v>
      </c>
      <c r="B355" s="2">
        <v>42491</v>
      </c>
      <c r="C355">
        <v>1</v>
      </c>
      <c r="D355">
        <v>388</v>
      </c>
      <c r="E355">
        <v>407</v>
      </c>
    </row>
    <row r="356" spans="1:5" x14ac:dyDescent="0.3">
      <c r="A356">
        <v>7086361926</v>
      </c>
      <c r="B356" s="2">
        <v>42492</v>
      </c>
      <c r="C356">
        <v>1</v>
      </c>
      <c r="D356">
        <v>440</v>
      </c>
      <c r="E356">
        <v>459</v>
      </c>
    </row>
    <row r="357" spans="1:5" x14ac:dyDescent="0.3">
      <c r="A357">
        <v>7086361926</v>
      </c>
      <c r="B357" s="2">
        <v>42493</v>
      </c>
      <c r="C357">
        <v>1</v>
      </c>
      <c r="D357">
        <v>456</v>
      </c>
      <c r="E357">
        <v>461</v>
      </c>
    </row>
    <row r="358" spans="1:5" x14ac:dyDescent="0.3">
      <c r="A358">
        <v>7086361926</v>
      </c>
      <c r="B358" s="2">
        <v>42494</v>
      </c>
      <c r="C358">
        <v>1</v>
      </c>
      <c r="D358">
        <v>420</v>
      </c>
      <c r="E358">
        <v>436</v>
      </c>
    </row>
    <row r="359" spans="1:5" x14ac:dyDescent="0.3">
      <c r="A359">
        <v>7086361926</v>
      </c>
      <c r="B359" s="2">
        <v>42496</v>
      </c>
      <c r="C359">
        <v>1</v>
      </c>
      <c r="D359">
        <v>322</v>
      </c>
      <c r="E359">
        <v>333</v>
      </c>
    </row>
    <row r="360" spans="1:5" x14ac:dyDescent="0.3">
      <c r="A360">
        <v>7086361926</v>
      </c>
      <c r="B360" s="2">
        <v>42497</v>
      </c>
      <c r="C360">
        <v>1</v>
      </c>
      <c r="D360">
        <v>530</v>
      </c>
      <c r="E360">
        <v>548</v>
      </c>
    </row>
    <row r="361" spans="1:5" x14ac:dyDescent="0.3">
      <c r="A361">
        <v>7086361926</v>
      </c>
      <c r="B361" s="2">
        <v>42498</v>
      </c>
      <c r="C361">
        <v>1</v>
      </c>
      <c r="D361">
        <v>481</v>
      </c>
      <c r="E361">
        <v>510</v>
      </c>
    </row>
    <row r="362" spans="1:5" x14ac:dyDescent="0.3">
      <c r="A362">
        <v>7086361926</v>
      </c>
      <c r="B362" s="2">
        <v>42499</v>
      </c>
      <c r="C362">
        <v>1</v>
      </c>
      <c r="D362">
        <v>427</v>
      </c>
      <c r="E362">
        <v>438</v>
      </c>
    </row>
    <row r="363" spans="1:5" x14ac:dyDescent="0.3">
      <c r="A363">
        <v>7086361926</v>
      </c>
      <c r="B363" s="2">
        <v>42501</v>
      </c>
      <c r="C363">
        <v>1</v>
      </c>
      <c r="D363">
        <v>451</v>
      </c>
      <c r="E363">
        <v>463</v>
      </c>
    </row>
    <row r="364" spans="1:5" x14ac:dyDescent="0.3">
      <c r="A364">
        <v>7086361926</v>
      </c>
      <c r="B364" s="2">
        <v>42502</v>
      </c>
      <c r="C364">
        <v>1</v>
      </c>
      <c r="D364">
        <v>444</v>
      </c>
      <c r="E364">
        <v>457</v>
      </c>
    </row>
    <row r="365" spans="1:5" x14ac:dyDescent="0.3">
      <c r="A365">
        <v>8053475328</v>
      </c>
      <c r="B365" s="2">
        <v>42480</v>
      </c>
      <c r="C365">
        <v>1</v>
      </c>
      <c r="D365">
        <v>486</v>
      </c>
      <c r="E365">
        <v>493</v>
      </c>
    </row>
    <row r="366" spans="1:5" x14ac:dyDescent="0.3">
      <c r="A366">
        <v>8053475328</v>
      </c>
      <c r="B366" s="2">
        <v>42483</v>
      </c>
      <c r="C366">
        <v>1</v>
      </c>
      <c r="D366">
        <v>331</v>
      </c>
      <c r="E366">
        <v>337</v>
      </c>
    </row>
    <row r="367" spans="1:5" x14ac:dyDescent="0.3">
      <c r="A367">
        <v>8053475328</v>
      </c>
      <c r="B367" s="2">
        <v>42497</v>
      </c>
      <c r="C367">
        <v>1</v>
      </c>
      <c r="D367">
        <v>74</v>
      </c>
      <c r="E367">
        <v>75</v>
      </c>
    </row>
    <row r="368" spans="1:5" x14ac:dyDescent="0.3">
      <c r="A368">
        <v>8378563200</v>
      </c>
      <c r="B368" s="2">
        <v>42472</v>
      </c>
      <c r="C368">
        <v>1</v>
      </c>
      <c r="D368">
        <v>338</v>
      </c>
      <c r="E368">
        <v>356</v>
      </c>
    </row>
    <row r="369" spans="1:5" x14ac:dyDescent="0.3">
      <c r="A369">
        <v>8378563200</v>
      </c>
      <c r="B369" s="2">
        <v>42473</v>
      </c>
      <c r="C369">
        <v>2</v>
      </c>
      <c r="D369">
        <v>447</v>
      </c>
      <c r="E369">
        <v>487</v>
      </c>
    </row>
    <row r="370" spans="1:5" x14ac:dyDescent="0.3">
      <c r="A370">
        <v>8378563200</v>
      </c>
      <c r="B370" s="2">
        <v>42474</v>
      </c>
      <c r="C370">
        <v>1</v>
      </c>
      <c r="D370">
        <v>424</v>
      </c>
      <c r="E370">
        <v>455</v>
      </c>
    </row>
    <row r="371" spans="1:5" x14ac:dyDescent="0.3">
      <c r="A371">
        <v>8378563200</v>
      </c>
      <c r="B371" s="2">
        <v>42475</v>
      </c>
      <c r="C371">
        <v>1</v>
      </c>
      <c r="D371">
        <v>513</v>
      </c>
      <c r="E371">
        <v>533</v>
      </c>
    </row>
    <row r="372" spans="1:5" x14ac:dyDescent="0.3">
      <c r="A372">
        <v>8378563200</v>
      </c>
      <c r="B372" s="2">
        <v>42476</v>
      </c>
      <c r="C372">
        <v>2</v>
      </c>
      <c r="D372">
        <v>611</v>
      </c>
      <c r="E372">
        <v>689</v>
      </c>
    </row>
    <row r="373" spans="1:5" x14ac:dyDescent="0.3">
      <c r="A373">
        <v>8378563200</v>
      </c>
      <c r="B373" s="2">
        <v>42477</v>
      </c>
      <c r="C373">
        <v>2</v>
      </c>
      <c r="D373">
        <v>525</v>
      </c>
      <c r="E373">
        <v>591</v>
      </c>
    </row>
    <row r="374" spans="1:5" x14ac:dyDescent="0.3">
      <c r="A374">
        <v>8378563200</v>
      </c>
      <c r="B374" s="2">
        <v>42478</v>
      </c>
      <c r="C374">
        <v>1</v>
      </c>
      <c r="D374">
        <v>398</v>
      </c>
      <c r="E374">
        <v>451</v>
      </c>
    </row>
    <row r="375" spans="1:5" x14ac:dyDescent="0.3">
      <c r="A375">
        <v>8378563200</v>
      </c>
      <c r="B375" s="2">
        <v>42479</v>
      </c>
      <c r="C375">
        <v>1</v>
      </c>
      <c r="D375">
        <v>387</v>
      </c>
      <c r="E375">
        <v>421</v>
      </c>
    </row>
    <row r="376" spans="1:5" x14ac:dyDescent="0.3">
      <c r="A376">
        <v>8378563200</v>
      </c>
      <c r="B376" s="2">
        <v>42480</v>
      </c>
      <c r="C376">
        <v>1</v>
      </c>
      <c r="D376">
        <v>381</v>
      </c>
      <c r="E376">
        <v>409</v>
      </c>
    </row>
    <row r="377" spans="1:5" x14ac:dyDescent="0.3">
      <c r="A377">
        <v>8378563200</v>
      </c>
      <c r="B377" s="2">
        <v>42481</v>
      </c>
      <c r="C377">
        <v>1</v>
      </c>
      <c r="D377">
        <v>396</v>
      </c>
      <c r="E377">
        <v>417</v>
      </c>
    </row>
    <row r="378" spans="1:5" x14ac:dyDescent="0.3">
      <c r="A378">
        <v>8378563200</v>
      </c>
      <c r="B378" s="2">
        <v>42482</v>
      </c>
      <c r="C378">
        <v>1</v>
      </c>
      <c r="D378">
        <v>441</v>
      </c>
      <c r="E378">
        <v>469</v>
      </c>
    </row>
    <row r="379" spans="1:5" x14ac:dyDescent="0.3">
      <c r="A379">
        <v>8378563200</v>
      </c>
      <c r="B379" s="2">
        <v>42483</v>
      </c>
      <c r="C379">
        <v>1</v>
      </c>
      <c r="D379">
        <v>565</v>
      </c>
      <c r="E379">
        <v>591</v>
      </c>
    </row>
    <row r="380" spans="1:5" x14ac:dyDescent="0.3">
      <c r="A380">
        <v>8378563200</v>
      </c>
      <c r="B380" s="2">
        <v>42484</v>
      </c>
      <c r="C380">
        <v>1</v>
      </c>
      <c r="D380">
        <v>458</v>
      </c>
      <c r="E380">
        <v>492</v>
      </c>
    </row>
    <row r="381" spans="1:5" x14ac:dyDescent="0.3">
      <c r="A381">
        <v>8378563200</v>
      </c>
      <c r="B381" s="2">
        <v>42485</v>
      </c>
      <c r="C381">
        <v>1</v>
      </c>
      <c r="D381">
        <v>388</v>
      </c>
      <c r="E381">
        <v>402</v>
      </c>
    </row>
    <row r="382" spans="1:5" x14ac:dyDescent="0.3">
      <c r="A382">
        <v>8378563200</v>
      </c>
      <c r="B382" s="2">
        <v>42485</v>
      </c>
      <c r="C382">
        <v>1</v>
      </c>
      <c r="D382">
        <v>388</v>
      </c>
      <c r="E382">
        <v>402</v>
      </c>
    </row>
    <row r="383" spans="1:5" x14ac:dyDescent="0.3">
      <c r="A383">
        <v>8378563200</v>
      </c>
      <c r="B383" s="2">
        <v>42486</v>
      </c>
      <c r="C383">
        <v>1</v>
      </c>
      <c r="D383">
        <v>550</v>
      </c>
      <c r="E383">
        <v>584</v>
      </c>
    </row>
    <row r="384" spans="1:5" x14ac:dyDescent="0.3">
      <c r="A384">
        <v>8378563200</v>
      </c>
      <c r="B384" s="2">
        <v>42487</v>
      </c>
      <c r="C384">
        <v>1</v>
      </c>
      <c r="D384">
        <v>531</v>
      </c>
      <c r="E384">
        <v>600</v>
      </c>
    </row>
    <row r="385" spans="1:5" x14ac:dyDescent="0.3">
      <c r="A385">
        <v>8378563200</v>
      </c>
      <c r="B385" s="2">
        <v>42488</v>
      </c>
      <c r="C385">
        <v>1</v>
      </c>
      <c r="D385">
        <v>506</v>
      </c>
      <c r="E385">
        <v>556</v>
      </c>
    </row>
    <row r="386" spans="1:5" x14ac:dyDescent="0.3">
      <c r="A386">
        <v>8378563200</v>
      </c>
      <c r="B386" s="2">
        <v>42489</v>
      </c>
      <c r="C386">
        <v>1</v>
      </c>
      <c r="D386">
        <v>527</v>
      </c>
      <c r="E386">
        <v>562</v>
      </c>
    </row>
    <row r="387" spans="1:5" x14ac:dyDescent="0.3">
      <c r="A387">
        <v>8378563200</v>
      </c>
      <c r="B387" s="2">
        <v>42490</v>
      </c>
      <c r="C387">
        <v>1</v>
      </c>
      <c r="D387">
        <v>468</v>
      </c>
      <c r="E387">
        <v>555</v>
      </c>
    </row>
    <row r="388" spans="1:5" x14ac:dyDescent="0.3">
      <c r="A388">
        <v>8378563200</v>
      </c>
      <c r="B388" s="2">
        <v>42491</v>
      </c>
      <c r="C388">
        <v>1</v>
      </c>
      <c r="D388">
        <v>475</v>
      </c>
      <c r="E388">
        <v>539</v>
      </c>
    </row>
    <row r="389" spans="1:5" x14ac:dyDescent="0.3">
      <c r="A389">
        <v>8378563200</v>
      </c>
      <c r="B389" s="2">
        <v>42492</v>
      </c>
      <c r="C389">
        <v>1</v>
      </c>
      <c r="D389">
        <v>351</v>
      </c>
      <c r="E389">
        <v>385</v>
      </c>
    </row>
    <row r="390" spans="1:5" x14ac:dyDescent="0.3">
      <c r="A390">
        <v>8378563200</v>
      </c>
      <c r="B390" s="2">
        <v>42493</v>
      </c>
      <c r="C390">
        <v>1</v>
      </c>
      <c r="D390">
        <v>405</v>
      </c>
      <c r="E390">
        <v>429</v>
      </c>
    </row>
    <row r="391" spans="1:5" x14ac:dyDescent="0.3">
      <c r="A391">
        <v>8378563200</v>
      </c>
      <c r="B391" s="2">
        <v>42494</v>
      </c>
      <c r="C391">
        <v>1</v>
      </c>
      <c r="D391">
        <v>441</v>
      </c>
      <c r="E391">
        <v>477</v>
      </c>
    </row>
    <row r="392" spans="1:5" x14ac:dyDescent="0.3">
      <c r="A392">
        <v>8378563200</v>
      </c>
      <c r="B392" s="2">
        <v>42495</v>
      </c>
      <c r="C392">
        <v>1</v>
      </c>
      <c r="D392">
        <v>381</v>
      </c>
      <c r="E392">
        <v>417</v>
      </c>
    </row>
    <row r="393" spans="1:5" x14ac:dyDescent="0.3">
      <c r="A393">
        <v>8378563200</v>
      </c>
      <c r="B393" s="2">
        <v>42496</v>
      </c>
      <c r="C393">
        <v>1</v>
      </c>
      <c r="D393">
        <v>323</v>
      </c>
      <c r="E393">
        <v>355</v>
      </c>
    </row>
    <row r="394" spans="1:5" x14ac:dyDescent="0.3">
      <c r="A394">
        <v>8378563200</v>
      </c>
      <c r="B394" s="2">
        <v>42497</v>
      </c>
      <c r="C394">
        <v>2</v>
      </c>
      <c r="D394">
        <v>459</v>
      </c>
      <c r="E394">
        <v>513</v>
      </c>
    </row>
    <row r="395" spans="1:5" x14ac:dyDescent="0.3">
      <c r="A395">
        <v>8378563200</v>
      </c>
      <c r="B395" s="2">
        <v>42498</v>
      </c>
      <c r="C395">
        <v>1</v>
      </c>
      <c r="D395">
        <v>545</v>
      </c>
      <c r="E395">
        <v>606</v>
      </c>
    </row>
    <row r="396" spans="1:5" x14ac:dyDescent="0.3">
      <c r="A396">
        <v>8378563200</v>
      </c>
      <c r="B396" s="2">
        <v>42499</v>
      </c>
      <c r="C396">
        <v>1</v>
      </c>
      <c r="D396">
        <v>359</v>
      </c>
      <c r="E396">
        <v>399</v>
      </c>
    </row>
    <row r="397" spans="1:5" x14ac:dyDescent="0.3">
      <c r="A397">
        <v>8378563200</v>
      </c>
      <c r="B397" s="2">
        <v>42500</v>
      </c>
      <c r="C397">
        <v>1</v>
      </c>
      <c r="D397">
        <v>342</v>
      </c>
      <c r="E397">
        <v>391</v>
      </c>
    </row>
    <row r="398" spans="1:5" x14ac:dyDescent="0.3">
      <c r="A398">
        <v>8378563200</v>
      </c>
      <c r="B398" s="2">
        <v>42501</v>
      </c>
      <c r="C398">
        <v>1</v>
      </c>
      <c r="D398">
        <v>368</v>
      </c>
      <c r="E398">
        <v>387</v>
      </c>
    </row>
    <row r="399" spans="1:5" x14ac:dyDescent="0.3">
      <c r="A399">
        <v>8378563200</v>
      </c>
      <c r="B399" s="2">
        <v>42502</v>
      </c>
      <c r="C399">
        <v>1</v>
      </c>
      <c r="D399">
        <v>496</v>
      </c>
      <c r="E399">
        <v>546</v>
      </c>
    </row>
    <row r="400" spans="1:5" x14ac:dyDescent="0.3">
      <c r="A400">
        <v>8792009665</v>
      </c>
      <c r="B400" s="2">
        <v>42472</v>
      </c>
      <c r="C400">
        <v>1</v>
      </c>
      <c r="D400">
        <v>458</v>
      </c>
      <c r="E400">
        <v>493</v>
      </c>
    </row>
    <row r="401" spans="1:5" x14ac:dyDescent="0.3">
      <c r="A401">
        <v>8792009665</v>
      </c>
      <c r="B401" s="2">
        <v>42473</v>
      </c>
      <c r="C401">
        <v>1</v>
      </c>
      <c r="D401">
        <v>531</v>
      </c>
      <c r="E401">
        <v>552</v>
      </c>
    </row>
    <row r="402" spans="1:5" x14ac:dyDescent="0.3">
      <c r="A402">
        <v>8792009665</v>
      </c>
      <c r="B402" s="2">
        <v>42474</v>
      </c>
      <c r="C402">
        <v>1</v>
      </c>
      <c r="D402">
        <v>486</v>
      </c>
      <c r="E402">
        <v>503</v>
      </c>
    </row>
    <row r="403" spans="1:5" x14ac:dyDescent="0.3">
      <c r="A403">
        <v>8792009665</v>
      </c>
      <c r="B403" s="2">
        <v>42475</v>
      </c>
      <c r="C403">
        <v>1</v>
      </c>
      <c r="D403">
        <v>363</v>
      </c>
      <c r="E403">
        <v>377</v>
      </c>
    </row>
    <row r="404" spans="1:5" x14ac:dyDescent="0.3">
      <c r="A404">
        <v>8792009665</v>
      </c>
      <c r="B404" s="2">
        <v>42480</v>
      </c>
      <c r="C404">
        <v>1</v>
      </c>
      <c r="D404">
        <v>528</v>
      </c>
      <c r="E404">
        <v>547</v>
      </c>
    </row>
    <row r="405" spans="1:5" x14ac:dyDescent="0.3">
      <c r="A405">
        <v>8792009665</v>
      </c>
      <c r="B405" s="2">
        <v>42482</v>
      </c>
      <c r="C405">
        <v>1</v>
      </c>
      <c r="D405">
        <v>391</v>
      </c>
      <c r="E405">
        <v>407</v>
      </c>
    </row>
    <row r="406" spans="1:5" x14ac:dyDescent="0.3">
      <c r="A406">
        <v>8792009665</v>
      </c>
      <c r="B406" s="2">
        <v>42483</v>
      </c>
      <c r="C406">
        <v>1</v>
      </c>
      <c r="D406">
        <v>339</v>
      </c>
      <c r="E406">
        <v>360</v>
      </c>
    </row>
    <row r="407" spans="1:5" x14ac:dyDescent="0.3">
      <c r="A407">
        <v>8792009665</v>
      </c>
      <c r="B407" s="2">
        <v>42487</v>
      </c>
      <c r="C407">
        <v>1</v>
      </c>
      <c r="D407">
        <v>423</v>
      </c>
      <c r="E407">
        <v>428</v>
      </c>
    </row>
    <row r="408" spans="1:5" x14ac:dyDescent="0.3">
      <c r="A408">
        <v>8792009665</v>
      </c>
      <c r="B408" s="2">
        <v>42488</v>
      </c>
      <c r="C408">
        <v>1</v>
      </c>
      <c r="D408">
        <v>402</v>
      </c>
      <c r="E408">
        <v>416</v>
      </c>
    </row>
    <row r="409" spans="1:5" x14ac:dyDescent="0.3">
      <c r="A409">
        <v>8792009665</v>
      </c>
      <c r="B409" s="2">
        <v>42489</v>
      </c>
      <c r="C409">
        <v>1</v>
      </c>
      <c r="D409">
        <v>398</v>
      </c>
      <c r="E409">
        <v>406</v>
      </c>
    </row>
    <row r="410" spans="1:5" x14ac:dyDescent="0.3">
      <c r="A410">
        <v>8792009665</v>
      </c>
      <c r="B410" s="2">
        <v>42490</v>
      </c>
      <c r="C410">
        <v>1</v>
      </c>
      <c r="D410">
        <v>343</v>
      </c>
      <c r="E410">
        <v>360</v>
      </c>
    </row>
    <row r="411" spans="1:5" x14ac:dyDescent="0.3">
      <c r="A411">
        <v>8792009665</v>
      </c>
      <c r="B411" s="2">
        <v>42491</v>
      </c>
      <c r="C411">
        <v>1</v>
      </c>
      <c r="D411">
        <v>503</v>
      </c>
      <c r="E411">
        <v>527</v>
      </c>
    </row>
    <row r="412" spans="1:5" x14ac:dyDescent="0.3">
      <c r="A412">
        <v>8792009665</v>
      </c>
      <c r="B412" s="2">
        <v>42492</v>
      </c>
      <c r="C412">
        <v>1</v>
      </c>
      <c r="D412">
        <v>415</v>
      </c>
      <c r="E412">
        <v>423</v>
      </c>
    </row>
    <row r="413" spans="1:5" x14ac:dyDescent="0.3">
      <c r="A413">
        <v>8792009665</v>
      </c>
      <c r="B413" s="2">
        <v>42493</v>
      </c>
      <c r="C413">
        <v>1</v>
      </c>
      <c r="D413">
        <v>516</v>
      </c>
      <c r="E413">
        <v>545</v>
      </c>
    </row>
    <row r="414" spans="1:5" x14ac:dyDescent="0.3">
      <c r="A414">
        <v>8792009665</v>
      </c>
      <c r="B414" s="2">
        <v>42494</v>
      </c>
      <c r="C414">
        <v>1</v>
      </c>
      <c r="D414">
        <v>439</v>
      </c>
      <c r="E414">
        <v>463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DDC2-C92E-40CC-BAA0-831A5CE64C49}">
  <sheetPr>
    <tabColor rgb="FFFFFF00"/>
  </sheetPr>
  <dimension ref="A1:I6"/>
  <sheetViews>
    <sheetView topLeftCell="A11" zoomScale="130" zoomScaleNormal="130" workbookViewId="0">
      <selection activeCell="J3" sqref="J3"/>
    </sheetView>
  </sheetViews>
  <sheetFormatPr defaultRowHeight="14.4" x14ac:dyDescent="0.3"/>
  <cols>
    <col min="1" max="1" width="15" customWidth="1"/>
    <col min="2" max="2" width="12.5546875" customWidth="1"/>
    <col min="3" max="3" width="14.33203125" customWidth="1"/>
    <col min="4" max="4" width="13.6640625" customWidth="1"/>
    <col min="5" max="5" width="12.5546875" style="1" customWidth="1"/>
    <col min="6" max="6" width="10.6640625" style="1" customWidth="1"/>
    <col min="7" max="7" width="16.44140625" customWidth="1"/>
    <col min="8" max="8" width="14.109375" customWidth="1"/>
    <col min="9" max="9" width="34.6640625" customWidth="1"/>
  </cols>
  <sheetData>
    <row r="1" spans="1:9" x14ac:dyDescent="0.3">
      <c r="A1" s="3" t="s">
        <v>19</v>
      </c>
      <c r="B1" s="3" t="s">
        <v>21</v>
      </c>
      <c r="C1" s="3" t="s">
        <v>22</v>
      </c>
      <c r="D1" s="3" t="s">
        <v>20</v>
      </c>
      <c r="E1" s="4" t="s">
        <v>23</v>
      </c>
      <c r="F1" s="4" t="s">
        <v>24</v>
      </c>
      <c r="G1" s="3" t="s">
        <v>25</v>
      </c>
      <c r="H1" s="3" t="s">
        <v>26</v>
      </c>
      <c r="I1" s="3" t="s">
        <v>27</v>
      </c>
    </row>
    <row r="2" spans="1:9" ht="28.8" x14ac:dyDescent="0.3">
      <c r="A2" t="s">
        <v>28</v>
      </c>
      <c r="B2">
        <f>ROWS(tbl_raw_daily_1[])</f>
        <v>940</v>
      </c>
      <c r="C2">
        <f>COLUMNS(tbl_raw_daily_1[])</f>
        <v>15</v>
      </c>
      <c r="D2">
        <f>COUNTA(_xlfn.UNIQUE(tbl_raw_daily_1[Id]))</f>
        <v>33</v>
      </c>
      <c r="E2" s="1">
        <f>MIN(tbl_raw_daily_1[ActivityDate])</f>
        <v>42472</v>
      </c>
      <c r="F2" s="1">
        <f>MAX(tbl_raw_daily_1[ActivityDate])</f>
        <v>42502</v>
      </c>
      <c r="G2" t="s">
        <v>30</v>
      </c>
      <c r="H2">
        <f>SUM(COUNTBLANK(tbl_raw_daily_1[Id]),COUNTBLANK(tbl_raw_daily_1[ActivityDate]),COUNTBLANK(tbl_raw_daily_1[TotalSteps]),COUNTBLANK(tbl_raw_daily_1[TotalDistance]),COUNTBLANK(tbl_raw_daily_1[TrackerDistance]),COUNTBLANK(tbl_raw_daily_1[LoggedActivitiesDistance]),COUNTBLANK(tbl_raw_daily_1[VeryActiveDistance]),COUNTBLANK(tbl_raw_daily_1[ModeratelyActiveDistance]),COUNTBLANK(tbl_raw_daily_1[LightActiveDistance]),COUNTBLANK(tbl_raw_daily_1[SedentaryActiveDistance]),COUNTBLANK(tbl_raw_daily_1[VeryActiveMinutes]),COUNTBLANK(tbl_raw_daily_1[FairlyActiveMinutes]),COUNTBLANK(tbl_raw_daily_1[LightlyActiveMinutes]),COUNTBLANK(tbl_raw_daily_1[SedentaryMinutes]),COUNTBLANK(tbl_raw_daily_1[Calories]))</f>
        <v>0</v>
      </c>
      <c r="I2" s="10" t="s">
        <v>45</v>
      </c>
    </row>
    <row r="3" spans="1:9" ht="28.8" x14ac:dyDescent="0.3">
      <c r="A3" t="s">
        <v>29</v>
      </c>
      <c r="B3">
        <f>ROWS(tbl_raw_daily_2[])</f>
        <v>457</v>
      </c>
      <c r="C3">
        <f>COLUMNS(tbl_raw_daily_2[])</f>
        <v>15</v>
      </c>
      <c r="D3">
        <f>COUNTA(_xlfn.UNIQUE(tbl_raw_daily_2[Id]))</f>
        <v>35</v>
      </c>
      <c r="E3" s="1">
        <f>MIN(tbl_raw_daily_2[ActivityDate])</f>
        <v>42441</v>
      </c>
      <c r="F3" s="1">
        <f>MAX(tbl_raw_daily_2[ActivityDate])</f>
        <v>42472</v>
      </c>
      <c r="G3" t="s">
        <v>30</v>
      </c>
      <c r="H3">
        <f>SUM(COUNTBLANK(tbl_raw_daily_2[Id]),COUNTBLANK(tbl_raw_daily_2[ActivityDate]),COUNTBLANK(tbl_raw_daily_2[TotalSteps]),COUNTBLANK(tbl_raw_daily_2[TotalDistance]),COUNTBLANK(tbl_raw_daily_2[TrackerDistance]),COUNTBLANK(tbl_raw_daily_2[LoggedActivitiesDistance]),COUNTBLANK(tbl_raw_daily_2[VeryActiveDistance]),COUNTBLANK(tbl_raw_daily_2[ModeratelyActiveDistance]),COUNTBLANK(tbl_raw_daily_2[LightActiveDistance]),COUNTBLANK(tbl_raw_daily_2[SedentaryActiveDistance]),COUNTBLANK(tbl_raw_daily_2[VeryActiveMinutes]),COUNTBLANK(tbl_raw_daily_2[FairlyActiveMinutes]),COUNTBLANK(tbl_raw_daily_2[LightlyActiveMinutes]),COUNTBLANK(tbl_raw_daily_2[SedentaryMinutes]),COUNTBLANK(tbl_raw_daily_2[Calories]))</f>
        <v>0</v>
      </c>
      <c r="I3" s="10" t="s">
        <v>46</v>
      </c>
    </row>
    <row r="4" spans="1:9" ht="43.2" x14ac:dyDescent="0.3">
      <c r="A4" t="s">
        <v>15</v>
      </c>
      <c r="B4">
        <f>ROWS(tbl_raw_sleep[])</f>
        <v>413</v>
      </c>
      <c r="C4">
        <f>COLUMNS(tbl_raw_sleep[])</f>
        <v>5</v>
      </c>
      <c r="D4">
        <f>COUNTA(_xlfn.UNIQUE(tbl_raw_sleep[Id]))</f>
        <v>24</v>
      </c>
      <c r="E4" s="1">
        <f>MIN(tbl_raw_sleep[SleepDay])</f>
        <v>42472</v>
      </c>
      <c r="F4" s="1">
        <f>MAX(tbl_raw_sleep[SleepDay])</f>
        <v>42502</v>
      </c>
      <c r="G4" t="s">
        <v>30</v>
      </c>
      <c r="H4">
        <f>SUM(COUNTBLANK(tbl_raw_sleep[Id]),COUNTBLANK(tbl_raw_sleep[SleepDay]),COUNTBLANK(tbl_raw_sleep[TotalSleepRecords]),COUNTBLANK(tbl_raw_sleep[TotalMinutesAsleep]),COUNTBLANK(tbl_raw_sleep[TotalTimeInBed]))</f>
        <v>0</v>
      </c>
      <c r="I4" s="9" t="s">
        <v>47</v>
      </c>
    </row>
    <row r="6" spans="1:9" s="6" customFormat="1" ht="192" x14ac:dyDescent="0.25">
      <c r="A6" s="8" t="s">
        <v>48</v>
      </c>
      <c r="E6" s="7"/>
      <c r="F6"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6342-6F26-478A-BEAB-F1CE85C3AC38}">
  <sheetPr>
    <tabColor theme="9"/>
  </sheetPr>
  <dimension ref="A1:X1048576"/>
  <sheetViews>
    <sheetView topLeftCell="A2" zoomScale="130" zoomScaleNormal="130" workbookViewId="0">
      <selection activeCell="A3" sqref="A3"/>
    </sheetView>
  </sheetViews>
  <sheetFormatPr defaultRowHeight="14.4" x14ac:dyDescent="0.3"/>
  <cols>
    <col min="1" max="1" width="12.5546875" customWidth="1"/>
    <col min="2" max="2" width="12.6640625" customWidth="1"/>
    <col min="3" max="3" width="11.5546875" customWidth="1"/>
    <col min="4" max="4" width="14.109375" customWidth="1"/>
    <col min="5" max="5" width="16.21875" customWidth="1"/>
    <col min="6" max="6" width="23.77734375" customWidth="1"/>
    <col min="7" max="7" width="19.33203125" customWidth="1"/>
    <col min="8" max="8" width="24.77734375" customWidth="1"/>
    <col min="9" max="9" width="19.33203125" customWidth="1"/>
    <col min="10" max="10" width="23.88671875" customWidth="1"/>
    <col min="11" max="11" width="18.21875" customWidth="1"/>
    <col min="12" max="12" width="19.33203125" customWidth="1"/>
    <col min="13" max="13" width="20.21875" customWidth="1"/>
    <col min="14" max="14" width="17.88671875" customWidth="1"/>
    <col min="15" max="15" width="10.21875" customWidth="1"/>
    <col min="16" max="16" width="12.44140625" customWidth="1"/>
    <col min="18" max="18" width="19.109375" customWidth="1"/>
    <col min="19" max="19" width="14.77734375" customWidth="1"/>
    <col min="20" max="20" width="19.44140625" customWidth="1"/>
    <col min="21" max="21" width="15.88671875" customWidth="1"/>
    <col min="22" max="22" width="15.33203125" customWidth="1"/>
    <col min="23" max="23" width="24" customWidth="1"/>
    <col min="24" max="24" width="14.21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84</v>
      </c>
      <c r="Q1" t="s">
        <v>85</v>
      </c>
      <c r="R1" t="s">
        <v>86</v>
      </c>
      <c r="S1" t="s">
        <v>87</v>
      </c>
      <c r="T1" t="s">
        <v>88</v>
      </c>
      <c r="U1" t="s">
        <v>89</v>
      </c>
      <c r="V1" t="s">
        <v>90</v>
      </c>
      <c r="W1" t="s">
        <v>138</v>
      </c>
      <c r="X1" t="s">
        <v>139</v>
      </c>
    </row>
    <row r="2" spans="1:24" x14ac:dyDescent="0.3">
      <c r="A2">
        <v>1503960366</v>
      </c>
      <c r="B2" s="1">
        <v>42454</v>
      </c>
      <c r="C2">
        <v>11004</v>
      </c>
      <c r="D2">
        <v>7.1100001335143999</v>
      </c>
      <c r="E2">
        <v>7.1100001335143999</v>
      </c>
      <c r="F2">
        <v>0</v>
      </c>
      <c r="G2">
        <v>2.5699999332428001</v>
      </c>
      <c r="H2">
        <v>0.46000000834464999</v>
      </c>
      <c r="I2">
        <v>4.0700001716613796</v>
      </c>
      <c r="J2">
        <v>0</v>
      </c>
      <c r="K2">
        <v>33</v>
      </c>
      <c r="L2">
        <v>12</v>
      </c>
      <c r="M2">
        <v>205</v>
      </c>
      <c r="N2">
        <v>804</v>
      </c>
      <c r="O2">
        <v>1819</v>
      </c>
      <c r="P2" t="str">
        <f>TEXT(tbl_working_daily[[#This Row],[ActivityDate]],"dddd")</f>
        <v>Friday</v>
      </c>
      <c r="Q2" t="str">
        <f>TEXT(tbl_working_daily[[#This Row],[ActivityDate]],"mmmm")</f>
        <v>March</v>
      </c>
      <c r="R2">
        <f t="shared" ref="R2:R65" si="0">K2+L2+M2</f>
        <v>250</v>
      </c>
      <c r="S2">
        <f t="shared" ref="S2:S65" si="1">R2+N2</f>
        <v>1054</v>
      </c>
      <c r="T2">
        <f>ROUND(tbl_working_daily[[#This Row],[SedentaryMinutes]]/60,2)</f>
        <v>13.4</v>
      </c>
      <c r="U2" t="str" cm="1">
        <f t="array" ref="U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 t="str" cm="1">
        <f t="array" ref="V2">_xlfn.IFS(tbl_working_daily[[#This Row],[VeryActiveMinutes]]&gt;=30,"Very Active",tbl_working_daily[[#This Row],[VeryActiveMinutes]]&gt;=15,"Moderately Active",tbl_working_daily[[#This Row],[VeryActiveMinutes]]&gt;=1,"Lightly Active",tbl_working_daily[[#This Row],[VeryActiveMinutes]]=0,"Sedentary")</f>
        <v>Very Active</v>
      </c>
      <c r="W2" t="str">
        <f>tbl_working_daily[[#This Row],[Id]]&amp;"|"&amp;TEXT(tbl_working_daily[[#This Row],[ActivityDate]],"yyyy-mm-dd")</f>
        <v>1503960366|2016-03-25</v>
      </c>
      <c r="X2" t="b">
        <f>ISNUMBER(MATCH(tbl_working_daily[[#This Row],[LookupKey]],tbl_working_sleep[LookupKey],0))</f>
        <v>0</v>
      </c>
    </row>
    <row r="3" spans="1:24" x14ac:dyDescent="0.3">
      <c r="A3">
        <v>1503960366</v>
      </c>
      <c r="B3" s="1">
        <v>42455</v>
      </c>
      <c r="C3">
        <v>17609</v>
      </c>
      <c r="D3">
        <v>11.550000190734901</v>
      </c>
      <c r="E3">
        <v>11.550000190734901</v>
      </c>
      <c r="F3">
        <v>0</v>
      </c>
      <c r="G3">
        <v>6.9200000762939498</v>
      </c>
      <c r="H3">
        <v>0.730000019073486</v>
      </c>
      <c r="I3">
        <v>3.9100000858306898</v>
      </c>
      <c r="J3">
        <v>0</v>
      </c>
      <c r="K3">
        <v>89</v>
      </c>
      <c r="L3">
        <v>17</v>
      </c>
      <c r="M3">
        <v>274</v>
      </c>
      <c r="N3">
        <v>588</v>
      </c>
      <c r="O3">
        <v>2154</v>
      </c>
      <c r="P3" t="str">
        <f>TEXT(tbl_working_daily[[#This Row],[ActivityDate]],"dddd")</f>
        <v>Saturday</v>
      </c>
      <c r="Q3" t="str">
        <f>TEXT(tbl_working_daily[[#This Row],[ActivityDate]],"mmmm")</f>
        <v>March</v>
      </c>
      <c r="R3">
        <f t="shared" si="0"/>
        <v>380</v>
      </c>
      <c r="S3">
        <f t="shared" si="1"/>
        <v>968</v>
      </c>
      <c r="T3">
        <f>ROUND(tbl_working_daily[[#This Row],[SedentaryMinutes]]/60,2)</f>
        <v>9.8000000000000007</v>
      </c>
      <c r="U3" t="str" cm="1">
        <f t="array" ref="U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 t="str" cm="1">
        <f t="array" ref="V3">_xlfn.IFS(tbl_working_daily[[#This Row],[VeryActiveMinutes]]&gt;=30,"Very Active",tbl_working_daily[[#This Row],[VeryActiveMinutes]]&gt;=15,"Moderately Active",tbl_working_daily[[#This Row],[VeryActiveMinutes]]&gt;=1,"Lightly Active",tbl_working_daily[[#This Row],[VeryActiveMinutes]]=0,"Sedentary")</f>
        <v>Very Active</v>
      </c>
      <c r="W3" t="str">
        <f>tbl_working_daily[[#This Row],[Id]]&amp;"|"&amp;TEXT(tbl_working_daily[[#This Row],[ActivityDate]],"yyyy-mm-dd")</f>
        <v>1503960366|2016-03-26</v>
      </c>
      <c r="X3" t="b">
        <f>ISNUMBER(MATCH(tbl_working_daily[[#This Row],[LookupKey]],tbl_working_sleep[LookupKey],0))</f>
        <v>0</v>
      </c>
    </row>
    <row r="4" spans="1:24" x14ac:dyDescent="0.3">
      <c r="A4">
        <v>1503960366</v>
      </c>
      <c r="B4" s="1">
        <v>42456</v>
      </c>
      <c r="C4">
        <v>12736</v>
      </c>
      <c r="D4">
        <v>8.5299997329711896</v>
      </c>
      <c r="E4">
        <v>8.5299997329711896</v>
      </c>
      <c r="F4">
        <v>0</v>
      </c>
      <c r="G4">
        <v>4.6599998474121103</v>
      </c>
      <c r="H4">
        <v>0.15999999642372101</v>
      </c>
      <c r="I4">
        <v>3.71000003814697</v>
      </c>
      <c r="J4">
        <v>0</v>
      </c>
      <c r="K4">
        <v>56</v>
      </c>
      <c r="L4">
        <v>5</v>
      </c>
      <c r="M4">
        <v>268</v>
      </c>
      <c r="N4">
        <v>605</v>
      </c>
      <c r="O4">
        <v>1944</v>
      </c>
      <c r="P4" t="str">
        <f>TEXT(tbl_working_daily[[#This Row],[ActivityDate]],"dddd")</f>
        <v>Sunday</v>
      </c>
      <c r="Q4" t="str">
        <f>TEXT(tbl_working_daily[[#This Row],[ActivityDate]],"mmmm")</f>
        <v>March</v>
      </c>
      <c r="R4">
        <f t="shared" si="0"/>
        <v>329</v>
      </c>
      <c r="S4">
        <f t="shared" si="1"/>
        <v>934</v>
      </c>
      <c r="T4">
        <f>ROUND(tbl_working_daily[[#This Row],[SedentaryMinutes]]/60,2)</f>
        <v>10.08</v>
      </c>
      <c r="U4" t="str" cm="1">
        <f t="array" ref="U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 t="str" cm="1">
        <f t="array" ref="V4">_xlfn.IFS(tbl_working_daily[[#This Row],[VeryActiveMinutes]]&gt;=30,"Very Active",tbl_working_daily[[#This Row],[VeryActiveMinutes]]&gt;=15,"Moderately Active",tbl_working_daily[[#This Row],[VeryActiveMinutes]]&gt;=1,"Lightly Active",tbl_working_daily[[#This Row],[VeryActiveMinutes]]=0,"Sedentary")</f>
        <v>Very Active</v>
      </c>
      <c r="W4" t="str">
        <f>tbl_working_daily[[#This Row],[Id]]&amp;"|"&amp;TEXT(tbl_working_daily[[#This Row],[ActivityDate]],"yyyy-mm-dd")</f>
        <v>1503960366|2016-03-27</v>
      </c>
      <c r="X4" t="b">
        <f>ISNUMBER(MATCH(tbl_working_daily[[#This Row],[LookupKey]],tbl_working_sleep[LookupKey],0))</f>
        <v>0</v>
      </c>
    </row>
    <row r="5" spans="1:24" x14ac:dyDescent="0.3">
      <c r="A5">
        <v>1503960366</v>
      </c>
      <c r="B5" s="1">
        <v>42457</v>
      </c>
      <c r="C5">
        <v>13231</v>
      </c>
      <c r="D5">
        <v>8.9300003051757795</v>
      </c>
      <c r="E5">
        <v>8.9300003051757795</v>
      </c>
      <c r="F5">
        <v>0</v>
      </c>
      <c r="G5">
        <v>3.1900000572204599</v>
      </c>
      <c r="H5">
        <v>0.79000002145767201</v>
      </c>
      <c r="I5">
        <v>4.9499998092651403</v>
      </c>
      <c r="J5">
        <v>0</v>
      </c>
      <c r="K5">
        <v>39</v>
      </c>
      <c r="L5">
        <v>20</v>
      </c>
      <c r="M5">
        <v>224</v>
      </c>
      <c r="N5">
        <v>1080</v>
      </c>
      <c r="O5">
        <v>1932</v>
      </c>
      <c r="P5" t="str">
        <f>TEXT(tbl_working_daily[[#This Row],[ActivityDate]],"dddd")</f>
        <v>Monday</v>
      </c>
      <c r="Q5" t="str">
        <f>TEXT(tbl_working_daily[[#This Row],[ActivityDate]],"mmmm")</f>
        <v>March</v>
      </c>
      <c r="R5">
        <f t="shared" si="0"/>
        <v>283</v>
      </c>
      <c r="S5">
        <f t="shared" si="1"/>
        <v>1363</v>
      </c>
      <c r="T5">
        <f>ROUND(tbl_working_daily[[#This Row],[SedentaryMinutes]]/60,2)</f>
        <v>18</v>
      </c>
      <c r="U5" t="str" cm="1">
        <f t="array" ref="U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5" t="str" cm="1">
        <f t="array" ref="V5">_xlfn.IFS(tbl_working_daily[[#This Row],[VeryActiveMinutes]]&gt;=30,"Very Active",tbl_working_daily[[#This Row],[VeryActiveMinutes]]&gt;=15,"Moderately Active",tbl_working_daily[[#This Row],[VeryActiveMinutes]]&gt;=1,"Lightly Active",tbl_working_daily[[#This Row],[VeryActiveMinutes]]=0,"Sedentary")</f>
        <v>Very Active</v>
      </c>
      <c r="W5" t="str">
        <f>tbl_working_daily[[#This Row],[Id]]&amp;"|"&amp;TEXT(tbl_working_daily[[#This Row],[ActivityDate]],"yyyy-mm-dd")</f>
        <v>1503960366|2016-03-28</v>
      </c>
      <c r="X5" t="b">
        <f>ISNUMBER(MATCH(tbl_working_daily[[#This Row],[LookupKey]],tbl_working_sleep[LookupKey],0))</f>
        <v>0</v>
      </c>
    </row>
    <row r="6" spans="1:24" x14ac:dyDescent="0.3">
      <c r="A6">
        <v>1503960366</v>
      </c>
      <c r="B6" s="1">
        <v>42458</v>
      </c>
      <c r="C6">
        <v>12041</v>
      </c>
      <c r="D6">
        <v>7.8499999046325701</v>
      </c>
      <c r="E6">
        <v>7.8499999046325701</v>
      </c>
      <c r="F6">
        <v>0</v>
      </c>
      <c r="G6">
        <v>2.1600000858306898</v>
      </c>
      <c r="H6">
        <v>1.0900000333786</v>
      </c>
      <c r="I6">
        <v>4.6100001335143999</v>
      </c>
      <c r="J6">
        <v>0</v>
      </c>
      <c r="K6">
        <v>28</v>
      </c>
      <c r="L6">
        <v>28</v>
      </c>
      <c r="M6">
        <v>243</v>
      </c>
      <c r="N6">
        <v>763</v>
      </c>
      <c r="O6">
        <v>1886</v>
      </c>
      <c r="P6" t="str">
        <f>TEXT(tbl_working_daily[[#This Row],[ActivityDate]],"dddd")</f>
        <v>Tuesday</v>
      </c>
      <c r="Q6" t="str">
        <f>TEXT(tbl_working_daily[[#This Row],[ActivityDate]],"mmmm")</f>
        <v>March</v>
      </c>
      <c r="R6">
        <f t="shared" si="0"/>
        <v>299</v>
      </c>
      <c r="S6">
        <f t="shared" si="1"/>
        <v>1062</v>
      </c>
      <c r="T6">
        <f>ROUND(tbl_working_daily[[#This Row],[SedentaryMinutes]]/60,2)</f>
        <v>12.72</v>
      </c>
      <c r="U6" t="str" cm="1">
        <f t="array" ref="U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 t="str" cm="1">
        <f t="array" ref="V6">_xlfn.IFS(tbl_working_daily[[#This Row],[VeryActiveMinutes]]&gt;=30,"Very Active",tbl_working_daily[[#This Row],[VeryActiveMinutes]]&gt;=15,"Moderately Active",tbl_working_daily[[#This Row],[VeryActiveMinutes]]&gt;=1,"Lightly Active",tbl_working_daily[[#This Row],[VeryActiveMinutes]]=0,"Sedentary")</f>
        <v>Moderately Active</v>
      </c>
      <c r="W6" t="str">
        <f>tbl_working_daily[[#This Row],[Id]]&amp;"|"&amp;TEXT(tbl_working_daily[[#This Row],[ActivityDate]],"yyyy-mm-dd")</f>
        <v>1503960366|2016-03-29</v>
      </c>
      <c r="X6" t="b">
        <f>ISNUMBER(MATCH(tbl_working_daily[[#This Row],[LookupKey]],tbl_working_sleep[LookupKey],0))</f>
        <v>0</v>
      </c>
    </row>
    <row r="7" spans="1:24" x14ac:dyDescent="0.3">
      <c r="A7">
        <v>1503960366</v>
      </c>
      <c r="B7" s="1">
        <v>42459</v>
      </c>
      <c r="C7">
        <v>10970</v>
      </c>
      <c r="D7">
        <v>7.1599998474121103</v>
      </c>
      <c r="E7">
        <v>7.1599998474121103</v>
      </c>
      <c r="F7">
        <v>0</v>
      </c>
      <c r="G7">
        <v>2.3599998950958301</v>
      </c>
      <c r="H7">
        <v>0.50999999046325695</v>
      </c>
      <c r="I7">
        <v>4.28999996185303</v>
      </c>
      <c r="J7">
        <v>0</v>
      </c>
      <c r="K7">
        <v>30</v>
      </c>
      <c r="L7">
        <v>13</v>
      </c>
      <c r="M7">
        <v>223</v>
      </c>
      <c r="N7">
        <v>1174</v>
      </c>
      <c r="O7">
        <v>1820</v>
      </c>
      <c r="P7" t="str">
        <f>TEXT(tbl_working_daily[[#This Row],[ActivityDate]],"dddd")</f>
        <v>Wednesday</v>
      </c>
      <c r="Q7" t="str">
        <f>TEXT(tbl_working_daily[[#This Row],[ActivityDate]],"mmmm")</f>
        <v>March</v>
      </c>
      <c r="R7">
        <f t="shared" si="0"/>
        <v>266</v>
      </c>
      <c r="S7">
        <f t="shared" si="1"/>
        <v>1440</v>
      </c>
      <c r="T7">
        <f>ROUND(tbl_working_daily[[#This Row],[SedentaryMinutes]]/60,2)</f>
        <v>19.57</v>
      </c>
      <c r="U7" t="str" cm="1">
        <f t="array" ref="U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 t="str" cm="1">
        <f t="array" ref="V7">_xlfn.IFS(tbl_working_daily[[#This Row],[VeryActiveMinutes]]&gt;=30,"Very Active",tbl_working_daily[[#This Row],[VeryActiveMinutes]]&gt;=15,"Moderately Active",tbl_working_daily[[#This Row],[VeryActiveMinutes]]&gt;=1,"Lightly Active",tbl_working_daily[[#This Row],[VeryActiveMinutes]]=0,"Sedentary")</f>
        <v>Very Active</v>
      </c>
      <c r="W7" t="str">
        <f>tbl_working_daily[[#This Row],[Id]]&amp;"|"&amp;TEXT(tbl_working_daily[[#This Row],[ActivityDate]],"yyyy-mm-dd")</f>
        <v>1503960366|2016-03-30</v>
      </c>
      <c r="X7" t="b">
        <f>ISNUMBER(MATCH(tbl_working_daily[[#This Row],[LookupKey]],tbl_working_sleep[LookupKey],0))</f>
        <v>0</v>
      </c>
    </row>
    <row r="8" spans="1:24" x14ac:dyDescent="0.3">
      <c r="A8">
        <v>1503960366</v>
      </c>
      <c r="B8" s="1">
        <v>42460</v>
      </c>
      <c r="C8">
        <v>12256</v>
      </c>
      <c r="D8">
        <v>7.8600001335143999</v>
      </c>
      <c r="E8">
        <v>7.8600001335143999</v>
      </c>
      <c r="F8">
        <v>0</v>
      </c>
      <c r="G8">
        <v>2.28999996185303</v>
      </c>
      <c r="H8">
        <v>0.490000009536743</v>
      </c>
      <c r="I8">
        <v>5.03999996185303</v>
      </c>
      <c r="J8">
        <v>0</v>
      </c>
      <c r="K8">
        <v>33</v>
      </c>
      <c r="L8">
        <v>12</v>
      </c>
      <c r="M8">
        <v>239</v>
      </c>
      <c r="N8">
        <v>820</v>
      </c>
      <c r="O8">
        <v>1889</v>
      </c>
      <c r="P8" t="str">
        <f>TEXT(tbl_working_daily[[#This Row],[ActivityDate]],"dddd")</f>
        <v>Thursday</v>
      </c>
      <c r="Q8" t="str">
        <f>TEXT(tbl_working_daily[[#This Row],[ActivityDate]],"mmmm")</f>
        <v>March</v>
      </c>
      <c r="R8">
        <f t="shared" si="0"/>
        <v>284</v>
      </c>
      <c r="S8">
        <f t="shared" si="1"/>
        <v>1104</v>
      </c>
      <c r="T8">
        <f>ROUND(tbl_working_daily[[#This Row],[SedentaryMinutes]]/60,2)</f>
        <v>13.67</v>
      </c>
      <c r="U8" t="str" cm="1">
        <f t="array" ref="U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 t="str" cm="1">
        <f t="array" ref="V8">_xlfn.IFS(tbl_working_daily[[#This Row],[VeryActiveMinutes]]&gt;=30,"Very Active",tbl_working_daily[[#This Row],[VeryActiveMinutes]]&gt;=15,"Moderately Active",tbl_working_daily[[#This Row],[VeryActiveMinutes]]&gt;=1,"Lightly Active",tbl_working_daily[[#This Row],[VeryActiveMinutes]]=0,"Sedentary")</f>
        <v>Very Active</v>
      </c>
      <c r="W8" t="str">
        <f>tbl_working_daily[[#This Row],[Id]]&amp;"|"&amp;TEXT(tbl_working_daily[[#This Row],[ActivityDate]],"yyyy-mm-dd")</f>
        <v>1503960366|2016-03-31</v>
      </c>
      <c r="X8" t="b">
        <f>ISNUMBER(MATCH(tbl_working_daily[[#This Row],[LookupKey]],tbl_working_sleep[LookupKey],0))</f>
        <v>0</v>
      </c>
    </row>
    <row r="9" spans="1:24" x14ac:dyDescent="0.3">
      <c r="A9">
        <v>1503960366</v>
      </c>
      <c r="B9" s="1">
        <v>42461</v>
      </c>
      <c r="C9">
        <v>12262</v>
      </c>
      <c r="D9">
        <v>7.8699998855590803</v>
      </c>
      <c r="E9">
        <v>7.8699998855590803</v>
      </c>
      <c r="F9">
        <v>0</v>
      </c>
      <c r="G9">
        <v>3.3199999332428001</v>
      </c>
      <c r="H9">
        <v>0.82999998331069902</v>
      </c>
      <c r="I9">
        <v>3.6400001049041699</v>
      </c>
      <c r="J9">
        <v>0</v>
      </c>
      <c r="K9">
        <v>47</v>
      </c>
      <c r="L9">
        <v>21</v>
      </c>
      <c r="M9">
        <v>200</v>
      </c>
      <c r="N9">
        <v>866</v>
      </c>
      <c r="O9">
        <v>1868</v>
      </c>
      <c r="P9" t="str">
        <f>TEXT(tbl_working_daily[[#This Row],[ActivityDate]],"dddd")</f>
        <v>Friday</v>
      </c>
      <c r="Q9" t="str">
        <f>TEXT(tbl_working_daily[[#This Row],[ActivityDate]],"mmmm")</f>
        <v>April</v>
      </c>
      <c r="R9">
        <f t="shared" si="0"/>
        <v>268</v>
      </c>
      <c r="S9">
        <f t="shared" si="1"/>
        <v>1134</v>
      </c>
      <c r="T9">
        <f>ROUND(tbl_working_daily[[#This Row],[SedentaryMinutes]]/60,2)</f>
        <v>14.43</v>
      </c>
      <c r="U9" t="str" cm="1">
        <f t="array" ref="U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 t="str" cm="1">
        <f t="array" ref="V9">_xlfn.IFS(tbl_working_daily[[#This Row],[VeryActiveMinutes]]&gt;=30,"Very Active",tbl_working_daily[[#This Row],[VeryActiveMinutes]]&gt;=15,"Moderately Active",tbl_working_daily[[#This Row],[VeryActiveMinutes]]&gt;=1,"Lightly Active",tbl_working_daily[[#This Row],[VeryActiveMinutes]]=0,"Sedentary")</f>
        <v>Very Active</v>
      </c>
      <c r="W9" t="str">
        <f>tbl_working_daily[[#This Row],[Id]]&amp;"|"&amp;TEXT(tbl_working_daily[[#This Row],[ActivityDate]],"yyyy-mm-dd")</f>
        <v>1503960366|2016-04-01</v>
      </c>
      <c r="X9" t="b">
        <f>ISNUMBER(MATCH(tbl_working_daily[[#This Row],[LookupKey]],tbl_working_sleep[LookupKey],0))</f>
        <v>0</v>
      </c>
    </row>
    <row r="10" spans="1:24" x14ac:dyDescent="0.3">
      <c r="A10">
        <v>1503960366</v>
      </c>
      <c r="B10" s="1">
        <v>42462</v>
      </c>
      <c r="C10">
        <v>11248</v>
      </c>
      <c r="D10">
        <v>7.25</v>
      </c>
      <c r="E10">
        <v>7.25</v>
      </c>
      <c r="F10">
        <v>0</v>
      </c>
      <c r="G10">
        <v>3</v>
      </c>
      <c r="H10">
        <v>0.44999998807907099</v>
      </c>
      <c r="I10">
        <v>3.7400000095367401</v>
      </c>
      <c r="J10">
        <v>0</v>
      </c>
      <c r="K10">
        <v>40</v>
      </c>
      <c r="L10">
        <v>11</v>
      </c>
      <c r="M10">
        <v>244</v>
      </c>
      <c r="N10">
        <v>636</v>
      </c>
      <c r="O10">
        <v>1843</v>
      </c>
      <c r="P10" t="str">
        <f>TEXT(tbl_working_daily[[#This Row],[ActivityDate]],"dddd")</f>
        <v>Saturday</v>
      </c>
      <c r="Q10" t="str">
        <f>TEXT(tbl_working_daily[[#This Row],[ActivityDate]],"mmmm")</f>
        <v>April</v>
      </c>
      <c r="R10">
        <f t="shared" si="0"/>
        <v>295</v>
      </c>
      <c r="S10">
        <f t="shared" si="1"/>
        <v>931</v>
      </c>
      <c r="T10">
        <f>ROUND(tbl_working_daily[[#This Row],[SedentaryMinutes]]/60,2)</f>
        <v>10.6</v>
      </c>
      <c r="U10" t="str" cm="1">
        <f t="array" ref="U1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 t="str" cm="1">
        <f t="array" ref="V10">_xlfn.IFS(tbl_working_daily[[#This Row],[VeryActiveMinutes]]&gt;=30,"Very Active",tbl_working_daily[[#This Row],[VeryActiveMinutes]]&gt;=15,"Moderately Active",tbl_working_daily[[#This Row],[VeryActiveMinutes]]&gt;=1,"Lightly Active",tbl_working_daily[[#This Row],[VeryActiveMinutes]]=0,"Sedentary")</f>
        <v>Very Active</v>
      </c>
      <c r="W10" t="str">
        <f>tbl_working_daily[[#This Row],[Id]]&amp;"|"&amp;TEXT(tbl_working_daily[[#This Row],[ActivityDate]],"yyyy-mm-dd")</f>
        <v>1503960366|2016-04-02</v>
      </c>
      <c r="X10" t="b">
        <f>ISNUMBER(MATCH(tbl_working_daily[[#This Row],[LookupKey]],tbl_working_sleep[LookupKey],0))</f>
        <v>0</v>
      </c>
    </row>
    <row r="11" spans="1:24" x14ac:dyDescent="0.3">
      <c r="A11">
        <v>1503960366</v>
      </c>
      <c r="B11" s="1">
        <v>42463</v>
      </c>
      <c r="C11">
        <v>10016</v>
      </c>
      <c r="D11">
        <v>6.3699998855590803</v>
      </c>
      <c r="E11">
        <v>6.3699998855590803</v>
      </c>
      <c r="F11">
        <v>0</v>
      </c>
      <c r="G11">
        <v>0.91000002622604403</v>
      </c>
      <c r="H11">
        <v>1.2799999713897701</v>
      </c>
      <c r="I11">
        <v>4.1799998283386204</v>
      </c>
      <c r="J11">
        <v>0</v>
      </c>
      <c r="K11">
        <v>15</v>
      </c>
      <c r="L11">
        <v>30</v>
      </c>
      <c r="M11">
        <v>314</v>
      </c>
      <c r="N11">
        <v>655</v>
      </c>
      <c r="O11">
        <v>1850</v>
      </c>
      <c r="P11" t="str">
        <f>TEXT(tbl_working_daily[[#This Row],[ActivityDate]],"dddd")</f>
        <v>Sunday</v>
      </c>
      <c r="Q11" t="str">
        <f>TEXT(tbl_working_daily[[#This Row],[ActivityDate]],"mmmm")</f>
        <v>April</v>
      </c>
      <c r="R11">
        <f t="shared" si="0"/>
        <v>359</v>
      </c>
      <c r="S11">
        <f t="shared" si="1"/>
        <v>1014</v>
      </c>
      <c r="T11">
        <f>ROUND(tbl_working_daily[[#This Row],[SedentaryMinutes]]/60,2)</f>
        <v>10.92</v>
      </c>
      <c r="U11" t="str" cm="1">
        <f t="array" ref="U1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 t="str" cm="1">
        <f t="array" ref="V11">_xlfn.IFS(tbl_working_daily[[#This Row],[VeryActiveMinutes]]&gt;=30,"Very Active",tbl_working_daily[[#This Row],[VeryActiveMinutes]]&gt;=15,"Moderately Active",tbl_working_daily[[#This Row],[VeryActiveMinutes]]&gt;=1,"Lightly Active",tbl_working_daily[[#This Row],[VeryActiveMinutes]]=0,"Sedentary")</f>
        <v>Moderately Active</v>
      </c>
      <c r="W11" t="str">
        <f>tbl_working_daily[[#This Row],[Id]]&amp;"|"&amp;TEXT(tbl_working_daily[[#This Row],[ActivityDate]],"yyyy-mm-dd")</f>
        <v>1503960366|2016-04-03</v>
      </c>
      <c r="X11" t="b">
        <f>ISNUMBER(MATCH(tbl_working_daily[[#This Row],[LookupKey]],tbl_working_sleep[LookupKey],0))</f>
        <v>0</v>
      </c>
    </row>
    <row r="12" spans="1:24" x14ac:dyDescent="0.3">
      <c r="A12">
        <v>1503960366</v>
      </c>
      <c r="B12" s="1">
        <v>42464</v>
      </c>
      <c r="C12">
        <v>14557</v>
      </c>
      <c r="D12">
        <v>9.8000001907348597</v>
      </c>
      <c r="E12">
        <v>9.8000001907348597</v>
      </c>
      <c r="F12">
        <v>0</v>
      </c>
      <c r="G12">
        <v>3.3900001049041699</v>
      </c>
      <c r="H12">
        <v>0.69999998807907104</v>
      </c>
      <c r="I12">
        <v>5.6900000572204599</v>
      </c>
      <c r="J12">
        <v>0</v>
      </c>
      <c r="K12">
        <v>43</v>
      </c>
      <c r="L12">
        <v>18</v>
      </c>
      <c r="M12">
        <v>285</v>
      </c>
      <c r="N12">
        <v>757</v>
      </c>
      <c r="O12">
        <v>2030</v>
      </c>
      <c r="P12" t="str">
        <f>TEXT(tbl_working_daily[[#This Row],[ActivityDate]],"dddd")</f>
        <v>Monday</v>
      </c>
      <c r="Q12" t="str">
        <f>TEXT(tbl_working_daily[[#This Row],[ActivityDate]],"mmmm")</f>
        <v>April</v>
      </c>
      <c r="R12">
        <f t="shared" si="0"/>
        <v>346</v>
      </c>
      <c r="S12">
        <f t="shared" si="1"/>
        <v>1103</v>
      </c>
      <c r="T12">
        <f>ROUND(tbl_working_daily[[#This Row],[SedentaryMinutes]]/60,2)</f>
        <v>12.62</v>
      </c>
      <c r="U12" t="str" cm="1">
        <f t="array" ref="U1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 t="str" cm="1">
        <f t="array" ref="V12">_xlfn.IFS(tbl_working_daily[[#This Row],[VeryActiveMinutes]]&gt;=30,"Very Active",tbl_working_daily[[#This Row],[VeryActiveMinutes]]&gt;=15,"Moderately Active",tbl_working_daily[[#This Row],[VeryActiveMinutes]]&gt;=1,"Lightly Active",tbl_working_daily[[#This Row],[VeryActiveMinutes]]=0,"Sedentary")</f>
        <v>Very Active</v>
      </c>
      <c r="W12" t="str">
        <f>tbl_working_daily[[#This Row],[Id]]&amp;"|"&amp;TEXT(tbl_working_daily[[#This Row],[ActivityDate]],"yyyy-mm-dd")</f>
        <v>1503960366|2016-04-04</v>
      </c>
      <c r="X12" t="b">
        <f>ISNUMBER(MATCH(tbl_working_daily[[#This Row],[LookupKey]],tbl_working_sleep[LookupKey],0))</f>
        <v>0</v>
      </c>
    </row>
    <row r="13" spans="1:24" x14ac:dyDescent="0.3">
      <c r="A13">
        <v>1503960366</v>
      </c>
      <c r="B13" s="1">
        <v>42465</v>
      </c>
      <c r="C13">
        <v>14844</v>
      </c>
      <c r="D13">
        <v>9.7299995422363299</v>
      </c>
      <c r="E13">
        <v>9.7299995422363299</v>
      </c>
      <c r="F13">
        <v>0</v>
      </c>
      <c r="G13">
        <v>2.9400000572204599</v>
      </c>
      <c r="H13">
        <v>0.75999999046325695</v>
      </c>
      <c r="I13">
        <v>6.03999996185303</v>
      </c>
      <c r="J13">
        <v>0</v>
      </c>
      <c r="K13">
        <v>36</v>
      </c>
      <c r="L13">
        <v>18</v>
      </c>
      <c r="M13">
        <v>341</v>
      </c>
      <c r="N13">
        <v>736</v>
      </c>
      <c r="O13">
        <v>2083</v>
      </c>
      <c r="P13" t="str">
        <f>TEXT(tbl_working_daily[[#This Row],[ActivityDate]],"dddd")</f>
        <v>Tuesday</v>
      </c>
      <c r="Q13" t="str">
        <f>TEXT(tbl_working_daily[[#This Row],[ActivityDate]],"mmmm")</f>
        <v>April</v>
      </c>
      <c r="R13">
        <f t="shared" si="0"/>
        <v>395</v>
      </c>
      <c r="S13">
        <f t="shared" si="1"/>
        <v>1131</v>
      </c>
      <c r="T13">
        <f>ROUND(tbl_working_daily[[#This Row],[SedentaryMinutes]]/60,2)</f>
        <v>12.27</v>
      </c>
      <c r="U13" t="str" cm="1">
        <f t="array" ref="U1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 t="str" cm="1">
        <f t="array" ref="V13">_xlfn.IFS(tbl_working_daily[[#This Row],[VeryActiveMinutes]]&gt;=30,"Very Active",tbl_working_daily[[#This Row],[VeryActiveMinutes]]&gt;=15,"Moderately Active",tbl_working_daily[[#This Row],[VeryActiveMinutes]]&gt;=1,"Lightly Active",tbl_working_daily[[#This Row],[VeryActiveMinutes]]=0,"Sedentary")</f>
        <v>Very Active</v>
      </c>
      <c r="W13" t="str">
        <f>tbl_working_daily[[#This Row],[Id]]&amp;"|"&amp;TEXT(tbl_working_daily[[#This Row],[ActivityDate]],"yyyy-mm-dd")</f>
        <v>1503960366|2016-04-05</v>
      </c>
      <c r="X13" t="b">
        <f>ISNUMBER(MATCH(tbl_working_daily[[#This Row],[LookupKey]],tbl_working_sleep[LookupKey],0))</f>
        <v>0</v>
      </c>
    </row>
    <row r="14" spans="1:24" x14ac:dyDescent="0.3">
      <c r="A14">
        <v>1503960366</v>
      </c>
      <c r="B14" s="1">
        <v>42466</v>
      </c>
      <c r="C14">
        <v>11974</v>
      </c>
      <c r="D14">
        <v>7.6700000762939498</v>
      </c>
      <c r="E14">
        <v>7.6700000762939498</v>
      </c>
      <c r="F14">
        <v>0</v>
      </c>
      <c r="G14">
        <v>2.03999996185303</v>
      </c>
      <c r="H14">
        <v>0.479999989271164</v>
      </c>
      <c r="I14">
        <v>5.1500000953674299</v>
      </c>
      <c r="J14">
        <v>0</v>
      </c>
      <c r="K14">
        <v>27</v>
      </c>
      <c r="L14">
        <v>12</v>
      </c>
      <c r="M14">
        <v>228</v>
      </c>
      <c r="N14">
        <v>1173</v>
      </c>
      <c r="O14">
        <v>1861</v>
      </c>
      <c r="P14" t="str">
        <f>TEXT(tbl_working_daily[[#This Row],[ActivityDate]],"dddd")</f>
        <v>Wednesday</v>
      </c>
      <c r="Q14" t="str">
        <f>TEXT(tbl_working_daily[[#This Row],[ActivityDate]],"mmmm")</f>
        <v>April</v>
      </c>
      <c r="R14">
        <f t="shared" si="0"/>
        <v>267</v>
      </c>
      <c r="S14">
        <f t="shared" si="1"/>
        <v>1440</v>
      </c>
      <c r="T14">
        <f>ROUND(tbl_working_daily[[#This Row],[SedentaryMinutes]]/60,2)</f>
        <v>19.55</v>
      </c>
      <c r="U14" t="str" cm="1">
        <f t="array" ref="U1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4" t="str" cm="1">
        <f t="array" ref="V14">_xlfn.IFS(tbl_working_daily[[#This Row],[VeryActiveMinutes]]&gt;=30,"Very Active",tbl_working_daily[[#This Row],[VeryActiveMinutes]]&gt;=15,"Moderately Active",tbl_working_daily[[#This Row],[VeryActiveMinutes]]&gt;=1,"Lightly Active",tbl_working_daily[[#This Row],[VeryActiveMinutes]]=0,"Sedentary")</f>
        <v>Moderately Active</v>
      </c>
      <c r="W14" t="str">
        <f>tbl_working_daily[[#This Row],[Id]]&amp;"|"&amp;TEXT(tbl_working_daily[[#This Row],[ActivityDate]],"yyyy-mm-dd")</f>
        <v>1503960366|2016-04-06</v>
      </c>
      <c r="X14" t="b">
        <f>ISNUMBER(MATCH(tbl_working_daily[[#This Row],[LookupKey]],tbl_working_sleep[LookupKey],0))</f>
        <v>0</v>
      </c>
    </row>
    <row r="15" spans="1:24" x14ac:dyDescent="0.3">
      <c r="A15">
        <v>1503960366</v>
      </c>
      <c r="B15" s="1">
        <v>42467</v>
      </c>
      <c r="C15">
        <v>10198</v>
      </c>
      <c r="D15">
        <v>6.4400000572204599</v>
      </c>
      <c r="E15">
        <v>6.4400000572204599</v>
      </c>
      <c r="F15">
        <v>0</v>
      </c>
      <c r="G15">
        <v>1.20000004768372</v>
      </c>
      <c r="H15">
        <v>0.79000002145767201</v>
      </c>
      <c r="I15">
        <v>4.4499998092651403</v>
      </c>
      <c r="J15">
        <v>0</v>
      </c>
      <c r="K15">
        <v>17</v>
      </c>
      <c r="L15">
        <v>20</v>
      </c>
      <c r="M15">
        <v>195</v>
      </c>
      <c r="N15">
        <v>1208</v>
      </c>
      <c r="O15">
        <v>1755</v>
      </c>
      <c r="P15" t="str">
        <f>TEXT(tbl_working_daily[[#This Row],[ActivityDate]],"dddd")</f>
        <v>Thursday</v>
      </c>
      <c r="Q15" t="str">
        <f>TEXT(tbl_working_daily[[#This Row],[ActivityDate]],"mmmm")</f>
        <v>April</v>
      </c>
      <c r="R15">
        <f t="shared" si="0"/>
        <v>232</v>
      </c>
      <c r="S15">
        <f t="shared" si="1"/>
        <v>1440</v>
      </c>
      <c r="T15">
        <f>ROUND(tbl_working_daily[[#This Row],[SedentaryMinutes]]/60,2)</f>
        <v>20.13</v>
      </c>
      <c r="U15" t="str" cm="1">
        <f t="array" ref="U1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5" t="str" cm="1">
        <f t="array" ref="V15">_xlfn.IFS(tbl_working_daily[[#This Row],[VeryActiveMinutes]]&gt;=30,"Very Active",tbl_working_daily[[#This Row],[VeryActiveMinutes]]&gt;=15,"Moderately Active",tbl_working_daily[[#This Row],[VeryActiveMinutes]]&gt;=1,"Lightly Active",tbl_working_daily[[#This Row],[VeryActiveMinutes]]=0,"Sedentary")</f>
        <v>Moderately Active</v>
      </c>
      <c r="W15" t="str">
        <f>tbl_working_daily[[#This Row],[Id]]&amp;"|"&amp;TEXT(tbl_working_daily[[#This Row],[ActivityDate]],"yyyy-mm-dd")</f>
        <v>1503960366|2016-04-07</v>
      </c>
      <c r="X15" t="b">
        <f>ISNUMBER(MATCH(tbl_working_daily[[#This Row],[LookupKey]],tbl_working_sleep[LookupKey],0))</f>
        <v>0</v>
      </c>
    </row>
    <row r="16" spans="1:24" x14ac:dyDescent="0.3">
      <c r="A16">
        <v>1503960366</v>
      </c>
      <c r="B16" s="1">
        <v>42468</v>
      </c>
      <c r="C16">
        <v>12521</v>
      </c>
      <c r="D16">
        <v>7.9400000572204599</v>
      </c>
      <c r="E16">
        <v>7.9400000572204599</v>
      </c>
      <c r="F16">
        <v>0</v>
      </c>
      <c r="G16">
        <v>3.3099999427795401</v>
      </c>
      <c r="H16">
        <v>0.89999997615814198</v>
      </c>
      <c r="I16">
        <v>3.7400000095367401</v>
      </c>
      <c r="J16">
        <v>0</v>
      </c>
      <c r="K16">
        <v>46</v>
      </c>
      <c r="L16">
        <v>22</v>
      </c>
      <c r="M16">
        <v>212</v>
      </c>
      <c r="N16">
        <v>1160</v>
      </c>
      <c r="O16">
        <v>1895</v>
      </c>
      <c r="P16" t="str">
        <f>TEXT(tbl_working_daily[[#This Row],[ActivityDate]],"dddd")</f>
        <v>Friday</v>
      </c>
      <c r="Q16" t="str">
        <f>TEXT(tbl_working_daily[[#This Row],[ActivityDate]],"mmmm")</f>
        <v>April</v>
      </c>
      <c r="R16">
        <f t="shared" si="0"/>
        <v>280</v>
      </c>
      <c r="S16">
        <f t="shared" si="1"/>
        <v>1440</v>
      </c>
      <c r="T16">
        <f>ROUND(tbl_working_daily[[#This Row],[SedentaryMinutes]]/60,2)</f>
        <v>19.329999999999998</v>
      </c>
      <c r="U16" t="str" cm="1">
        <f t="array" ref="U1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6" t="str" cm="1">
        <f t="array" ref="V16">_xlfn.IFS(tbl_working_daily[[#This Row],[VeryActiveMinutes]]&gt;=30,"Very Active",tbl_working_daily[[#This Row],[VeryActiveMinutes]]&gt;=15,"Moderately Active",tbl_working_daily[[#This Row],[VeryActiveMinutes]]&gt;=1,"Lightly Active",tbl_working_daily[[#This Row],[VeryActiveMinutes]]=0,"Sedentary")</f>
        <v>Very Active</v>
      </c>
      <c r="W16" t="str">
        <f>tbl_working_daily[[#This Row],[Id]]&amp;"|"&amp;TEXT(tbl_working_daily[[#This Row],[ActivityDate]],"yyyy-mm-dd")</f>
        <v>1503960366|2016-04-08</v>
      </c>
      <c r="X16" t="b">
        <f>ISNUMBER(MATCH(tbl_working_daily[[#This Row],[LookupKey]],tbl_working_sleep[LookupKey],0))</f>
        <v>0</v>
      </c>
    </row>
    <row r="17" spans="1:24" x14ac:dyDescent="0.3">
      <c r="A17">
        <v>1503960366</v>
      </c>
      <c r="B17" s="1">
        <v>42469</v>
      </c>
      <c r="C17">
        <v>12432</v>
      </c>
      <c r="D17">
        <v>8.1000003814697301</v>
      </c>
      <c r="E17">
        <v>8.1000003814697301</v>
      </c>
      <c r="F17">
        <v>0</v>
      </c>
      <c r="G17">
        <v>2.5899999141693102</v>
      </c>
      <c r="H17">
        <v>0.58999997377395597</v>
      </c>
      <c r="I17">
        <v>4.9200000762939498</v>
      </c>
      <c r="J17">
        <v>0</v>
      </c>
      <c r="K17">
        <v>32</v>
      </c>
      <c r="L17">
        <v>15</v>
      </c>
      <c r="M17">
        <v>248</v>
      </c>
      <c r="N17">
        <v>738</v>
      </c>
      <c r="O17">
        <v>1883</v>
      </c>
      <c r="P17" t="str">
        <f>TEXT(tbl_working_daily[[#This Row],[ActivityDate]],"dddd")</f>
        <v>Saturday</v>
      </c>
      <c r="Q17" t="str">
        <f>TEXT(tbl_working_daily[[#This Row],[ActivityDate]],"mmmm")</f>
        <v>April</v>
      </c>
      <c r="R17">
        <f t="shared" si="0"/>
        <v>295</v>
      </c>
      <c r="S17">
        <f t="shared" si="1"/>
        <v>1033</v>
      </c>
      <c r="T17">
        <f>ROUND(tbl_working_daily[[#This Row],[SedentaryMinutes]]/60,2)</f>
        <v>12.3</v>
      </c>
      <c r="U17" t="str" cm="1">
        <f t="array" ref="U1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7" t="str" cm="1">
        <f t="array" ref="V17">_xlfn.IFS(tbl_working_daily[[#This Row],[VeryActiveMinutes]]&gt;=30,"Very Active",tbl_working_daily[[#This Row],[VeryActiveMinutes]]&gt;=15,"Moderately Active",tbl_working_daily[[#This Row],[VeryActiveMinutes]]&gt;=1,"Lightly Active",tbl_working_daily[[#This Row],[VeryActiveMinutes]]=0,"Sedentary")</f>
        <v>Very Active</v>
      </c>
      <c r="W17" t="str">
        <f>tbl_working_daily[[#This Row],[Id]]&amp;"|"&amp;TEXT(tbl_working_daily[[#This Row],[ActivityDate]],"yyyy-mm-dd")</f>
        <v>1503960366|2016-04-09</v>
      </c>
      <c r="X17" t="b">
        <f>ISNUMBER(MATCH(tbl_working_daily[[#This Row],[LookupKey]],tbl_working_sleep[LookupKey],0))</f>
        <v>0</v>
      </c>
    </row>
    <row r="18" spans="1:24" x14ac:dyDescent="0.3">
      <c r="A18">
        <v>1503960366</v>
      </c>
      <c r="B18" s="1">
        <v>42470</v>
      </c>
      <c r="C18">
        <v>10057</v>
      </c>
      <c r="D18">
        <v>6.9800000190734899</v>
      </c>
      <c r="E18">
        <v>6.9800000190734899</v>
      </c>
      <c r="F18">
        <v>0</v>
      </c>
      <c r="G18">
        <v>4</v>
      </c>
      <c r="H18">
        <v>0.490000009536743</v>
      </c>
      <c r="I18">
        <v>2.4800000190734899</v>
      </c>
      <c r="J18">
        <v>0</v>
      </c>
      <c r="K18">
        <v>44</v>
      </c>
      <c r="L18">
        <v>13</v>
      </c>
      <c r="M18">
        <v>168</v>
      </c>
      <c r="N18">
        <v>737</v>
      </c>
      <c r="O18">
        <v>1755</v>
      </c>
      <c r="P18" t="str">
        <f>TEXT(tbl_working_daily[[#This Row],[ActivityDate]],"dddd")</f>
        <v>Sunday</v>
      </c>
      <c r="Q18" t="str">
        <f>TEXT(tbl_working_daily[[#This Row],[ActivityDate]],"mmmm")</f>
        <v>April</v>
      </c>
      <c r="R18">
        <f t="shared" si="0"/>
        <v>225</v>
      </c>
      <c r="S18">
        <f t="shared" si="1"/>
        <v>962</v>
      </c>
      <c r="T18">
        <f>ROUND(tbl_working_daily[[#This Row],[SedentaryMinutes]]/60,2)</f>
        <v>12.28</v>
      </c>
      <c r="U18" t="str" cm="1">
        <f t="array" ref="U1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8" t="str" cm="1">
        <f t="array" ref="V18">_xlfn.IFS(tbl_working_daily[[#This Row],[VeryActiveMinutes]]&gt;=30,"Very Active",tbl_working_daily[[#This Row],[VeryActiveMinutes]]&gt;=15,"Moderately Active",tbl_working_daily[[#This Row],[VeryActiveMinutes]]&gt;=1,"Lightly Active",tbl_working_daily[[#This Row],[VeryActiveMinutes]]=0,"Sedentary")</f>
        <v>Very Active</v>
      </c>
      <c r="W18" t="str">
        <f>tbl_working_daily[[#This Row],[Id]]&amp;"|"&amp;TEXT(tbl_working_daily[[#This Row],[ActivityDate]],"yyyy-mm-dd")</f>
        <v>1503960366|2016-04-10</v>
      </c>
      <c r="X18" t="b">
        <f>ISNUMBER(MATCH(tbl_working_daily[[#This Row],[LookupKey]],tbl_working_sleep[LookupKey],0))</f>
        <v>0</v>
      </c>
    </row>
    <row r="19" spans="1:24" x14ac:dyDescent="0.3">
      <c r="A19">
        <v>1503960366</v>
      </c>
      <c r="B19" s="1">
        <v>42471</v>
      </c>
      <c r="C19">
        <v>10990</v>
      </c>
      <c r="D19">
        <v>7.2600002288818404</v>
      </c>
      <c r="E19">
        <v>7.2600002288818404</v>
      </c>
      <c r="F19">
        <v>0</v>
      </c>
      <c r="G19">
        <v>2.03999996185303</v>
      </c>
      <c r="H19">
        <v>0.56999999284744296</v>
      </c>
      <c r="I19">
        <v>4.6500000953674299</v>
      </c>
      <c r="J19">
        <v>0</v>
      </c>
      <c r="K19">
        <v>26</v>
      </c>
      <c r="L19">
        <v>14</v>
      </c>
      <c r="M19">
        <v>216</v>
      </c>
      <c r="N19">
        <v>855</v>
      </c>
      <c r="O19">
        <v>1811</v>
      </c>
      <c r="P19" t="str">
        <f>TEXT(tbl_working_daily[[#This Row],[ActivityDate]],"dddd")</f>
        <v>Monday</v>
      </c>
      <c r="Q19" t="str">
        <f>TEXT(tbl_working_daily[[#This Row],[ActivityDate]],"mmmm")</f>
        <v>April</v>
      </c>
      <c r="R19">
        <f t="shared" si="0"/>
        <v>256</v>
      </c>
      <c r="S19">
        <f t="shared" si="1"/>
        <v>1111</v>
      </c>
      <c r="T19">
        <f>ROUND(tbl_working_daily[[#This Row],[SedentaryMinutes]]/60,2)</f>
        <v>14.25</v>
      </c>
      <c r="U19" t="str" cm="1">
        <f t="array" ref="U1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9" t="str" cm="1">
        <f t="array" ref="V19">_xlfn.IFS(tbl_working_daily[[#This Row],[VeryActiveMinutes]]&gt;=30,"Very Active",tbl_working_daily[[#This Row],[VeryActiveMinutes]]&gt;=15,"Moderately Active",tbl_working_daily[[#This Row],[VeryActiveMinutes]]&gt;=1,"Lightly Active",tbl_working_daily[[#This Row],[VeryActiveMinutes]]=0,"Sedentary")</f>
        <v>Moderately Active</v>
      </c>
      <c r="W19" t="str">
        <f>tbl_working_daily[[#This Row],[Id]]&amp;"|"&amp;TEXT(tbl_working_daily[[#This Row],[ActivityDate]],"yyyy-mm-dd")</f>
        <v>1503960366|2016-04-11</v>
      </c>
      <c r="X19" t="b">
        <f>ISNUMBER(MATCH(tbl_working_daily[[#This Row],[LookupKey]],tbl_working_sleep[LookupKey],0))</f>
        <v>0</v>
      </c>
    </row>
    <row r="20" spans="1:24" x14ac:dyDescent="0.3">
      <c r="A20">
        <v>1503960366</v>
      </c>
      <c r="B20" s="1">
        <v>42472</v>
      </c>
      <c r="C20">
        <v>224</v>
      </c>
      <c r="D20">
        <v>0.140000000596046</v>
      </c>
      <c r="E20">
        <v>0.140000000596046</v>
      </c>
      <c r="F20">
        <v>0</v>
      </c>
      <c r="G20">
        <v>0</v>
      </c>
      <c r="H20">
        <v>0</v>
      </c>
      <c r="I20">
        <v>0.129999995231628</v>
      </c>
      <c r="J20">
        <v>0</v>
      </c>
      <c r="K20">
        <v>0</v>
      </c>
      <c r="L20">
        <v>0</v>
      </c>
      <c r="M20">
        <v>9</v>
      </c>
      <c r="N20">
        <v>32</v>
      </c>
      <c r="O20">
        <v>50</v>
      </c>
      <c r="P20" t="str">
        <f>TEXT(tbl_working_daily[[#This Row],[ActivityDate]],"dddd")</f>
        <v>Tuesday</v>
      </c>
      <c r="Q20" t="str">
        <f>TEXT(tbl_working_daily[[#This Row],[ActivityDate]],"mmmm")</f>
        <v>April</v>
      </c>
      <c r="R20">
        <f t="shared" si="0"/>
        <v>9</v>
      </c>
      <c r="S20">
        <f t="shared" si="1"/>
        <v>41</v>
      </c>
      <c r="T20">
        <f>ROUND(tbl_working_daily[[#This Row],[SedentaryMinutes]]/60,2)</f>
        <v>0.53</v>
      </c>
      <c r="U20" t="str" cm="1">
        <f t="array" ref="U2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 t="str" cm="1">
        <f t="array" ref="V20">_xlfn.IFS(tbl_working_daily[[#This Row],[VeryActiveMinutes]]&gt;=30,"Very Active",tbl_working_daily[[#This Row],[VeryActiveMinutes]]&gt;=15,"Moderately Active",tbl_working_daily[[#This Row],[VeryActiveMinutes]]&gt;=1,"Lightly Active",tbl_working_daily[[#This Row],[VeryActiveMinutes]]=0,"Sedentary")</f>
        <v>Sedentary</v>
      </c>
      <c r="W20" t="str">
        <f>tbl_working_daily[[#This Row],[Id]]&amp;"|"&amp;TEXT(tbl_working_daily[[#This Row],[ActivityDate]],"yyyy-mm-dd")</f>
        <v>1503960366|2016-04-12</v>
      </c>
      <c r="X20" t="b">
        <f>ISNUMBER(MATCH(tbl_working_daily[[#This Row],[LookupKey]],tbl_working_sleep[LookupKey],0))</f>
        <v>1</v>
      </c>
    </row>
    <row r="21" spans="1:24" x14ac:dyDescent="0.3">
      <c r="A21">
        <v>1624580081</v>
      </c>
      <c r="B21" s="1">
        <v>42454</v>
      </c>
      <c r="C21">
        <v>1810</v>
      </c>
      <c r="D21">
        <v>1.1799999475479099</v>
      </c>
      <c r="E21">
        <v>1.1799999475479099</v>
      </c>
      <c r="F21">
        <v>0</v>
      </c>
      <c r="G21">
        <v>0</v>
      </c>
      <c r="H21">
        <v>0</v>
      </c>
      <c r="I21">
        <v>1.12999999523163</v>
      </c>
      <c r="J21">
        <v>9.9999997764825804E-3</v>
      </c>
      <c r="K21">
        <v>0</v>
      </c>
      <c r="L21">
        <v>0</v>
      </c>
      <c r="M21">
        <v>121</v>
      </c>
      <c r="N21">
        <v>1319</v>
      </c>
      <c r="O21">
        <v>1373</v>
      </c>
      <c r="P21" t="str">
        <f>TEXT(tbl_working_daily[[#This Row],[ActivityDate]],"dddd")</f>
        <v>Friday</v>
      </c>
      <c r="Q21" t="str">
        <f>TEXT(tbl_working_daily[[#This Row],[ActivityDate]],"mmmm")</f>
        <v>March</v>
      </c>
      <c r="R21">
        <f t="shared" si="0"/>
        <v>121</v>
      </c>
      <c r="S21">
        <f t="shared" si="1"/>
        <v>1440</v>
      </c>
      <c r="T21">
        <f>ROUND(tbl_working_daily[[#This Row],[SedentaryMinutes]]/60,2)</f>
        <v>21.98</v>
      </c>
      <c r="U21" t="str" cm="1">
        <f t="array" ref="U2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 t="str" cm="1">
        <f t="array" ref="V21">_xlfn.IFS(tbl_working_daily[[#This Row],[VeryActiveMinutes]]&gt;=30,"Very Active",tbl_working_daily[[#This Row],[VeryActiveMinutes]]&gt;=15,"Moderately Active",tbl_working_daily[[#This Row],[VeryActiveMinutes]]&gt;=1,"Lightly Active",tbl_working_daily[[#This Row],[VeryActiveMinutes]]=0,"Sedentary")</f>
        <v>Sedentary</v>
      </c>
      <c r="W21" t="str">
        <f>tbl_working_daily[[#This Row],[Id]]&amp;"|"&amp;TEXT(tbl_working_daily[[#This Row],[ActivityDate]],"yyyy-mm-dd")</f>
        <v>1624580081|2016-03-25</v>
      </c>
      <c r="X21" t="b">
        <f>ISNUMBER(MATCH(tbl_working_daily[[#This Row],[LookupKey]],tbl_working_sleep[LookupKey],0))</f>
        <v>0</v>
      </c>
    </row>
    <row r="22" spans="1:24" x14ac:dyDescent="0.3">
      <c r="A22">
        <v>1624580081</v>
      </c>
      <c r="B22" s="1">
        <v>42455</v>
      </c>
      <c r="C22">
        <v>815</v>
      </c>
      <c r="D22">
        <v>0.52999997138977095</v>
      </c>
      <c r="E22">
        <v>0.52999997138977095</v>
      </c>
      <c r="F22">
        <v>0</v>
      </c>
      <c r="G22">
        <v>0</v>
      </c>
      <c r="H22">
        <v>0</v>
      </c>
      <c r="I22">
        <v>0.52999997138977095</v>
      </c>
      <c r="J22">
        <v>0</v>
      </c>
      <c r="K22">
        <v>0</v>
      </c>
      <c r="L22">
        <v>0</v>
      </c>
      <c r="M22">
        <v>47</v>
      </c>
      <c r="N22">
        <v>1393</v>
      </c>
      <c r="O22">
        <v>1264</v>
      </c>
      <c r="P22" t="str">
        <f>TEXT(tbl_working_daily[[#This Row],[ActivityDate]],"dddd")</f>
        <v>Saturday</v>
      </c>
      <c r="Q22" t="str">
        <f>TEXT(tbl_working_daily[[#This Row],[ActivityDate]],"mmmm")</f>
        <v>March</v>
      </c>
      <c r="R22">
        <f t="shared" si="0"/>
        <v>47</v>
      </c>
      <c r="S22">
        <f t="shared" si="1"/>
        <v>1440</v>
      </c>
      <c r="T22">
        <f>ROUND(tbl_working_daily[[#This Row],[SedentaryMinutes]]/60,2)</f>
        <v>23.22</v>
      </c>
      <c r="U22" t="str" cm="1">
        <f t="array" ref="U2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 t="str" cm="1">
        <f t="array" ref="V22">_xlfn.IFS(tbl_working_daily[[#This Row],[VeryActiveMinutes]]&gt;=30,"Very Active",tbl_working_daily[[#This Row],[VeryActiveMinutes]]&gt;=15,"Moderately Active",tbl_working_daily[[#This Row],[VeryActiveMinutes]]&gt;=1,"Lightly Active",tbl_working_daily[[#This Row],[VeryActiveMinutes]]=0,"Sedentary")</f>
        <v>Sedentary</v>
      </c>
      <c r="W22" t="str">
        <f>tbl_working_daily[[#This Row],[Id]]&amp;"|"&amp;TEXT(tbl_working_daily[[#This Row],[ActivityDate]],"yyyy-mm-dd")</f>
        <v>1624580081|2016-03-26</v>
      </c>
      <c r="X22" t="b">
        <f>ISNUMBER(MATCH(tbl_working_daily[[#This Row],[LookupKey]],tbl_working_sleep[LookupKey],0))</f>
        <v>0</v>
      </c>
    </row>
    <row r="23" spans="1:24" x14ac:dyDescent="0.3">
      <c r="A23">
        <v>1624580081</v>
      </c>
      <c r="B23" s="1">
        <v>42456</v>
      </c>
      <c r="C23">
        <v>1985</v>
      </c>
      <c r="D23">
        <v>1.28999996185303</v>
      </c>
      <c r="E23">
        <v>1.28999996185303</v>
      </c>
      <c r="F23">
        <v>0</v>
      </c>
      <c r="G23">
        <v>0</v>
      </c>
      <c r="H23">
        <v>0</v>
      </c>
      <c r="I23">
        <v>1.2799999713897701</v>
      </c>
      <c r="J23">
        <v>9.9999997764825804E-3</v>
      </c>
      <c r="K23">
        <v>0</v>
      </c>
      <c r="L23">
        <v>0</v>
      </c>
      <c r="M23">
        <v>112</v>
      </c>
      <c r="N23">
        <v>1328</v>
      </c>
      <c r="O23">
        <v>1350</v>
      </c>
      <c r="P23" t="str">
        <f>TEXT(tbl_working_daily[[#This Row],[ActivityDate]],"dddd")</f>
        <v>Sunday</v>
      </c>
      <c r="Q23" t="str">
        <f>TEXT(tbl_working_daily[[#This Row],[ActivityDate]],"mmmm")</f>
        <v>March</v>
      </c>
      <c r="R23">
        <f t="shared" si="0"/>
        <v>112</v>
      </c>
      <c r="S23">
        <f t="shared" si="1"/>
        <v>1440</v>
      </c>
      <c r="T23">
        <f>ROUND(tbl_working_daily[[#This Row],[SedentaryMinutes]]/60,2)</f>
        <v>22.13</v>
      </c>
      <c r="U23" t="str" cm="1">
        <f t="array" ref="U2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3" t="str" cm="1">
        <f t="array" ref="V23">_xlfn.IFS(tbl_working_daily[[#This Row],[VeryActiveMinutes]]&gt;=30,"Very Active",tbl_working_daily[[#This Row],[VeryActiveMinutes]]&gt;=15,"Moderately Active",tbl_working_daily[[#This Row],[VeryActiveMinutes]]&gt;=1,"Lightly Active",tbl_working_daily[[#This Row],[VeryActiveMinutes]]=0,"Sedentary")</f>
        <v>Sedentary</v>
      </c>
      <c r="W23" t="str">
        <f>tbl_working_daily[[#This Row],[Id]]&amp;"|"&amp;TEXT(tbl_working_daily[[#This Row],[ActivityDate]],"yyyy-mm-dd")</f>
        <v>1624580081|2016-03-27</v>
      </c>
      <c r="X23" t="b">
        <f>ISNUMBER(MATCH(tbl_working_daily[[#This Row],[LookupKey]],tbl_working_sleep[LookupKey],0))</f>
        <v>0</v>
      </c>
    </row>
    <row r="24" spans="1:24" x14ac:dyDescent="0.3">
      <c r="A24">
        <v>1624580081</v>
      </c>
      <c r="B24" s="1">
        <v>42457</v>
      </c>
      <c r="C24">
        <v>1905</v>
      </c>
      <c r="D24">
        <v>1.2400000095367401</v>
      </c>
      <c r="E24">
        <v>1.2400000095367401</v>
      </c>
      <c r="F24">
        <v>0</v>
      </c>
      <c r="G24">
        <v>0</v>
      </c>
      <c r="H24">
        <v>0</v>
      </c>
      <c r="I24">
        <v>1.2400000095367401</v>
      </c>
      <c r="J24">
        <v>0</v>
      </c>
      <c r="K24">
        <v>0</v>
      </c>
      <c r="L24">
        <v>0</v>
      </c>
      <c r="M24">
        <v>95</v>
      </c>
      <c r="N24">
        <v>1345</v>
      </c>
      <c r="O24">
        <v>1342</v>
      </c>
      <c r="P24" t="str">
        <f>TEXT(tbl_working_daily[[#This Row],[ActivityDate]],"dddd")</f>
        <v>Monday</v>
      </c>
      <c r="Q24" t="str">
        <f>TEXT(tbl_working_daily[[#This Row],[ActivityDate]],"mmmm")</f>
        <v>March</v>
      </c>
      <c r="R24">
        <f t="shared" si="0"/>
        <v>95</v>
      </c>
      <c r="S24">
        <f t="shared" si="1"/>
        <v>1440</v>
      </c>
      <c r="T24">
        <f>ROUND(tbl_working_daily[[#This Row],[SedentaryMinutes]]/60,2)</f>
        <v>22.42</v>
      </c>
      <c r="U24" t="str" cm="1">
        <f t="array" ref="U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 t="str" cm="1">
        <f t="array" ref="V24">_xlfn.IFS(tbl_working_daily[[#This Row],[VeryActiveMinutes]]&gt;=30,"Very Active",tbl_working_daily[[#This Row],[VeryActiveMinutes]]&gt;=15,"Moderately Active",tbl_working_daily[[#This Row],[VeryActiveMinutes]]&gt;=1,"Lightly Active",tbl_working_daily[[#This Row],[VeryActiveMinutes]]=0,"Sedentary")</f>
        <v>Sedentary</v>
      </c>
      <c r="W24" t="str">
        <f>tbl_working_daily[[#This Row],[Id]]&amp;"|"&amp;TEXT(tbl_working_daily[[#This Row],[ActivityDate]],"yyyy-mm-dd")</f>
        <v>1624580081|2016-03-28</v>
      </c>
      <c r="X24" t="b">
        <f>ISNUMBER(MATCH(tbl_working_daily[[#This Row],[LookupKey]],tbl_working_sleep[LookupKey],0))</f>
        <v>0</v>
      </c>
    </row>
    <row r="25" spans="1:24" x14ac:dyDescent="0.3">
      <c r="A25">
        <v>1624580081</v>
      </c>
      <c r="B25" s="1">
        <v>42458</v>
      </c>
      <c r="C25">
        <v>1552</v>
      </c>
      <c r="D25">
        <v>1.0099999904632599</v>
      </c>
      <c r="E25">
        <v>1.0099999904632599</v>
      </c>
      <c r="F25">
        <v>0</v>
      </c>
      <c r="G25">
        <v>0</v>
      </c>
      <c r="H25">
        <v>0</v>
      </c>
      <c r="I25">
        <v>1</v>
      </c>
      <c r="J25">
        <v>0</v>
      </c>
      <c r="K25">
        <v>0</v>
      </c>
      <c r="L25">
        <v>0</v>
      </c>
      <c r="M25">
        <v>66</v>
      </c>
      <c r="N25">
        <v>1374</v>
      </c>
      <c r="O25">
        <v>1300</v>
      </c>
      <c r="P25" t="str">
        <f>TEXT(tbl_working_daily[[#This Row],[ActivityDate]],"dddd")</f>
        <v>Tuesday</v>
      </c>
      <c r="Q25" t="str">
        <f>TEXT(tbl_working_daily[[#This Row],[ActivityDate]],"mmmm")</f>
        <v>March</v>
      </c>
      <c r="R25">
        <f t="shared" si="0"/>
        <v>66</v>
      </c>
      <c r="S25">
        <f t="shared" si="1"/>
        <v>1440</v>
      </c>
      <c r="T25">
        <f>ROUND(tbl_working_daily[[#This Row],[SedentaryMinutes]]/60,2)</f>
        <v>22.9</v>
      </c>
      <c r="U25" t="str" cm="1">
        <f t="array" ref="U2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 t="str" cm="1">
        <f t="array" ref="V25">_xlfn.IFS(tbl_working_daily[[#This Row],[VeryActiveMinutes]]&gt;=30,"Very Active",tbl_working_daily[[#This Row],[VeryActiveMinutes]]&gt;=15,"Moderately Active",tbl_working_daily[[#This Row],[VeryActiveMinutes]]&gt;=1,"Lightly Active",tbl_working_daily[[#This Row],[VeryActiveMinutes]]=0,"Sedentary")</f>
        <v>Sedentary</v>
      </c>
      <c r="W25" t="str">
        <f>tbl_working_daily[[#This Row],[Id]]&amp;"|"&amp;TEXT(tbl_working_daily[[#This Row],[ActivityDate]],"yyyy-mm-dd")</f>
        <v>1624580081|2016-03-29</v>
      </c>
      <c r="X25" t="b">
        <f>ISNUMBER(MATCH(tbl_working_daily[[#This Row],[LookupKey]],tbl_working_sleep[LookupKey],0))</f>
        <v>0</v>
      </c>
    </row>
    <row r="26" spans="1:24" x14ac:dyDescent="0.3">
      <c r="A26">
        <v>1624580081</v>
      </c>
      <c r="B26" s="1">
        <v>42459</v>
      </c>
      <c r="C26">
        <v>1675</v>
      </c>
      <c r="D26">
        <v>1.0900000333786</v>
      </c>
      <c r="E26">
        <v>1.0900000333786</v>
      </c>
      <c r="F26">
        <v>0</v>
      </c>
      <c r="G26">
        <v>0</v>
      </c>
      <c r="H26">
        <v>0</v>
      </c>
      <c r="I26">
        <v>1.0900000333786</v>
      </c>
      <c r="J26">
        <v>0</v>
      </c>
      <c r="K26">
        <v>0</v>
      </c>
      <c r="L26">
        <v>0</v>
      </c>
      <c r="M26">
        <v>84</v>
      </c>
      <c r="N26">
        <v>1356</v>
      </c>
      <c r="O26">
        <v>1313</v>
      </c>
      <c r="P26" t="str">
        <f>TEXT(tbl_working_daily[[#This Row],[ActivityDate]],"dddd")</f>
        <v>Wednesday</v>
      </c>
      <c r="Q26" t="str">
        <f>TEXT(tbl_working_daily[[#This Row],[ActivityDate]],"mmmm")</f>
        <v>March</v>
      </c>
      <c r="R26">
        <f t="shared" si="0"/>
        <v>84</v>
      </c>
      <c r="S26">
        <f t="shared" si="1"/>
        <v>1440</v>
      </c>
      <c r="T26">
        <f>ROUND(tbl_working_daily[[#This Row],[SedentaryMinutes]]/60,2)</f>
        <v>22.6</v>
      </c>
      <c r="U26" t="str" cm="1">
        <f t="array" ref="U2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6" t="str" cm="1">
        <f t="array" ref="V26">_xlfn.IFS(tbl_working_daily[[#This Row],[VeryActiveMinutes]]&gt;=30,"Very Active",tbl_working_daily[[#This Row],[VeryActiveMinutes]]&gt;=15,"Moderately Active",tbl_working_daily[[#This Row],[VeryActiveMinutes]]&gt;=1,"Lightly Active",tbl_working_daily[[#This Row],[VeryActiveMinutes]]=0,"Sedentary")</f>
        <v>Sedentary</v>
      </c>
      <c r="W26" t="str">
        <f>tbl_working_daily[[#This Row],[Id]]&amp;"|"&amp;TEXT(tbl_working_daily[[#This Row],[ActivityDate]],"yyyy-mm-dd")</f>
        <v>1624580081|2016-03-30</v>
      </c>
      <c r="X26" t="b">
        <f>ISNUMBER(MATCH(tbl_working_daily[[#This Row],[LookupKey]],tbl_working_sleep[LookupKey],0))</f>
        <v>0</v>
      </c>
    </row>
    <row r="27" spans="1:24" x14ac:dyDescent="0.3">
      <c r="A27">
        <v>1624580081</v>
      </c>
      <c r="B27" s="1">
        <v>42460</v>
      </c>
      <c r="C27">
        <v>4506</v>
      </c>
      <c r="D27">
        <v>2.9300000667571999</v>
      </c>
      <c r="E27">
        <v>2.9300000667571999</v>
      </c>
      <c r="F27">
        <v>0</v>
      </c>
      <c r="G27">
        <v>0.50999999046325695</v>
      </c>
      <c r="H27">
        <v>0.270000010728836</v>
      </c>
      <c r="I27">
        <v>2.1500000953674299</v>
      </c>
      <c r="J27">
        <v>9.9999997764825804E-3</v>
      </c>
      <c r="K27">
        <v>7</v>
      </c>
      <c r="L27">
        <v>4</v>
      </c>
      <c r="M27">
        <v>144</v>
      </c>
      <c r="N27">
        <v>1285</v>
      </c>
      <c r="O27">
        <v>1498</v>
      </c>
      <c r="P27" t="str">
        <f>TEXT(tbl_working_daily[[#This Row],[ActivityDate]],"dddd")</f>
        <v>Thursday</v>
      </c>
      <c r="Q27" t="str">
        <f>TEXT(tbl_working_daily[[#This Row],[ActivityDate]],"mmmm")</f>
        <v>March</v>
      </c>
      <c r="R27">
        <f t="shared" si="0"/>
        <v>155</v>
      </c>
      <c r="S27">
        <f t="shared" si="1"/>
        <v>1440</v>
      </c>
      <c r="T27">
        <f>ROUND(tbl_working_daily[[#This Row],[SedentaryMinutes]]/60,2)</f>
        <v>21.42</v>
      </c>
      <c r="U27" t="str" cm="1">
        <f t="array" ref="U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7" t="str" cm="1">
        <f t="array" ref="V27">_xlfn.IFS(tbl_working_daily[[#This Row],[VeryActiveMinutes]]&gt;=30,"Very Active",tbl_working_daily[[#This Row],[VeryActiveMinutes]]&gt;=15,"Moderately Active",tbl_working_daily[[#This Row],[VeryActiveMinutes]]&gt;=1,"Lightly Active",tbl_working_daily[[#This Row],[VeryActiveMinutes]]=0,"Sedentary")</f>
        <v>Lightly Active</v>
      </c>
      <c r="W27" t="str">
        <f>tbl_working_daily[[#This Row],[Id]]&amp;"|"&amp;TEXT(tbl_working_daily[[#This Row],[ActivityDate]],"yyyy-mm-dd")</f>
        <v>1624580081|2016-03-31</v>
      </c>
      <c r="X27" t="b">
        <f>ISNUMBER(MATCH(tbl_working_daily[[#This Row],[LookupKey]],tbl_working_sleep[LookupKey],0))</f>
        <v>0</v>
      </c>
    </row>
    <row r="28" spans="1:24" x14ac:dyDescent="0.3">
      <c r="A28">
        <v>1624580081</v>
      </c>
      <c r="B28" s="1">
        <v>42461</v>
      </c>
      <c r="C28">
        <v>9218</v>
      </c>
      <c r="D28">
        <v>5.9899997711181596</v>
      </c>
      <c r="E28">
        <v>5.9899997711181596</v>
      </c>
      <c r="F28">
        <v>0</v>
      </c>
      <c r="G28">
        <v>0</v>
      </c>
      <c r="H28">
        <v>0</v>
      </c>
      <c r="I28">
        <v>5.9699997901916504</v>
      </c>
      <c r="J28">
        <v>9.9999997764825804E-3</v>
      </c>
      <c r="K28">
        <v>0</v>
      </c>
      <c r="L28">
        <v>0</v>
      </c>
      <c r="M28">
        <v>221</v>
      </c>
      <c r="N28">
        <v>1219</v>
      </c>
      <c r="O28">
        <v>1541</v>
      </c>
      <c r="P28" t="str">
        <f>TEXT(tbl_working_daily[[#This Row],[ActivityDate]],"dddd")</f>
        <v>Friday</v>
      </c>
      <c r="Q28" t="str">
        <f>TEXT(tbl_working_daily[[#This Row],[ActivityDate]],"mmmm")</f>
        <v>April</v>
      </c>
      <c r="R28">
        <f t="shared" si="0"/>
        <v>221</v>
      </c>
      <c r="S28">
        <f t="shared" si="1"/>
        <v>1440</v>
      </c>
      <c r="T28">
        <f>ROUND(tbl_working_daily[[#This Row],[SedentaryMinutes]]/60,2)</f>
        <v>20.32</v>
      </c>
      <c r="U28" t="str" cm="1">
        <f t="array" ref="U2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8" t="str" cm="1">
        <f t="array" ref="V28">_xlfn.IFS(tbl_working_daily[[#This Row],[VeryActiveMinutes]]&gt;=30,"Very Active",tbl_working_daily[[#This Row],[VeryActiveMinutes]]&gt;=15,"Moderately Active",tbl_working_daily[[#This Row],[VeryActiveMinutes]]&gt;=1,"Lightly Active",tbl_working_daily[[#This Row],[VeryActiveMinutes]]=0,"Sedentary")</f>
        <v>Sedentary</v>
      </c>
      <c r="W28" t="str">
        <f>tbl_working_daily[[#This Row],[Id]]&amp;"|"&amp;TEXT(tbl_working_daily[[#This Row],[ActivityDate]],"yyyy-mm-dd")</f>
        <v>1624580081|2016-04-01</v>
      </c>
      <c r="X28" t="b">
        <f>ISNUMBER(MATCH(tbl_working_daily[[#This Row],[LookupKey]],tbl_working_sleep[LookupKey],0))</f>
        <v>0</v>
      </c>
    </row>
    <row r="29" spans="1:24" x14ac:dyDescent="0.3">
      <c r="A29">
        <v>1624580081</v>
      </c>
      <c r="B29" s="1">
        <v>42462</v>
      </c>
      <c r="C29">
        <v>1556</v>
      </c>
      <c r="D29">
        <v>1.0099999904632599</v>
      </c>
      <c r="E29">
        <v>1.0099999904632599</v>
      </c>
      <c r="F29">
        <v>0</v>
      </c>
      <c r="G29">
        <v>0</v>
      </c>
      <c r="H29">
        <v>0</v>
      </c>
      <c r="I29">
        <v>1.0099999904632599</v>
      </c>
      <c r="J29">
        <v>9.9999997764825804E-3</v>
      </c>
      <c r="K29">
        <v>0</v>
      </c>
      <c r="L29">
        <v>0</v>
      </c>
      <c r="M29">
        <v>88</v>
      </c>
      <c r="N29">
        <v>1352</v>
      </c>
      <c r="O29">
        <v>1327</v>
      </c>
      <c r="P29" t="str">
        <f>TEXT(tbl_working_daily[[#This Row],[ActivityDate]],"dddd")</f>
        <v>Saturday</v>
      </c>
      <c r="Q29" t="str">
        <f>TEXT(tbl_working_daily[[#This Row],[ActivityDate]],"mmmm")</f>
        <v>April</v>
      </c>
      <c r="R29">
        <f t="shared" si="0"/>
        <v>88</v>
      </c>
      <c r="S29">
        <f t="shared" si="1"/>
        <v>1440</v>
      </c>
      <c r="T29">
        <f>ROUND(tbl_working_daily[[#This Row],[SedentaryMinutes]]/60,2)</f>
        <v>22.53</v>
      </c>
      <c r="U29" t="str" cm="1">
        <f t="array" ref="U2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9" t="str" cm="1">
        <f t="array" ref="V29">_xlfn.IFS(tbl_working_daily[[#This Row],[VeryActiveMinutes]]&gt;=30,"Very Active",tbl_working_daily[[#This Row],[VeryActiveMinutes]]&gt;=15,"Moderately Active",tbl_working_daily[[#This Row],[VeryActiveMinutes]]&gt;=1,"Lightly Active",tbl_working_daily[[#This Row],[VeryActiveMinutes]]=0,"Sedentary")</f>
        <v>Sedentary</v>
      </c>
      <c r="W29" t="str">
        <f>tbl_working_daily[[#This Row],[Id]]&amp;"|"&amp;TEXT(tbl_working_daily[[#This Row],[ActivityDate]],"yyyy-mm-dd")</f>
        <v>1624580081|2016-04-02</v>
      </c>
      <c r="X29" t="b">
        <f>ISNUMBER(MATCH(tbl_working_daily[[#This Row],[LookupKey]],tbl_working_sleep[LookupKey],0))</f>
        <v>0</v>
      </c>
    </row>
    <row r="30" spans="1:24" x14ac:dyDescent="0.3">
      <c r="A30">
        <v>1624580081</v>
      </c>
      <c r="B30" s="1">
        <v>42463</v>
      </c>
      <c r="C30">
        <v>2910</v>
      </c>
      <c r="D30">
        <v>1.8899999856948899</v>
      </c>
      <c r="E30">
        <v>1.8899999856948899</v>
      </c>
      <c r="F30">
        <v>0</v>
      </c>
      <c r="G30">
        <v>0</v>
      </c>
      <c r="H30">
        <v>0</v>
      </c>
      <c r="I30">
        <v>1.87999999523163</v>
      </c>
      <c r="J30">
        <v>9.9999997764825804E-3</v>
      </c>
      <c r="K30">
        <v>0</v>
      </c>
      <c r="L30">
        <v>0</v>
      </c>
      <c r="M30">
        <v>157</v>
      </c>
      <c r="N30">
        <v>1283</v>
      </c>
      <c r="O30">
        <v>1452</v>
      </c>
      <c r="P30" t="str">
        <f>TEXT(tbl_working_daily[[#This Row],[ActivityDate]],"dddd")</f>
        <v>Sunday</v>
      </c>
      <c r="Q30" t="str">
        <f>TEXT(tbl_working_daily[[#This Row],[ActivityDate]],"mmmm")</f>
        <v>April</v>
      </c>
      <c r="R30">
        <f t="shared" si="0"/>
        <v>157</v>
      </c>
      <c r="S30">
        <f t="shared" si="1"/>
        <v>1440</v>
      </c>
      <c r="T30">
        <f>ROUND(tbl_working_daily[[#This Row],[SedentaryMinutes]]/60,2)</f>
        <v>21.38</v>
      </c>
      <c r="U30" t="str" cm="1">
        <f t="array" ref="U3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0" t="str" cm="1">
        <f t="array" ref="V30">_xlfn.IFS(tbl_working_daily[[#This Row],[VeryActiveMinutes]]&gt;=30,"Very Active",tbl_working_daily[[#This Row],[VeryActiveMinutes]]&gt;=15,"Moderately Active",tbl_working_daily[[#This Row],[VeryActiveMinutes]]&gt;=1,"Lightly Active",tbl_working_daily[[#This Row],[VeryActiveMinutes]]=0,"Sedentary")</f>
        <v>Sedentary</v>
      </c>
      <c r="W30" t="str">
        <f>tbl_working_daily[[#This Row],[Id]]&amp;"|"&amp;TEXT(tbl_working_daily[[#This Row],[ActivityDate]],"yyyy-mm-dd")</f>
        <v>1624580081|2016-04-03</v>
      </c>
      <c r="X30" t="b">
        <f>ISNUMBER(MATCH(tbl_working_daily[[#This Row],[LookupKey]],tbl_working_sleep[LookupKey],0))</f>
        <v>0</v>
      </c>
    </row>
    <row r="31" spans="1:24" x14ac:dyDescent="0.3">
      <c r="A31">
        <v>1624580081</v>
      </c>
      <c r="B31" s="1">
        <v>42464</v>
      </c>
      <c r="C31">
        <v>18464</v>
      </c>
      <c r="D31">
        <v>12</v>
      </c>
      <c r="E31">
        <v>12</v>
      </c>
      <c r="F31">
        <v>0</v>
      </c>
      <c r="G31">
        <v>0</v>
      </c>
      <c r="H31">
        <v>0</v>
      </c>
      <c r="I31">
        <v>12</v>
      </c>
      <c r="J31">
        <v>0</v>
      </c>
      <c r="K31">
        <v>0</v>
      </c>
      <c r="L31">
        <v>0</v>
      </c>
      <c r="M31">
        <v>270</v>
      </c>
      <c r="N31">
        <v>1170</v>
      </c>
      <c r="O31">
        <v>1574</v>
      </c>
      <c r="P31" t="str">
        <f>TEXT(tbl_working_daily[[#This Row],[ActivityDate]],"dddd")</f>
        <v>Monday</v>
      </c>
      <c r="Q31" t="str">
        <f>TEXT(tbl_working_daily[[#This Row],[ActivityDate]],"mmmm")</f>
        <v>April</v>
      </c>
      <c r="R31">
        <f t="shared" si="0"/>
        <v>270</v>
      </c>
      <c r="S31">
        <f t="shared" si="1"/>
        <v>1440</v>
      </c>
      <c r="T31">
        <f>ROUND(tbl_working_daily[[#This Row],[SedentaryMinutes]]/60,2)</f>
        <v>19.5</v>
      </c>
      <c r="U31" t="str" cm="1">
        <f t="array" ref="U3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1" t="str" cm="1">
        <f t="array" ref="V31">_xlfn.IFS(tbl_working_daily[[#This Row],[VeryActiveMinutes]]&gt;=30,"Very Active",tbl_working_daily[[#This Row],[VeryActiveMinutes]]&gt;=15,"Moderately Active",tbl_working_daily[[#This Row],[VeryActiveMinutes]]&gt;=1,"Lightly Active",tbl_working_daily[[#This Row],[VeryActiveMinutes]]=0,"Sedentary")</f>
        <v>Sedentary</v>
      </c>
      <c r="W31" t="str">
        <f>tbl_working_daily[[#This Row],[Id]]&amp;"|"&amp;TEXT(tbl_working_daily[[#This Row],[ActivityDate]],"yyyy-mm-dd")</f>
        <v>1624580081|2016-04-04</v>
      </c>
      <c r="X31" t="b">
        <f>ISNUMBER(MATCH(tbl_working_daily[[#This Row],[LookupKey]],tbl_working_sleep[LookupKey],0))</f>
        <v>0</v>
      </c>
    </row>
    <row r="32" spans="1:24" x14ac:dyDescent="0.3">
      <c r="A32">
        <v>1624580081</v>
      </c>
      <c r="B32" s="1">
        <v>42465</v>
      </c>
      <c r="C32">
        <v>1335</v>
      </c>
      <c r="D32">
        <v>0.87000000476837203</v>
      </c>
      <c r="E32">
        <v>0.87000000476837203</v>
      </c>
      <c r="F32">
        <v>0</v>
      </c>
      <c r="G32">
        <v>0</v>
      </c>
      <c r="H32">
        <v>0</v>
      </c>
      <c r="I32">
        <v>0.87000000476837203</v>
      </c>
      <c r="J32">
        <v>0</v>
      </c>
      <c r="K32">
        <v>0</v>
      </c>
      <c r="L32">
        <v>0</v>
      </c>
      <c r="M32">
        <v>74</v>
      </c>
      <c r="N32">
        <v>1366</v>
      </c>
      <c r="O32">
        <v>1308</v>
      </c>
      <c r="P32" t="str">
        <f>TEXT(tbl_working_daily[[#This Row],[ActivityDate]],"dddd")</f>
        <v>Tuesday</v>
      </c>
      <c r="Q32" t="str">
        <f>TEXT(tbl_working_daily[[#This Row],[ActivityDate]],"mmmm")</f>
        <v>April</v>
      </c>
      <c r="R32">
        <f t="shared" si="0"/>
        <v>74</v>
      </c>
      <c r="S32">
        <f t="shared" si="1"/>
        <v>1440</v>
      </c>
      <c r="T32">
        <f>ROUND(tbl_working_daily[[#This Row],[SedentaryMinutes]]/60,2)</f>
        <v>22.77</v>
      </c>
      <c r="U32" t="str" cm="1">
        <f t="array" ref="U3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2" t="str" cm="1">
        <f t="array" ref="V32">_xlfn.IFS(tbl_working_daily[[#This Row],[VeryActiveMinutes]]&gt;=30,"Very Active",tbl_working_daily[[#This Row],[VeryActiveMinutes]]&gt;=15,"Moderately Active",tbl_working_daily[[#This Row],[VeryActiveMinutes]]&gt;=1,"Lightly Active",tbl_working_daily[[#This Row],[VeryActiveMinutes]]=0,"Sedentary")</f>
        <v>Sedentary</v>
      </c>
      <c r="W32" t="str">
        <f>tbl_working_daily[[#This Row],[Id]]&amp;"|"&amp;TEXT(tbl_working_daily[[#This Row],[ActivityDate]],"yyyy-mm-dd")</f>
        <v>1624580081|2016-04-05</v>
      </c>
      <c r="X32" t="b">
        <f>ISNUMBER(MATCH(tbl_working_daily[[#This Row],[LookupKey]],tbl_working_sleep[LookupKey],0))</f>
        <v>0</v>
      </c>
    </row>
    <row r="33" spans="1:24" x14ac:dyDescent="0.3">
      <c r="A33">
        <v>1624580081</v>
      </c>
      <c r="B33" s="1">
        <v>42466</v>
      </c>
      <c r="C33">
        <v>1004</v>
      </c>
      <c r="D33">
        <v>0.64999997615814198</v>
      </c>
      <c r="E33">
        <v>0.64999997615814198</v>
      </c>
      <c r="F33">
        <v>0</v>
      </c>
      <c r="G33">
        <v>0</v>
      </c>
      <c r="H33">
        <v>0</v>
      </c>
      <c r="I33">
        <v>0.64999997615814198</v>
      </c>
      <c r="J33">
        <v>0</v>
      </c>
      <c r="K33">
        <v>0</v>
      </c>
      <c r="L33">
        <v>0</v>
      </c>
      <c r="M33">
        <v>55</v>
      </c>
      <c r="N33">
        <v>1385</v>
      </c>
      <c r="O33">
        <v>1276</v>
      </c>
      <c r="P33" t="str">
        <f>TEXT(tbl_working_daily[[#This Row],[ActivityDate]],"dddd")</f>
        <v>Wednesday</v>
      </c>
      <c r="Q33" t="str">
        <f>TEXT(tbl_working_daily[[#This Row],[ActivityDate]],"mmmm")</f>
        <v>April</v>
      </c>
      <c r="R33">
        <f t="shared" si="0"/>
        <v>55</v>
      </c>
      <c r="S33">
        <f t="shared" si="1"/>
        <v>1440</v>
      </c>
      <c r="T33">
        <f>ROUND(tbl_working_daily[[#This Row],[SedentaryMinutes]]/60,2)</f>
        <v>23.08</v>
      </c>
      <c r="U33" t="str" cm="1">
        <f t="array" ref="U3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 t="str" cm="1">
        <f t="array" ref="V33">_xlfn.IFS(tbl_working_daily[[#This Row],[VeryActiveMinutes]]&gt;=30,"Very Active",tbl_working_daily[[#This Row],[VeryActiveMinutes]]&gt;=15,"Moderately Active",tbl_working_daily[[#This Row],[VeryActiveMinutes]]&gt;=1,"Lightly Active",tbl_working_daily[[#This Row],[VeryActiveMinutes]]=0,"Sedentary")</f>
        <v>Sedentary</v>
      </c>
      <c r="W33" t="str">
        <f>tbl_working_daily[[#This Row],[Id]]&amp;"|"&amp;TEXT(tbl_working_daily[[#This Row],[ActivityDate]],"yyyy-mm-dd")</f>
        <v>1624580081|2016-04-06</v>
      </c>
      <c r="X33" t="b">
        <f>ISNUMBER(MATCH(tbl_working_daily[[#This Row],[LookupKey]],tbl_working_sleep[LookupKey],0))</f>
        <v>0</v>
      </c>
    </row>
    <row r="34" spans="1:24" x14ac:dyDescent="0.3">
      <c r="A34">
        <v>1624580081</v>
      </c>
      <c r="B34" s="1">
        <v>42467</v>
      </c>
      <c r="C34">
        <v>1111</v>
      </c>
      <c r="D34">
        <v>0.72000002861022905</v>
      </c>
      <c r="E34">
        <v>0.72000002861022905</v>
      </c>
      <c r="F34">
        <v>0</v>
      </c>
      <c r="G34">
        <v>0</v>
      </c>
      <c r="H34">
        <v>0</v>
      </c>
      <c r="I34">
        <v>0.72000002861022905</v>
      </c>
      <c r="J34">
        <v>0</v>
      </c>
      <c r="K34">
        <v>0</v>
      </c>
      <c r="L34">
        <v>0</v>
      </c>
      <c r="M34">
        <v>54</v>
      </c>
      <c r="N34">
        <v>1386</v>
      </c>
      <c r="O34">
        <v>1278</v>
      </c>
      <c r="P34" t="str">
        <f>TEXT(tbl_working_daily[[#This Row],[ActivityDate]],"dddd")</f>
        <v>Thursday</v>
      </c>
      <c r="Q34" t="str">
        <f>TEXT(tbl_working_daily[[#This Row],[ActivityDate]],"mmmm")</f>
        <v>April</v>
      </c>
      <c r="R34">
        <f t="shared" si="0"/>
        <v>54</v>
      </c>
      <c r="S34">
        <f t="shared" si="1"/>
        <v>1440</v>
      </c>
      <c r="T34">
        <f>ROUND(tbl_working_daily[[#This Row],[SedentaryMinutes]]/60,2)</f>
        <v>23.1</v>
      </c>
      <c r="U34" t="str" cm="1">
        <f t="array" ref="U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 t="str" cm="1">
        <f t="array" ref="V34">_xlfn.IFS(tbl_working_daily[[#This Row],[VeryActiveMinutes]]&gt;=30,"Very Active",tbl_working_daily[[#This Row],[VeryActiveMinutes]]&gt;=15,"Moderately Active",tbl_working_daily[[#This Row],[VeryActiveMinutes]]&gt;=1,"Lightly Active",tbl_working_daily[[#This Row],[VeryActiveMinutes]]=0,"Sedentary")</f>
        <v>Sedentary</v>
      </c>
      <c r="W34" t="str">
        <f>tbl_working_daily[[#This Row],[Id]]&amp;"|"&amp;TEXT(tbl_working_daily[[#This Row],[ActivityDate]],"yyyy-mm-dd")</f>
        <v>1624580081|2016-04-07</v>
      </c>
      <c r="X34" t="b">
        <f>ISNUMBER(MATCH(tbl_working_daily[[#This Row],[LookupKey]],tbl_working_sleep[LookupKey],0))</f>
        <v>0</v>
      </c>
    </row>
    <row r="35" spans="1:24" x14ac:dyDescent="0.3">
      <c r="A35">
        <v>1624580081</v>
      </c>
      <c r="B35" s="1">
        <v>42468</v>
      </c>
      <c r="C35">
        <v>6344</v>
      </c>
      <c r="D35">
        <v>4.1199998855590803</v>
      </c>
      <c r="E35">
        <v>4.1199998855590803</v>
      </c>
      <c r="F35">
        <v>0</v>
      </c>
      <c r="G35">
        <v>0</v>
      </c>
      <c r="H35">
        <v>0</v>
      </c>
      <c r="I35">
        <v>4.0999999046325701</v>
      </c>
      <c r="J35">
        <v>0</v>
      </c>
      <c r="K35">
        <v>0</v>
      </c>
      <c r="L35">
        <v>0</v>
      </c>
      <c r="M35">
        <v>143</v>
      </c>
      <c r="N35">
        <v>1297</v>
      </c>
      <c r="O35">
        <v>1409</v>
      </c>
      <c r="P35" t="str">
        <f>TEXT(tbl_working_daily[[#This Row],[ActivityDate]],"dddd")</f>
        <v>Friday</v>
      </c>
      <c r="Q35" t="str">
        <f>TEXT(tbl_working_daily[[#This Row],[ActivityDate]],"mmmm")</f>
        <v>April</v>
      </c>
      <c r="R35">
        <f t="shared" si="0"/>
        <v>143</v>
      </c>
      <c r="S35">
        <f t="shared" si="1"/>
        <v>1440</v>
      </c>
      <c r="T35">
        <f>ROUND(tbl_working_daily[[#This Row],[SedentaryMinutes]]/60,2)</f>
        <v>21.62</v>
      </c>
      <c r="U35" t="str" cm="1">
        <f t="array" ref="U3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5" t="str" cm="1">
        <f t="array" ref="V35">_xlfn.IFS(tbl_working_daily[[#This Row],[VeryActiveMinutes]]&gt;=30,"Very Active",tbl_working_daily[[#This Row],[VeryActiveMinutes]]&gt;=15,"Moderately Active",tbl_working_daily[[#This Row],[VeryActiveMinutes]]&gt;=1,"Lightly Active",tbl_working_daily[[#This Row],[VeryActiveMinutes]]=0,"Sedentary")</f>
        <v>Sedentary</v>
      </c>
      <c r="W35" t="str">
        <f>tbl_working_daily[[#This Row],[Id]]&amp;"|"&amp;TEXT(tbl_working_daily[[#This Row],[ActivityDate]],"yyyy-mm-dd")</f>
        <v>1624580081|2016-04-08</v>
      </c>
      <c r="X35" t="b">
        <f>ISNUMBER(MATCH(tbl_working_daily[[#This Row],[LookupKey]],tbl_working_sleep[LookupKey],0))</f>
        <v>0</v>
      </c>
    </row>
    <row r="36" spans="1:24" x14ac:dyDescent="0.3">
      <c r="A36">
        <v>1624580081</v>
      </c>
      <c r="B36" s="1">
        <v>42469</v>
      </c>
      <c r="C36">
        <v>3572</v>
      </c>
      <c r="D36">
        <v>2.3199999332428001</v>
      </c>
      <c r="E36">
        <v>2.3199999332428001</v>
      </c>
      <c r="F36">
        <v>0</v>
      </c>
      <c r="G36">
        <v>0</v>
      </c>
      <c r="H36">
        <v>0</v>
      </c>
      <c r="I36">
        <v>2.28999996185303</v>
      </c>
      <c r="J36">
        <v>2.9999999329447701E-2</v>
      </c>
      <c r="K36">
        <v>0</v>
      </c>
      <c r="L36">
        <v>0</v>
      </c>
      <c r="M36">
        <v>122</v>
      </c>
      <c r="N36">
        <v>1318</v>
      </c>
      <c r="O36">
        <v>1370</v>
      </c>
      <c r="P36" t="str">
        <f>TEXT(tbl_working_daily[[#This Row],[ActivityDate]],"dddd")</f>
        <v>Saturday</v>
      </c>
      <c r="Q36" t="str">
        <f>TEXT(tbl_working_daily[[#This Row],[ActivityDate]],"mmmm")</f>
        <v>April</v>
      </c>
      <c r="R36">
        <f t="shared" si="0"/>
        <v>122</v>
      </c>
      <c r="S36">
        <f t="shared" si="1"/>
        <v>1440</v>
      </c>
      <c r="T36">
        <f>ROUND(tbl_working_daily[[#This Row],[SedentaryMinutes]]/60,2)</f>
        <v>21.97</v>
      </c>
      <c r="U36" t="str" cm="1">
        <f t="array" ref="U3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6" t="str" cm="1">
        <f t="array" ref="V36">_xlfn.IFS(tbl_working_daily[[#This Row],[VeryActiveMinutes]]&gt;=30,"Very Active",tbl_working_daily[[#This Row],[VeryActiveMinutes]]&gt;=15,"Moderately Active",tbl_working_daily[[#This Row],[VeryActiveMinutes]]&gt;=1,"Lightly Active",tbl_working_daily[[#This Row],[VeryActiveMinutes]]=0,"Sedentary")</f>
        <v>Sedentary</v>
      </c>
      <c r="W36" t="str">
        <f>tbl_working_daily[[#This Row],[Id]]&amp;"|"&amp;TEXT(tbl_working_daily[[#This Row],[ActivityDate]],"yyyy-mm-dd")</f>
        <v>1624580081|2016-04-09</v>
      </c>
      <c r="X36" t="b">
        <f>ISNUMBER(MATCH(tbl_working_daily[[#This Row],[LookupKey]],tbl_working_sleep[LookupKey],0))</f>
        <v>0</v>
      </c>
    </row>
    <row r="37" spans="1:24" x14ac:dyDescent="0.3">
      <c r="A37">
        <v>1624580081</v>
      </c>
      <c r="B37" s="1">
        <v>42470</v>
      </c>
      <c r="C37">
        <v>3910</v>
      </c>
      <c r="D37">
        <v>2.53999996185303</v>
      </c>
      <c r="E37">
        <v>2.53999996185303</v>
      </c>
      <c r="F37">
        <v>0</v>
      </c>
      <c r="G37">
        <v>0.46999999880790699</v>
      </c>
      <c r="H37">
        <v>0.25</v>
      </c>
      <c r="I37">
        <v>1.8099999427795399</v>
      </c>
      <c r="J37">
        <v>9.9999997764825804E-3</v>
      </c>
      <c r="K37">
        <v>7</v>
      </c>
      <c r="L37">
        <v>7</v>
      </c>
      <c r="M37">
        <v>186</v>
      </c>
      <c r="N37">
        <v>1240</v>
      </c>
      <c r="O37">
        <v>1555</v>
      </c>
      <c r="P37" t="str">
        <f>TEXT(tbl_working_daily[[#This Row],[ActivityDate]],"dddd")</f>
        <v>Sunday</v>
      </c>
      <c r="Q37" t="str">
        <f>TEXT(tbl_working_daily[[#This Row],[ActivityDate]],"mmmm")</f>
        <v>April</v>
      </c>
      <c r="R37">
        <f t="shared" si="0"/>
        <v>200</v>
      </c>
      <c r="S37">
        <f t="shared" si="1"/>
        <v>1440</v>
      </c>
      <c r="T37">
        <f>ROUND(tbl_working_daily[[#This Row],[SedentaryMinutes]]/60,2)</f>
        <v>20.67</v>
      </c>
      <c r="U37" t="str" cm="1">
        <f t="array" ref="U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7" t="str" cm="1">
        <f t="array" ref="V37">_xlfn.IFS(tbl_working_daily[[#This Row],[VeryActiveMinutes]]&gt;=30,"Very Active",tbl_working_daily[[#This Row],[VeryActiveMinutes]]&gt;=15,"Moderately Active",tbl_working_daily[[#This Row],[VeryActiveMinutes]]&gt;=1,"Lightly Active",tbl_working_daily[[#This Row],[VeryActiveMinutes]]=0,"Sedentary")</f>
        <v>Lightly Active</v>
      </c>
      <c r="W37" t="str">
        <f>tbl_working_daily[[#This Row],[Id]]&amp;"|"&amp;TEXT(tbl_working_daily[[#This Row],[ActivityDate]],"yyyy-mm-dd")</f>
        <v>1624580081|2016-04-10</v>
      </c>
      <c r="X37" t="b">
        <f>ISNUMBER(MATCH(tbl_working_daily[[#This Row],[LookupKey]],tbl_working_sleep[LookupKey],0))</f>
        <v>0</v>
      </c>
    </row>
    <row r="38" spans="1:24" x14ac:dyDescent="0.3">
      <c r="A38">
        <v>1624580081</v>
      </c>
      <c r="B38" s="1">
        <v>42471</v>
      </c>
      <c r="C38">
        <v>10000</v>
      </c>
      <c r="D38">
        <v>6.5</v>
      </c>
      <c r="E38">
        <v>6.5</v>
      </c>
      <c r="F38">
        <v>0</v>
      </c>
      <c r="G38">
        <v>0</v>
      </c>
      <c r="H38">
        <v>0</v>
      </c>
      <c r="I38">
        <v>6.5</v>
      </c>
      <c r="J38">
        <v>0</v>
      </c>
      <c r="K38">
        <v>0</v>
      </c>
      <c r="L38">
        <v>0</v>
      </c>
      <c r="M38">
        <v>172</v>
      </c>
      <c r="N38">
        <v>1268</v>
      </c>
      <c r="O38">
        <v>1469</v>
      </c>
      <c r="P38" t="str">
        <f>TEXT(tbl_working_daily[[#This Row],[ActivityDate]],"dddd")</f>
        <v>Monday</v>
      </c>
      <c r="Q38" t="str">
        <f>TEXT(tbl_working_daily[[#This Row],[ActivityDate]],"mmmm")</f>
        <v>April</v>
      </c>
      <c r="R38">
        <f t="shared" si="0"/>
        <v>172</v>
      </c>
      <c r="S38">
        <f t="shared" si="1"/>
        <v>1440</v>
      </c>
      <c r="T38">
        <f>ROUND(tbl_working_daily[[#This Row],[SedentaryMinutes]]/60,2)</f>
        <v>21.13</v>
      </c>
      <c r="U38" t="str" cm="1">
        <f t="array" ref="U3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8" t="str" cm="1">
        <f t="array" ref="V38">_xlfn.IFS(tbl_working_daily[[#This Row],[VeryActiveMinutes]]&gt;=30,"Very Active",tbl_working_daily[[#This Row],[VeryActiveMinutes]]&gt;=15,"Moderately Active",tbl_working_daily[[#This Row],[VeryActiveMinutes]]&gt;=1,"Lightly Active",tbl_working_daily[[#This Row],[VeryActiveMinutes]]=0,"Sedentary")</f>
        <v>Sedentary</v>
      </c>
      <c r="W38" t="str">
        <f>tbl_working_daily[[#This Row],[Id]]&amp;"|"&amp;TEXT(tbl_working_daily[[#This Row],[ActivityDate]],"yyyy-mm-dd")</f>
        <v>1624580081|2016-04-11</v>
      </c>
      <c r="X38" t="b">
        <f>ISNUMBER(MATCH(tbl_working_daily[[#This Row],[LookupKey]],tbl_working_sleep[LookupKey],0))</f>
        <v>0</v>
      </c>
    </row>
    <row r="39" spans="1:24" x14ac:dyDescent="0.3">
      <c r="A39">
        <v>1624580081</v>
      </c>
      <c r="B39" s="1">
        <v>42472</v>
      </c>
      <c r="C39">
        <v>6627</v>
      </c>
      <c r="D39">
        <v>4.3099999427795401</v>
      </c>
      <c r="E39">
        <v>4.3099999427795401</v>
      </c>
      <c r="F39">
        <v>0</v>
      </c>
      <c r="G39">
        <v>0</v>
      </c>
      <c r="H39">
        <v>0</v>
      </c>
      <c r="I39">
        <v>4.3099999427795401</v>
      </c>
      <c r="J39">
        <v>0</v>
      </c>
      <c r="K39">
        <v>0</v>
      </c>
      <c r="L39">
        <v>0</v>
      </c>
      <c r="M39">
        <v>89</v>
      </c>
      <c r="N39">
        <v>604</v>
      </c>
      <c r="O39">
        <v>706</v>
      </c>
      <c r="P39" t="str">
        <f>TEXT(tbl_working_daily[[#This Row],[ActivityDate]],"dddd")</f>
        <v>Tuesday</v>
      </c>
      <c r="Q39" t="str">
        <f>TEXT(tbl_working_daily[[#This Row],[ActivityDate]],"mmmm")</f>
        <v>April</v>
      </c>
      <c r="R39">
        <f t="shared" si="0"/>
        <v>89</v>
      </c>
      <c r="S39">
        <f t="shared" si="1"/>
        <v>693</v>
      </c>
      <c r="T39">
        <f>ROUND(tbl_working_daily[[#This Row],[SedentaryMinutes]]/60,2)</f>
        <v>10.07</v>
      </c>
      <c r="U39" t="str" cm="1">
        <f t="array" ref="U3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9" t="str" cm="1">
        <f t="array" ref="V39">_xlfn.IFS(tbl_working_daily[[#This Row],[VeryActiveMinutes]]&gt;=30,"Very Active",tbl_working_daily[[#This Row],[VeryActiveMinutes]]&gt;=15,"Moderately Active",tbl_working_daily[[#This Row],[VeryActiveMinutes]]&gt;=1,"Lightly Active",tbl_working_daily[[#This Row],[VeryActiveMinutes]]=0,"Sedentary")</f>
        <v>Sedentary</v>
      </c>
      <c r="W39" t="str">
        <f>tbl_working_daily[[#This Row],[Id]]&amp;"|"&amp;TEXT(tbl_working_daily[[#This Row],[ActivityDate]],"yyyy-mm-dd")</f>
        <v>1624580081|2016-04-12</v>
      </c>
      <c r="X39" t="b">
        <f>ISNUMBER(MATCH(tbl_working_daily[[#This Row],[LookupKey]],tbl_working_sleep[LookupKey],0))</f>
        <v>0</v>
      </c>
    </row>
    <row r="40" spans="1:24" x14ac:dyDescent="0.3">
      <c r="A40">
        <v>1644430081</v>
      </c>
      <c r="B40" s="1">
        <v>42461</v>
      </c>
      <c r="C40">
        <v>4636</v>
      </c>
      <c r="D40">
        <v>3.4100000858306898</v>
      </c>
      <c r="E40">
        <v>3.4100000858306898</v>
      </c>
      <c r="F40">
        <v>0</v>
      </c>
      <c r="G40">
        <v>0</v>
      </c>
      <c r="H40">
        <v>0.77999997138977095</v>
      </c>
      <c r="I40">
        <v>2.5999999046325701</v>
      </c>
      <c r="J40">
        <v>2.9999999329447701E-2</v>
      </c>
      <c r="K40">
        <v>0</v>
      </c>
      <c r="L40">
        <v>16</v>
      </c>
      <c r="M40">
        <v>586</v>
      </c>
      <c r="N40">
        <v>838</v>
      </c>
      <c r="O40">
        <v>3323</v>
      </c>
      <c r="P40" t="str">
        <f>TEXT(tbl_working_daily[[#This Row],[ActivityDate]],"dddd")</f>
        <v>Friday</v>
      </c>
      <c r="Q40" t="str">
        <f>TEXT(tbl_working_daily[[#This Row],[ActivityDate]],"mmmm")</f>
        <v>April</v>
      </c>
      <c r="R40">
        <f t="shared" si="0"/>
        <v>602</v>
      </c>
      <c r="S40">
        <f t="shared" si="1"/>
        <v>1440</v>
      </c>
      <c r="T40">
        <f>ROUND(tbl_working_daily[[#This Row],[SedentaryMinutes]]/60,2)</f>
        <v>13.97</v>
      </c>
      <c r="U40" t="str" cm="1">
        <f t="array" ref="U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 t="str" cm="1">
        <f t="array" ref="V40">_xlfn.IFS(tbl_working_daily[[#This Row],[VeryActiveMinutes]]&gt;=30,"Very Active",tbl_working_daily[[#This Row],[VeryActiveMinutes]]&gt;=15,"Moderately Active",tbl_working_daily[[#This Row],[VeryActiveMinutes]]&gt;=1,"Lightly Active",tbl_working_daily[[#This Row],[VeryActiveMinutes]]=0,"Sedentary")</f>
        <v>Sedentary</v>
      </c>
      <c r="W40" t="str">
        <f>tbl_working_daily[[#This Row],[Id]]&amp;"|"&amp;TEXT(tbl_working_daily[[#This Row],[ActivityDate]],"yyyy-mm-dd")</f>
        <v>1644430081|2016-04-01</v>
      </c>
      <c r="X40" t="b">
        <f>ISNUMBER(MATCH(tbl_working_daily[[#This Row],[LookupKey]],tbl_working_sleep[LookupKey],0))</f>
        <v>0</v>
      </c>
    </row>
    <row r="41" spans="1:24" x14ac:dyDescent="0.3">
      <c r="A41">
        <v>1644430081</v>
      </c>
      <c r="B41" s="1">
        <v>42462</v>
      </c>
      <c r="C41">
        <v>20237</v>
      </c>
      <c r="D41">
        <v>14.710000038146999</v>
      </c>
      <c r="E41">
        <v>14.710000038146999</v>
      </c>
      <c r="F41">
        <v>0</v>
      </c>
      <c r="G41">
        <v>2.5699999332428001</v>
      </c>
      <c r="H41">
        <v>6.4000000953674299</v>
      </c>
      <c r="I41">
        <v>5.7300000190734899</v>
      </c>
      <c r="J41">
        <v>9.9999997764825804E-3</v>
      </c>
      <c r="K41">
        <v>34</v>
      </c>
      <c r="L41">
        <v>141</v>
      </c>
      <c r="M41">
        <v>347</v>
      </c>
      <c r="N41">
        <v>918</v>
      </c>
      <c r="O41">
        <v>4029</v>
      </c>
      <c r="P41" t="str">
        <f>TEXT(tbl_working_daily[[#This Row],[ActivityDate]],"dddd")</f>
        <v>Saturday</v>
      </c>
      <c r="Q41" t="str">
        <f>TEXT(tbl_working_daily[[#This Row],[ActivityDate]],"mmmm")</f>
        <v>April</v>
      </c>
      <c r="R41">
        <f t="shared" si="0"/>
        <v>522</v>
      </c>
      <c r="S41">
        <f t="shared" si="1"/>
        <v>1440</v>
      </c>
      <c r="T41">
        <f>ROUND(tbl_working_daily[[#This Row],[SedentaryMinutes]]/60,2)</f>
        <v>15.3</v>
      </c>
      <c r="U41" t="str" cm="1">
        <f t="array" ref="U4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1" t="str" cm="1">
        <f t="array" ref="V41">_xlfn.IFS(tbl_working_daily[[#This Row],[VeryActiveMinutes]]&gt;=30,"Very Active",tbl_working_daily[[#This Row],[VeryActiveMinutes]]&gt;=15,"Moderately Active",tbl_working_daily[[#This Row],[VeryActiveMinutes]]&gt;=1,"Lightly Active",tbl_working_daily[[#This Row],[VeryActiveMinutes]]=0,"Sedentary")</f>
        <v>Very Active</v>
      </c>
      <c r="W41" t="str">
        <f>tbl_working_daily[[#This Row],[Id]]&amp;"|"&amp;TEXT(tbl_working_daily[[#This Row],[ActivityDate]],"yyyy-mm-dd")</f>
        <v>1644430081|2016-04-02</v>
      </c>
      <c r="X41" t="b">
        <f>ISNUMBER(MATCH(tbl_working_daily[[#This Row],[LookupKey]],tbl_working_sleep[LookupKey],0))</f>
        <v>0</v>
      </c>
    </row>
    <row r="42" spans="1:24" x14ac:dyDescent="0.3">
      <c r="A42">
        <v>1644430081</v>
      </c>
      <c r="B42" s="1">
        <v>42463</v>
      </c>
      <c r="C42">
        <v>12912</v>
      </c>
      <c r="D42">
        <v>9.4099998474121094</v>
      </c>
      <c r="E42">
        <v>9.4099998474121094</v>
      </c>
      <c r="F42">
        <v>0</v>
      </c>
      <c r="G42">
        <v>4.8299999237060502</v>
      </c>
      <c r="H42">
        <v>0.769999980926514</v>
      </c>
      <c r="I42">
        <v>3.78999996185303</v>
      </c>
      <c r="J42">
        <v>2.9999999329447701E-2</v>
      </c>
      <c r="K42">
        <v>59</v>
      </c>
      <c r="L42">
        <v>16</v>
      </c>
      <c r="M42">
        <v>283</v>
      </c>
      <c r="N42">
        <v>1082</v>
      </c>
      <c r="O42">
        <v>3436</v>
      </c>
      <c r="P42" t="str">
        <f>TEXT(tbl_working_daily[[#This Row],[ActivityDate]],"dddd")</f>
        <v>Sunday</v>
      </c>
      <c r="Q42" t="str">
        <f>TEXT(tbl_working_daily[[#This Row],[ActivityDate]],"mmmm")</f>
        <v>April</v>
      </c>
      <c r="R42">
        <f t="shared" si="0"/>
        <v>358</v>
      </c>
      <c r="S42">
        <f t="shared" si="1"/>
        <v>1440</v>
      </c>
      <c r="T42">
        <f>ROUND(tbl_working_daily[[#This Row],[SedentaryMinutes]]/60,2)</f>
        <v>18.03</v>
      </c>
      <c r="U42" t="str" cm="1">
        <f t="array" ref="U4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2" t="str" cm="1">
        <f t="array" ref="V42">_xlfn.IFS(tbl_working_daily[[#This Row],[VeryActiveMinutes]]&gt;=30,"Very Active",tbl_working_daily[[#This Row],[VeryActiveMinutes]]&gt;=15,"Moderately Active",tbl_working_daily[[#This Row],[VeryActiveMinutes]]&gt;=1,"Lightly Active",tbl_working_daily[[#This Row],[VeryActiveMinutes]]=0,"Sedentary")</f>
        <v>Very Active</v>
      </c>
      <c r="W42" t="str">
        <f>tbl_working_daily[[#This Row],[Id]]&amp;"|"&amp;TEXT(tbl_working_daily[[#This Row],[ActivityDate]],"yyyy-mm-dd")</f>
        <v>1644430081|2016-04-03</v>
      </c>
      <c r="X42" t="b">
        <f>ISNUMBER(MATCH(tbl_working_daily[[#This Row],[LookupKey]],tbl_working_sleep[LookupKey],0))</f>
        <v>0</v>
      </c>
    </row>
    <row r="43" spans="1:24" x14ac:dyDescent="0.3">
      <c r="A43">
        <v>1644430081</v>
      </c>
      <c r="B43" s="1">
        <v>42464</v>
      </c>
      <c r="C43">
        <v>2819</v>
      </c>
      <c r="D43">
        <v>2.0499999523162802</v>
      </c>
      <c r="E43">
        <v>2.0499999523162802</v>
      </c>
      <c r="F43">
        <v>0</v>
      </c>
      <c r="G43">
        <v>0.31000000238418601</v>
      </c>
      <c r="H43">
        <v>0.17000000178813901</v>
      </c>
      <c r="I43">
        <v>1.5599999427795399</v>
      </c>
      <c r="J43">
        <v>9.9999997764825804E-3</v>
      </c>
      <c r="K43">
        <v>4</v>
      </c>
      <c r="L43">
        <v>4</v>
      </c>
      <c r="M43">
        <v>87</v>
      </c>
      <c r="N43">
        <v>1345</v>
      </c>
      <c r="O43">
        <v>2444</v>
      </c>
      <c r="P43" t="str">
        <f>TEXT(tbl_working_daily[[#This Row],[ActivityDate]],"dddd")</f>
        <v>Monday</v>
      </c>
      <c r="Q43" t="str">
        <f>TEXT(tbl_working_daily[[#This Row],[ActivityDate]],"mmmm")</f>
        <v>April</v>
      </c>
      <c r="R43">
        <f t="shared" si="0"/>
        <v>95</v>
      </c>
      <c r="S43">
        <f t="shared" si="1"/>
        <v>1440</v>
      </c>
      <c r="T43">
        <f>ROUND(tbl_working_daily[[#This Row],[SedentaryMinutes]]/60,2)</f>
        <v>22.42</v>
      </c>
      <c r="U43" t="str" cm="1">
        <f t="array" ref="U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 t="str" cm="1">
        <f t="array" ref="V43">_xlfn.IFS(tbl_working_daily[[#This Row],[VeryActiveMinutes]]&gt;=30,"Very Active",tbl_working_daily[[#This Row],[VeryActiveMinutes]]&gt;=15,"Moderately Active",tbl_working_daily[[#This Row],[VeryActiveMinutes]]&gt;=1,"Lightly Active",tbl_working_daily[[#This Row],[VeryActiveMinutes]]=0,"Sedentary")</f>
        <v>Lightly Active</v>
      </c>
      <c r="W43" t="str">
        <f>tbl_working_daily[[#This Row],[Id]]&amp;"|"&amp;TEXT(tbl_working_daily[[#This Row],[ActivityDate]],"yyyy-mm-dd")</f>
        <v>1644430081|2016-04-04</v>
      </c>
      <c r="X43" t="b">
        <f>ISNUMBER(MATCH(tbl_working_daily[[#This Row],[LookupKey]],tbl_working_sleep[LookupKey],0))</f>
        <v>0</v>
      </c>
    </row>
    <row r="44" spans="1:24" x14ac:dyDescent="0.3">
      <c r="A44">
        <v>1644430081</v>
      </c>
      <c r="B44" s="1">
        <v>42465</v>
      </c>
      <c r="C44">
        <v>9921</v>
      </c>
      <c r="D44">
        <v>7.21000003814697</v>
      </c>
      <c r="E44">
        <v>7.21000003814697</v>
      </c>
      <c r="F44">
        <v>0</v>
      </c>
      <c r="G44">
        <v>0.34000000357627902</v>
      </c>
      <c r="H44">
        <v>1.5199999809265099</v>
      </c>
      <c r="I44">
        <v>5.3600001335143999</v>
      </c>
      <c r="J44">
        <v>0</v>
      </c>
      <c r="K44">
        <v>5</v>
      </c>
      <c r="L44">
        <v>35</v>
      </c>
      <c r="M44">
        <v>219</v>
      </c>
      <c r="N44">
        <v>1181</v>
      </c>
      <c r="O44">
        <v>3098</v>
      </c>
      <c r="P44" t="str">
        <f>TEXT(tbl_working_daily[[#This Row],[ActivityDate]],"dddd")</f>
        <v>Tuesday</v>
      </c>
      <c r="Q44" t="str">
        <f>TEXT(tbl_working_daily[[#This Row],[ActivityDate]],"mmmm")</f>
        <v>April</v>
      </c>
      <c r="R44">
        <f t="shared" si="0"/>
        <v>259</v>
      </c>
      <c r="S44">
        <f t="shared" si="1"/>
        <v>1440</v>
      </c>
      <c r="T44">
        <f>ROUND(tbl_working_daily[[#This Row],[SedentaryMinutes]]/60,2)</f>
        <v>19.68</v>
      </c>
      <c r="U44" t="str" cm="1">
        <f t="array" ref="U4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4" t="str" cm="1">
        <f t="array" ref="V44">_xlfn.IFS(tbl_working_daily[[#This Row],[VeryActiveMinutes]]&gt;=30,"Very Active",tbl_working_daily[[#This Row],[VeryActiveMinutes]]&gt;=15,"Moderately Active",tbl_working_daily[[#This Row],[VeryActiveMinutes]]&gt;=1,"Lightly Active",tbl_working_daily[[#This Row],[VeryActiveMinutes]]=0,"Sedentary")</f>
        <v>Lightly Active</v>
      </c>
      <c r="W44" t="str">
        <f>tbl_working_daily[[#This Row],[Id]]&amp;"|"&amp;TEXT(tbl_working_daily[[#This Row],[ActivityDate]],"yyyy-mm-dd")</f>
        <v>1644430081|2016-04-05</v>
      </c>
      <c r="X44" t="b">
        <f>ISNUMBER(MATCH(tbl_working_daily[[#This Row],[LookupKey]],tbl_working_sleep[LookupKey],0))</f>
        <v>0</v>
      </c>
    </row>
    <row r="45" spans="1:24" x14ac:dyDescent="0.3">
      <c r="A45">
        <v>1644430081</v>
      </c>
      <c r="B45" s="1">
        <v>42466</v>
      </c>
      <c r="C45">
        <v>8046</v>
      </c>
      <c r="D45">
        <v>5.8499999046325701</v>
      </c>
      <c r="E45">
        <v>5.8499999046325701</v>
      </c>
      <c r="F45">
        <v>0</v>
      </c>
      <c r="G45">
        <v>1.28999996185303</v>
      </c>
      <c r="H45">
        <v>2.1199998855590798</v>
      </c>
      <c r="I45">
        <v>2.4500000476837198</v>
      </c>
      <c r="J45">
        <v>0</v>
      </c>
      <c r="K45">
        <v>18</v>
      </c>
      <c r="L45">
        <v>41</v>
      </c>
      <c r="M45">
        <v>137</v>
      </c>
      <c r="N45">
        <v>1244</v>
      </c>
      <c r="O45">
        <v>2925</v>
      </c>
      <c r="P45" t="str">
        <f>TEXT(tbl_working_daily[[#This Row],[ActivityDate]],"dddd")</f>
        <v>Wednesday</v>
      </c>
      <c r="Q45" t="str">
        <f>TEXT(tbl_working_daily[[#This Row],[ActivityDate]],"mmmm")</f>
        <v>April</v>
      </c>
      <c r="R45">
        <f t="shared" si="0"/>
        <v>196</v>
      </c>
      <c r="S45">
        <f t="shared" si="1"/>
        <v>1440</v>
      </c>
      <c r="T45">
        <f>ROUND(tbl_working_daily[[#This Row],[SedentaryMinutes]]/60,2)</f>
        <v>20.73</v>
      </c>
      <c r="U45" t="str" cm="1">
        <f t="array" ref="U4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5" t="str" cm="1">
        <f t="array" ref="V45">_xlfn.IFS(tbl_working_daily[[#This Row],[VeryActiveMinutes]]&gt;=30,"Very Active",tbl_working_daily[[#This Row],[VeryActiveMinutes]]&gt;=15,"Moderately Active",tbl_working_daily[[#This Row],[VeryActiveMinutes]]&gt;=1,"Lightly Active",tbl_working_daily[[#This Row],[VeryActiveMinutes]]=0,"Sedentary")</f>
        <v>Moderately Active</v>
      </c>
      <c r="W45" t="str">
        <f>tbl_working_daily[[#This Row],[Id]]&amp;"|"&amp;TEXT(tbl_working_daily[[#This Row],[ActivityDate]],"yyyy-mm-dd")</f>
        <v>1644430081|2016-04-06</v>
      </c>
      <c r="X45" t="b">
        <f>ISNUMBER(MATCH(tbl_working_daily[[#This Row],[LookupKey]],tbl_working_sleep[LookupKey],0))</f>
        <v>0</v>
      </c>
    </row>
    <row r="46" spans="1:24" x14ac:dyDescent="0.3">
      <c r="A46">
        <v>1644430081</v>
      </c>
      <c r="B46" s="1">
        <v>42467</v>
      </c>
      <c r="C46">
        <v>11166</v>
      </c>
      <c r="D46">
        <v>8.1199998855590803</v>
      </c>
      <c r="E46">
        <v>8.1199998855590803</v>
      </c>
      <c r="F46">
        <v>0</v>
      </c>
      <c r="G46">
        <v>0.20999999344348899</v>
      </c>
      <c r="H46">
        <v>2.4100000858306898</v>
      </c>
      <c r="I46">
        <v>5.5</v>
      </c>
      <c r="J46">
        <v>0</v>
      </c>
      <c r="K46">
        <v>3</v>
      </c>
      <c r="L46">
        <v>58</v>
      </c>
      <c r="M46">
        <v>230</v>
      </c>
      <c r="N46">
        <v>1149</v>
      </c>
      <c r="O46">
        <v>3202</v>
      </c>
      <c r="P46" t="str">
        <f>TEXT(tbl_working_daily[[#This Row],[ActivityDate]],"dddd")</f>
        <v>Thursday</v>
      </c>
      <c r="Q46" t="str">
        <f>TEXT(tbl_working_daily[[#This Row],[ActivityDate]],"mmmm")</f>
        <v>April</v>
      </c>
      <c r="R46">
        <f t="shared" si="0"/>
        <v>291</v>
      </c>
      <c r="S46">
        <f t="shared" si="1"/>
        <v>1440</v>
      </c>
      <c r="T46">
        <f>ROUND(tbl_working_daily[[#This Row],[SedentaryMinutes]]/60,2)</f>
        <v>19.149999999999999</v>
      </c>
      <c r="U46" t="str" cm="1">
        <f t="array" ref="U4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6" t="str" cm="1">
        <f t="array" ref="V46">_xlfn.IFS(tbl_working_daily[[#This Row],[VeryActiveMinutes]]&gt;=30,"Very Active",tbl_working_daily[[#This Row],[VeryActiveMinutes]]&gt;=15,"Moderately Active",tbl_working_daily[[#This Row],[VeryActiveMinutes]]&gt;=1,"Lightly Active",tbl_working_daily[[#This Row],[VeryActiveMinutes]]=0,"Sedentary")</f>
        <v>Lightly Active</v>
      </c>
      <c r="W46" t="str">
        <f>tbl_working_daily[[#This Row],[Id]]&amp;"|"&amp;TEXT(tbl_working_daily[[#This Row],[ActivityDate]],"yyyy-mm-dd")</f>
        <v>1644430081|2016-04-07</v>
      </c>
      <c r="X46" t="b">
        <f>ISNUMBER(MATCH(tbl_working_daily[[#This Row],[LookupKey]],tbl_working_sleep[LookupKey],0))</f>
        <v>0</v>
      </c>
    </row>
    <row r="47" spans="1:24" x14ac:dyDescent="0.3">
      <c r="A47">
        <v>1644430081</v>
      </c>
      <c r="B47" s="1">
        <v>42468</v>
      </c>
      <c r="C47">
        <v>7842</v>
      </c>
      <c r="D47">
        <v>5.6999998092651403</v>
      </c>
      <c r="E47">
        <v>5.6999998092651403</v>
      </c>
      <c r="F47">
        <v>0</v>
      </c>
      <c r="G47">
        <v>0.479999989271164</v>
      </c>
      <c r="H47">
        <v>2.4100000858306898</v>
      </c>
      <c r="I47">
        <v>2.8099999427795401</v>
      </c>
      <c r="J47">
        <v>0</v>
      </c>
      <c r="K47">
        <v>7</v>
      </c>
      <c r="L47">
        <v>43</v>
      </c>
      <c r="M47">
        <v>161</v>
      </c>
      <c r="N47">
        <v>1229</v>
      </c>
      <c r="O47">
        <v>2928</v>
      </c>
      <c r="P47" t="str">
        <f>TEXT(tbl_working_daily[[#This Row],[ActivityDate]],"dddd")</f>
        <v>Friday</v>
      </c>
      <c r="Q47" t="str">
        <f>TEXT(tbl_working_daily[[#This Row],[ActivityDate]],"mmmm")</f>
        <v>April</v>
      </c>
      <c r="R47">
        <f t="shared" si="0"/>
        <v>211</v>
      </c>
      <c r="S47">
        <f t="shared" si="1"/>
        <v>1440</v>
      </c>
      <c r="T47">
        <f>ROUND(tbl_working_daily[[#This Row],[SedentaryMinutes]]/60,2)</f>
        <v>20.48</v>
      </c>
      <c r="U47" t="str" cm="1">
        <f t="array" ref="U4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7" t="str" cm="1">
        <f t="array" ref="V47">_xlfn.IFS(tbl_working_daily[[#This Row],[VeryActiveMinutes]]&gt;=30,"Very Active",tbl_working_daily[[#This Row],[VeryActiveMinutes]]&gt;=15,"Moderately Active",tbl_working_daily[[#This Row],[VeryActiveMinutes]]&gt;=1,"Lightly Active",tbl_working_daily[[#This Row],[VeryActiveMinutes]]=0,"Sedentary")</f>
        <v>Lightly Active</v>
      </c>
      <c r="W47" t="str">
        <f>tbl_working_daily[[#This Row],[Id]]&amp;"|"&amp;TEXT(tbl_working_daily[[#This Row],[ActivityDate]],"yyyy-mm-dd")</f>
        <v>1644430081|2016-04-08</v>
      </c>
      <c r="X47" t="b">
        <f>ISNUMBER(MATCH(tbl_working_daily[[#This Row],[LookupKey]],tbl_working_sleep[LookupKey],0))</f>
        <v>0</v>
      </c>
    </row>
    <row r="48" spans="1:24" x14ac:dyDescent="0.3">
      <c r="A48">
        <v>1644430081</v>
      </c>
      <c r="B48" s="1">
        <v>42469</v>
      </c>
      <c r="C48">
        <v>13840</v>
      </c>
      <c r="D48">
        <v>10.060000419616699</v>
      </c>
      <c r="E48">
        <v>10.060000419616699</v>
      </c>
      <c r="F48">
        <v>0</v>
      </c>
      <c r="G48">
        <v>1.3099999427795399</v>
      </c>
      <c r="H48">
        <v>3.7200000286102299</v>
      </c>
      <c r="I48">
        <v>5.0300002098083496</v>
      </c>
      <c r="J48">
        <v>0</v>
      </c>
      <c r="K48">
        <v>18</v>
      </c>
      <c r="L48">
        <v>81</v>
      </c>
      <c r="M48">
        <v>192</v>
      </c>
      <c r="N48">
        <v>1149</v>
      </c>
      <c r="O48">
        <v>3290</v>
      </c>
      <c r="P48" t="str">
        <f>TEXT(tbl_working_daily[[#This Row],[ActivityDate]],"dddd")</f>
        <v>Saturday</v>
      </c>
      <c r="Q48" t="str">
        <f>TEXT(tbl_working_daily[[#This Row],[ActivityDate]],"mmmm")</f>
        <v>April</v>
      </c>
      <c r="R48">
        <f t="shared" si="0"/>
        <v>291</v>
      </c>
      <c r="S48">
        <f t="shared" si="1"/>
        <v>1440</v>
      </c>
      <c r="T48">
        <f>ROUND(tbl_working_daily[[#This Row],[SedentaryMinutes]]/60,2)</f>
        <v>19.149999999999999</v>
      </c>
      <c r="U48" t="str" cm="1">
        <f t="array" ref="U4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8" t="str" cm="1">
        <f t="array" ref="V48">_xlfn.IFS(tbl_working_daily[[#This Row],[VeryActiveMinutes]]&gt;=30,"Very Active",tbl_working_daily[[#This Row],[VeryActiveMinutes]]&gt;=15,"Moderately Active",tbl_working_daily[[#This Row],[VeryActiveMinutes]]&gt;=1,"Lightly Active",tbl_working_daily[[#This Row],[VeryActiveMinutes]]=0,"Sedentary")</f>
        <v>Moderately Active</v>
      </c>
      <c r="W48" t="str">
        <f>tbl_working_daily[[#This Row],[Id]]&amp;"|"&amp;TEXT(tbl_working_daily[[#This Row],[ActivityDate]],"yyyy-mm-dd")</f>
        <v>1644430081|2016-04-09</v>
      </c>
      <c r="X48" t="b">
        <f>ISNUMBER(MATCH(tbl_working_daily[[#This Row],[LookupKey]],tbl_working_sleep[LookupKey],0))</f>
        <v>0</v>
      </c>
    </row>
    <row r="49" spans="1:24" x14ac:dyDescent="0.3">
      <c r="A49">
        <v>1644430081</v>
      </c>
      <c r="B49" s="1">
        <v>42470</v>
      </c>
      <c r="C49">
        <v>1329</v>
      </c>
      <c r="D49">
        <v>0.97000002861022905</v>
      </c>
      <c r="E49">
        <v>0.97000002861022905</v>
      </c>
      <c r="F49">
        <v>0</v>
      </c>
      <c r="G49">
        <v>0</v>
      </c>
      <c r="H49">
        <v>0</v>
      </c>
      <c r="I49">
        <v>0.97000002861022905</v>
      </c>
      <c r="J49">
        <v>0</v>
      </c>
      <c r="K49">
        <v>0</v>
      </c>
      <c r="L49">
        <v>0</v>
      </c>
      <c r="M49">
        <v>35</v>
      </c>
      <c r="N49">
        <v>207</v>
      </c>
      <c r="O49">
        <v>489</v>
      </c>
      <c r="P49" t="str">
        <f>TEXT(tbl_working_daily[[#This Row],[ActivityDate]],"dddd")</f>
        <v>Sunday</v>
      </c>
      <c r="Q49" t="str">
        <f>TEXT(tbl_working_daily[[#This Row],[ActivityDate]],"mmmm")</f>
        <v>April</v>
      </c>
      <c r="R49">
        <f t="shared" si="0"/>
        <v>35</v>
      </c>
      <c r="S49">
        <f t="shared" si="1"/>
        <v>242</v>
      </c>
      <c r="T49">
        <f>ROUND(tbl_working_daily[[#This Row],[SedentaryMinutes]]/60,2)</f>
        <v>3.45</v>
      </c>
      <c r="U49" t="str" cm="1">
        <f t="array" ref="U4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9" t="str" cm="1">
        <f t="array" ref="V49">_xlfn.IFS(tbl_working_daily[[#This Row],[VeryActiveMinutes]]&gt;=30,"Very Active",tbl_working_daily[[#This Row],[VeryActiveMinutes]]&gt;=15,"Moderately Active",tbl_working_daily[[#This Row],[VeryActiveMinutes]]&gt;=1,"Lightly Active",tbl_working_daily[[#This Row],[VeryActiveMinutes]]=0,"Sedentary")</f>
        <v>Sedentary</v>
      </c>
      <c r="W49" t="str">
        <f>tbl_working_daily[[#This Row],[Id]]&amp;"|"&amp;TEXT(tbl_working_daily[[#This Row],[ActivityDate]],"yyyy-mm-dd")</f>
        <v>1644430081|2016-04-10</v>
      </c>
      <c r="X49" t="b">
        <f>ISNUMBER(MATCH(tbl_working_daily[[#This Row],[LookupKey]],tbl_working_sleep[LookupKey],0))</f>
        <v>0</v>
      </c>
    </row>
    <row r="50" spans="1:24" x14ac:dyDescent="0.3">
      <c r="A50">
        <v>1844505072</v>
      </c>
      <c r="B50" s="1">
        <v>42461</v>
      </c>
      <c r="C50">
        <v>6847</v>
      </c>
      <c r="D50">
        <v>4.5300002098083496</v>
      </c>
      <c r="E50">
        <v>4.5300002098083496</v>
      </c>
      <c r="F50">
        <v>0</v>
      </c>
      <c r="G50">
        <v>0.61000001430511497</v>
      </c>
      <c r="H50">
        <v>0.37000000476837203</v>
      </c>
      <c r="I50">
        <v>3.5499999523162802</v>
      </c>
      <c r="J50">
        <v>0</v>
      </c>
      <c r="K50">
        <v>9</v>
      </c>
      <c r="L50">
        <v>9</v>
      </c>
      <c r="M50">
        <v>251</v>
      </c>
      <c r="N50">
        <v>1171</v>
      </c>
      <c r="O50">
        <v>1969</v>
      </c>
      <c r="P50" t="str">
        <f>TEXT(tbl_working_daily[[#This Row],[ActivityDate]],"dddd")</f>
        <v>Friday</v>
      </c>
      <c r="Q50" t="str">
        <f>TEXT(tbl_working_daily[[#This Row],[ActivityDate]],"mmmm")</f>
        <v>April</v>
      </c>
      <c r="R50">
        <f t="shared" si="0"/>
        <v>269</v>
      </c>
      <c r="S50">
        <f t="shared" si="1"/>
        <v>1440</v>
      </c>
      <c r="T50">
        <f>ROUND(tbl_working_daily[[#This Row],[SedentaryMinutes]]/60,2)</f>
        <v>19.52</v>
      </c>
      <c r="U50" t="str" cm="1">
        <f t="array" ref="U5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0" t="str" cm="1">
        <f t="array" ref="V50">_xlfn.IFS(tbl_working_daily[[#This Row],[VeryActiveMinutes]]&gt;=30,"Very Active",tbl_working_daily[[#This Row],[VeryActiveMinutes]]&gt;=15,"Moderately Active",tbl_working_daily[[#This Row],[VeryActiveMinutes]]&gt;=1,"Lightly Active",tbl_working_daily[[#This Row],[VeryActiveMinutes]]=0,"Sedentary")</f>
        <v>Lightly Active</v>
      </c>
      <c r="W50" t="str">
        <f>tbl_working_daily[[#This Row],[Id]]&amp;"|"&amp;TEXT(tbl_working_daily[[#This Row],[ActivityDate]],"yyyy-mm-dd")</f>
        <v>1844505072|2016-04-01</v>
      </c>
      <c r="X50" t="b">
        <f>ISNUMBER(MATCH(tbl_working_daily[[#This Row],[LookupKey]],tbl_working_sleep[LookupKey],0))</f>
        <v>0</v>
      </c>
    </row>
    <row r="51" spans="1:24" x14ac:dyDescent="0.3">
      <c r="A51">
        <v>1844505072</v>
      </c>
      <c r="B51" s="1">
        <v>42462</v>
      </c>
      <c r="C51">
        <v>5367</v>
      </c>
      <c r="D51">
        <v>3.5499999523162802</v>
      </c>
      <c r="E51">
        <v>3.5499999523162802</v>
      </c>
      <c r="F51">
        <v>0</v>
      </c>
      <c r="G51">
        <v>0</v>
      </c>
      <c r="H51">
        <v>0</v>
      </c>
      <c r="I51">
        <v>3.5499999523162802</v>
      </c>
      <c r="J51">
        <v>0</v>
      </c>
      <c r="K51">
        <v>0</v>
      </c>
      <c r="L51">
        <v>0</v>
      </c>
      <c r="M51">
        <v>263</v>
      </c>
      <c r="N51">
        <v>1177</v>
      </c>
      <c r="O51">
        <v>1889</v>
      </c>
      <c r="P51" t="str">
        <f>TEXT(tbl_working_daily[[#This Row],[ActivityDate]],"dddd")</f>
        <v>Saturday</v>
      </c>
      <c r="Q51" t="str">
        <f>TEXT(tbl_working_daily[[#This Row],[ActivityDate]],"mmmm")</f>
        <v>April</v>
      </c>
      <c r="R51">
        <f t="shared" si="0"/>
        <v>263</v>
      </c>
      <c r="S51">
        <f t="shared" si="1"/>
        <v>1440</v>
      </c>
      <c r="T51">
        <f>ROUND(tbl_working_daily[[#This Row],[SedentaryMinutes]]/60,2)</f>
        <v>19.62</v>
      </c>
      <c r="U51" t="str" cm="1">
        <f t="array" ref="U5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1" t="str" cm="1">
        <f t="array" ref="V51">_xlfn.IFS(tbl_working_daily[[#This Row],[VeryActiveMinutes]]&gt;=30,"Very Active",tbl_working_daily[[#This Row],[VeryActiveMinutes]]&gt;=15,"Moderately Active",tbl_working_daily[[#This Row],[VeryActiveMinutes]]&gt;=1,"Lightly Active",tbl_working_daily[[#This Row],[VeryActiveMinutes]]=0,"Sedentary")</f>
        <v>Sedentary</v>
      </c>
      <c r="W51" t="str">
        <f>tbl_working_daily[[#This Row],[Id]]&amp;"|"&amp;TEXT(tbl_working_daily[[#This Row],[ActivityDate]],"yyyy-mm-dd")</f>
        <v>1844505072|2016-04-02</v>
      </c>
      <c r="X51" t="b">
        <f>ISNUMBER(MATCH(tbl_working_daily[[#This Row],[LookupKey]],tbl_working_sleep[LookupKey],0))</f>
        <v>0</v>
      </c>
    </row>
    <row r="52" spans="1:24" x14ac:dyDescent="0.3">
      <c r="A52">
        <v>1844505072</v>
      </c>
      <c r="B52" s="1">
        <v>42463</v>
      </c>
      <c r="C52">
        <v>2841</v>
      </c>
      <c r="D52">
        <v>1.87999999523163</v>
      </c>
      <c r="E52">
        <v>1.87999999523163</v>
      </c>
      <c r="F52">
        <v>0</v>
      </c>
      <c r="G52">
        <v>0</v>
      </c>
      <c r="H52">
        <v>0</v>
      </c>
      <c r="I52">
        <v>1.87999999523163</v>
      </c>
      <c r="J52">
        <v>0</v>
      </c>
      <c r="K52">
        <v>0</v>
      </c>
      <c r="L52">
        <v>0</v>
      </c>
      <c r="M52">
        <v>136</v>
      </c>
      <c r="N52">
        <v>1114</v>
      </c>
      <c r="O52">
        <v>1636</v>
      </c>
      <c r="P52" t="str">
        <f>TEXT(tbl_working_daily[[#This Row],[ActivityDate]],"dddd")</f>
        <v>Sunday</v>
      </c>
      <c r="Q52" t="str">
        <f>TEXT(tbl_working_daily[[#This Row],[ActivityDate]],"mmmm")</f>
        <v>April</v>
      </c>
      <c r="R52">
        <f t="shared" si="0"/>
        <v>136</v>
      </c>
      <c r="S52">
        <f t="shared" si="1"/>
        <v>1250</v>
      </c>
      <c r="T52">
        <f>ROUND(tbl_working_daily[[#This Row],[SedentaryMinutes]]/60,2)</f>
        <v>18.57</v>
      </c>
      <c r="U52" t="str" cm="1">
        <f t="array" ref="U5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2" t="str" cm="1">
        <f t="array" ref="V52">_xlfn.IFS(tbl_working_daily[[#This Row],[VeryActiveMinutes]]&gt;=30,"Very Active",tbl_working_daily[[#This Row],[VeryActiveMinutes]]&gt;=15,"Moderately Active",tbl_working_daily[[#This Row],[VeryActiveMinutes]]&gt;=1,"Lightly Active",tbl_working_daily[[#This Row],[VeryActiveMinutes]]=0,"Sedentary")</f>
        <v>Sedentary</v>
      </c>
      <c r="W52" t="str">
        <f>tbl_working_daily[[#This Row],[Id]]&amp;"|"&amp;TEXT(tbl_working_daily[[#This Row],[ActivityDate]],"yyyy-mm-dd")</f>
        <v>1844505072|2016-04-03</v>
      </c>
      <c r="X52" t="b">
        <f>ISNUMBER(MATCH(tbl_working_daily[[#This Row],[LookupKey]],tbl_working_sleep[LookupKey],0))</f>
        <v>0</v>
      </c>
    </row>
    <row r="53" spans="1:24" x14ac:dyDescent="0.3">
      <c r="A53">
        <v>1844505072</v>
      </c>
      <c r="B53" s="1">
        <v>42464</v>
      </c>
      <c r="C53">
        <v>0</v>
      </c>
      <c r="D53">
        <v>0</v>
      </c>
      <c r="E53">
        <v>0</v>
      </c>
      <c r="F53">
        <v>0</v>
      </c>
      <c r="G53">
        <v>0</v>
      </c>
      <c r="H53">
        <v>0</v>
      </c>
      <c r="I53">
        <v>0</v>
      </c>
      <c r="J53">
        <v>0</v>
      </c>
      <c r="K53">
        <v>0</v>
      </c>
      <c r="L53">
        <v>0</v>
      </c>
      <c r="M53">
        <v>0</v>
      </c>
      <c r="N53">
        <v>669</v>
      </c>
      <c r="O53">
        <v>1347</v>
      </c>
      <c r="P53" t="str">
        <f>TEXT(tbl_working_daily[[#This Row],[ActivityDate]],"dddd")</f>
        <v>Monday</v>
      </c>
      <c r="Q53" t="str">
        <f>TEXT(tbl_working_daily[[#This Row],[ActivityDate]],"mmmm")</f>
        <v>April</v>
      </c>
      <c r="R53">
        <f t="shared" si="0"/>
        <v>0</v>
      </c>
      <c r="S53">
        <f t="shared" si="1"/>
        <v>669</v>
      </c>
      <c r="T53">
        <f>ROUND(tbl_working_daily[[#This Row],[SedentaryMinutes]]/60,2)</f>
        <v>11.15</v>
      </c>
      <c r="U53" t="str" cm="1">
        <f t="array" ref="U5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3" t="str" cm="1">
        <f t="array" ref="V53">_xlfn.IFS(tbl_working_daily[[#This Row],[VeryActiveMinutes]]&gt;=30,"Very Active",tbl_working_daily[[#This Row],[VeryActiveMinutes]]&gt;=15,"Moderately Active",tbl_working_daily[[#This Row],[VeryActiveMinutes]]&gt;=1,"Lightly Active",tbl_working_daily[[#This Row],[VeryActiveMinutes]]=0,"Sedentary")</f>
        <v>Sedentary</v>
      </c>
      <c r="W53" t="str">
        <f>tbl_working_daily[[#This Row],[Id]]&amp;"|"&amp;TEXT(tbl_working_daily[[#This Row],[ActivityDate]],"yyyy-mm-dd")</f>
        <v>1844505072|2016-04-04</v>
      </c>
      <c r="X53" t="b">
        <f>ISNUMBER(MATCH(tbl_working_daily[[#This Row],[LookupKey]],tbl_working_sleep[LookupKey],0))</f>
        <v>0</v>
      </c>
    </row>
    <row r="54" spans="1:24" x14ac:dyDescent="0.3">
      <c r="A54">
        <v>1844505072</v>
      </c>
      <c r="B54" s="1">
        <v>42465</v>
      </c>
      <c r="C54">
        <v>0</v>
      </c>
      <c r="D54">
        <v>0</v>
      </c>
      <c r="E54">
        <v>0</v>
      </c>
      <c r="F54">
        <v>0</v>
      </c>
      <c r="G54">
        <v>0</v>
      </c>
      <c r="H54">
        <v>0</v>
      </c>
      <c r="I54">
        <v>0</v>
      </c>
      <c r="J54">
        <v>0</v>
      </c>
      <c r="K54">
        <v>0</v>
      </c>
      <c r="L54">
        <v>0</v>
      </c>
      <c r="M54">
        <v>0</v>
      </c>
      <c r="N54">
        <v>1440</v>
      </c>
      <c r="O54">
        <v>1347</v>
      </c>
      <c r="P54" t="str">
        <f>TEXT(tbl_working_daily[[#This Row],[ActivityDate]],"dddd")</f>
        <v>Tuesday</v>
      </c>
      <c r="Q54" t="str">
        <f>TEXT(tbl_working_daily[[#This Row],[ActivityDate]],"mmmm")</f>
        <v>April</v>
      </c>
      <c r="R54">
        <f t="shared" si="0"/>
        <v>0</v>
      </c>
      <c r="S54">
        <f t="shared" si="1"/>
        <v>1440</v>
      </c>
      <c r="T54">
        <f>ROUND(tbl_working_daily[[#This Row],[SedentaryMinutes]]/60,2)</f>
        <v>24</v>
      </c>
      <c r="U54" t="str" cm="1">
        <f t="array" ref="U5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4" t="str" cm="1">
        <f t="array" ref="V54">_xlfn.IFS(tbl_working_daily[[#This Row],[VeryActiveMinutes]]&gt;=30,"Very Active",tbl_working_daily[[#This Row],[VeryActiveMinutes]]&gt;=15,"Moderately Active",tbl_working_daily[[#This Row],[VeryActiveMinutes]]&gt;=1,"Lightly Active",tbl_working_daily[[#This Row],[VeryActiveMinutes]]=0,"Sedentary")</f>
        <v>Sedentary</v>
      </c>
      <c r="W54" t="str">
        <f>tbl_working_daily[[#This Row],[Id]]&amp;"|"&amp;TEXT(tbl_working_daily[[#This Row],[ActivityDate]],"yyyy-mm-dd")</f>
        <v>1844505072|2016-04-05</v>
      </c>
      <c r="X54" t="b">
        <f>ISNUMBER(MATCH(tbl_working_daily[[#This Row],[LookupKey]],tbl_working_sleep[LookupKey],0))</f>
        <v>0</v>
      </c>
    </row>
    <row r="55" spans="1:24" x14ac:dyDescent="0.3">
      <c r="A55">
        <v>1844505072</v>
      </c>
      <c r="B55" s="1">
        <v>42466</v>
      </c>
      <c r="C55">
        <v>7</v>
      </c>
      <c r="D55">
        <v>0</v>
      </c>
      <c r="E55">
        <v>0</v>
      </c>
      <c r="F55">
        <v>0</v>
      </c>
      <c r="G55">
        <v>0</v>
      </c>
      <c r="H55">
        <v>0</v>
      </c>
      <c r="I55">
        <v>0</v>
      </c>
      <c r="J55">
        <v>0</v>
      </c>
      <c r="K55">
        <v>0</v>
      </c>
      <c r="L55">
        <v>0</v>
      </c>
      <c r="M55">
        <v>1</v>
      </c>
      <c r="N55">
        <v>1439</v>
      </c>
      <c r="O55">
        <v>1349</v>
      </c>
      <c r="P55" t="str">
        <f>TEXT(tbl_working_daily[[#This Row],[ActivityDate]],"dddd")</f>
        <v>Wednesday</v>
      </c>
      <c r="Q55" t="str">
        <f>TEXT(tbl_working_daily[[#This Row],[ActivityDate]],"mmmm")</f>
        <v>April</v>
      </c>
      <c r="R55">
        <f t="shared" si="0"/>
        <v>1</v>
      </c>
      <c r="S55">
        <f t="shared" si="1"/>
        <v>1440</v>
      </c>
      <c r="T55">
        <f>ROUND(tbl_working_daily[[#This Row],[SedentaryMinutes]]/60,2)</f>
        <v>23.98</v>
      </c>
      <c r="U55" t="str" cm="1">
        <f t="array" ref="U5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 t="str" cm="1">
        <f t="array" ref="V55">_xlfn.IFS(tbl_working_daily[[#This Row],[VeryActiveMinutes]]&gt;=30,"Very Active",tbl_working_daily[[#This Row],[VeryActiveMinutes]]&gt;=15,"Moderately Active",tbl_working_daily[[#This Row],[VeryActiveMinutes]]&gt;=1,"Lightly Active",tbl_working_daily[[#This Row],[VeryActiveMinutes]]=0,"Sedentary")</f>
        <v>Sedentary</v>
      </c>
      <c r="W55" t="str">
        <f>tbl_working_daily[[#This Row],[Id]]&amp;"|"&amp;TEXT(tbl_working_daily[[#This Row],[ActivityDate]],"yyyy-mm-dd")</f>
        <v>1844505072|2016-04-06</v>
      </c>
      <c r="X55" t="b">
        <f>ISNUMBER(MATCH(tbl_working_daily[[#This Row],[LookupKey]],tbl_working_sleep[LookupKey],0))</f>
        <v>0</v>
      </c>
    </row>
    <row r="56" spans="1:24" x14ac:dyDescent="0.3">
      <c r="A56">
        <v>1844505072</v>
      </c>
      <c r="B56" s="1">
        <v>42467</v>
      </c>
      <c r="C56">
        <v>6344</v>
      </c>
      <c r="D56">
        <v>4.1900000572204599</v>
      </c>
      <c r="E56">
        <v>4.1900000572204599</v>
      </c>
      <c r="F56">
        <v>0</v>
      </c>
      <c r="G56">
        <v>0</v>
      </c>
      <c r="H56">
        <v>0</v>
      </c>
      <c r="I56">
        <v>4.1900000572204599</v>
      </c>
      <c r="J56">
        <v>0</v>
      </c>
      <c r="K56">
        <v>0</v>
      </c>
      <c r="L56">
        <v>0</v>
      </c>
      <c r="M56">
        <v>290</v>
      </c>
      <c r="N56">
        <v>1150</v>
      </c>
      <c r="O56">
        <v>1965</v>
      </c>
      <c r="P56" t="str">
        <f>TEXT(tbl_working_daily[[#This Row],[ActivityDate]],"dddd")</f>
        <v>Thursday</v>
      </c>
      <c r="Q56" t="str">
        <f>TEXT(tbl_working_daily[[#This Row],[ActivityDate]],"mmmm")</f>
        <v>April</v>
      </c>
      <c r="R56">
        <f t="shared" si="0"/>
        <v>290</v>
      </c>
      <c r="S56">
        <f t="shared" si="1"/>
        <v>1440</v>
      </c>
      <c r="T56">
        <f>ROUND(tbl_working_daily[[#This Row],[SedentaryMinutes]]/60,2)</f>
        <v>19.170000000000002</v>
      </c>
      <c r="U56" t="str" cm="1">
        <f t="array" ref="U5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6" t="str" cm="1">
        <f t="array" ref="V56">_xlfn.IFS(tbl_working_daily[[#This Row],[VeryActiveMinutes]]&gt;=30,"Very Active",tbl_working_daily[[#This Row],[VeryActiveMinutes]]&gt;=15,"Moderately Active",tbl_working_daily[[#This Row],[VeryActiveMinutes]]&gt;=1,"Lightly Active",tbl_working_daily[[#This Row],[VeryActiveMinutes]]=0,"Sedentary")</f>
        <v>Sedentary</v>
      </c>
      <c r="W56" t="str">
        <f>tbl_working_daily[[#This Row],[Id]]&amp;"|"&amp;TEXT(tbl_working_daily[[#This Row],[ActivityDate]],"yyyy-mm-dd")</f>
        <v>1844505072|2016-04-07</v>
      </c>
      <c r="X56" t="b">
        <f>ISNUMBER(MATCH(tbl_working_daily[[#This Row],[LookupKey]],tbl_working_sleep[LookupKey],0))</f>
        <v>0</v>
      </c>
    </row>
    <row r="57" spans="1:24" x14ac:dyDescent="0.3">
      <c r="A57">
        <v>1844505072</v>
      </c>
      <c r="B57" s="1">
        <v>42468</v>
      </c>
      <c r="C57">
        <v>5316</v>
      </c>
      <c r="D57">
        <v>3.5099999904632599</v>
      </c>
      <c r="E57">
        <v>3.5099999904632599</v>
      </c>
      <c r="F57">
        <v>0</v>
      </c>
      <c r="G57">
        <v>0</v>
      </c>
      <c r="H57">
        <v>0</v>
      </c>
      <c r="I57">
        <v>3.5099999904632599</v>
      </c>
      <c r="J57">
        <v>0</v>
      </c>
      <c r="K57">
        <v>0</v>
      </c>
      <c r="L57">
        <v>0</v>
      </c>
      <c r="M57">
        <v>221</v>
      </c>
      <c r="N57">
        <v>1219</v>
      </c>
      <c r="O57">
        <v>1824</v>
      </c>
      <c r="P57" t="str">
        <f>TEXT(tbl_working_daily[[#This Row],[ActivityDate]],"dddd")</f>
        <v>Friday</v>
      </c>
      <c r="Q57" t="str">
        <f>TEXT(tbl_working_daily[[#This Row],[ActivityDate]],"mmmm")</f>
        <v>April</v>
      </c>
      <c r="R57">
        <f t="shared" si="0"/>
        <v>221</v>
      </c>
      <c r="S57">
        <f t="shared" si="1"/>
        <v>1440</v>
      </c>
      <c r="T57">
        <f>ROUND(tbl_working_daily[[#This Row],[SedentaryMinutes]]/60,2)</f>
        <v>20.32</v>
      </c>
      <c r="U57" t="str" cm="1">
        <f t="array" ref="U5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7" t="str" cm="1">
        <f t="array" ref="V57">_xlfn.IFS(tbl_working_daily[[#This Row],[VeryActiveMinutes]]&gt;=30,"Very Active",tbl_working_daily[[#This Row],[VeryActiveMinutes]]&gt;=15,"Moderately Active",tbl_working_daily[[#This Row],[VeryActiveMinutes]]&gt;=1,"Lightly Active",tbl_working_daily[[#This Row],[VeryActiveMinutes]]=0,"Sedentary")</f>
        <v>Sedentary</v>
      </c>
      <c r="W57" t="str">
        <f>tbl_working_daily[[#This Row],[Id]]&amp;"|"&amp;TEXT(tbl_working_daily[[#This Row],[ActivityDate]],"yyyy-mm-dd")</f>
        <v>1844505072|2016-04-08</v>
      </c>
      <c r="X57" t="b">
        <f>ISNUMBER(MATCH(tbl_working_daily[[#This Row],[LookupKey]],tbl_working_sleep[LookupKey],0))</f>
        <v>0</v>
      </c>
    </row>
    <row r="58" spans="1:24" x14ac:dyDescent="0.3">
      <c r="A58">
        <v>1844505072</v>
      </c>
      <c r="B58" s="1">
        <v>42469</v>
      </c>
      <c r="C58">
        <v>4979</v>
      </c>
      <c r="D58">
        <v>3.28999996185303</v>
      </c>
      <c r="E58">
        <v>3.28999996185303</v>
      </c>
      <c r="F58">
        <v>0</v>
      </c>
      <c r="G58">
        <v>0</v>
      </c>
      <c r="H58">
        <v>0</v>
      </c>
      <c r="I58">
        <v>3.28999996185303</v>
      </c>
      <c r="J58">
        <v>0</v>
      </c>
      <c r="K58">
        <v>0</v>
      </c>
      <c r="L58">
        <v>0</v>
      </c>
      <c r="M58">
        <v>184</v>
      </c>
      <c r="N58">
        <v>620</v>
      </c>
      <c r="O58">
        <v>1807</v>
      </c>
      <c r="P58" t="str">
        <f>TEXT(tbl_working_daily[[#This Row],[ActivityDate]],"dddd")</f>
        <v>Saturday</v>
      </c>
      <c r="Q58" t="str">
        <f>TEXT(tbl_working_daily[[#This Row],[ActivityDate]],"mmmm")</f>
        <v>April</v>
      </c>
      <c r="R58">
        <f t="shared" si="0"/>
        <v>184</v>
      </c>
      <c r="S58">
        <f t="shared" si="1"/>
        <v>804</v>
      </c>
      <c r="T58">
        <f>ROUND(tbl_working_daily[[#This Row],[SedentaryMinutes]]/60,2)</f>
        <v>10.33</v>
      </c>
      <c r="U58" t="str" cm="1">
        <f t="array" ref="U5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 t="str" cm="1">
        <f t="array" ref="V58">_xlfn.IFS(tbl_working_daily[[#This Row],[VeryActiveMinutes]]&gt;=30,"Very Active",tbl_working_daily[[#This Row],[VeryActiveMinutes]]&gt;=15,"Moderately Active",tbl_working_daily[[#This Row],[VeryActiveMinutes]]&gt;=1,"Lightly Active",tbl_working_daily[[#This Row],[VeryActiveMinutes]]=0,"Sedentary")</f>
        <v>Sedentary</v>
      </c>
      <c r="W58" t="str">
        <f>tbl_working_daily[[#This Row],[Id]]&amp;"|"&amp;TEXT(tbl_working_daily[[#This Row],[ActivityDate]],"yyyy-mm-dd")</f>
        <v>1844505072|2016-04-09</v>
      </c>
      <c r="X58" t="b">
        <f>ISNUMBER(MATCH(tbl_working_daily[[#This Row],[LookupKey]],tbl_working_sleep[LookupKey],0))</f>
        <v>0</v>
      </c>
    </row>
    <row r="59" spans="1:24" x14ac:dyDescent="0.3">
      <c r="A59">
        <v>1844505072</v>
      </c>
      <c r="B59" s="1">
        <v>42470</v>
      </c>
      <c r="C59">
        <v>6556</v>
      </c>
      <c r="D59">
        <v>4.3400001525878897</v>
      </c>
      <c r="E59">
        <v>4.3400001525878897</v>
      </c>
      <c r="F59">
        <v>0</v>
      </c>
      <c r="G59">
        <v>0</v>
      </c>
      <c r="H59">
        <v>0</v>
      </c>
      <c r="I59">
        <v>4.3299999237060502</v>
      </c>
      <c r="J59">
        <v>0</v>
      </c>
      <c r="K59">
        <v>0</v>
      </c>
      <c r="L59">
        <v>0</v>
      </c>
      <c r="M59">
        <v>305</v>
      </c>
      <c r="N59">
        <v>810</v>
      </c>
      <c r="O59">
        <v>1971</v>
      </c>
      <c r="P59" t="str">
        <f>TEXT(tbl_working_daily[[#This Row],[ActivityDate]],"dddd")</f>
        <v>Sunday</v>
      </c>
      <c r="Q59" t="str">
        <f>TEXT(tbl_working_daily[[#This Row],[ActivityDate]],"mmmm")</f>
        <v>April</v>
      </c>
      <c r="R59">
        <f t="shared" si="0"/>
        <v>305</v>
      </c>
      <c r="S59">
        <f t="shared" si="1"/>
        <v>1115</v>
      </c>
      <c r="T59">
        <f>ROUND(tbl_working_daily[[#This Row],[SedentaryMinutes]]/60,2)</f>
        <v>13.5</v>
      </c>
      <c r="U59" t="str" cm="1">
        <f t="array" ref="U5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9" t="str" cm="1">
        <f t="array" ref="V59">_xlfn.IFS(tbl_working_daily[[#This Row],[VeryActiveMinutes]]&gt;=30,"Very Active",tbl_working_daily[[#This Row],[VeryActiveMinutes]]&gt;=15,"Moderately Active",tbl_working_daily[[#This Row],[VeryActiveMinutes]]&gt;=1,"Lightly Active",tbl_working_daily[[#This Row],[VeryActiveMinutes]]=0,"Sedentary")</f>
        <v>Sedentary</v>
      </c>
      <c r="W59" t="str">
        <f>tbl_working_daily[[#This Row],[Id]]&amp;"|"&amp;TEXT(tbl_working_daily[[#This Row],[ActivityDate]],"yyyy-mm-dd")</f>
        <v>1844505072|2016-04-10</v>
      </c>
      <c r="X59" t="b">
        <f>ISNUMBER(MATCH(tbl_working_daily[[#This Row],[LookupKey]],tbl_working_sleep[LookupKey],0))</f>
        <v>0</v>
      </c>
    </row>
    <row r="60" spans="1:24" x14ac:dyDescent="0.3">
      <c r="A60">
        <v>1844505072</v>
      </c>
      <c r="B60" s="1">
        <v>42471</v>
      </c>
      <c r="C60">
        <v>5430</v>
      </c>
      <c r="D60">
        <v>3.5899999141693102</v>
      </c>
      <c r="E60">
        <v>3.5899999141693102</v>
      </c>
      <c r="F60">
        <v>0</v>
      </c>
      <c r="G60">
        <v>0</v>
      </c>
      <c r="H60">
        <v>0</v>
      </c>
      <c r="I60">
        <v>3.5899999141693102</v>
      </c>
      <c r="J60">
        <v>0</v>
      </c>
      <c r="K60">
        <v>0</v>
      </c>
      <c r="L60">
        <v>0</v>
      </c>
      <c r="M60">
        <v>251</v>
      </c>
      <c r="N60">
        <v>1189</v>
      </c>
      <c r="O60">
        <v>1888</v>
      </c>
      <c r="P60" t="str">
        <f>TEXT(tbl_working_daily[[#This Row],[ActivityDate]],"dddd")</f>
        <v>Monday</v>
      </c>
      <c r="Q60" t="str">
        <f>TEXT(tbl_working_daily[[#This Row],[ActivityDate]],"mmmm")</f>
        <v>April</v>
      </c>
      <c r="R60">
        <f t="shared" si="0"/>
        <v>251</v>
      </c>
      <c r="S60">
        <f t="shared" si="1"/>
        <v>1440</v>
      </c>
      <c r="T60">
        <f>ROUND(tbl_working_daily[[#This Row],[SedentaryMinutes]]/60,2)</f>
        <v>19.82</v>
      </c>
      <c r="U60" t="str" cm="1">
        <f t="array" ref="U6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0" t="str" cm="1">
        <f t="array" ref="V60">_xlfn.IFS(tbl_working_daily[[#This Row],[VeryActiveMinutes]]&gt;=30,"Very Active",tbl_working_daily[[#This Row],[VeryActiveMinutes]]&gt;=15,"Moderately Active",tbl_working_daily[[#This Row],[VeryActiveMinutes]]&gt;=1,"Lightly Active",tbl_working_daily[[#This Row],[VeryActiveMinutes]]=0,"Sedentary")</f>
        <v>Sedentary</v>
      </c>
      <c r="W60" t="str">
        <f>tbl_working_daily[[#This Row],[Id]]&amp;"|"&amp;TEXT(tbl_working_daily[[#This Row],[ActivityDate]],"yyyy-mm-dd")</f>
        <v>1844505072|2016-04-11</v>
      </c>
      <c r="X60" t="b">
        <f>ISNUMBER(MATCH(tbl_working_daily[[#This Row],[LookupKey]],tbl_working_sleep[LookupKey],0))</f>
        <v>0</v>
      </c>
    </row>
    <row r="61" spans="1:24" x14ac:dyDescent="0.3">
      <c r="A61">
        <v>1844505072</v>
      </c>
      <c r="B61" s="1">
        <v>42472</v>
      </c>
      <c r="C61">
        <v>0</v>
      </c>
      <c r="D61">
        <v>0</v>
      </c>
      <c r="E61">
        <v>0</v>
      </c>
      <c r="F61">
        <v>0</v>
      </c>
      <c r="G61">
        <v>0</v>
      </c>
      <c r="H61">
        <v>0</v>
      </c>
      <c r="I61">
        <v>0</v>
      </c>
      <c r="J61">
        <v>0</v>
      </c>
      <c r="K61">
        <v>0</v>
      </c>
      <c r="L61">
        <v>0</v>
      </c>
      <c r="M61">
        <v>0</v>
      </c>
      <c r="N61">
        <v>426</v>
      </c>
      <c r="O61">
        <v>399</v>
      </c>
      <c r="P61" t="str">
        <f>TEXT(tbl_working_daily[[#This Row],[ActivityDate]],"dddd")</f>
        <v>Tuesday</v>
      </c>
      <c r="Q61" t="str">
        <f>TEXT(tbl_working_daily[[#This Row],[ActivityDate]],"mmmm")</f>
        <v>April</v>
      </c>
      <c r="R61">
        <f t="shared" si="0"/>
        <v>0</v>
      </c>
      <c r="S61">
        <f t="shared" si="1"/>
        <v>426</v>
      </c>
      <c r="T61">
        <f>ROUND(tbl_working_daily[[#This Row],[SedentaryMinutes]]/60,2)</f>
        <v>7.1</v>
      </c>
      <c r="U61" t="str" cm="1">
        <f t="array" ref="U6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1" t="str" cm="1">
        <f t="array" ref="V61">_xlfn.IFS(tbl_working_daily[[#This Row],[VeryActiveMinutes]]&gt;=30,"Very Active",tbl_working_daily[[#This Row],[VeryActiveMinutes]]&gt;=15,"Moderately Active",tbl_working_daily[[#This Row],[VeryActiveMinutes]]&gt;=1,"Lightly Active",tbl_working_daily[[#This Row],[VeryActiveMinutes]]=0,"Sedentary")</f>
        <v>Sedentary</v>
      </c>
      <c r="W61" t="str">
        <f>tbl_working_daily[[#This Row],[Id]]&amp;"|"&amp;TEXT(tbl_working_daily[[#This Row],[ActivityDate]],"yyyy-mm-dd")</f>
        <v>1844505072|2016-04-12</v>
      </c>
      <c r="X61" t="b">
        <f>ISNUMBER(MATCH(tbl_working_daily[[#This Row],[LookupKey]],tbl_working_sleep[LookupKey],0))</f>
        <v>0</v>
      </c>
    </row>
    <row r="62" spans="1:24" x14ac:dyDescent="0.3">
      <c r="A62">
        <v>1927972279</v>
      </c>
      <c r="B62" s="1">
        <v>42461</v>
      </c>
      <c r="C62">
        <v>4317</v>
      </c>
      <c r="D62">
        <v>2.9900000095367401</v>
      </c>
      <c r="E62">
        <v>2.9900000095367401</v>
      </c>
      <c r="F62">
        <v>0</v>
      </c>
      <c r="G62">
        <v>0</v>
      </c>
      <c r="H62">
        <v>0.37000000476837203</v>
      </c>
      <c r="I62">
        <v>2.6199998855590798</v>
      </c>
      <c r="J62">
        <v>0</v>
      </c>
      <c r="K62">
        <v>0</v>
      </c>
      <c r="L62">
        <v>11</v>
      </c>
      <c r="M62">
        <v>192</v>
      </c>
      <c r="N62">
        <v>854</v>
      </c>
      <c r="O62">
        <v>2590</v>
      </c>
      <c r="P62" t="str">
        <f>TEXT(tbl_working_daily[[#This Row],[ActivityDate]],"dddd")</f>
        <v>Friday</v>
      </c>
      <c r="Q62" t="str">
        <f>TEXT(tbl_working_daily[[#This Row],[ActivityDate]],"mmmm")</f>
        <v>April</v>
      </c>
      <c r="R62">
        <f t="shared" si="0"/>
        <v>203</v>
      </c>
      <c r="S62">
        <f t="shared" si="1"/>
        <v>1057</v>
      </c>
      <c r="T62">
        <f>ROUND(tbl_working_daily[[#This Row],[SedentaryMinutes]]/60,2)</f>
        <v>14.23</v>
      </c>
      <c r="U62" t="str" cm="1">
        <f t="array" ref="U6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2" t="str" cm="1">
        <f t="array" ref="V62">_xlfn.IFS(tbl_working_daily[[#This Row],[VeryActiveMinutes]]&gt;=30,"Very Active",tbl_working_daily[[#This Row],[VeryActiveMinutes]]&gt;=15,"Moderately Active",tbl_working_daily[[#This Row],[VeryActiveMinutes]]&gt;=1,"Lightly Active",tbl_working_daily[[#This Row],[VeryActiveMinutes]]=0,"Sedentary")</f>
        <v>Sedentary</v>
      </c>
      <c r="W62" t="str">
        <f>tbl_working_daily[[#This Row],[Id]]&amp;"|"&amp;TEXT(tbl_working_daily[[#This Row],[ActivityDate]],"yyyy-mm-dd")</f>
        <v>1927972279|2016-04-01</v>
      </c>
      <c r="X62" t="b">
        <f>ISNUMBER(MATCH(tbl_working_daily[[#This Row],[LookupKey]],tbl_working_sleep[LookupKey],0))</f>
        <v>0</v>
      </c>
    </row>
    <row r="63" spans="1:24" x14ac:dyDescent="0.3">
      <c r="A63">
        <v>1927972279</v>
      </c>
      <c r="B63" s="1">
        <v>42462</v>
      </c>
      <c r="C63">
        <v>5662</v>
      </c>
      <c r="D63">
        <v>3.9200000762939502</v>
      </c>
      <c r="E63">
        <v>3.9200000762939502</v>
      </c>
      <c r="F63">
        <v>0</v>
      </c>
      <c r="G63">
        <v>0</v>
      </c>
      <c r="H63">
        <v>0</v>
      </c>
      <c r="I63">
        <v>3.9200000762939502</v>
      </c>
      <c r="J63">
        <v>0</v>
      </c>
      <c r="K63">
        <v>0</v>
      </c>
      <c r="L63">
        <v>0</v>
      </c>
      <c r="M63">
        <v>267</v>
      </c>
      <c r="N63">
        <v>858</v>
      </c>
      <c r="O63">
        <v>2783</v>
      </c>
      <c r="P63" t="str">
        <f>TEXT(tbl_working_daily[[#This Row],[ActivityDate]],"dddd")</f>
        <v>Saturday</v>
      </c>
      <c r="Q63" t="str">
        <f>TEXT(tbl_working_daily[[#This Row],[ActivityDate]],"mmmm")</f>
        <v>April</v>
      </c>
      <c r="R63">
        <f t="shared" si="0"/>
        <v>267</v>
      </c>
      <c r="S63">
        <f t="shared" si="1"/>
        <v>1125</v>
      </c>
      <c r="T63">
        <f>ROUND(tbl_working_daily[[#This Row],[SedentaryMinutes]]/60,2)</f>
        <v>14.3</v>
      </c>
      <c r="U63" t="str" cm="1">
        <f t="array" ref="U6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3" t="str" cm="1">
        <f t="array" ref="V63">_xlfn.IFS(tbl_working_daily[[#This Row],[VeryActiveMinutes]]&gt;=30,"Very Active",tbl_working_daily[[#This Row],[VeryActiveMinutes]]&gt;=15,"Moderately Active",tbl_working_daily[[#This Row],[VeryActiveMinutes]]&gt;=1,"Lightly Active",tbl_working_daily[[#This Row],[VeryActiveMinutes]]=0,"Sedentary")</f>
        <v>Sedentary</v>
      </c>
      <c r="W63" t="str">
        <f>tbl_working_daily[[#This Row],[Id]]&amp;"|"&amp;TEXT(tbl_working_daily[[#This Row],[ActivityDate]],"yyyy-mm-dd")</f>
        <v>1927972279|2016-04-02</v>
      </c>
      <c r="X63" t="b">
        <f>ISNUMBER(MATCH(tbl_working_daily[[#This Row],[LookupKey]],tbl_working_sleep[LookupKey],0))</f>
        <v>0</v>
      </c>
    </row>
    <row r="64" spans="1:24" x14ac:dyDescent="0.3">
      <c r="A64">
        <v>1927972279</v>
      </c>
      <c r="B64" s="1">
        <v>42463</v>
      </c>
      <c r="C64">
        <v>3198</v>
      </c>
      <c r="D64">
        <v>2.21000003814697</v>
      </c>
      <c r="E64">
        <v>2.21000003814697</v>
      </c>
      <c r="F64">
        <v>0</v>
      </c>
      <c r="G64">
        <v>0</v>
      </c>
      <c r="H64">
        <v>0</v>
      </c>
      <c r="I64">
        <v>2.21000003814697</v>
      </c>
      <c r="J64">
        <v>0</v>
      </c>
      <c r="K64">
        <v>0</v>
      </c>
      <c r="L64">
        <v>0</v>
      </c>
      <c r="M64">
        <v>146</v>
      </c>
      <c r="N64">
        <v>1183</v>
      </c>
      <c r="O64">
        <v>2449</v>
      </c>
      <c r="P64" t="str">
        <f>TEXT(tbl_working_daily[[#This Row],[ActivityDate]],"dddd")</f>
        <v>Sunday</v>
      </c>
      <c r="Q64" t="str">
        <f>TEXT(tbl_working_daily[[#This Row],[ActivityDate]],"mmmm")</f>
        <v>April</v>
      </c>
      <c r="R64">
        <f t="shared" si="0"/>
        <v>146</v>
      </c>
      <c r="S64">
        <f t="shared" si="1"/>
        <v>1329</v>
      </c>
      <c r="T64">
        <f>ROUND(tbl_working_daily[[#This Row],[SedentaryMinutes]]/60,2)</f>
        <v>19.72</v>
      </c>
      <c r="U64" t="str" cm="1">
        <f t="array" ref="U6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 t="str" cm="1">
        <f t="array" ref="V64">_xlfn.IFS(tbl_working_daily[[#This Row],[VeryActiveMinutes]]&gt;=30,"Very Active",tbl_working_daily[[#This Row],[VeryActiveMinutes]]&gt;=15,"Moderately Active",tbl_working_daily[[#This Row],[VeryActiveMinutes]]&gt;=1,"Lightly Active",tbl_working_daily[[#This Row],[VeryActiveMinutes]]=0,"Sedentary")</f>
        <v>Sedentary</v>
      </c>
      <c r="W64" t="str">
        <f>tbl_working_daily[[#This Row],[Id]]&amp;"|"&amp;TEXT(tbl_working_daily[[#This Row],[ActivityDate]],"yyyy-mm-dd")</f>
        <v>1927972279|2016-04-03</v>
      </c>
      <c r="X64" t="b">
        <f>ISNUMBER(MATCH(tbl_working_daily[[#This Row],[LookupKey]],tbl_working_sleep[LookupKey],0))</f>
        <v>0</v>
      </c>
    </row>
    <row r="65" spans="1:24" x14ac:dyDescent="0.3">
      <c r="A65">
        <v>1927972279</v>
      </c>
      <c r="B65" s="1">
        <v>42464</v>
      </c>
      <c r="C65">
        <v>2352</v>
      </c>
      <c r="D65">
        <v>1.62999999523163</v>
      </c>
      <c r="E65">
        <v>1.62999999523163</v>
      </c>
      <c r="F65">
        <v>0</v>
      </c>
      <c r="G65">
        <v>0</v>
      </c>
      <c r="H65">
        <v>0</v>
      </c>
      <c r="I65">
        <v>1.62999999523163</v>
      </c>
      <c r="J65">
        <v>0</v>
      </c>
      <c r="K65">
        <v>0</v>
      </c>
      <c r="L65">
        <v>0</v>
      </c>
      <c r="M65">
        <v>128</v>
      </c>
      <c r="N65">
        <v>829</v>
      </c>
      <c r="O65">
        <v>2380</v>
      </c>
      <c r="P65" t="str">
        <f>TEXT(tbl_working_daily[[#This Row],[ActivityDate]],"dddd")</f>
        <v>Monday</v>
      </c>
      <c r="Q65" t="str">
        <f>TEXT(tbl_working_daily[[#This Row],[ActivityDate]],"mmmm")</f>
        <v>April</v>
      </c>
      <c r="R65">
        <f t="shared" si="0"/>
        <v>128</v>
      </c>
      <c r="S65">
        <f t="shared" si="1"/>
        <v>957</v>
      </c>
      <c r="T65">
        <f>ROUND(tbl_working_daily[[#This Row],[SedentaryMinutes]]/60,2)</f>
        <v>13.82</v>
      </c>
      <c r="U65" t="str" cm="1">
        <f t="array" ref="U6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5" t="str" cm="1">
        <f t="array" ref="V65">_xlfn.IFS(tbl_working_daily[[#This Row],[VeryActiveMinutes]]&gt;=30,"Very Active",tbl_working_daily[[#This Row],[VeryActiveMinutes]]&gt;=15,"Moderately Active",tbl_working_daily[[#This Row],[VeryActiveMinutes]]&gt;=1,"Lightly Active",tbl_working_daily[[#This Row],[VeryActiveMinutes]]=0,"Sedentary")</f>
        <v>Sedentary</v>
      </c>
      <c r="W65" t="str">
        <f>tbl_working_daily[[#This Row],[Id]]&amp;"|"&amp;TEXT(tbl_working_daily[[#This Row],[ActivityDate]],"yyyy-mm-dd")</f>
        <v>1927972279|2016-04-04</v>
      </c>
      <c r="X65" t="b">
        <f>ISNUMBER(MATCH(tbl_working_daily[[#This Row],[LookupKey]],tbl_working_sleep[LookupKey],0))</f>
        <v>0</v>
      </c>
    </row>
    <row r="66" spans="1:24" x14ac:dyDescent="0.3">
      <c r="A66">
        <v>1927972279</v>
      </c>
      <c r="B66" s="1">
        <v>42465</v>
      </c>
      <c r="C66">
        <v>2234</v>
      </c>
      <c r="D66">
        <v>1.54999995231628</v>
      </c>
      <c r="E66">
        <v>1.54999995231628</v>
      </c>
      <c r="F66">
        <v>0</v>
      </c>
      <c r="G66">
        <v>0</v>
      </c>
      <c r="H66">
        <v>0</v>
      </c>
      <c r="I66">
        <v>1.54999995231628</v>
      </c>
      <c r="J66">
        <v>0</v>
      </c>
      <c r="K66">
        <v>0</v>
      </c>
      <c r="L66">
        <v>0</v>
      </c>
      <c r="M66">
        <v>108</v>
      </c>
      <c r="N66">
        <v>912</v>
      </c>
      <c r="O66">
        <v>2344</v>
      </c>
      <c r="P66" t="str">
        <f>TEXT(tbl_working_daily[[#This Row],[ActivityDate]],"dddd")</f>
        <v>Tuesday</v>
      </c>
      <c r="Q66" t="str">
        <f>TEXT(tbl_working_daily[[#This Row],[ActivityDate]],"mmmm")</f>
        <v>April</v>
      </c>
      <c r="R66">
        <f t="shared" ref="R66:R129" si="2">K66+L66+M66</f>
        <v>108</v>
      </c>
      <c r="S66">
        <f t="shared" ref="S66:S129" si="3">R66+N66</f>
        <v>1020</v>
      </c>
      <c r="T66">
        <f>ROUND(tbl_working_daily[[#This Row],[SedentaryMinutes]]/60,2)</f>
        <v>15.2</v>
      </c>
      <c r="U66" t="str" cm="1">
        <f t="array" ref="U6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6" t="str" cm="1">
        <f t="array" ref="V66">_xlfn.IFS(tbl_working_daily[[#This Row],[VeryActiveMinutes]]&gt;=30,"Very Active",tbl_working_daily[[#This Row],[VeryActiveMinutes]]&gt;=15,"Moderately Active",tbl_working_daily[[#This Row],[VeryActiveMinutes]]&gt;=1,"Lightly Active",tbl_working_daily[[#This Row],[VeryActiveMinutes]]=0,"Sedentary")</f>
        <v>Sedentary</v>
      </c>
      <c r="W66" t="str">
        <f>tbl_working_daily[[#This Row],[Id]]&amp;"|"&amp;TEXT(tbl_working_daily[[#This Row],[ActivityDate]],"yyyy-mm-dd")</f>
        <v>1927972279|2016-04-05</v>
      </c>
      <c r="X66" t="b">
        <f>ISNUMBER(MATCH(tbl_working_daily[[#This Row],[LookupKey]],tbl_working_sleep[LookupKey],0))</f>
        <v>0</v>
      </c>
    </row>
    <row r="67" spans="1:24" x14ac:dyDescent="0.3">
      <c r="A67">
        <v>1927972279</v>
      </c>
      <c r="B67" s="1">
        <v>42466</v>
      </c>
      <c r="C67">
        <v>1259</v>
      </c>
      <c r="D67">
        <v>0.87000000476837203</v>
      </c>
      <c r="E67">
        <v>0.87000000476837203</v>
      </c>
      <c r="F67">
        <v>0</v>
      </c>
      <c r="G67">
        <v>0</v>
      </c>
      <c r="H67">
        <v>0</v>
      </c>
      <c r="I67">
        <v>0.87000000476837203</v>
      </c>
      <c r="J67">
        <v>0</v>
      </c>
      <c r="K67">
        <v>0</v>
      </c>
      <c r="L67">
        <v>0</v>
      </c>
      <c r="M67">
        <v>73</v>
      </c>
      <c r="N67">
        <v>938</v>
      </c>
      <c r="O67">
        <v>2202</v>
      </c>
      <c r="P67" t="str">
        <f>TEXT(tbl_working_daily[[#This Row],[ActivityDate]],"dddd")</f>
        <v>Wednesday</v>
      </c>
      <c r="Q67" t="str">
        <f>TEXT(tbl_working_daily[[#This Row],[ActivityDate]],"mmmm")</f>
        <v>April</v>
      </c>
      <c r="R67">
        <f t="shared" si="2"/>
        <v>73</v>
      </c>
      <c r="S67">
        <f t="shared" si="3"/>
        <v>1011</v>
      </c>
      <c r="T67">
        <f>ROUND(tbl_working_daily[[#This Row],[SedentaryMinutes]]/60,2)</f>
        <v>15.63</v>
      </c>
      <c r="U67" t="str" cm="1">
        <f t="array" ref="U6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7" t="str" cm="1">
        <f t="array" ref="V67">_xlfn.IFS(tbl_working_daily[[#This Row],[VeryActiveMinutes]]&gt;=30,"Very Active",tbl_working_daily[[#This Row],[VeryActiveMinutes]]&gt;=15,"Moderately Active",tbl_working_daily[[#This Row],[VeryActiveMinutes]]&gt;=1,"Lightly Active",tbl_working_daily[[#This Row],[VeryActiveMinutes]]=0,"Sedentary")</f>
        <v>Sedentary</v>
      </c>
      <c r="W67" t="str">
        <f>tbl_working_daily[[#This Row],[Id]]&amp;"|"&amp;TEXT(tbl_working_daily[[#This Row],[ActivityDate]],"yyyy-mm-dd")</f>
        <v>1927972279|2016-04-06</v>
      </c>
      <c r="X67" t="b">
        <f>ISNUMBER(MATCH(tbl_working_daily[[#This Row],[LookupKey]],tbl_working_sleep[LookupKey],0))</f>
        <v>0</v>
      </c>
    </row>
    <row r="68" spans="1:24" x14ac:dyDescent="0.3">
      <c r="A68">
        <v>1927972279</v>
      </c>
      <c r="B68" s="1">
        <v>42467</v>
      </c>
      <c r="C68">
        <v>768</v>
      </c>
      <c r="D68">
        <v>0.52999997138977095</v>
      </c>
      <c r="E68">
        <v>0.52999997138977095</v>
      </c>
      <c r="F68">
        <v>0</v>
      </c>
      <c r="G68">
        <v>0</v>
      </c>
      <c r="H68">
        <v>0</v>
      </c>
      <c r="I68">
        <v>0.52999997138977095</v>
      </c>
      <c r="J68">
        <v>0</v>
      </c>
      <c r="K68">
        <v>0</v>
      </c>
      <c r="L68">
        <v>0</v>
      </c>
      <c r="M68">
        <v>43</v>
      </c>
      <c r="N68">
        <v>1397</v>
      </c>
      <c r="O68">
        <v>2130</v>
      </c>
      <c r="P68" t="str">
        <f>TEXT(tbl_working_daily[[#This Row],[ActivityDate]],"dddd")</f>
        <v>Thursday</v>
      </c>
      <c r="Q68" t="str">
        <f>TEXT(tbl_working_daily[[#This Row],[ActivityDate]],"mmmm")</f>
        <v>April</v>
      </c>
      <c r="R68">
        <f t="shared" si="2"/>
        <v>43</v>
      </c>
      <c r="S68">
        <f t="shared" si="3"/>
        <v>1440</v>
      </c>
      <c r="T68">
        <f>ROUND(tbl_working_daily[[#This Row],[SedentaryMinutes]]/60,2)</f>
        <v>23.28</v>
      </c>
      <c r="U68" t="str" cm="1">
        <f t="array" ref="U6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 t="str" cm="1">
        <f t="array" ref="V68">_xlfn.IFS(tbl_working_daily[[#This Row],[VeryActiveMinutes]]&gt;=30,"Very Active",tbl_working_daily[[#This Row],[VeryActiveMinutes]]&gt;=15,"Moderately Active",tbl_working_daily[[#This Row],[VeryActiveMinutes]]&gt;=1,"Lightly Active",tbl_working_daily[[#This Row],[VeryActiveMinutes]]=0,"Sedentary")</f>
        <v>Sedentary</v>
      </c>
      <c r="W68" t="str">
        <f>tbl_working_daily[[#This Row],[Id]]&amp;"|"&amp;TEXT(tbl_working_daily[[#This Row],[ActivityDate]],"yyyy-mm-dd")</f>
        <v>1927972279|2016-04-07</v>
      </c>
      <c r="X68" t="b">
        <f>ISNUMBER(MATCH(tbl_working_daily[[#This Row],[LookupKey]],tbl_working_sleep[LookupKey],0))</f>
        <v>0</v>
      </c>
    </row>
    <row r="69" spans="1:24" x14ac:dyDescent="0.3">
      <c r="A69">
        <v>1927972279</v>
      </c>
      <c r="B69" s="1">
        <v>42468</v>
      </c>
      <c r="C69">
        <v>519</v>
      </c>
      <c r="D69">
        <v>0.36000001430511502</v>
      </c>
      <c r="E69">
        <v>0.36000001430511502</v>
      </c>
      <c r="F69">
        <v>0</v>
      </c>
      <c r="G69">
        <v>0</v>
      </c>
      <c r="H69">
        <v>0</v>
      </c>
      <c r="I69">
        <v>0.36000001430511502</v>
      </c>
      <c r="J69">
        <v>0</v>
      </c>
      <c r="K69">
        <v>0</v>
      </c>
      <c r="L69">
        <v>0</v>
      </c>
      <c r="M69">
        <v>34</v>
      </c>
      <c r="N69">
        <v>1406</v>
      </c>
      <c r="O69">
        <v>2088</v>
      </c>
      <c r="P69" t="str">
        <f>TEXT(tbl_working_daily[[#This Row],[ActivityDate]],"dddd")</f>
        <v>Friday</v>
      </c>
      <c r="Q69" t="str">
        <f>TEXT(tbl_working_daily[[#This Row],[ActivityDate]],"mmmm")</f>
        <v>April</v>
      </c>
      <c r="R69">
        <f t="shared" si="2"/>
        <v>34</v>
      </c>
      <c r="S69">
        <f t="shared" si="3"/>
        <v>1440</v>
      </c>
      <c r="T69">
        <f>ROUND(tbl_working_daily[[#This Row],[SedentaryMinutes]]/60,2)</f>
        <v>23.43</v>
      </c>
      <c r="U69" t="str" cm="1">
        <f t="array" ref="U6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9" t="str" cm="1">
        <f t="array" ref="V69">_xlfn.IFS(tbl_working_daily[[#This Row],[VeryActiveMinutes]]&gt;=30,"Very Active",tbl_working_daily[[#This Row],[VeryActiveMinutes]]&gt;=15,"Moderately Active",tbl_working_daily[[#This Row],[VeryActiveMinutes]]&gt;=1,"Lightly Active",tbl_working_daily[[#This Row],[VeryActiveMinutes]]=0,"Sedentary")</f>
        <v>Sedentary</v>
      </c>
      <c r="W69" t="str">
        <f>tbl_working_daily[[#This Row],[Id]]&amp;"|"&amp;TEXT(tbl_working_daily[[#This Row],[ActivityDate]],"yyyy-mm-dd")</f>
        <v>1927972279|2016-04-08</v>
      </c>
      <c r="X69" t="b">
        <f>ISNUMBER(MATCH(tbl_working_daily[[#This Row],[LookupKey]],tbl_working_sleep[LookupKey],0))</f>
        <v>0</v>
      </c>
    </row>
    <row r="70" spans="1:24" x14ac:dyDescent="0.3">
      <c r="A70">
        <v>1927972279</v>
      </c>
      <c r="B70" s="1">
        <v>42469</v>
      </c>
      <c r="C70">
        <v>2523</v>
      </c>
      <c r="D70">
        <v>1.75</v>
      </c>
      <c r="E70">
        <v>1.75</v>
      </c>
      <c r="F70">
        <v>0</v>
      </c>
      <c r="G70">
        <v>0</v>
      </c>
      <c r="H70">
        <v>0.37000000476837203</v>
      </c>
      <c r="I70">
        <v>1.37999999523163</v>
      </c>
      <c r="J70">
        <v>0</v>
      </c>
      <c r="K70">
        <v>0</v>
      </c>
      <c r="L70">
        <v>9</v>
      </c>
      <c r="M70">
        <v>134</v>
      </c>
      <c r="N70">
        <v>1250</v>
      </c>
      <c r="O70">
        <v>2443</v>
      </c>
      <c r="P70" t="str">
        <f>TEXT(tbl_working_daily[[#This Row],[ActivityDate]],"dddd")</f>
        <v>Saturday</v>
      </c>
      <c r="Q70" t="str">
        <f>TEXT(tbl_working_daily[[#This Row],[ActivityDate]],"mmmm")</f>
        <v>April</v>
      </c>
      <c r="R70">
        <f t="shared" si="2"/>
        <v>143</v>
      </c>
      <c r="S70">
        <f t="shared" si="3"/>
        <v>1393</v>
      </c>
      <c r="T70">
        <f>ROUND(tbl_working_daily[[#This Row],[SedentaryMinutes]]/60,2)</f>
        <v>20.83</v>
      </c>
      <c r="U70" t="str" cm="1">
        <f t="array" ref="U7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0" t="str" cm="1">
        <f t="array" ref="V70">_xlfn.IFS(tbl_working_daily[[#This Row],[VeryActiveMinutes]]&gt;=30,"Very Active",tbl_working_daily[[#This Row],[VeryActiveMinutes]]&gt;=15,"Moderately Active",tbl_working_daily[[#This Row],[VeryActiveMinutes]]&gt;=1,"Lightly Active",tbl_working_daily[[#This Row],[VeryActiveMinutes]]=0,"Sedentary")</f>
        <v>Sedentary</v>
      </c>
      <c r="W70" t="str">
        <f>tbl_working_daily[[#This Row],[Id]]&amp;"|"&amp;TEXT(tbl_working_daily[[#This Row],[ActivityDate]],"yyyy-mm-dd")</f>
        <v>1927972279|2016-04-09</v>
      </c>
      <c r="X70" t="b">
        <f>ISNUMBER(MATCH(tbl_working_daily[[#This Row],[LookupKey]],tbl_working_sleep[LookupKey],0))</f>
        <v>0</v>
      </c>
    </row>
    <row r="71" spans="1:24" x14ac:dyDescent="0.3">
      <c r="A71">
        <v>1927972279</v>
      </c>
      <c r="B71" s="1">
        <v>42470</v>
      </c>
      <c r="C71">
        <v>2105</v>
      </c>
      <c r="D71">
        <v>1.46000003814697</v>
      </c>
      <c r="E71">
        <v>1.46000003814697</v>
      </c>
      <c r="F71">
        <v>0</v>
      </c>
      <c r="G71">
        <v>0</v>
      </c>
      <c r="H71">
        <v>0</v>
      </c>
      <c r="I71">
        <v>1.46000003814697</v>
      </c>
      <c r="J71">
        <v>0</v>
      </c>
      <c r="K71">
        <v>0</v>
      </c>
      <c r="L71">
        <v>0</v>
      </c>
      <c r="M71">
        <v>139</v>
      </c>
      <c r="N71">
        <v>805</v>
      </c>
      <c r="O71">
        <v>2442</v>
      </c>
      <c r="P71" t="str">
        <f>TEXT(tbl_working_daily[[#This Row],[ActivityDate]],"dddd")</f>
        <v>Sunday</v>
      </c>
      <c r="Q71" t="str">
        <f>TEXT(tbl_working_daily[[#This Row],[ActivityDate]],"mmmm")</f>
        <v>April</v>
      </c>
      <c r="R71">
        <f t="shared" si="2"/>
        <v>139</v>
      </c>
      <c r="S71">
        <f t="shared" si="3"/>
        <v>944</v>
      </c>
      <c r="T71">
        <f>ROUND(tbl_working_daily[[#This Row],[SedentaryMinutes]]/60,2)</f>
        <v>13.42</v>
      </c>
      <c r="U71" t="str" cm="1">
        <f t="array" ref="U7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1" t="str" cm="1">
        <f t="array" ref="V71">_xlfn.IFS(tbl_working_daily[[#This Row],[VeryActiveMinutes]]&gt;=30,"Very Active",tbl_working_daily[[#This Row],[VeryActiveMinutes]]&gt;=15,"Moderately Active",tbl_working_daily[[#This Row],[VeryActiveMinutes]]&gt;=1,"Lightly Active",tbl_working_daily[[#This Row],[VeryActiveMinutes]]=0,"Sedentary")</f>
        <v>Sedentary</v>
      </c>
      <c r="W71" t="str">
        <f>tbl_working_daily[[#This Row],[Id]]&amp;"|"&amp;TEXT(tbl_working_daily[[#This Row],[ActivityDate]],"yyyy-mm-dd")</f>
        <v>1927972279|2016-04-10</v>
      </c>
      <c r="X71" t="b">
        <f>ISNUMBER(MATCH(tbl_working_daily[[#This Row],[LookupKey]],tbl_working_sleep[LookupKey],0))</f>
        <v>0</v>
      </c>
    </row>
    <row r="72" spans="1:24" x14ac:dyDescent="0.3">
      <c r="A72">
        <v>1927972279</v>
      </c>
      <c r="B72" s="1">
        <v>42471</v>
      </c>
      <c r="C72">
        <v>1209</v>
      </c>
      <c r="D72">
        <v>0.83999997377395597</v>
      </c>
      <c r="E72">
        <v>0.83999997377395597</v>
      </c>
      <c r="F72">
        <v>0</v>
      </c>
      <c r="G72">
        <v>0</v>
      </c>
      <c r="H72">
        <v>0</v>
      </c>
      <c r="I72">
        <v>0.83999997377395597</v>
      </c>
      <c r="J72">
        <v>0</v>
      </c>
      <c r="K72">
        <v>0</v>
      </c>
      <c r="L72">
        <v>0</v>
      </c>
      <c r="M72">
        <v>73</v>
      </c>
      <c r="N72">
        <v>842</v>
      </c>
      <c r="O72">
        <v>2255</v>
      </c>
      <c r="P72" t="str">
        <f>TEXT(tbl_working_daily[[#This Row],[ActivityDate]],"dddd")</f>
        <v>Monday</v>
      </c>
      <c r="Q72" t="str">
        <f>TEXT(tbl_working_daily[[#This Row],[ActivityDate]],"mmmm")</f>
        <v>April</v>
      </c>
      <c r="R72">
        <f t="shared" si="2"/>
        <v>73</v>
      </c>
      <c r="S72">
        <f t="shared" si="3"/>
        <v>915</v>
      </c>
      <c r="T72">
        <f>ROUND(tbl_working_daily[[#This Row],[SedentaryMinutes]]/60,2)</f>
        <v>14.03</v>
      </c>
      <c r="U72" t="str" cm="1">
        <f t="array" ref="U7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2" t="str" cm="1">
        <f t="array" ref="V72">_xlfn.IFS(tbl_working_daily[[#This Row],[VeryActiveMinutes]]&gt;=30,"Very Active",tbl_working_daily[[#This Row],[VeryActiveMinutes]]&gt;=15,"Moderately Active",tbl_working_daily[[#This Row],[VeryActiveMinutes]]&gt;=1,"Lightly Active",tbl_working_daily[[#This Row],[VeryActiveMinutes]]=0,"Sedentary")</f>
        <v>Sedentary</v>
      </c>
      <c r="W72" t="str">
        <f>tbl_working_daily[[#This Row],[Id]]&amp;"|"&amp;TEXT(tbl_working_daily[[#This Row],[ActivityDate]],"yyyy-mm-dd")</f>
        <v>1927972279|2016-04-11</v>
      </c>
      <c r="X72" t="b">
        <f>ISNUMBER(MATCH(tbl_working_daily[[#This Row],[LookupKey]],tbl_working_sleep[LookupKey],0))</f>
        <v>0</v>
      </c>
    </row>
    <row r="73" spans="1:24" x14ac:dyDescent="0.3">
      <c r="A73">
        <v>1927972279</v>
      </c>
      <c r="B73" s="1">
        <v>42472</v>
      </c>
      <c r="C73">
        <v>24</v>
      </c>
      <c r="D73">
        <v>1.9999999552965199E-2</v>
      </c>
      <c r="E73">
        <v>1.9999999552965199E-2</v>
      </c>
      <c r="F73">
        <v>0</v>
      </c>
      <c r="G73">
        <v>0</v>
      </c>
      <c r="H73">
        <v>0</v>
      </c>
      <c r="I73">
        <v>1.9999999552965199E-2</v>
      </c>
      <c r="J73">
        <v>0</v>
      </c>
      <c r="K73">
        <v>0</v>
      </c>
      <c r="L73">
        <v>0</v>
      </c>
      <c r="M73">
        <v>3</v>
      </c>
      <c r="N73">
        <v>161</v>
      </c>
      <c r="O73">
        <v>942</v>
      </c>
      <c r="P73" t="str">
        <f>TEXT(tbl_working_daily[[#This Row],[ActivityDate]],"dddd")</f>
        <v>Tuesday</v>
      </c>
      <c r="Q73" t="str">
        <f>TEXT(tbl_working_daily[[#This Row],[ActivityDate]],"mmmm")</f>
        <v>April</v>
      </c>
      <c r="R73">
        <f t="shared" si="2"/>
        <v>3</v>
      </c>
      <c r="S73">
        <f t="shared" si="3"/>
        <v>164</v>
      </c>
      <c r="T73">
        <f>ROUND(tbl_working_daily[[#This Row],[SedentaryMinutes]]/60,2)</f>
        <v>2.68</v>
      </c>
      <c r="U73" t="str" cm="1">
        <f t="array" ref="U7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3" t="str" cm="1">
        <f t="array" ref="V73">_xlfn.IFS(tbl_working_daily[[#This Row],[VeryActiveMinutes]]&gt;=30,"Very Active",tbl_working_daily[[#This Row],[VeryActiveMinutes]]&gt;=15,"Moderately Active",tbl_working_daily[[#This Row],[VeryActiveMinutes]]&gt;=1,"Lightly Active",tbl_working_daily[[#This Row],[VeryActiveMinutes]]=0,"Sedentary")</f>
        <v>Sedentary</v>
      </c>
      <c r="W73" t="str">
        <f>tbl_working_daily[[#This Row],[Id]]&amp;"|"&amp;TEXT(tbl_working_daily[[#This Row],[ActivityDate]],"yyyy-mm-dd")</f>
        <v>1927972279|2016-04-12</v>
      </c>
      <c r="X73" t="b">
        <f>ISNUMBER(MATCH(tbl_working_daily[[#This Row],[LookupKey]],tbl_working_sleep[LookupKey],0))</f>
        <v>1</v>
      </c>
    </row>
    <row r="74" spans="1:24" x14ac:dyDescent="0.3">
      <c r="A74">
        <v>2022484408</v>
      </c>
      <c r="B74" s="1">
        <v>42461</v>
      </c>
      <c r="C74">
        <v>13603</v>
      </c>
      <c r="D74">
        <v>9.6000003814697301</v>
      </c>
      <c r="E74">
        <v>9.6000003814697301</v>
      </c>
      <c r="F74">
        <v>0</v>
      </c>
      <c r="G74">
        <v>5.46000003814697</v>
      </c>
      <c r="H74">
        <v>0.62999999523162797</v>
      </c>
      <c r="I74">
        <v>3.5099999904632599</v>
      </c>
      <c r="J74">
        <v>0</v>
      </c>
      <c r="K74">
        <v>72</v>
      </c>
      <c r="L74">
        <v>16</v>
      </c>
      <c r="M74">
        <v>213</v>
      </c>
      <c r="N74">
        <v>1139</v>
      </c>
      <c r="O74">
        <v>2645</v>
      </c>
      <c r="P74" t="str">
        <f>TEXT(tbl_working_daily[[#This Row],[ActivityDate]],"dddd")</f>
        <v>Friday</v>
      </c>
      <c r="Q74" t="str">
        <f>TEXT(tbl_working_daily[[#This Row],[ActivityDate]],"mmmm")</f>
        <v>April</v>
      </c>
      <c r="R74">
        <f t="shared" si="2"/>
        <v>301</v>
      </c>
      <c r="S74">
        <f t="shared" si="3"/>
        <v>1440</v>
      </c>
      <c r="T74">
        <f>ROUND(tbl_working_daily[[#This Row],[SedentaryMinutes]]/60,2)</f>
        <v>18.98</v>
      </c>
      <c r="U74" t="str" cm="1">
        <f t="array" ref="U7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4" t="str" cm="1">
        <f t="array" ref="V74">_xlfn.IFS(tbl_working_daily[[#This Row],[VeryActiveMinutes]]&gt;=30,"Very Active",tbl_working_daily[[#This Row],[VeryActiveMinutes]]&gt;=15,"Moderately Active",tbl_working_daily[[#This Row],[VeryActiveMinutes]]&gt;=1,"Lightly Active",tbl_working_daily[[#This Row],[VeryActiveMinutes]]=0,"Sedentary")</f>
        <v>Very Active</v>
      </c>
      <c r="W74" t="str">
        <f>tbl_working_daily[[#This Row],[Id]]&amp;"|"&amp;TEXT(tbl_working_daily[[#This Row],[ActivityDate]],"yyyy-mm-dd")</f>
        <v>2022484408|2016-04-01</v>
      </c>
      <c r="X74" t="b">
        <f>ISNUMBER(MATCH(tbl_working_daily[[#This Row],[LookupKey]],tbl_working_sleep[LookupKey],0))</f>
        <v>0</v>
      </c>
    </row>
    <row r="75" spans="1:24" x14ac:dyDescent="0.3">
      <c r="A75">
        <v>2022484408</v>
      </c>
      <c r="B75" s="1">
        <v>42462</v>
      </c>
      <c r="C75">
        <v>5477</v>
      </c>
      <c r="D75">
        <v>3.8399999141693102</v>
      </c>
      <c r="E75">
        <v>3.8399999141693102</v>
      </c>
      <c r="F75">
        <v>0</v>
      </c>
      <c r="G75">
        <v>0</v>
      </c>
      <c r="H75">
        <v>0</v>
      </c>
      <c r="I75">
        <v>3.8399999141693102</v>
      </c>
      <c r="J75">
        <v>0</v>
      </c>
      <c r="K75">
        <v>0</v>
      </c>
      <c r="L75">
        <v>0</v>
      </c>
      <c r="M75">
        <v>237</v>
      </c>
      <c r="N75">
        <v>1203</v>
      </c>
      <c r="O75">
        <v>2040</v>
      </c>
      <c r="P75" t="str">
        <f>TEXT(tbl_working_daily[[#This Row],[ActivityDate]],"dddd")</f>
        <v>Saturday</v>
      </c>
      <c r="Q75" t="str">
        <f>TEXT(tbl_working_daily[[#This Row],[ActivityDate]],"mmmm")</f>
        <v>April</v>
      </c>
      <c r="R75">
        <f t="shared" si="2"/>
        <v>237</v>
      </c>
      <c r="S75">
        <f t="shared" si="3"/>
        <v>1440</v>
      </c>
      <c r="T75">
        <f>ROUND(tbl_working_daily[[#This Row],[SedentaryMinutes]]/60,2)</f>
        <v>20.05</v>
      </c>
      <c r="U75" t="str" cm="1">
        <f t="array" ref="U7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5" t="str" cm="1">
        <f t="array" ref="V75">_xlfn.IFS(tbl_working_daily[[#This Row],[VeryActiveMinutes]]&gt;=30,"Very Active",tbl_working_daily[[#This Row],[VeryActiveMinutes]]&gt;=15,"Moderately Active",tbl_working_daily[[#This Row],[VeryActiveMinutes]]&gt;=1,"Lightly Active",tbl_working_daily[[#This Row],[VeryActiveMinutes]]=0,"Sedentary")</f>
        <v>Sedentary</v>
      </c>
      <c r="W75" t="str">
        <f>tbl_working_daily[[#This Row],[Id]]&amp;"|"&amp;TEXT(tbl_working_daily[[#This Row],[ActivityDate]],"yyyy-mm-dd")</f>
        <v>2022484408|2016-04-02</v>
      </c>
      <c r="X75" t="b">
        <f>ISNUMBER(MATCH(tbl_working_daily[[#This Row],[LookupKey]],tbl_working_sleep[LookupKey],0))</f>
        <v>0</v>
      </c>
    </row>
    <row r="76" spans="1:24" x14ac:dyDescent="0.3">
      <c r="A76">
        <v>2022484408</v>
      </c>
      <c r="B76" s="1">
        <v>42463</v>
      </c>
      <c r="C76">
        <v>11144</v>
      </c>
      <c r="D76">
        <v>7.8200001716613796</v>
      </c>
      <c r="E76">
        <v>7.8200001716613796</v>
      </c>
      <c r="F76">
        <v>0</v>
      </c>
      <c r="G76">
        <v>1.78999996185303</v>
      </c>
      <c r="H76">
        <v>0.88999998569488503</v>
      </c>
      <c r="I76">
        <v>5.1399998664856001</v>
      </c>
      <c r="J76">
        <v>0</v>
      </c>
      <c r="K76">
        <v>25</v>
      </c>
      <c r="L76">
        <v>22</v>
      </c>
      <c r="M76">
        <v>279</v>
      </c>
      <c r="N76">
        <v>1114</v>
      </c>
      <c r="O76">
        <v>2395</v>
      </c>
      <c r="P76" t="str">
        <f>TEXT(tbl_working_daily[[#This Row],[ActivityDate]],"dddd")</f>
        <v>Sunday</v>
      </c>
      <c r="Q76" t="str">
        <f>TEXT(tbl_working_daily[[#This Row],[ActivityDate]],"mmmm")</f>
        <v>April</v>
      </c>
      <c r="R76">
        <f t="shared" si="2"/>
        <v>326</v>
      </c>
      <c r="S76">
        <f t="shared" si="3"/>
        <v>1440</v>
      </c>
      <c r="T76">
        <f>ROUND(tbl_working_daily[[#This Row],[SedentaryMinutes]]/60,2)</f>
        <v>18.57</v>
      </c>
      <c r="U76" t="str" cm="1">
        <f t="array" ref="U7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6" t="str" cm="1">
        <f t="array" ref="V76">_xlfn.IFS(tbl_working_daily[[#This Row],[VeryActiveMinutes]]&gt;=30,"Very Active",tbl_working_daily[[#This Row],[VeryActiveMinutes]]&gt;=15,"Moderately Active",tbl_working_daily[[#This Row],[VeryActiveMinutes]]&gt;=1,"Lightly Active",tbl_working_daily[[#This Row],[VeryActiveMinutes]]=0,"Sedentary")</f>
        <v>Moderately Active</v>
      </c>
      <c r="W76" t="str">
        <f>tbl_working_daily[[#This Row],[Id]]&amp;"|"&amp;TEXT(tbl_working_daily[[#This Row],[ActivityDate]],"yyyy-mm-dd")</f>
        <v>2022484408|2016-04-03</v>
      </c>
      <c r="X76" t="b">
        <f>ISNUMBER(MATCH(tbl_working_daily[[#This Row],[LookupKey]],tbl_working_sleep[LookupKey],0))</f>
        <v>0</v>
      </c>
    </row>
    <row r="77" spans="1:24" x14ac:dyDescent="0.3">
      <c r="A77">
        <v>2022484408</v>
      </c>
      <c r="B77" s="1">
        <v>42464</v>
      </c>
      <c r="C77">
        <v>15313</v>
      </c>
      <c r="D77">
        <v>11</v>
      </c>
      <c r="E77">
        <v>11</v>
      </c>
      <c r="F77">
        <v>0</v>
      </c>
      <c r="G77">
        <v>5.0199999809265101</v>
      </c>
      <c r="H77">
        <v>1.28999996185303</v>
      </c>
      <c r="I77">
        <v>4.6900000572204599</v>
      </c>
      <c r="J77">
        <v>0</v>
      </c>
      <c r="K77">
        <v>62</v>
      </c>
      <c r="L77">
        <v>19</v>
      </c>
      <c r="M77">
        <v>233</v>
      </c>
      <c r="N77">
        <v>1126</v>
      </c>
      <c r="O77">
        <v>2581</v>
      </c>
      <c r="P77" t="str">
        <f>TEXT(tbl_working_daily[[#This Row],[ActivityDate]],"dddd")</f>
        <v>Monday</v>
      </c>
      <c r="Q77" t="str">
        <f>TEXT(tbl_working_daily[[#This Row],[ActivityDate]],"mmmm")</f>
        <v>April</v>
      </c>
      <c r="R77">
        <f t="shared" si="2"/>
        <v>314</v>
      </c>
      <c r="S77">
        <f t="shared" si="3"/>
        <v>1440</v>
      </c>
      <c r="T77">
        <f>ROUND(tbl_working_daily[[#This Row],[SedentaryMinutes]]/60,2)</f>
        <v>18.77</v>
      </c>
      <c r="U77" t="str" cm="1">
        <f t="array" ref="U7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7" t="str" cm="1">
        <f t="array" ref="V77">_xlfn.IFS(tbl_working_daily[[#This Row],[VeryActiveMinutes]]&gt;=30,"Very Active",tbl_working_daily[[#This Row],[VeryActiveMinutes]]&gt;=15,"Moderately Active",tbl_working_daily[[#This Row],[VeryActiveMinutes]]&gt;=1,"Lightly Active",tbl_working_daily[[#This Row],[VeryActiveMinutes]]=0,"Sedentary")</f>
        <v>Very Active</v>
      </c>
      <c r="W77" t="str">
        <f>tbl_working_daily[[#This Row],[Id]]&amp;"|"&amp;TEXT(tbl_working_daily[[#This Row],[ActivityDate]],"yyyy-mm-dd")</f>
        <v>2022484408|2016-04-04</v>
      </c>
      <c r="X77" t="b">
        <f>ISNUMBER(MATCH(tbl_working_daily[[#This Row],[LookupKey]],tbl_working_sleep[LookupKey],0))</f>
        <v>0</v>
      </c>
    </row>
    <row r="78" spans="1:24" x14ac:dyDescent="0.3">
      <c r="A78">
        <v>2022484408</v>
      </c>
      <c r="B78" s="1">
        <v>42465</v>
      </c>
      <c r="C78">
        <v>10805</v>
      </c>
      <c r="D78">
        <v>7.5900001525878897</v>
      </c>
      <c r="E78">
        <v>7.5900001525878897</v>
      </c>
      <c r="F78">
        <v>0</v>
      </c>
      <c r="G78">
        <v>0.72000002861022905</v>
      </c>
      <c r="H78">
        <v>0.980000019073486</v>
      </c>
      <c r="I78">
        <v>5.8899998664856001</v>
      </c>
      <c r="J78">
        <v>0</v>
      </c>
      <c r="K78">
        <v>36</v>
      </c>
      <c r="L78">
        <v>37</v>
      </c>
      <c r="M78">
        <v>298</v>
      </c>
      <c r="N78">
        <v>1069</v>
      </c>
      <c r="O78">
        <v>2735</v>
      </c>
      <c r="P78" t="str">
        <f>TEXT(tbl_working_daily[[#This Row],[ActivityDate]],"dddd")</f>
        <v>Tuesday</v>
      </c>
      <c r="Q78" t="str">
        <f>TEXT(tbl_working_daily[[#This Row],[ActivityDate]],"mmmm")</f>
        <v>April</v>
      </c>
      <c r="R78">
        <f t="shared" si="2"/>
        <v>371</v>
      </c>
      <c r="S78">
        <f t="shared" si="3"/>
        <v>1440</v>
      </c>
      <c r="T78">
        <f>ROUND(tbl_working_daily[[#This Row],[SedentaryMinutes]]/60,2)</f>
        <v>17.82</v>
      </c>
      <c r="U78" t="str" cm="1">
        <f t="array" ref="U7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8" t="str" cm="1">
        <f t="array" ref="V78">_xlfn.IFS(tbl_working_daily[[#This Row],[VeryActiveMinutes]]&gt;=30,"Very Active",tbl_working_daily[[#This Row],[VeryActiveMinutes]]&gt;=15,"Moderately Active",tbl_working_daily[[#This Row],[VeryActiveMinutes]]&gt;=1,"Lightly Active",tbl_working_daily[[#This Row],[VeryActiveMinutes]]=0,"Sedentary")</f>
        <v>Very Active</v>
      </c>
      <c r="W78" t="str">
        <f>tbl_working_daily[[#This Row],[Id]]&amp;"|"&amp;TEXT(tbl_working_daily[[#This Row],[ActivityDate]],"yyyy-mm-dd")</f>
        <v>2022484408|2016-04-05</v>
      </c>
      <c r="X78" t="b">
        <f>ISNUMBER(MATCH(tbl_working_daily[[#This Row],[LookupKey]],tbl_working_sleep[LookupKey],0))</f>
        <v>0</v>
      </c>
    </row>
    <row r="79" spans="1:24" x14ac:dyDescent="0.3">
      <c r="A79">
        <v>2022484408</v>
      </c>
      <c r="B79" s="1">
        <v>42466</v>
      </c>
      <c r="C79">
        <v>15392</v>
      </c>
      <c r="D79">
        <v>10.930000305175801</v>
      </c>
      <c r="E79">
        <v>10.930000305175801</v>
      </c>
      <c r="F79">
        <v>0</v>
      </c>
      <c r="G79">
        <v>3.4300000667571999</v>
      </c>
      <c r="H79">
        <v>1.75</v>
      </c>
      <c r="I79">
        <v>5.75</v>
      </c>
      <c r="J79">
        <v>0</v>
      </c>
      <c r="K79">
        <v>47</v>
      </c>
      <c r="L79">
        <v>42</v>
      </c>
      <c r="M79">
        <v>258</v>
      </c>
      <c r="N79">
        <v>1093</v>
      </c>
      <c r="O79">
        <v>2733</v>
      </c>
      <c r="P79" t="str">
        <f>TEXT(tbl_working_daily[[#This Row],[ActivityDate]],"dddd")</f>
        <v>Wednesday</v>
      </c>
      <c r="Q79" t="str">
        <f>TEXT(tbl_working_daily[[#This Row],[ActivityDate]],"mmmm")</f>
        <v>April</v>
      </c>
      <c r="R79">
        <f t="shared" si="2"/>
        <v>347</v>
      </c>
      <c r="S79">
        <f t="shared" si="3"/>
        <v>1440</v>
      </c>
      <c r="T79">
        <f>ROUND(tbl_working_daily[[#This Row],[SedentaryMinutes]]/60,2)</f>
        <v>18.22</v>
      </c>
      <c r="U79" t="str" cm="1">
        <f t="array" ref="U7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9" t="str" cm="1">
        <f t="array" ref="V79">_xlfn.IFS(tbl_working_daily[[#This Row],[VeryActiveMinutes]]&gt;=30,"Very Active",tbl_working_daily[[#This Row],[VeryActiveMinutes]]&gt;=15,"Moderately Active",tbl_working_daily[[#This Row],[VeryActiveMinutes]]&gt;=1,"Lightly Active",tbl_working_daily[[#This Row],[VeryActiveMinutes]]=0,"Sedentary")</f>
        <v>Very Active</v>
      </c>
      <c r="W79" t="str">
        <f>tbl_working_daily[[#This Row],[Id]]&amp;"|"&amp;TEXT(tbl_working_daily[[#This Row],[ActivityDate]],"yyyy-mm-dd")</f>
        <v>2022484408|2016-04-06</v>
      </c>
      <c r="X79" t="b">
        <f>ISNUMBER(MATCH(tbl_working_daily[[#This Row],[LookupKey]],tbl_working_sleep[LookupKey],0))</f>
        <v>0</v>
      </c>
    </row>
    <row r="80" spans="1:24" x14ac:dyDescent="0.3">
      <c r="A80">
        <v>2022484408</v>
      </c>
      <c r="B80" s="1">
        <v>42467</v>
      </c>
      <c r="C80">
        <v>18247</v>
      </c>
      <c r="D80">
        <v>13.829999923706101</v>
      </c>
      <c r="E80">
        <v>13.829999923706101</v>
      </c>
      <c r="F80">
        <v>0</v>
      </c>
      <c r="G80">
        <v>7.1100001335143999</v>
      </c>
      <c r="H80">
        <v>2.21000003814697</v>
      </c>
      <c r="I80">
        <v>4.5100002288818404</v>
      </c>
      <c r="J80">
        <v>0</v>
      </c>
      <c r="K80">
        <v>72</v>
      </c>
      <c r="L80">
        <v>62</v>
      </c>
      <c r="M80">
        <v>252</v>
      </c>
      <c r="N80">
        <v>1054</v>
      </c>
      <c r="O80">
        <v>3021</v>
      </c>
      <c r="P80" t="str">
        <f>TEXT(tbl_working_daily[[#This Row],[ActivityDate]],"dddd")</f>
        <v>Thursday</v>
      </c>
      <c r="Q80" t="str">
        <f>TEXT(tbl_working_daily[[#This Row],[ActivityDate]],"mmmm")</f>
        <v>April</v>
      </c>
      <c r="R80">
        <f t="shared" si="2"/>
        <v>386</v>
      </c>
      <c r="S80">
        <f t="shared" si="3"/>
        <v>1440</v>
      </c>
      <c r="T80">
        <f>ROUND(tbl_working_daily[[#This Row],[SedentaryMinutes]]/60,2)</f>
        <v>17.57</v>
      </c>
      <c r="U80" t="str" cm="1">
        <f t="array" ref="U8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0" t="str" cm="1">
        <f t="array" ref="V80">_xlfn.IFS(tbl_working_daily[[#This Row],[VeryActiveMinutes]]&gt;=30,"Very Active",tbl_working_daily[[#This Row],[VeryActiveMinutes]]&gt;=15,"Moderately Active",tbl_working_daily[[#This Row],[VeryActiveMinutes]]&gt;=1,"Lightly Active",tbl_working_daily[[#This Row],[VeryActiveMinutes]]=0,"Sedentary")</f>
        <v>Very Active</v>
      </c>
      <c r="W80" t="str">
        <f>tbl_working_daily[[#This Row],[Id]]&amp;"|"&amp;TEXT(tbl_working_daily[[#This Row],[ActivityDate]],"yyyy-mm-dd")</f>
        <v>2022484408|2016-04-07</v>
      </c>
      <c r="X80" t="b">
        <f>ISNUMBER(MATCH(tbl_working_daily[[#This Row],[LookupKey]],tbl_working_sleep[LookupKey],0))</f>
        <v>0</v>
      </c>
    </row>
    <row r="81" spans="1:24" x14ac:dyDescent="0.3">
      <c r="A81">
        <v>2022484408</v>
      </c>
      <c r="B81" s="1">
        <v>42468</v>
      </c>
      <c r="C81">
        <v>13023</v>
      </c>
      <c r="D81">
        <v>9.2600002288818395</v>
      </c>
      <c r="E81">
        <v>9.2600002288818395</v>
      </c>
      <c r="F81">
        <v>0</v>
      </c>
      <c r="G81">
        <v>3.2300000190734899</v>
      </c>
      <c r="H81">
        <v>0.56000000238418601</v>
      </c>
      <c r="I81">
        <v>5.4699997901916504</v>
      </c>
      <c r="J81">
        <v>0</v>
      </c>
      <c r="K81">
        <v>40</v>
      </c>
      <c r="L81">
        <v>12</v>
      </c>
      <c r="M81">
        <v>296</v>
      </c>
      <c r="N81">
        <v>1092</v>
      </c>
      <c r="O81">
        <v>2577</v>
      </c>
      <c r="P81" t="str">
        <f>TEXT(tbl_working_daily[[#This Row],[ActivityDate]],"dddd")</f>
        <v>Friday</v>
      </c>
      <c r="Q81" t="str">
        <f>TEXT(tbl_working_daily[[#This Row],[ActivityDate]],"mmmm")</f>
        <v>April</v>
      </c>
      <c r="R81">
        <f t="shared" si="2"/>
        <v>348</v>
      </c>
      <c r="S81">
        <f t="shared" si="3"/>
        <v>1440</v>
      </c>
      <c r="T81">
        <f>ROUND(tbl_working_daily[[#This Row],[SedentaryMinutes]]/60,2)</f>
        <v>18.2</v>
      </c>
      <c r="U81" t="str" cm="1">
        <f t="array" ref="U8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1" t="str" cm="1">
        <f t="array" ref="V81">_xlfn.IFS(tbl_working_daily[[#This Row],[VeryActiveMinutes]]&gt;=30,"Very Active",tbl_working_daily[[#This Row],[VeryActiveMinutes]]&gt;=15,"Moderately Active",tbl_working_daily[[#This Row],[VeryActiveMinutes]]&gt;=1,"Lightly Active",tbl_working_daily[[#This Row],[VeryActiveMinutes]]=0,"Sedentary")</f>
        <v>Very Active</v>
      </c>
      <c r="W81" t="str">
        <f>tbl_working_daily[[#This Row],[Id]]&amp;"|"&amp;TEXT(tbl_working_daily[[#This Row],[ActivityDate]],"yyyy-mm-dd")</f>
        <v>2022484408|2016-04-08</v>
      </c>
      <c r="X81" t="b">
        <f>ISNUMBER(MATCH(tbl_working_daily[[#This Row],[LookupKey]],tbl_working_sleep[LookupKey],0))</f>
        <v>0</v>
      </c>
    </row>
    <row r="82" spans="1:24" x14ac:dyDescent="0.3">
      <c r="A82">
        <v>2022484408</v>
      </c>
      <c r="B82" s="1">
        <v>42469</v>
      </c>
      <c r="C82">
        <v>16267</v>
      </c>
      <c r="D82">
        <v>12.5900001525879</v>
      </c>
      <c r="E82">
        <v>12.5900001525879</v>
      </c>
      <c r="F82">
        <v>0</v>
      </c>
      <c r="G82">
        <v>5.75</v>
      </c>
      <c r="H82">
        <v>0.46999999880790699</v>
      </c>
      <c r="I82">
        <v>6.3699998855590803</v>
      </c>
      <c r="J82">
        <v>0</v>
      </c>
      <c r="K82">
        <v>44</v>
      </c>
      <c r="L82">
        <v>16</v>
      </c>
      <c r="M82">
        <v>302</v>
      </c>
      <c r="N82">
        <v>1078</v>
      </c>
      <c r="O82">
        <v>2811</v>
      </c>
      <c r="P82" t="str">
        <f>TEXT(tbl_working_daily[[#This Row],[ActivityDate]],"dddd")</f>
        <v>Saturday</v>
      </c>
      <c r="Q82" t="str">
        <f>TEXT(tbl_working_daily[[#This Row],[ActivityDate]],"mmmm")</f>
        <v>April</v>
      </c>
      <c r="R82">
        <f t="shared" si="2"/>
        <v>362</v>
      </c>
      <c r="S82">
        <f t="shared" si="3"/>
        <v>1440</v>
      </c>
      <c r="T82">
        <f>ROUND(tbl_working_daily[[#This Row],[SedentaryMinutes]]/60,2)</f>
        <v>17.97</v>
      </c>
      <c r="U82" t="str" cm="1">
        <f t="array" ref="U8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2" t="str" cm="1">
        <f t="array" ref="V82">_xlfn.IFS(tbl_working_daily[[#This Row],[VeryActiveMinutes]]&gt;=30,"Very Active",tbl_working_daily[[#This Row],[VeryActiveMinutes]]&gt;=15,"Moderately Active",tbl_working_daily[[#This Row],[VeryActiveMinutes]]&gt;=1,"Lightly Active",tbl_working_daily[[#This Row],[VeryActiveMinutes]]=0,"Sedentary")</f>
        <v>Very Active</v>
      </c>
      <c r="W82" t="str">
        <f>tbl_working_daily[[#This Row],[Id]]&amp;"|"&amp;TEXT(tbl_working_daily[[#This Row],[ActivityDate]],"yyyy-mm-dd")</f>
        <v>2022484408|2016-04-09</v>
      </c>
      <c r="X82" t="b">
        <f>ISNUMBER(MATCH(tbl_working_daily[[#This Row],[LookupKey]],tbl_working_sleep[LookupKey],0))</f>
        <v>0</v>
      </c>
    </row>
    <row r="83" spans="1:24" x14ac:dyDescent="0.3">
      <c r="A83">
        <v>2022484408</v>
      </c>
      <c r="B83" s="1">
        <v>42470</v>
      </c>
      <c r="C83">
        <v>10005</v>
      </c>
      <c r="D83">
        <v>7.0199999809265101</v>
      </c>
      <c r="E83">
        <v>7.0199999809265101</v>
      </c>
      <c r="F83">
        <v>0</v>
      </c>
      <c r="G83">
        <v>7.9999998211860698E-2</v>
      </c>
      <c r="H83">
        <v>1.04999995231628</v>
      </c>
      <c r="I83">
        <v>5.9000000953674299</v>
      </c>
      <c r="J83">
        <v>0</v>
      </c>
      <c r="K83">
        <v>1</v>
      </c>
      <c r="L83">
        <v>23</v>
      </c>
      <c r="M83">
        <v>339</v>
      </c>
      <c r="N83">
        <v>1077</v>
      </c>
      <c r="O83">
        <v>2458</v>
      </c>
      <c r="P83" t="str">
        <f>TEXT(tbl_working_daily[[#This Row],[ActivityDate]],"dddd")</f>
        <v>Sunday</v>
      </c>
      <c r="Q83" t="str">
        <f>TEXT(tbl_working_daily[[#This Row],[ActivityDate]],"mmmm")</f>
        <v>April</v>
      </c>
      <c r="R83">
        <f t="shared" si="2"/>
        <v>363</v>
      </c>
      <c r="S83">
        <f t="shared" si="3"/>
        <v>1440</v>
      </c>
      <c r="T83">
        <f>ROUND(tbl_working_daily[[#This Row],[SedentaryMinutes]]/60,2)</f>
        <v>17.95</v>
      </c>
      <c r="U83" t="str" cm="1">
        <f t="array" ref="U8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3" t="str" cm="1">
        <f t="array" ref="V83">_xlfn.IFS(tbl_working_daily[[#This Row],[VeryActiveMinutes]]&gt;=30,"Very Active",tbl_working_daily[[#This Row],[VeryActiveMinutes]]&gt;=15,"Moderately Active",tbl_working_daily[[#This Row],[VeryActiveMinutes]]&gt;=1,"Lightly Active",tbl_working_daily[[#This Row],[VeryActiveMinutes]]=0,"Sedentary")</f>
        <v>Lightly Active</v>
      </c>
      <c r="W83" t="str">
        <f>tbl_working_daily[[#This Row],[Id]]&amp;"|"&amp;TEXT(tbl_working_daily[[#This Row],[ActivityDate]],"yyyy-mm-dd")</f>
        <v>2022484408|2016-04-10</v>
      </c>
      <c r="X83" t="b">
        <f>ISNUMBER(MATCH(tbl_working_daily[[#This Row],[LookupKey]],tbl_working_sleep[LookupKey],0))</f>
        <v>0</v>
      </c>
    </row>
    <row r="84" spans="1:24" x14ac:dyDescent="0.3">
      <c r="A84">
        <v>2022484408</v>
      </c>
      <c r="B84" s="1">
        <v>42471</v>
      </c>
      <c r="C84">
        <v>10106</v>
      </c>
      <c r="D84">
        <v>7.0900001525878897</v>
      </c>
      <c r="E84">
        <v>7.0900001525878897</v>
      </c>
      <c r="F84">
        <v>0</v>
      </c>
      <c r="G84">
        <v>1.21000003814697</v>
      </c>
      <c r="H84">
        <v>0.56000000238418601</v>
      </c>
      <c r="I84">
        <v>5.3299999237060502</v>
      </c>
      <c r="J84">
        <v>0</v>
      </c>
      <c r="K84">
        <v>41</v>
      </c>
      <c r="L84">
        <v>16</v>
      </c>
      <c r="M84">
        <v>272</v>
      </c>
      <c r="N84">
        <v>1111</v>
      </c>
      <c r="O84">
        <v>2568</v>
      </c>
      <c r="P84" t="str">
        <f>TEXT(tbl_working_daily[[#This Row],[ActivityDate]],"dddd")</f>
        <v>Monday</v>
      </c>
      <c r="Q84" t="str">
        <f>TEXT(tbl_working_daily[[#This Row],[ActivityDate]],"mmmm")</f>
        <v>April</v>
      </c>
      <c r="R84">
        <f t="shared" si="2"/>
        <v>329</v>
      </c>
      <c r="S84">
        <f t="shared" si="3"/>
        <v>1440</v>
      </c>
      <c r="T84">
        <f>ROUND(tbl_working_daily[[#This Row],[SedentaryMinutes]]/60,2)</f>
        <v>18.52</v>
      </c>
      <c r="U84" t="str" cm="1">
        <f t="array" ref="U8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4" t="str" cm="1">
        <f t="array" ref="V84">_xlfn.IFS(tbl_working_daily[[#This Row],[VeryActiveMinutes]]&gt;=30,"Very Active",tbl_working_daily[[#This Row],[VeryActiveMinutes]]&gt;=15,"Moderately Active",tbl_working_daily[[#This Row],[VeryActiveMinutes]]&gt;=1,"Lightly Active",tbl_working_daily[[#This Row],[VeryActiveMinutes]]=0,"Sedentary")</f>
        <v>Very Active</v>
      </c>
      <c r="W84" t="str">
        <f>tbl_working_daily[[#This Row],[Id]]&amp;"|"&amp;TEXT(tbl_working_daily[[#This Row],[ActivityDate]],"yyyy-mm-dd")</f>
        <v>2022484408|2016-04-11</v>
      </c>
      <c r="X84" t="b">
        <f>ISNUMBER(MATCH(tbl_working_daily[[#This Row],[LookupKey]],tbl_working_sleep[LookupKey],0))</f>
        <v>0</v>
      </c>
    </row>
    <row r="85" spans="1:24" x14ac:dyDescent="0.3">
      <c r="A85">
        <v>2022484408</v>
      </c>
      <c r="B85" s="1">
        <v>42472</v>
      </c>
      <c r="C85">
        <v>6717</v>
      </c>
      <c r="D85">
        <v>4.7199997901916504</v>
      </c>
      <c r="E85">
        <v>4.7199997901916504</v>
      </c>
      <c r="F85">
        <v>0</v>
      </c>
      <c r="G85">
        <v>3.2300000190734899</v>
      </c>
      <c r="H85">
        <v>0.21999999880790699</v>
      </c>
      <c r="I85">
        <v>1.2699999809265099</v>
      </c>
      <c r="J85">
        <v>0</v>
      </c>
      <c r="K85">
        <v>41</v>
      </c>
      <c r="L85">
        <v>5</v>
      </c>
      <c r="M85">
        <v>67</v>
      </c>
      <c r="N85">
        <v>551</v>
      </c>
      <c r="O85">
        <v>1140</v>
      </c>
      <c r="P85" t="str">
        <f>TEXT(tbl_working_daily[[#This Row],[ActivityDate]],"dddd")</f>
        <v>Tuesday</v>
      </c>
      <c r="Q85" t="str">
        <f>TEXT(tbl_working_daily[[#This Row],[ActivityDate]],"mmmm")</f>
        <v>April</v>
      </c>
      <c r="R85">
        <f t="shared" si="2"/>
        <v>113</v>
      </c>
      <c r="S85">
        <f t="shared" si="3"/>
        <v>664</v>
      </c>
      <c r="T85">
        <f>ROUND(tbl_working_daily[[#This Row],[SedentaryMinutes]]/60,2)</f>
        <v>9.18</v>
      </c>
      <c r="U85" t="str" cm="1">
        <f t="array" ref="U8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5" t="str" cm="1">
        <f t="array" ref="V85">_xlfn.IFS(tbl_working_daily[[#This Row],[VeryActiveMinutes]]&gt;=30,"Very Active",tbl_working_daily[[#This Row],[VeryActiveMinutes]]&gt;=15,"Moderately Active",tbl_working_daily[[#This Row],[VeryActiveMinutes]]&gt;=1,"Lightly Active",tbl_working_daily[[#This Row],[VeryActiveMinutes]]=0,"Sedentary")</f>
        <v>Very Active</v>
      </c>
      <c r="W85" t="str">
        <f>tbl_working_daily[[#This Row],[Id]]&amp;"|"&amp;TEXT(tbl_working_daily[[#This Row],[ActivityDate]],"yyyy-mm-dd")</f>
        <v>2022484408|2016-04-12</v>
      </c>
      <c r="X85" t="b">
        <f>ISNUMBER(MATCH(tbl_working_daily[[#This Row],[LookupKey]],tbl_working_sleep[LookupKey],0))</f>
        <v>0</v>
      </c>
    </row>
    <row r="86" spans="1:24" x14ac:dyDescent="0.3">
      <c r="A86">
        <v>2026352035</v>
      </c>
      <c r="B86" s="1">
        <v>42461</v>
      </c>
      <c r="C86">
        <v>2605</v>
      </c>
      <c r="D86">
        <v>1.62000000476837</v>
      </c>
      <c r="E86">
        <v>1.62000000476837</v>
      </c>
      <c r="F86">
        <v>0</v>
      </c>
      <c r="G86">
        <v>0</v>
      </c>
      <c r="H86">
        <v>0</v>
      </c>
      <c r="I86">
        <v>1.62000000476837</v>
      </c>
      <c r="J86">
        <v>0</v>
      </c>
      <c r="K86">
        <v>0</v>
      </c>
      <c r="L86">
        <v>0</v>
      </c>
      <c r="M86">
        <v>166</v>
      </c>
      <c r="N86">
        <v>729</v>
      </c>
      <c r="O86">
        <v>1407</v>
      </c>
      <c r="P86" t="str">
        <f>TEXT(tbl_working_daily[[#This Row],[ActivityDate]],"dddd")</f>
        <v>Friday</v>
      </c>
      <c r="Q86" t="str">
        <f>TEXT(tbl_working_daily[[#This Row],[ActivityDate]],"mmmm")</f>
        <v>April</v>
      </c>
      <c r="R86">
        <f t="shared" si="2"/>
        <v>166</v>
      </c>
      <c r="S86">
        <f t="shared" si="3"/>
        <v>895</v>
      </c>
      <c r="T86">
        <f>ROUND(tbl_working_daily[[#This Row],[SedentaryMinutes]]/60,2)</f>
        <v>12.15</v>
      </c>
      <c r="U86" t="str" cm="1">
        <f t="array" ref="U8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6" t="str" cm="1">
        <f t="array" ref="V86">_xlfn.IFS(tbl_working_daily[[#This Row],[VeryActiveMinutes]]&gt;=30,"Very Active",tbl_working_daily[[#This Row],[VeryActiveMinutes]]&gt;=15,"Moderately Active",tbl_working_daily[[#This Row],[VeryActiveMinutes]]&gt;=1,"Lightly Active",tbl_working_daily[[#This Row],[VeryActiveMinutes]]=0,"Sedentary")</f>
        <v>Sedentary</v>
      </c>
      <c r="W86" t="str">
        <f>tbl_working_daily[[#This Row],[Id]]&amp;"|"&amp;TEXT(tbl_working_daily[[#This Row],[ActivityDate]],"yyyy-mm-dd")</f>
        <v>2026352035|2016-04-01</v>
      </c>
      <c r="X86" t="b">
        <f>ISNUMBER(MATCH(tbl_working_daily[[#This Row],[LookupKey]],tbl_working_sleep[LookupKey],0))</f>
        <v>0</v>
      </c>
    </row>
    <row r="87" spans="1:24" x14ac:dyDescent="0.3">
      <c r="A87">
        <v>2026352035</v>
      </c>
      <c r="B87" s="1">
        <v>42462</v>
      </c>
      <c r="C87">
        <v>1229</v>
      </c>
      <c r="D87">
        <v>0.75999999046325695</v>
      </c>
      <c r="E87">
        <v>0.75999999046325695</v>
      </c>
      <c r="F87">
        <v>0</v>
      </c>
      <c r="G87">
        <v>0</v>
      </c>
      <c r="H87">
        <v>0</v>
      </c>
      <c r="I87">
        <v>0.75999999046325695</v>
      </c>
      <c r="J87">
        <v>0</v>
      </c>
      <c r="K87">
        <v>0</v>
      </c>
      <c r="L87">
        <v>0</v>
      </c>
      <c r="M87">
        <v>69</v>
      </c>
      <c r="N87">
        <v>795</v>
      </c>
      <c r="O87">
        <v>1237</v>
      </c>
      <c r="P87" t="str">
        <f>TEXT(tbl_working_daily[[#This Row],[ActivityDate]],"dddd")</f>
        <v>Saturday</v>
      </c>
      <c r="Q87" t="str">
        <f>TEXT(tbl_working_daily[[#This Row],[ActivityDate]],"mmmm")</f>
        <v>April</v>
      </c>
      <c r="R87">
        <f t="shared" si="2"/>
        <v>69</v>
      </c>
      <c r="S87">
        <f t="shared" si="3"/>
        <v>864</v>
      </c>
      <c r="T87">
        <f>ROUND(tbl_working_daily[[#This Row],[SedentaryMinutes]]/60,2)</f>
        <v>13.25</v>
      </c>
      <c r="U87" t="str" cm="1">
        <f t="array" ref="U8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7" t="str" cm="1">
        <f t="array" ref="V87">_xlfn.IFS(tbl_working_daily[[#This Row],[VeryActiveMinutes]]&gt;=30,"Very Active",tbl_working_daily[[#This Row],[VeryActiveMinutes]]&gt;=15,"Moderately Active",tbl_working_daily[[#This Row],[VeryActiveMinutes]]&gt;=1,"Lightly Active",tbl_working_daily[[#This Row],[VeryActiveMinutes]]=0,"Sedentary")</f>
        <v>Sedentary</v>
      </c>
      <c r="W87" t="str">
        <f>tbl_working_daily[[#This Row],[Id]]&amp;"|"&amp;TEXT(tbl_working_daily[[#This Row],[ActivityDate]],"yyyy-mm-dd")</f>
        <v>2026352035|2016-04-02</v>
      </c>
      <c r="X87" t="b">
        <f>ISNUMBER(MATCH(tbl_working_daily[[#This Row],[LookupKey]],tbl_working_sleep[LookupKey],0))</f>
        <v>0</v>
      </c>
    </row>
    <row r="88" spans="1:24" x14ac:dyDescent="0.3">
      <c r="A88">
        <v>2026352035</v>
      </c>
      <c r="B88" s="1">
        <v>42463</v>
      </c>
      <c r="C88">
        <v>2308</v>
      </c>
      <c r="D88">
        <v>1.4299999475479099</v>
      </c>
      <c r="E88">
        <v>1.4299999475479099</v>
      </c>
      <c r="F88">
        <v>0</v>
      </c>
      <c r="G88">
        <v>0</v>
      </c>
      <c r="H88">
        <v>0</v>
      </c>
      <c r="I88">
        <v>1.4299999475479099</v>
      </c>
      <c r="J88">
        <v>0</v>
      </c>
      <c r="K88">
        <v>0</v>
      </c>
      <c r="L88">
        <v>0</v>
      </c>
      <c r="M88">
        <v>115</v>
      </c>
      <c r="N88">
        <v>720</v>
      </c>
      <c r="O88">
        <v>1330</v>
      </c>
      <c r="P88" t="str">
        <f>TEXT(tbl_working_daily[[#This Row],[ActivityDate]],"dddd")</f>
        <v>Sunday</v>
      </c>
      <c r="Q88" t="str">
        <f>TEXT(tbl_working_daily[[#This Row],[ActivityDate]],"mmmm")</f>
        <v>April</v>
      </c>
      <c r="R88">
        <f t="shared" si="2"/>
        <v>115</v>
      </c>
      <c r="S88">
        <f t="shared" si="3"/>
        <v>835</v>
      </c>
      <c r="T88">
        <f>ROUND(tbl_working_daily[[#This Row],[SedentaryMinutes]]/60,2)</f>
        <v>12</v>
      </c>
      <c r="U88" t="str" cm="1">
        <f t="array" ref="U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8" t="str" cm="1">
        <f t="array" ref="V88">_xlfn.IFS(tbl_working_daily[[#This Row],[VeryActiveMinutes]]&gt;=30,"Very Active",tbl_working_daily[[#This Row],[VeryActiveMinutes]]&gt;=15,"Moderately Active",tbl_working_daily[[#This Row],[VeryActiveMinutes]]&gt;=1,"Lightly Active",tbl_working_daily[[#This Row],[VeryActiveMinutes]]=0,"Sedentary")</f>
        <v>Sedentary</v>
      </c>
      <c r="W88" t="str">
        <f>tbl_working_daily[[#This Row],[Id]]&amp;"|"&amp;TEXT(tbl_working_daily[[#This Row],[ActivityDate]],"yyyy-mm-dd")</f>
        <v>2026352035|2016-04-03</v>
      </c>
      <c r="X88" t="b">
        <f>ISNUMBER(MATCH(tbl_working_daily[[#This Row],[LookupKey]],tbl_working_sleep[LookupKey],0))</f>
        <v>0</v>
      </c>
    </row>
    <row r="89" spans="1:24" x14ac:dyDescent="0.3">
      <c r="A89">
        <v>2026352035</v>
      </c>
      <c r="B89" s="1">
        <v>42464</v>
      </c>
      <c r="C89">
        <v>6679</v>
      </c>
      <c r="D89">
        <v>4.1399998664856001</v>
      </c>
      <c r="E89">
        <v>4.1399998664856001</v>
      </c>
      <c r="F89">
        <v>0</v>
      </c>
      <c r="G89">
        <v>0</v>
      </c>
      <c r="H89">
        <v>0</v>
      </c>
      <c r="I89">
        <v>4.1399998664856001</v>
      </c>
      <c r="J89">
        <v>0</v>
      </c>
      <c r="K89">
        <v>0</v>
      </c>
      <c r="L89">
        <v>0</v>
      </c>
      <c r="M89">
        <v>263</v>
      </c>
      <c r="N89">
        <v>644</v>
      </c>
      <c r="O89">
        <v>1583</v>
      </c>
      <c r="P89" t="str">
        <f>TEXT(tbl_working_daily[[#This Row],[ActivityDate]],"dddd")</f>
        <v>Monday</v>
      </c>
      <c r="Q89" t="str">
        <f>TEXT(tbl_working_daily[[#This Row],[ActivityDate]],"mmmm")</f>
        <v>April</v>
      </c>
      <c r="R89">
        <f t="shared" si="2"/>
        <v>263</v>
      </c>
      <c r="S89">
        <f t="shared" si="3"/>
        <v>907</v>
      </c>
      <c r="T89">
        <f>ROUND(tbl_working_daily[[#This Row],[SedentaryMinutes]]/60,2)</f>
        <v>10.73</v>
      </c>
      <c r="U89" t="str" cm="1">
        <f t="array" ref="U8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9" t="str" cm="1">
        <f t="array" ref="V89">_xlfn.IFS(tbl_working_daily[[#This Row],[VeryActiveMinutes]]&gt;=30,"Very Active",tbl_working_daily[[#This Row],[VeryActiveMinutes]]&gt;=15,"Moderately Active",tbl_working_daily[[#This Row],[VeryActiveMinutes]]&gt;=1,"Lightly Active",tbl_working_daily[[#This Row],[VeryActiveMinutes]]=0,"Sedentary")</f>
        <v>Sedentary</v>
      </c>
      <c r="W89" t="str">
        <f>tbl_working_daily[[#This Row],[Id]]&amp;"|"&amp;TEXT(tbl_working_daily[[#This Row],[ActivityDate]],"yyyy-mm-dd")</f>
        <v>2026352035|2016-04-04</v>
      </c>
      <c r="X89" t="b">
        <f>ISNUMBER(MATCH(tbl_working_daily[[#This Row],[LookupKey]],tbl_working_sleep[LookupKey],0))</f>
        <v>0</v>
      </c>
    </row>
    <row r="90" spans="1:24" x14ac:dyDescent="0.3">
      <c r="A90">
        <v>2026352035</v>
      </c>
      <c r="B90" s="1">
        <v>42465</v>
      </c>
      <c r="C90">
        <v>5645</v>
      </c>
      <c r="D90">
        <v>3.5</v>
      </c>
      <c r="E90">
        <v>3.5</v>
      </c>
      <c r="F90">
        <v>0</v>
      </c>
      <c r="G90">
        <v>0</v>
      </c>
      <c r="H90">
        <v>0</v>
      </c>
      <c r="I90">
        <v>3.5</v>
      </c>
      <c r="J90">
        <v>0</v>
      </c>
      <c r="K90">
        <v>0</v>
      </c>
      <c r="L90">
        <v>0</v>
      </c>
      <c r="M90">
        <v>248</v>
      </c>
      <c r="N90">
        <v>621</v>
      </c>
      <c r="O90">
        <v>1538</v>
      </c>
      <c r="P90" t="str">
        <f>TEXT(tbl_working_daily[[#This Row],[ActivityDate]],"dddd")</f>
        <v>Tuesday</v>
      </c>
      <c r="Q90" t="str">
        <f>TEXT(tbl_working_daily[[#This Row],[ActivityDate]],"mmmm")</f>
        <v>April</v>
      </c>
      <c r="R90">
        <f t="shared" si="2"/>
        <v>248</v>
      </c>
      <c r="S90">
        <f t="shared" si="3"/>
        <v>869</v>
      </c>
      <c r="T90">
        <f>ROUND(tbl_working_daily[[#This Row],[SedentaryMinutes]]/60,2)</f>
        <v>10.35</v>
      </c>
      <c r="U90" t="str" cm="1">
        <f t="array" ref="U9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 t="str" cm="1">
        <f t="array" ref="V90">_xlfn.IFS(tbl_working_daily[[#This Row],[VeryActiveMinutes]]&gt;=30,"Very Active",tbl_working_daily[[#This Row],[VeryActiveMinutes]]&gt;=15,"Moderately Active",tbl_working_daily[[#This Row],[VeryActiveMinutes]]&gt;=1,"Lightly Active",tbl_working_daily[[#This Row],[VeryActiveMinutes]]=0,"Sedentary")</f>
        <v>Sedentary</v>
      </c>
      <c r="W90" t="str">
        <f>tbl_working_daily[[#This Row],[Id]]&amp;"|"&amp;TEXT(tbl_working_daily[[#This Row],[ActivityDate]],"yyyy-mm-dd")</f>
        <v>2026352035|2016-04-05</v>
      </c>
      <c r="X90" t="b">
        <f>ISNUMBER(MATCH(tbl_working_daily[[#This Row],[LookupKey]],tbl_working_sleep[LookupKey],0))</f>
        <v>0</v>
      </c>
    </row>
    <row r="91" spans="1:24" x14ac:dyDescent="0.3">
      <c r="A91">
        <v>2026352035</v>
      </c>
      <c r="B91" s="1">
        <v>42466</v>
      </c>
      <c r="C91">
        <v>3180</v>
      </c>
      <c r="D91">
        <v>1.9700000286102299</v>
      </c>
      <c r="E91">
        <v>1.9700000286102299</v>
      </c>
      <c r="F91">
        <v>0</v>
      </c>
      <c r="G91">
        <v>0</v>
      </c>
      <c r="H91">
        <v>0</v>
      </c>
      <c r="I91">
        <v>1.9700000286102299</v>
      </c>
      <c r="J91">
        <v>0</v>
      </c>
      <c r="K91">
        <v>0</v>
      </c>
      <c r="L91">
        <v>0</v>
      </c>
      <c r="M91">
        <v>185</v>
      </c>
      <c r="N91">
        <v>738</v>
      </c>
      <c r="O91">
        <v>1421</v>
      </c>
      <c r="P91" t="str">
        <f>TEXT(tbl_working_daily[[#This Row],[ActivityDate]],"dddd")</f>
        <v>Wednesday</v>
      </c>
      <c r="Q91" t="str">
        <f>TEXT(tbl_working_daily[[#This Row],[ActivityDate]],"mmmm")</f>
        <v>April</v>
      </c>
      <c r="R91">
        <f t="shared" si="2"/>
        <v>185</v>
      </c>
      <c r="S91">
        <f t="shared" si="3"/>
        <v>923</v>
      </c>
      <c r="T91">
        <f>ROUND(tbl_working_daily[[#This Row],[SedentaryMinutes]]/60,2)</f>
        <v>12.3</v>
      </c>
      <c r="U91" t="str" cm="1">
        <f t="array" ref="U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1" t="str" cm="1">
        <f t="array" ref="V91">_xlfn.IFS(tbl_working_daily[[#This Row],[VeryActiveMinutes]]&gt;=30,"Very Active",tbl_working_daily[[#This Row],[VeryActiveMinutes]]&gt;=15,"Moderately Active",tbl_working_daily[[#This Row],[VeryActiveMinutes]]&gt;=1,"Lightly Active",tbl_working_daily[[#This Row],[VeryActiveMinutes]]=0,"Sedentary")</f>
        <v>Sedentary</v>
      </c>
      <c r="W91" t="str">
        <f>tbl_working_daily[[#This Row],[Id]]&amp;"|"&amp;TEXT(tbl_working_daily[[#This Row],[ActivityDate]],"yyyy-mm-dd")</f>
        <v>2026352035|2016-04-06</v>
      </c>
      <c r="X91" t="b">
        <f>ISNUMBER(MATCH(tbl_working_daily[[#This Row],[LookupKey]],tbl_working_sleep[LookupKey],0))</f>
        <v>0</v>
      </c>
    </row>
    <row r="92" spans="1:24" x14ac:dyDescent="0.3">
      <c r="A92">
        <v>2026352035</v>
      </c>
      <c r="B92" s="1">
        <v>42467</v>
      </c>
      <c r="C92">
        <v>2767</v>
      </c>
      <c r="D92">
        <v>1.7200000286102299</v>
      </c>
      <c r="E92">
        <v>1.7200000286102299</v>
      </c>
      <c r="F92">
        <v>0</v>
      </c>
      <c r="G92">
        <v>0</v>
      </c>
      <c r="H92">
        <v>0</v>
      </c>
      <c r="I92">
        <v>1.7200000286102299</v>
      </c>
      <c r="J92">
        <v>0</v>
      </c>
      <c r="K92">
        <v>0</v>
      </c>
      <c r="L92">
        <v>0</v>
      </c>
      <c r="M92">
        <v>170</v>
      </c>
      <c r="N92">
        <v>673</v>
      </c>
      <c r="O92">
        <v>1392</v>
      </c>
      <c r="P92" t="str">
        <f>TEXT(tbl_working_daily[[#This Row],[ActivityDate]],"dddd")</f>
        <v>Thursday</v>
      </c>
      <c r="Q92" t="str">
        <f>TEXT(tbl_working_daily[[#This Row],[ActivityDate]],"mmmm")</f>
        <v>April</v>
      </c>
      <c r="R92">
        <f t="shared" si="2"/>
        <v>170</v>
      </c>
      <c r="S92">
        <f t="shared" si="3"/>
        <v>843</v>
      </c>
      <c r="T92">
        <f>ROUND(tbl_working_daily[[#This Row],[SedentaryMinutes]]/60,2)</f>
        <v>11.22</v>
      </c>
      <c r="U92" t="str" cm="1">
        <f t="array" ref="U9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2" t="str" cm="1">
        <f t="array" ref="V92">_xlfn.IFS(tbl_working_daily[[#This Row],[VeryActiveMinutes]]&gt;=30,"Very Active",tbl_working_daily[[#This Row],[VeryActiveMinutes]]&gt;=15,"Moderately Active",tbl_working_daily[[#This Row],[VeryActiveMinutes]]&gt;=1,"Lightly Active",tbl_working_daily[[#This Row],[VeryActiveMinutes]]=0,"Sedentary")</f>
        <v>Sedentary</v>
      </c>
      <c r="W92" t="str">
        <f>tbl_working_daily[[#This Row],[Id]]&amp;"|"&amp;TEXT(tbl_working_daily[[#This Row],[ActivityDate]],"yyyy-mm-dd")</f>
        <v>2026352035|2016-04-07</v>
      </c>
      <c r="X92" t="b">
        <f>ISNUMBER(MATCH(tbl_working_daily[[#This Row],[LookupKey]],tbl_working_sleep[LookupKey],0))</f>
        <v>0</v>
      </c>
    </row>
    <row r="93" spans="1:24" x14ac:dyDescent="0.3">
      <c r="A93">
        <v>2026352035</v>
      </c>
      <c r="B93" s="1">
        <v>42468</v>
      </c>
      <c r="C93">
        <v>3762</v>
      </c>
      <c r="D93">
        <v>2.3299999237060498</v>
      </c>
      <c r="E93">
        <v>2.3299999237060498</v>
      </c>
      <c r="F93">
        <v>0</v>
      </c>
      <c r="G93">
        <v>0</v>
      </c>
      <c r="H93">
        <v>0</v>
      </c>
      <c r="I93">
        <v>2.3299999237060498</v>
      </c>
      <c r="J93">
        <v>0</v>
      </c>
      <c r="K93">
        <v>0</v>
      </c>
      <c r="L93">
        <v>0</v>
      </c>
      <c r="M93">
        <v>173</v>
      </c>
      <c r="N93">
        <v>719</v>
      </c>
      <c r="O93">
        <v>1425</v>
      </c>
      <c r="P93" t="str">
        <f>TEXT(tbl_working_daily[[#This Row],[ActivityDate]],"dddd")</f>
        <v>Friday</v>
      </c>
      <c r="Q93" t="str">
        <f>TEXT(tbl_working_daily[[#This Row],[ActivityDate]],"mmmm")</f>
        <v>April</v>
      </c>
      <c r="R93">
        <f t="shared" si="2"/>
        <v>173</v>
      </c>
      <c r="S93">
        <f t="shared" si="3"/>
        <v>892</v>
      </c>
      <c r="T93">
        <f>ROUND(tbl_working_daily[[#This Row],[SedentaryMinutes]]/60,2)</f>
        <v>11.98</v>
      </c>
      <c r="U93" t="str" cm="1">
        <f t="array" ref="U9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3" t="str" cm="1">
        <f t="array" ref="V93">_xlfn.IFS(tbl_working_daily[[#This Row],[VeryActiveMinutes]]&gt;=30,"Very Active",tbl_working_daily[[#This Row],[VeryActiveMinutes]]&gt;=15,"Moderately Active",tbl_working_daily[[#This Row],[VeryActiveMinutes]]&gt;=1,"Lightly Active",tbl_working_daily[[#This Row],[VeryActiveMinutes]]=0,"Sedentary")</f>
        <v>Sedentary</v>
      </c>
      <c r="W93" t="str">
        <f>tbl_working_daily[[#This Row],[Id]]&amp;"|"&amp;TEXT(tbl_working_daily[[#This Row],[ActivityDate]],"yyyy-mm-dd")</f>
        <v>2026352035|2016-04-08</v>
      </c>
      <c r="X93" t="b">
        <f>ISNUMBER(MATCH(tbl_working_daily[[#This Row],[LookupKey]],tbl_working_sleep[LookupKey],0))</f>
        <v>0</v>
      </c>
    </row>
    <row r="94" spans="1:24" x14ac:dyDescent="0.3">
      <c r="A94">
        <v>2026352035</v>
      </c>
      <c r="B94" s="1">
        <v>42469</v>
      </c>
      <c r="C94">
        <v>3098</v>
      </c>
      <c r="D94">
        <v>1.91999995708466</v>
      </c>
      <c r="E94">
        <v>1.91999995708466</v>
      </c>
      <c r="F94">
        <v>0</v>
      </c>
      <c r="G94">
        <v>0</v>
      </c>
      <c r="H94">
        <v>0</v>
      </c>
      <c r="I94">
        <v>1.91999995708466</v>
      </c>
      <c r="J94">
        <v>0</v>
      </c>
      <c r="K94">
        <v>0</v>
      </c>
      <c r="L94">
        <v>0</v>
      </c>
      <c r="M94">
        <v>185</v>
      </c>
      <c r="N94">
        <v>700</v>
      </c>
      <c r="O94">
        <v>1413</v>
      </c>
      <c r="P94" t="str">
        <f>TEXT(tbl_working_daily[[#This Row],[ActivityDate]],"dddd")</f>
        <v>Saturday</v>
      </c>
      <c r="Q94" t="str">
        <f>TEXT(tbl_working_daily[[#This Row],[ActivityDate]],"mmmm")</f>
        <v>April</v>
      </c>
      <c r="R94">
        <f t="shared" si="2"/>
        <v>185</v>
      </c>
      <c r="S94">
        <f t="shared" si="3"/>
        <v>885</v>
      </c>
      <c r="T94">
        <f>ROUND(tbl_working_daily[[#This Row],[SedentaryMinutes]]/60,2)</f>
        <v>11.67</v>
      </c>
      <c r="U94" t="str" cm="1">
        <f t="array" ref="U9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4" t="str" cm="1">
        <f t="array" ref="V94">_xlfn.IFS(tbl_working_daily[[#This Row],[VeryActiveMinutes]]&gt;=30,"Very Active",tbl_working_daily[[#This Row],[VeryActiveMinutes]]&gt;=15,"Moderately Active",tbl_working_daily[[#This Row],[VeryActiveMinutes]]&gt;=1,"Lightly Active",tbl_working_daily[[#This Row],[VeryActiveMinutes]]=0,"Sedentary")</f>
        <v>Sedentary</v>
      </c>
      <c r="W94" t="str">
        <f>tbl_working_daily[[#This Row],[Id]]&amp;"|"&amp;TEXT(tbl_working_daily[[#This Row],[ActivityDate]],"yyyy-mm-dd")</f>
        <v>2026352035|2016-04-09</v>
      </c>
      <c r="X94" t="b">
        <f>ISNUMBER(MATCH(tbl_working_daily[[#This Row],[LookupKey]],tbl_working_sleep[LookupKey],0))</f>
        <v>0</v>
      </c>
    </row>
    <row r="95" spans="1:24" x14ac:dyDescent="0.3">
      <c r="A95">
        <v>2026352035</v>
      </c>
      <c r="B95" s="1">
        <v>42470</v>
      </c>
      <c r="C95">
        <v>5142</v>
      </c>
      <c r="D95">
        <v>3.1900000572204599</v>
      </c>
      <c r="E95">
        <v>3.1900000572204599</v>
      </c>
      <c r="F95">
        <v>0</v>
      </c>
      <c r="G95">
        <v>0</v>
      </c>
      <c r="H95">
        <v>0</v>
      </c>
      <c r="I95">
        <v>3.1900000572204599</v>
      </c>
      <c r="J95">
        <v>0</v>
      </c>
      <c r="K95">
        <v>0</v>
      </c>
      <c r="L95">
        <v>0</v>
      </c>
      <c r="M95">
        <v>230</v>
      </c>
      <c r="N95">
        <v>654</v>
      </c>
      <c r="O95">
        <v>1515</v>
      </c>
      <c r="P95" t="str">
        <f>TEXT(tbl_working_daily[[#This Row],[ActivityDate]],"dddd")</f>
        <v>Sunday</v>
      </c>
      <c r="Q95" t="str">
        <f>TEXT(tbl_working_daily[[#This Row],[ActivityDate]],"mmmm")</f>
        <v>April</v>
      </c>
      <c r="R95">
        <f t="shared" si="2"/>
        <v>230</v>
      </c>
      <c r="S95">
        <f t="shared" si="3"/>
        <v>884</v>
      </c>
      <c r="T95">
        <f>ROUND(tbl_working_daily[[#This Row],[SedentaryMinutes]]/60,2)</f>
        <v>10.9</v>
      </c>
      <c r="U95" t="str" cm="1">
        <f t="array" ref="U9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5" t="str" cm="1">
        <f t="array" ref="V95">_xlfn.IFS(tbl_working_daily[[#This Row],[VeryActiveMinutes]]&gt;=30,"Very Active",tbl_working_daily[[#This Row],[VeryActiveMinutes]]&gt;=15,"Moderately Active",tbl_working_daily[[#This Row],[VeryActiveMinutes]]&gt;=1,"Lightly Active",tbl_working_daily[[#This Row],[VeryActiveMinutes]]=0,"Sedentary")</f>
        <v>Sedentary</v>
      </c>
      <c r="W95" t="str">
        <f>tbl_working_daily[[#This Row],[Id]]&amp;"|"&amp;TEXT(tbl_working_daily[[#This Row],[ActivityDate]],"yyyy-mm-dd")</f>
        <v>2026352035|2016-04-10</v>
      </c>
      <c r="X95" t="b">
        <f>ISNUMBER(MATCH(tbl_working_daily[[#This Row],[LookupKey]],tbl_working_sleep[LookupKey],0))</f>
        <v>0</v>
      </c>
    </row>
    <row r="96" spans="1:24" x14ac:dyDescent="0.3">
      <c r="A96">
        <v>2026352035</v>
      </c>
      <c r="B96" s="1">
        <v>42471</v>
      </c>
      <c r="C96">
        <v>3279</v>
      </c>
      <c r="D96">
        <v>2.0299999713897701</v>
      </c>
      <c r="E96">
        <v>2.0299999713897701</v>
      </c>
      <c r="F96">
        <v>0</v>
      </c>
      <c r="G96">
        <v>0</v>
      </c>
      <c r="H96">
        <v>0</v>
      </c>
      <c r="I96">
        <v>2.0299999713897701</v>
      </c>
      <c r="J96">
        <v>0</v>
      </c>
      <c r="K96">
        <v>0</v>
      </c>
      <c r="L96">
        <v>0</v>
      </c>
      <c r="M96">
        <v>164</v>
      </c>
      <c r="N96">
        <v>694</v>
      </c>
      <c r="O96">
        <v>1405</v>
      </c>
      <c r="P96" t="str">
        <f>TEXT(tbl_working_daily[[#This Row],[ActivityDate]],"dddd")</f>
        <v>Monday</v>
      </c>
      <c r="Q96" t="str">
        <f>TEXT(tbl_working_daily[[#This Row],[ActivityDate]],"mmmm")</f>
        <v>April</v>
      </c>
      <c r="R96">
        <f t="shared" si="2"/>
        <v>164</v>
      </c>
      <c r="S96">
        <f t="shared" si="3"/>
        <v>858</v>
      </c>
      <c r="T96">
        <f>ROUND(tbl_working_daily[[#This Row],[SedentaryMinutes]]/60,2)</f>
        <v>11.57</v>
      </c>
      <c r="U96" t="str" cm="1">
        <f t="array" ref="U9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6" t="str" cm="1">
        <f t="array" ref="V96">_xlfn.IFS(tbl_working_daily[[#This Row],[VeryActiveMinutes]]&gt;=30,"Very Active",tbl_working_daily[[#This Row],[VeryActiveMinutes]]&gt;=15,"Moderately Active",tbl_working_daily[[#This Row],[VeryActiveMinutes]]&gt;=1,"Lightly Active",tbl_working_daily[[#This Row],[VeryActiveMinutes]]=0,"Sedentary")</f>
        <v>Sedentary</v>
      </c>
      <c r="W96" t="str">
        <f>tbl_working_daily[[#This Row],[Id]]&amp;"|"&amp;TEXT(tbl_working_daily[[#This Row],[ActivityDate]],"yyyy-mm-dd")</f>
        <v>2026352035|2016-04-11</v>
      </c>
      <c r="X96" t="b">
        <f>ISNUMBER(MATCH(tbl_working_daily[[#This Row],[LookupKey]],tbl_working_sleep[LookupKey],0))</f>
        <v>0</v>
      </c>
    </row>
    <row r="97" spans="1:24" x14ac:dyDescent="0.3">
      <c r="A97">
        <v>2026352035</v>
      </c>
      <c r="B97" s="1">
        <v>42472</v>
      </c>
      <c r="C97">
        <v>1019</v>
      </c>
      <c r="D97">
        <v>0.62999999523162797</v>
      </c>
      <c r="E97">
        <v>0.62999999523162797</v>
      </c>
      <c r="F97">
        <v>0</v>
      </c>
      <c r="G97">
        <v>0</v>
      </c>
      <c r="H97">
        <v>0</v>
      </c>
      <c r="I97">
        <v>0.62999999523162797</v>
      </c>
      <c r="J97">
        <v>0</v>
      </c>
      <c r="K97">
        <v>0</v>
      </c>
      <c r="L97">
        <v>0</v>
      </c>
      <c r="M97">
        <v>64</v>
      </c>
      <c r="N97">
        <v>223</v>
      </c>
      <c r="O97">
        <v>600</v>
      </c>
      <c r="P97" t="str">
        <f>TEXT(tbl_working_daily[[#This Row],[ActivityDate]],"dddd")</f>
        <v>Tuesday</v>
      </c>
      <c r="Q97" t="str">
        <f>TEXT(tbl_working_daily[[#This Row],[ActivityDate]],"mmmm")</f>
        <v>April</v>
      </c>
      <c r="R97">
        <f t="shared" si="2"/>
        <v>64</v>
      </c>
      <c r="S97">
        <f t="shared" si="3"/>
        <v>287</v>
      </c>
      <c r="T97">
        <f>ROUND(tbl_working_daily[[#This Row],[SedentaryMinutes]]/60,2)</f>
        <v>3.72</v>
      </c>
      <c r="U97" t="str" cm="1">
        <f t="array" ref="U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7" t="str" cm="1">
        <f t="array" ref="V97">_xlfn.IFS(tbl_working_daily[[#This Row],[VeryActiveMinutes]]&gt;=30,"Very Active",tbl_working_daily[[#This Row],[VeryActiveMinutes]]&gt;=15,"Moderately Active",tbl_working_daily[[#This Row],[VeryActiveMinutes]]&gt;=1,"Lightly Active",tbl_working_daily[[#This Row],[VeryActiveMinutes]]=0,"Sedentary")</f>
        <v>Sedentary</v>
      </c>
      <c r="W97" t="str">
        <f>tbl_working_daily[[#This Row],[Id]]&amp;"|"&amp;TEXT(tbl_working_daily[[#This Row],[ActivityDate]],"yyyy-mm-dd")</f>
        <v>2026352035|2016-04-12</v>
      </c>
      <c r="X97" t="b">
        <f>ISNUMBER(MATCH(tbl_working_daily[[#This Row],[LookupKey]],tbl_working_sleep[LookupKey],0))</f>
        <v>1</v>
      </c>
    </row>
    <row r="98" spans="1:24" x14ac:dyDescent="0.3">
      <c r="A98">
        <v>2320127002</v>
      </c>
      <c r="B98" s="1">
        <v>42461</v>
      </c>
      <c r="C98">
        <v>0</v>
      </c>
      <c r="D98">
        <v>0</v>
      </c>
      <c r="E98">
        <v>0</v>
      </c>
      <c r="F98">
        <v>0</v>
      </c>
      <c r="G98">
        <v>0</v>
      </c>
      <c r="H98">
        <v>0</v>
      </c>
      <c r="I98">
        <v>0</v>
      </c>
      <c r="J98">
        <v>0</v>
      </c>
      <c r="K98">
        <v>0</v>
      </c>
      <c r="L98">
        <v>0</v>
      </c>
      <c r="M98">
        <v>0</v>
      </c>
      <c r="N98">
        <v>1440</v>
      </c>
      <c r="O98">
        <v>1324</v>
      </c>
      <c r="P98" t="str">
        <f>TEXT(tbl_working_daily[[#This Row],[ActivityDate]],"dddd")</f>
        <v>Friday</v>
      </c>
      <c r="Q98" t="str">
        <f>TEXT(tbl_working_daily[[#This Row],[ActivityDate]],"mmmm")</f>
        <v>April</v>
      </c>
      <c r="R98">
        <f t="shared" si="2"/>
        <v>0</v>
      </c>
      <c r="S98">
        <f t="shared" si="3"/>
        <v>1440</v>
      </c>
      <c r="T98">
        <f>ROUND(tbl_working_daily[[#This Row],[SedentaryMinutes]]/60,2)</f>
        <v>24</v>
      </c>
      <c r="U98" t="str" cm="1">
        <f t="array" ref="U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8" t="str" cm="1">
        <f t="array" ref="V98">_xlfn.IFS(tbl_working_daily[[#This Row],[VeryActiveMinutes]]&gt;=30,"Very Active",tbl_working_daily[[#This Row],[VeryActiveMinutes]]&gt;=15,"Moderately Active",tbl_working_daily[[#This Row],[VeryActiveMinutes]]&gt;=1,"Lightly Active",tbl_working_daily[[#This Row],[VeryActiveMinutes]]=0,"Sedentary")</f>
        <v>Sedentary</v>
      </c>
      <c r="W98" t="str">
        <f>tbl_working_daily[[#This Row],[Id]]&amp;"|"&amp;TEXT(tbl_working_daily[[#This Row],[ActivityDate]],"yyyy-mm-dd")</f>
        <v>2320127002|2016-04-01</v>
      </c>
      <c r="X98" t="b">
        <f>ISNUMBER(MATCH(tbl_working_daily[[#This Row],[LookupKey]],tbl_working_sleep[LookupKey],0))</f>
        <v>0</v>
      </c>
    </row>
    <row r="99" spans="1:24" x14ac:dyDescent="0.3">
      <c r="A99">
        <v>2320127002</v>
      </c>
      <c r="B99" s="1">
        <v>42462</v>
      </c>
      <c r="C99">
        <v>0</v>
      </c>
      <c r="D99">
        <v>0</v>
      </c>
      <c r="E99">
        <v>0</v>
      </c>
      <c r="F99">
        <v>0</v>
      </c>
      <c r="G99">
        <v>0</v>
      </c>
      <c r="H99">
        <v>0</v>
      </c>
      <c r="I99">
        <v>0</v>
      </c>
      <c r="J99">
        <v>0</v>
      </c>
      <c r="K99">
        <v>0</v>
      </c>
      <c r="L99">
        <v>0</v>
      </c>
      <c r="M99">
        <v>0</v>
      </c>
      <c r="N99">
        <v>1440</v>
      </c>
      <c r="O99">
        <v>1324</v>
      </c>
      <c r="P99" t="str">
        <f>TEXT(tbl_working_daily[[#This Row],[ActivityDate]],"dddd")</f>
        <v>Saturday</v>
      </c>
      <c r="Q99" t="str">
        <f>TEXT(tbl_working_daily[[#This Row],[ActivityDate]],"mmmm")</f>
        <v>April</v>
      </c>
      <c r="R99">
        <f t="shared" si="2"/>
        <v>0</v>
      </c>
      <c r="S99">
        <f t="shared" si="3"/>
        <v>1440</v>
      </c>
      <c r="T99">
        <f>ROUND(tbl_working_daily[[#This Row],[SedentaryMinutes]]/60,2)</f>
        <v>24</v>
      </c>
      <c r="U99" t="str" cm="1">
        <f t="array" ref="U9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9" t="str" cm="1">
        <f t="array" ref="V99">_xlfn.IFS(tbl_working_daily[[#This Row],[VeryActiveMinutes]]&gt;=30,"Very Active",tbl_working_daily[[#This Row],[VeryActiveMinutes]]&gt;=15,"Moderately Active",tbl_working_daily[[#This Row],[VeryActiveMinutes]]&gt;=1,"Lightly Active",tbl_working_daily[[#This Row],[VeryActiveMinutes]]=0,"Sedentary")</f>
        <v>Sedentary</v>
      </c>
      <c r="W99" t="str">
        <f>tbl_working_daily[[#This Row],[Id]]&amp;"|"&amp;TEXT(tbl_working_daily[[#This Row],[ActivityDate]],"yyyy-mm-dd")</f>
        <v>2320127002|2016-04-02</v>
      </c>
      <c r="X99" t="b">
        <f>ISNUMBER(MATCH(tbl_working_daily[[#This Row],[LookupKey]],tbl_working_sleep[LookupKey],0))</f>
        <v>0</v>
      </c>
    </row>
    <row r="100" spans="1:24" x14ac:dyDescent="0.3">
      <c r="A100">
        <v>2320127002</v>
      </c>
      <c r="B100" s="1">
        <v>42463</v>
      </c>
      <c r="C100">
        <v>0</v>
      </c>
      <c r="D100">
        <v>0</v>
      </c>
      <c r="E100">
        <v>0</v>
      </c>
      <c r="F100">
        <v>0</v>
      </c>
      <c r="G100">
        <v>0</v>
      </c>
      <c r="H100">
        <v>0</v>
      </c>
      <c r="I100">
        <v>0</v>
      </c>
      <c r="J100">
        <v>0</v>
      </c>
      <c r="K100">
        <v>0</v>
      </c>
      <c r="L100">
        <v>0</v>
      </c>
      <c r="M100">
        <v>0</v>
      </c>
      <c r="N100">
        <v>1440</v>
      </c>
      <c r="O100">
        <v>1324</v>
      </c>
      <c r="P100" t="str">
        <f>TEXT(tbl_working_daily[[#This Row],[ActivityDate]],"dddd")</f>
        <v>Sunday</v>
      </c>
      <c r="Q100" t="str">
        <f>TEXT(tbl_working_daily[[#This Row],[ActivityDate]],"mmmm")</f>
        <v>April</v>
      </c>
      <c r="R100">
        <f t="shared" si="2"/>
        <v>0</v>
      </c>
      <c r="S100">
        <f t="shared" si="3"/>
        <v>1440</v>
      </c>
      <c r="T100">
        <f>ROUND(tbl_working_daily[[#This Row],[SedentaryMinutes]]/60,2)</f>
        <v>24</v>
      </c>
      <c r="U100" t="str" cm="1">
        <f t="array" ref="U10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0" t="str" cm="1">
        <f t="array" ref="V100">_xlfn.IFS(tbl_working_daily[[#This Row],[VeryActiveMinutes]]&gt;=30,"Very Active",tbl_working_daily[[#This Row],[VeryActiveMinutes]]&gt;=15,"Moderately Active",tbl_working_daily[[#This Row],[VeryActiveMinutes]]&gt;=1,"Lightly Active",tbl_working_daily[[#This Row],[VeryActiveMinutes]]=0,"Sedentary")</f>
        <v>Sedentary</v>
      </c>
      <c r="W100" t="str">
        <f>tbl_working_daily[[#This Row],[Id]]&amp;"|"&amp;TEXT(tbl_working_daily[[#This Row],[ActivityDate]],"yyyy-mm-dd")</f>
        <v>2320127002|2016-04-03</v>
      </c>
      <c r="X100" t="b">
        <f>ISNUMBER(MATCH(tbl_working_daily[[#This Row],[LookupKey]],tbl_working_sleep[LookupKey],0))</f>
        <v>0</v>
      </c>
    </row>
    <row r="101" spans="1:24" x14ac:dyDescent="0.3">
      <c r="A101">
        <v>2320127002</v>
      </c>
      <c r="B101" s="1">
        <v>42464</v>
      </c>
      <c r="C101">
        <v>0</v>
      </c>
      <c r="D101">
        <v>0</v>
      </c>
      <c r="E101">
        <v>0</v>
      </c>
      <c r="F101">
        <v>0</v>
      </c>
      <c r="G101">
        <v>0</v>
      </c>
      <c r="H101">
        <v>0</v>
      </c>
      <c r="I101">
        <v>0</v>
      </c>
      <c r="J101">
        <v>0</v>
      </c>
      <c r="K101">
        <v>0</v>
      </c>
      <c r="L101">
        <v>0</v>
      </c>
      <c r="M101">
        <v>0</v>
      </c>
      <c r="N101">
        <v>1440</v>
      </c>
      <c r="O101">
        <v>1324</v>
      </c>
      <c r="P101" t="str">
        <f>TEXT(tbl_working_daily[[#This Row],[ActivityDate]],"dddd")</f>
        <v>Monday</v>
      </c>
      <c r="Q101" t="str">
        <f>TEXT(tbl_working_daily[[#This Row],[ActivityDate]],"mmmm")</f>
        <v>April</v>
      </c>
      <c r="R101">
        <f t="shared" si="2"/>
        <v>0</v>
      </c>
      <c r="S101">
        <f t="shared" si="3"/>
        <v>1440</v>
      </c>
      <c r="T101">
        <f>ROUND(tbl_working_daily[[#This Row],[SedentaryMinutes]]/60,2)</f>
        <v>24</v>
      </c>
      <c r="U101" t="str" cm="1">
        <f t="array" ref="U10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1" t="str" cm="1">
        <f t="array" ref="V101">_xlfn.IFS(tbl_working_daily[[#This Row],[VeryActiveMinutes]]&gt;=30,"Very Active",tbl_working_daily[[#This Row],[VeryActiveMinutes]]&gt;=15,"Moderately Active",tbl_working_daily[[#This Row],[VeryActiveMinutes]]&gt;=1,"Lightly Active",tbl_working_daily[[#This Row],[VeryActiveMinutes]]=0,"Sedentary")</f>
        <v>Sedentary</v>
      </c>
      <c r="W101" t="str">
        <f>tbl_working_daily[[#This Row],[Id]]&amp;"|"&amp;TEXT(tbl_working_daily[[#This Row],[ActivityDate]],"yyyy-mm-dd")</f>
        <v>2320127002|2016-04-04</v>
      </c>
      <c r="X101" t="b">
        <f>ISNUMBER(MATCH(tbl_working_daily[[#This Row],[LookupKey]],tbl_working_sleep[LookupKey],0))</f>
        <v>0</v>
      </c>
    </row>
    <row r="102" spans="1:24" x14ac:dyDescent="0.3">
      <c r="A102">
        <v>2320127002</v>
      </c>
      <c r="B102" s="1">
        <v>42465</v>
      </c>
      <c r="C102">
        <v>4931</v>
      </c>
      <c r="D102">
        <v>3.3199999332428001</v>
      </c>
      <c r="E102">
        <v>3.3199999332428001</v>
      </c>
      <c r="F102">
        <v>0</v>
      </c>
      <c r="G102">
        <v>0</v>
      </c>
      <c r="H102">
        <v>0</v>
      </c>
      <c r="I102">
        <v>3.3199999332428001</v>
      </c>
      <c r="J102">
        <v>0</v>
      </c>
      <c r="K102">
        <v>0</v>
      </c>
      <c r="L102">
        <v>0</v>
      </c>
      <c r="M102">
        <v>175</v>
      </c>
      <c r="N102">
        <v>1265</v>
      </c>
      <c r="O102">
        <v>1708</v>
      </c>
      <c r="P102" t="str">
        <f>TEXT(tbl_working_daily[[#This Row],[ActivityDate]],"dddd")</f>
        <v>Tuesday</v>
      </c>
      <c r="Q102" t="str">
        <f>TEXT(tbl_working_daily[[#This Row],[ActivityDate]],"mmmm")</f>
        <v>April</v>
      </c>
      <c r="R102">
        <f t="shared" si="2"/>
        <v>175</v>
      </c>
      <c r="S102">
        <f t="shared" si="3"/>
        <v>1440</v>
      </c>
      <c r="T102">
        <f>ROUND(tbl_working_daily[[#This Row],[SedentaryMinutes]]/60,2)</f>
        <v>21.08</v>
      </c>
      <c r="U102" t="str" cm="1">
        <f t="array" ref="U1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2" t="str" cm="1">
        <f t="array" ref="V102">_xlfn.IFS(tbl_working_daily[[#This Row],[VeryActiveMinutes]]&gt;=30,"Very Active",tbl_working_daily[[#This Row],[VeryActiveMinutes]]&gt;=15,"Moderately Active",tbl_working_daily[[#This Row],[VeryActiveMinutes]]&gt;=1,"Lightly Active",tbl_working_daily[[#This Row],[VeryActiveMinutes]]=0,"Sedentary")</f>
        <v>Sedentary</v>
      </c>
      <c r="W102" t="str">
        <f>tbl_working_daily[[#This Row],[Id]]&amp;"|"&amp;TEXT(tbl_working_daily[[#This Row],[ActivityDate]],"yyyy-mm-dd")</f>
        <v>2320127002|2016-04-05</v>
      </c>
      <c r="X102" t="b">
        <f>ISNUMBER(MATCH(tbl_working_daily[[#This Row],[LookupKey]],tbl_working_sleep[LookupKey],0))</f>
        <v>0</v>
      </c>
    </row>
    <row r="103" spans="1:24" x14ac:dyDescent="0.3">
      <c r="A103">
        <v>2320127002</v>
      </c>
      <c r="B103" s="1">
        <v>42466</v>
      </c>
      <c r="C103">
        <v>6999</v>
      </c>
      <c r="D103">
        <v>4.7199997901916504</v>
      </c>
      <c r="E103">
        <v>4.7199997901916504</v>
      </c>
      <c r="F103">
        <v>0</v>
      </c>
      <c r="G103">
        <v>0</v>
      </c>
      <c r="H103">
        <v>0</v>
      </c>
      <c r="I103">
        <v>4.7199997901916504</v>
      </c>
      <c r="J103">
        <v>0</v>
      </c>
      <c r="K103">
        <v>0</v>
      </c>
      <c r="L103">
        <v>0</v>
      </c>
      <c r="M103">
        <v>320</v>
      </c>
      <c r="N103">
        <v>1120</v>
      </c>
      <c r="O103">
        <v>1950</v>
      </c>
      <c r="P103" t="str">
        <f>TEXT(tbl_working_daily[[#This Row],[ActivityDate]],"dddd")</f>
        <v>Wednesday</v>
      </c>
      <c r="Q103" t="str">
        <f>TEXT(tbl_working_daily[[#This Row],[ActivityDate]],"mmmm")</f>
        <v>April</v>
      </c>
      <c r="R103">
        <f t="shared" si="2"/>
        <v>320</v>
      </c>
      <c r="S103">
        <f t="shared" si="3"/>
        <v>1440</v>
      </c>
      <c r="T103">
        <f>ROUND(tbl_working_daily[[#This Row],[SedentaryMinutes]]/60,2)</f>
        <v>18.670000000000002</v>
      </c>
      <c r="U103" t="str" cm="1">
        <f t="array" ref="U10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3" t="str" cm="1">
        <f t="array" ref="V103">_xlfn.IFS(tbl_working_daily[[#This Row],[VeryActiveMinutes]]&gt;=30,"Very Active",tbl_working_daily[[#This Row],[VeryActiveMinutes]]&gt;=15,"Moderately Active",tbl_working_daily[[#This Row],[VeryActiveMinutes]]&gt;=1,"Lightly Active",tbl_working_daily[[#This Row],[VeryActiveMinutes]]=0,"Sedentary")</f>
        <v>Sedentary</v>
      </c>
      <c r="W103" t="str">
        <f>tbl_working_daily[[#This Row],[Id]]&amp;"|"&amp;TEXT(tbl_working_daily[[#This Row],[ActivityDate]],"yyyy-mm-dd")</f>
        <v>2320127002|2016-04-06</v>
      </c>
      <c r="X103" t="b">
        <f>ISNUMBER(MATCH(tbl_working_daily[[#This Row],[LookupKey]],tbl_working_sleep[LookupKey],0))</f>
        <v>0</v>
      </c>
    </row>
    <row r="104" spans="1:24" x14ac:dyDescent="0.3">
      <c r="A104">
        <v>2320127002</v>
      </c>
      <c r="B104" s="1">
        <v>42467</v>
      </c>
      <c r="C104">
        <v>1846</v>
      </c>
      <c r="D104">
        <v>1.2400000095367401</v>
      </c>
      <c r="E104">
        <v>1.2400000095367401</v>
      </c>
      <c r="F104">
        <v>0</v>
      </c>
      <c r="G104">
        <v>0</v>
      </c>
      <c r="H104">
        <v>0</v>
      </c>
      <c r="I104">
        <v>1.2400000095367401</v>
      </c>
      <c r="J104">
        <v>0</v>
      </c>
      <c r="K104">
        <v>0</v>
      </c>
      <c r="L104">
        <v>0</v>
      </c>
      <c r="M104">
        <v>93</v>
      </c>
      <c r="N104">
        <v>1347</v>
      </c>
      <c r="O104">
        <v>1508</v>
      </c>
      <c r="P104" t="str">
        <f>TEXT(tbl_working_daily[[#This Row],[ActivityDate]],"dddd")</f>
        <v>Thursday</v>
      </c>
      <c r="Q104" t="str">
        <f>TEXT(tbl_working_daily[[#This Row],[ActivityDate]],"mmmm")</f>
        <v>April</v>
      </c>
      <c r="R104">
        <f t="shared" si="2"/>
        <v>93</v>
      </c>
      <c r="S104">
        <f t="shared" si="3"/>
        <v>1440</v>
      </c>
      <c r="T104">
        <f>ROUND(tbl_working_daily[[#This Row],[SedentaryMinutes]]/60,2)</f>
        <v>22.45</v>
      </c>
      <c r="U104" t="str" cm="1">
        <f t="array" ref="U1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4" t="str" cm="1">
        <f t="array" ref="V104">_xlfn.IFS(tbl_working_daily[[#This Row],[VeryActiveMinutes]]&gt;=30,"Very Active",tbl_working_daily[[#This Row],[VeryActiveMinutes]]&gt;=15,"Moderately Active",tbl_working_daily[[#This Row],[VeryActiveMinutes]]&gt;=1,"Lightly Active",tbl_working_daily[[#This Row],[VeryActiveMinutes]]=0,"Sedentary")</f>
        <v>Sedentary</v>
      </c>
      <c r="W104" t="str">
        <f>tbl_working_daily[[#This Row],[Id]]&amp;"|"&amp;TEXT(tbl_working_daily[[#This Row],[ActivityDate]],"yyyy-mm-dd")</f>
        <v>2320127002|2016-04-07</v>
      </c>
      <c r="X104" t="b">
        <f>ISNUMBER(MATCH(tbl_working_daily[[#This Row],[LookupKey]],tbl_working_sleep[LookupKey],0))</f>
        <v>0</v>
      </c>
    </row>
    <row r="105" spans="1:24" x14ac:dyDescent="0.3">
      <c r="A105">
        <v>2320127002</v>
      </c>
      <c r="B105" s="1">
        <v>42468</v>
      </c>
      <c r="C105">
        <v>3417</v>
      </c>
      <c r="D105">
        <v>2.2999999523162802</v>
      </c>
      <c r="E105">
        <v>2.2999999523162802</v>
      </c>
      <c r="F105">
        <v>0</v>
      </c>
      <c r="G105">
        <v>0</v>
      </c>
      <c r="H105">
        <v>0</v>
      </c>
      <c r="I105">
        <v>2.2999999523162802</v>
      </c>
      <c r="J105">
        <v>0</v>
      </c>
      <c r="K105">
        <v>0</v>
      </c>
      <c r="L105">
        <v>0</v>
      </c>
      <c r="M105">
        <v>153</v>
      </c>
      <c r="N105">
        <v>1287</v>
      </c>
      <c r="O105">
        <v>1625</v>
      </c>
      <c r="P105" t="str">
        <f>TEXT(tbl_working_daily[[#This Row],[ActivityDate]],"dddd")</f>
        <v>Friday</v>
      </c>
      <c r="Q105" t="str">
        <f>TEXT(tbl_working_daily[[#This Row],[ActivityDate]],"mmmm")</f>
        <v>April</v>
      </c>
      <c r="R105">
        <f t="shared" si="2"/>
        <v>153</v>
      </c>
      <c r="S105">
        <f t="shared" si="3"/>
        <v>1440</v>
      </c>
      <c r="T105">
        <f>ROUND(tbl_working_daily[[#This Row],[SedentaryMinutes]]/60,2)</f>
        <v>21.45</v>
      </c>
      <c r="U105" t="str" cm="1">
        <f t="array" ref="U1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5" t="str" cm="1">
        <f t="array" ref="V105">_xlfn.IFS(tbl_working_daily[[#This Row],[VeryActiveMinutes]]&gt;=30,"Very Active",tbl_working_daily[[#This Row],[VeryActiveMinutes]]&gt;=15,"Moderately Active",tbl_working_daily[[#This Row],[VeryActiveMinutes]]&gt;=1,"Lightly Active",tbl_working_daily[[#This Row],[VeryActiveMinutes]]=0,"Sedentary")</f>
        <v>Sedentary</v>
      </c>
      <c r="W105" t="str">
        <f>tbl_working_daily[[#This Row],[Id]]&amp;"|"&amp;TEXT(tbl_working_daily[[#This Row],[ActivityDate]],"yyyy-mm-dd")</f>
        <v>2320127002|2016-04-08</v>
      </c>
      <c r="X105" t="b">
        <f>ISNUMBER(MATCH(tbl_working_daily[[#This Row],[LookupKey]],tbl_working_sleep[LookupKey],0))</f>
        <v>0</v>
      </c>
    </row>
    <row r="106" spans="1:24" x14ac:dyDescent="0.3">
      <c r="A106">
        <v>2320127002</v>
      </c>
      <c r="B106" s="1">
        <v>42469</v>
      </c>
      <c r="C106">
        <v>4863</v>
      </c>
      <c r="D106">
        <v>3.2799999713897701</v>
      </c>
      <c r="E106">
        <v>3.2799999713897701</v>
      </c>
      <c r="F106">
        <v>0</v>
      </c>
      <c r="G106">
        <v>5.9999998658895499E-2</v>
      </c>
      <c r="H106">
        <v>0.41999998688697798</v>
      </c>
      <c r="I106">
        <v>2.7999999523162802</v>
      </c>
      <c r="J106">
        <v>0</v>
      </c>
      <c r="K106">
        <v>1</v>
      </c>
      <c r="L106">
        <v>11</v>
      </c>
      <c r="M106">
        <v>208</v>
      </c>
      <c r="N106">
        <v>1220</v>
      </c>
      <c r="O106">
        <v>1772</v>
      </c>
      <c r="P106" t="str">
        <f>TEXT(tbl_working_daily[[#This Row],[ActivityDate]],"dddd")</f>
        <v>Saturday</v>
      </c>
      <c r="Q106" t="str">
        <f>TEXT(tbl_working_daily[[#This Row],[ActivityDate]],"mmmm")</f>
        <v>April</v>
      </c>
      <c r="R106">
        <f t="shared" si="2"/>
        <v>220</v>
      </c>
      <c r="S106">
        <f t="shared" si="3"/>
        <v>1440</v>
      </c>
      <c r="T106">
        <f>ROUND(tbl_working_daily[[#This Row],[SedentaryMinutes]]/60,2)</f>
        <v>20.329999999999998</v>
      </c>
      <c r="U106" t="str" cm="1">
        <f t="array" ref="U1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 t="str" cm="1">
        <f t="array" ref="V106">_xlfn.IFS(tbl_working_daily[[#This Row],[VeryActiveMinutes]]&gt;=30,"Very Active",tbl_working_daily[[#This Row],[VeryActiveMinutes]]&gt;=15,"Moderately Active",tbl_working_daily[[#This Row],[VeryActiveMinutes]]&gt;=1,"Lightly Active",tbl_working_daily[[#This Row],[VeryActiveMinutes]]=0,"Sedentary")</f>
        <v>Lightly Active</v>
      </c>
      <c r="W106" t="str">
        <f>tbl_working_daily[[#This Row],[Id]]&amp;"|"&amp;TEXT(tbl_working_daily[[#This Row],[ActivityDate]],"yyyy-mm-dd")</f>
        <v>2320127002|2016-04-09</v>
      </c>
      <c r="X106" t="b">
        <f>ISNUMBER(MATCH(tbl_working_daily[[#This Row],[LookupKey]],tbl_working_sleep[LookupKey],0))</f>
        <v>0</v>
      </c>
    </row>
    <row r="107" spans="1:24" x14ac:dyDescent="0.3">
      <c r="A107">
        <v>2320127002</v>
      </c>
      <c r="B107" s="1">
        <v>42470</v>
      </c>
      <c r="C107">
        <v>2277</v>
      </c>
      <c r="D107">
        <v>1.5299999713897701</v>
      </c>
      <c r="E107">
        <v>1.5299999713897701</v>
      </c>
      <c r="F107">
        <v>0</v>
      </c>
      <c r="G107">
        <v>0</v>
      </c>
      <c r="H107">
        <v>0</v>
      </c>
      <c r="I107">
        <v>1.5299999713897701</v>
      </c>
      <c r="J107">
        <v>0</v>
      </c>
      <c r="K107">
        <v>0</v>
      </c>
      <c r="L107">
        <v>0</v>
      </c>
      <c r="M107">
        <v>103</v>
      </c>
      <c r="N107">
        <v>1337</v>
      </c>
      <c r="O107">
        <v>1530</v>
      </c>
      <c r="P107" t="str">
        <f>TEXT(tbl_working_daily[[#This Row],[ActivityDate]],"dddd")</f>
        <v>Sunday</v>
      </c>
      <c r="Q107" t="str">
        <f>TEXT(tbl_working_daily[[#This Row],[ActivityDate]],"mmmm")</f>
        <v>April</v>
      </c>
      <c r="R107">
        <f t="shared" si="2"/>
        <v>103</v>
      </c>
      <c r="S107">
        <f t="shared" si="3"/>
        <v>1440</v>
      </c>
      <c r="T107">
        <f>ROUND(tbl_working_daily[[#This Row],[SedentaryMinutes]]/60,2)</f>
        <v>22.28</v>
      </c>
      <c r="U107" t="str" cm="1">
        <f t="array" ref="U1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7" t="str" cm="1">
        <f t="array" ref="V107">_xlfn.IFS(tbl_working_daily[[#This Row],[VeryActiveMinutes]]&gt;=30,"Very Active",tbl_working_daily[[#This Row],[VeryActiveMinutes]]&gt;=15,"Moderately Active",tbl_working_daily[[#This Row],[VeryActiveMinutes]]&gt;=1,"Lightly Active",tbl_working_daily[[#This Row],[VeryActiveMinutes]]=0,"Sedentary")</f>
        <v>Sedentary</v>
      </c>
      <c r="W107" t="str">
        <f>tbl_working_daily[[#This Row],[Id]]&amp;"|"&amp;TEXT(tbl_working_daily[[#This Row],[ActivityDate]],"yyyy-mm-dd")</f>
        <v>2320127002|2016-04-10</v>
      </c>
      <c r="X107" t="b">
        <f>ISNUMBER(MATCH(tbl_working_daily[[#This Row],[LookupKey]],tbl_working_sleep[LookupKey],0))</f>
        <v>0</v>
      </c>
    </row>
    <row r="108" spans="1:24" x14ac:dyDescent="0.3">
      <c r="A108">
        <v>2320127002</v>
      </c>
      <c r="B108" s="1">
        <v>42471</v>
      </c>
      <c r="C108">
        <v>11230</v>
      </c>
      <c r="D108">
        <v>7.6700000762939498</v>
      </c>
      <c r="E108">
        <v>7.6700000762939498</v>
      </c>
      <c r="F108">
        <v>0</v>
      </c>
      <c r="G108">
        <v>0.88999998569488503</v>
      </c>
      <c r="H108">
        <v>0.119999997317791</v>
      </c>
      <c r="I108">
        <v>6.6599998474121103</v>
      </c>
      <c r="J108">
        <v>0</v>
      </c>
      <c r="K108">
        <v>10</v>
      </c>
      <c r="L108">
        <v>2</v>
      </c>
      <c r="M108">
        <v>390</v>
      </c>
      <c r="N108">
        <v>1038</v>
      </c>
      <c r="O108">
        <v>2206</v>
      </c>
      <c r="P108" t="str">
        <f>TEXT(tbl_working_daily[[#This Row],[ActivityDate]],"dddd")</f>
        <v>Monday</v>
      </c>
      <c r="Q108" t="str">
        <f>TEXT(tbl_working_daily[[#This Row],[ActivityDate]],"mmmm")</f>
        <v>April</v>
      </c>
      <c r="R108">
        <f t="shared" si="2"/>
        <v>402</v>
      </c>
      <c r="S108">
        <f t="shared" si="3"/>
        <v>1440</v>
      </c>
      <c r="T108">
        <f>ROUND(tbl_working_daily[[#This Row],[SedentaryMinutes]]/60,2)</f>
        <v>17.3</v>
      </c>
      <c r="U108" t="str" cm="1">
        <f t="array" ref="U10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8" t="str" cm="1">
        <f t="array" ref="V108">_xlfn.IFS(tbl_working_daily[[#This Row],[VeryActiveMinutes]]&gt;=30,"Very Active",tbl_working_daily[[#This Row],[VeryActiveMinutes]]&gt;=15,"Moderately Active",tbl_working_daily[[#This Row],[VeryActiveMinutes]]&gt;=1,"Lightly Active",tbl_working_daily[[#This Row],[VeryActiveMinutes]]=0,"Sedentary")</f>
        <v>Lightly Active</v>
      </c>
      <c r="W108" t="str">
        <f>tbl_working_daily[[#This Row],[Id]]&amp;"|"&amp;TEXT(tbl_working_daily[[#This Row],[ActivityDate]],"yyyy-mm-dd")</f>
        <v>2320127002|2016-04-11</v>
      </c>
      <c r="X108" t="b">
        <f>ISNUMBER(MATCH(tbl_working_daily[[#This Row],[LookupKey]],tbl_working_sleep[LookupKey],0))</f>
        <v>0</v>
      </c>
    </row>
    <row r="109" spans="1:24" x14ac:dyDescent="0.3">
      <c r="A109">
        <v>2320127002</v>
      </c>
      <c r="B109" s="1">
        <v>42472</v>
      </c>
      <c r="C109">
        <v>2098</v>
      </c>
      <c r="D109">
        <v>1.4099999666214</v>
      </c>
      <c r="E109">
        <v>1.4099999666214</v>
      </c>
      <c r="F109">
        <v>0</v>
      </c>
      <c r="G109">
        <v>0</v>
      </c>
      <c r="H109">
        <v>0</v>
      </c>
      <c r="I109">
        <v>1.4099999666214</v>
      </c>
      <c r="J109">
        <v>0</v>
      </c>
      <c r="K109">
        <v>0</v>
      </c>
      <c r="L109">
        <v>0</v>
      </c>
      <c r="M109">
        <v>69</v>
      </c>
      <c r="N109">
        <v>617</v>
      </c>
      <c r="O109">
        <v>790</v>
      </c>
      <c r="P109" t="str">
        <f>TEXT(tbl_working_daily[[#This Row],[ActivityDate]],"dddd")</f>
        <v>Tuesday</v>
      </c>
      <c r="Q109" t="str">
        <f>TEXT(tbl_working_daily[[#This Row],[ActivityDate]],"mmmm")</f>
        <v>April</v>
      </c>
      <c r="R109">
        <f t="shared" si="2"/>
        <v>69</v>
      </c>
      <c r="S109">
        <f t="shared" si="3"/>
        <v>686</v>
      </c>
      <c r="T109">
        <f>ROUND(tbl_working_daily[[#This Row],[SedentaryMinutes]]/60,2)</f>
        <v>10.28</v>
      </c>
      <c r="U109" t="str" cm="1">
        <f t="array" ref="U10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9" t="str" cm="1">
        <f t="array" ref="V109">_xlfn.IFS(tbl_working_daily[[#This Row],[VeryActiveMinutes]]&gt;=30,"Very Active",tbl_working_daily[[#This Row],[VeryActiveMinutes]]&gt;=15,"Moderately Active",tbl_working_daily[[#This Row],[VeryActiveMinutes]]&gt;=1,"Lightly Active",tbl_working_daily[[#This Row],[VeryActiveMinutes]]=0,"Sedentary")</f>
        <v>Sedentary</v>
      </c>
      <c r="W109" t="str">
        <f>tbl_working_daily[[#This Row],[Id]]&amp;"|"&amp;TEXT(tbl_working_daily[[#This Row],[ActivityDate]],"yyyy-mm-dd")</f>
        <v>2320127002|2016-04-12</v>
      </c>
      <c r="X109" t="b">
        <f>ISNUMBER(MATCH(tbl_working_daily[[#This Row],[LookupKey]],tbl_working_sleep[LookupKey],0))</f>
        <v>0</v>
      </c>
    </row>
    <row r="110" spans="1:24" x14ac:dyDescent="0.3">
      <c r="A110">
        <v>2347167796</v>
      </c>
      <c r="B110" s="1">
        <v>42458</v>
      </c>
      <c r="C110">
        <v>10272</v>
      </c>
      <c r="D110">
        <v>6.78999996185303</v>
      </c>
      <c r="E110">
        <v>6.78999996185303</v>
      </c>
      <c r="F110">
        <v>0</v>
      </c>
      <c r="G110">
        <v>0.15999999642372101</v>
      </c>
      <c r="H110">
        <v>3.1199998855590798</v>
      </c>
      <c r="I110">
        <v>3.5</v>
      </c>
      <c r="J110">
        <v>0</v>
      </c>
      <c r="K110">
        <v>2</v>
      </c>
      <c r="L110">
        <v>58</v>
      </c>
      <c r="M110">
        <v>208</v>
      </c>
      <c r="N110">
        <v>700</v>
      </c>
      <c r="O110">
        <v>2041</v>
      </c>
      <c r="P110" t="str">
        <f>TEXT(tbl_working_daily[[#This Row],[ActivityDate]],"dddd")</f>
        <v>Tuesday</v>
      </c>
      <c r="Q110" t="str">
        <f>TEXT(tbl_working_daily[[#This Row],[ActivityDate]],"mmmm")</f>
        <v>March</v>
      </c>
      <c r="R110">
        <f t="shared" si="2"/>
        <v>268</v>
      </c>
      <c r="S110">
        <f t="shared" si="3"/>
        <v>968</v>
      </c>
      <c r="T110">
        <f>ROUND(tbl_working_daily[[#This Row],[SedentaryMinutes]]/60,2)</f>
        <v>11.67</v>
      </c>
      <c r="U110" t="str" cm="1">
        <f t="array" ref="U11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0" t="str" cm="1">
        <f t="array" ref="V110">_xlfn.IFS(tbl_working_daily[[#This Row],[VeryActiveMinutes]]&gt;=30,"Very Active",tbl_working_daily[[#This Row],[VeryActiveMinutes]]&gt;=15,"Moderately Active",tbl_working_daily[[#This Row],[VeryActiveMinutes]]&gt;=1,"Lightly Active",tbl_working_daily[[#This Row],[VeryActiveMinutes]]=0,"Sedentary")</f>
        <v>Lightly Active</v>
      </c>
      <c r="W110" t="str">
        <f>tbl_working_daily[[#This Row],[Id]]&amp;"|"&amp;TEXT(tbl_working_daily[[#This Row],[ActivityDate]],"yyyy-mm-dd")</f>
        <v>2347167796|2016-03-29</v>
      </c>
      <c r="X110" t="b">
        <f>ISNUMBER(MATCH(tbl_working_daily[[#This Row],[LookupKey]],tbl_working_sleep[LookupKey],0))</f>
        <v>0</v>
      </c>
    </row>
    <row r="111" spans="1:24" x14ac:dyDescent="0.3">
      <c r="A111">
        <v>2347167796</v>
      </c>
      <c r="B111" s="1">
        <v>42459</v>
      </c>
      <c r="C111">
        <v>10533</v>
      </c>
      <c r="D111">
        <v>7.0999999046325701</v>
      </c>
      <c r="E111">
        <v>7.0999999046325701</v>
      </c>
      <c r="F111">
        <v>0</v>
      </c>
      <c r="G111">
        <v>1.7699999809265099</v>
      </c>
      <c r="H111">
        <v>2.0599999427795401</v>
      </c>
      <c r="I111">
        <v>3.2699999809265101</v>
      </c>
      <c r="J111">
        <v>0</v>
      </c>
      <c r="K111">
        <v>21</v>
      </c>
      <c r="L111">
        <v>35</v>
      </c>
      <c r="M111">
        <v>255</v>
      </c>
      <c r="N111">
        <v>615</v>
      </c>
      <c r="O111">
        <v>2187</v>
      </c>
      <c r="P111" t="str">
        <f>TEXT(tbl_working_daily[[#This Row],[ActivityDate]],"dddd")</f>
        <v>Wednesday</v>
      </c>
      <c r="Q111" t="str">
        <f>TEXT(tbl_working_daily[[#This Row],[ActivityDate]],"mmmm")</f>
        <v>March</v>
      </c>
      <c r="R111">
        <f t="shared" si="2"/>
        <v>311</v>
      </c>
      <c r="S111">
        <f t="shared" si="3"/>
        <v>926</v>
      </c>
      <c r="T111">
        <f>ROUND(tbl_working_daily[[#This Row],[SedentaryMinutes]]/60,2)</f>
        <v>10.25</v>
      </c>
      <c r="U111" t="str" cm="1">
        <f t="array" ref="U11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1" t="str" cm="1">
        <f t="array" ref="V111">_xlfn.IFS(tbl_working_daily[[#This Row],[VeryActiveMinutes]]&gt;=30,"Very Active",tbl_working_daily[[#This Row],[VeryActiveMinutes]]&gt;=15,"Moderately Active",tbl_working_daily[[#This Row],[VeryActiveMinutes]]&gt;=1,"Lightly Active",tbl_working_daily[[#This Row],[VeryActiveMinutes]]=0,"Sedentary")</f>
        <v>Moderately Active</v>
      </c>
      <c r="W111" t="str">
        <f>tbl_working_daily[[#This Row],[Id]]&amp;"|"&amp;TEXT(tbl_working_daily[[#This Row],[ActivityDate]],"yyyy-mm-dd")</f>
        <v>2347167796|2016-03-30</v>
      </c>
      <c r="X111" t="b">
        <f>ISNUMBER(MATCH(tbl_working_daily[[#This Row],[LookupKey]],tbl_working_sleep[LookupKey],0))</f>
        <v>0</v>
      </c>
    </row>
    <row r="112" spans="1:24" x14ac:dyDescent="0.3">
      <c r="A112">
        <v>2347167796</v>
      </c>
      <c r="B112" s="1">
        <v>42460</v>
      </c>
      <c r="C112">
        <v>6760</v>
      </c>
      <c r="D112">
        <v>4.4699997901916504</v>
      </c>
      <c r="E112">
        <v>4.4699997901916504</v>
      </c>
      <c r="F112">
        <v>0</v>
      </c>
      <c r="G112">
        <v>0</v>
      </c>
      <c r="H112">
        <v>0</v>
      </c>
      <c r="I112">
        <v>4.4699997901916504</v>
      </c>
      <c r="J112">
        <v>0</v>
      </c>
      <c r="K112">
        <v>0</v>
      </c>
      <c r="L112">
        <v>0</v>
      </c>
      <c r="M112">
        <v>250</v>
      </c>
      <c r="N112">
        <v>613</v>
      </c>
      <c r="O112">
        <v>1929</v>
      </c>
      <c r="P112" t="str">
        <f>TEXT(tbl_working_daily[[#This Row],[ActivityDate]],"dddd")</f>
        <v>Thursday</v>
      </c>
      <c r="Q112" t="str">
        <f>TEXT(tbl_working_daily[[#This Row],[ActivityDate]],"mmmm")</f>
        <v>March</v>
      </c>
      <c r="R112">
        <f t="shared" si="2"/>
        <v>250</v>
      </c>
      <c r="S112">
        <f t="shared" si="3"/>
        <v>863</v>
      </c>
      <c r="T112">
        <f>ROUND(tbl_working_daily[[#This Row],[SedentaryMinutes]]/60,2)</f>
        <v>10.220000000000001</v>
      </c>
      <c r="U112" t="str" cm="1">
        <f t="array" ref="U11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2" t="str" cm="1">
        <f t="array" ref="V112">_xlfn.IFS(tbl_working_daily[[#This Row],[VeryActiveMinutes]]&gt;=30,"Very Active",tbl_working_daily[[#This Row],[VeryActiveMinutes]]&gt;=15,"Moderately Active",tbl_working_daily[[#This Row],[VeryActiveMinutes]]&gt;=1,"Lightly Active",tbl_working_daily[[#This Row],[VeryActiveMinutes]]=0,"Sedentary")</f>
        <v>Sedentary</v>
      </c>
      <c r="W112" t="str">
        <f>tbl_working_daily[[#This Row],[Id]]&amp;"|"&amp;TEXT(tbl_working_daily[[#This Row],[ActivityDate]],"yyyy-mm-dd")</f>
        <v>2347167796|2016-03-31</v>
      </c>
      <c r="X112" t="b">
        <f>ISNUMBER(MATCH(tbl_working_daily[[#This Row],[LookupKey]],tbl_working_sleep[LookupKey],0))</f>
        <v>0</v>
      </c>
    </row>
    <row r="113" spans="1:24" x14ac:dyDescent="0.3">
      <c r="A113">
        <v>2347167796</v>
      </c>
      <c r="B113" s="1">
        <v>42461</v>
      </c>
      <c r="C113">
        <v>8328</v>
      </c>
      <c r="D113">
        <v>5.5100002288818404</v>
      </c>
      <c r="E113">
        <v>5.5100002288818404</v>
      </c>
      <c r="F113">
        <v>0</v>
      </c>
      <c r="G113">
        <v>0</v>
      </c>
      <c r="H113">
        <v>2</v>
      </c>
      <c r="I113">
        <v>3.5</v>
      </c>
      <c r="J113">
        <v>0</v>
      </c>
      <c r="K113">
        <v>0</v>
      </c>
      <c r="L113">
        <v>33</v>
      </c>
      <c r="M113">
        <v>212</v>
      </c>
      <c r="N113">
        <v>804</v>
      </c>
      <c r="O113">
        <v>1935</v>
      </c>
      <c r="P113" t="str">
        <f>TEXT(tbl_working_daily[[#This Row],[ActivityDate]],"dddd")</f>
        <v>Friday</v>
      </c>
      <c r="Q113" t="str">
        <f>TEXT(tbl_working_daily[[#This Row],[ActivityDate]],"mmmm")</f>
        <v>April</v>
      </c>
      <c r="R113">
        <f t="shared" si="2"/>
        <v>245</v>
      </c>
      <c r="S113">
        <f t="shared" si="3"/>
        <v>1049</v>
      </c>
      <c r="T113">
        <f>ROUND(tbl_working_daily[[#This Row],[SedentaryMinutes]]/60,2)</f>
        <v>13.4</v>
      </c>
      <c r="U113" t="str" cm="1">
        <f t="array" ref="U11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3" t="str" cm="1">
        <f t="array" ref="V113">_xlfn.IFS(tbl_working_daily[[#This Row],[VeryActiveMinutes]]&gt;=30,"Very Active",tbl_working_daily[[#This Row],[VeryActiveMinutes]]&gt;=15,"Moderately Active",tbl_working_daily[[#This Row],[VeryActiveMinutes]]&gt;=1,"Lightly Active",tbl_working_daily[[#This Row],[VeryActiveMinutes]]=0,"Sedentary")</f>
        <v>Sedentary</v>
      </c>
      <c r="W113" t="str">
        <f>tbl_working_daily[[#This Row],[Id]]&amp;"|"&amp;TEXT(tbl_working_daily[[#This Row],[ActivityDate]],"yyyy-mm-dd")</f>
        <v>2347167796|2016-04-01</v>
      </c>
      <c r="X113" t="b">
        <f>ISNUMBER(MATCH(tbl_working_daily[[#This Row],[LookupKey]],tbl_working_sleep[LookupKey],0))</f>
        <v>0</v>
      </c>
    </row>
    <row r="114" spans="1:24" x14ac:dyDescent="0.3">
      <c r="A114">
        <v>2347167796</v>
      </c>
      <c r="B114" s="1">
        <v>42462</v>
      </c>
      <c r="C114">
        <v>15459</v>
      </c>
      <c r="D114">
        <v>10.2200002670288</v>
      </c>
      <c r="E114">
        <v>10.2200002670288</v>
      </c>
      <c r="F114">
        <v>0</v>
      </c>
      <c r="G114">
        <v>3.5899999141693102</v>
      </c>
      <c r="H114">
        <v>0.81000000238418601</v>
      </c>
      <c r="I114">
        <v>5.8200001716613796</v>
      </c>
      <c r="J114">
        <v>0</v>
      </c>
      <c r="K114">
        <v>51</v>
      </c>
      <c r="L114">
        <v>16</v>
      </c>
      <c r="M114">
        <v>327</v>
      </c>
      <c r="N114">
        <v>583</v>
      </c>
      <c r="O114">
        <v>2438</v>
      </c>
      <c r="P114" t="str">
        <f>TEXT(tbl_working_daily[[#This Row],[ActivityDate]],"dddd")</f>
        <v>Saturday</v>
      </c>
      <c r="Q114" t="str">
        <f>TEXT(tbl_working_daily[[#This Row],[ActivityDate]],"mmmm")</f>
        <v>April</v>
      </c>
      <c r="R114">
        <f t="shared" si="2"/>
        <v>394</v>
      </c>
      <c r="S114">
        <f t="shared" si="3"/>
        <v>977</v>
      </c>
      <c r="T114">
        <f>ROUND(tbl_working_daily[[#This Row],[SedentaryMinutes]]/60,2)</f>
        <v>9.7200000000000006</v>
      </c>
      <c r="U114" t="str" cm="1">
        <f t="array" ref="U11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4" t="str" cm="1">
        <f t="array" ref="V114">_xlfn.IFS(tbl_working_daily[[#This Row],[VeryActiveMinutes]]&gt;=30,"Very Active",tbl_working_daily[[#This Row],[VeryActiveMinutes]]&gt;=15,"Moderately Active",tbl_working_daily[[#This Row],[VeryActiveMinutes]]&gt;=1,"Lightly Active",tbl_working_daily[[#This Row],[VeryActiveMinutes]]=0,"Sedentary")</f>
        <v>Very Active</v>
      </c>
      <c r="W114" t="str">
        <f>tbl_working_daily[[#This Row],[Id]]&amp;"|"&amp;TEXT(tbl_working_daily[[#This Row],[ActivityDate]],"yyyy-mm-dd")</f>
        <v>2347167796|2016-04-02</v>
      </c>
      <c r="X114" t="b">
        <f>ISNUMBER(MATCH(tbl_working_daily[[#This Row],[LookupKey]],tbl_working_sleep[LookupKey],0))</f>
        <v>0</v>
      </c>
    </row>
    <row r="115" spans="1:24" x14ac:dyDescent="0.3">
      <c r="A115">
        <v>2347167796</v>
      </c>
      <c r="B115" s="1">
        <v>42463</v>
      </c>
      <c r="C115">
        <v>7485</v>
      </c>
      <c r="D115">
        <v>4.9499998092651403</v>
      </c>
      <c r="E115">
        <v>4.9499998092651403</v>
      </c>
      <c r="F115">
        <v>0</v>
      </c>
      <c r="G115">
        <v>0</v>
      </c>
      <c r="H115">
        <v>0</v>
      </c>
      <c r="I115">
        <v>4.9499998092651403</v>
      </c>
      <c r="J115">
        <v>0</v>
      </c>
      <c r="K115">
        <v>0</v>
      </c>
      <c r="L115">
        <v>0</v>
      </c>
      <c r="M115">
        <v>324</v>
      </c>
      <c r="N115">
        <v>491</v>
      </c>
      <c r="O115">
        <v>2035</v>
      </c>
      <c r="P115" t="str">
        <f>TEXT(tbl_working_daily[[#This Row],[ActivityDate]],"dddd")</f>
        <v>Sunday</v>
      </c>
      <c r="Q115" t="str">
        <f>TEXT(tbl_working_daily[[#This Row],[ActivityDate]],"mmmm")</f>
        <v>April</v>
      </c>
      <c r="R115">
        <f t="shared" si="2"/>
        <v>324</v>
      </c>
      <c r="S115">
        <f t="shared" si="3"/>
        <v>815</v>
      </c>
      <c r="T115">
        <f>ROUND(tbl_working_daily[[#This Row],[SedentaryMinutes]]/60,2)</f>
        <v>8.18</v>
      </c>
      <c r="U115" t="str" cm="1">
        <f t="array" ref="U11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5" t="str" cm="1">
        <f t="array" ref="V115">_xlfn.IFS(tbl_working_daily[[#This Row],[VeryActiveMinutes]]&gt;=30,"Very Active",tbl_working_daily[[#This Row],[VeryActiveMinutes]]&gt;=15,"Moderately Active",tbl_working_daily[[#This Row],[VeryActiveMinutes]]&gt;=1,"Lightly Active",tbl_working_daily[[#This Row],[VeryActiveMinutes]]=0,"Sedentary")</f>
        <v>Sedentary</v>
      </c>
      <c r="W115" t="str">
        <f>tbl_working_daily[[#This Row],[Id]]&amp;"|"&amp;TEXT(tbl_working_daily[[#This Row],[ActivityDate]],"yyyy-mm-dd")</f>
        <v>2347167796|2016-04-03</v>
      </c>
      <c r="X115" t="b">
        <f>ISNUMBER(MATCH(tbl_working_daily[[#This Row],[LookupKey]],tbl_working_sleep[LookupKey],0))</f>
        <v>0</v>
      </c>
    </row>
    <row r="116" spans="1:24" x14ac:dyDescent="0.3">
      <c r="A116">
        <v>2347167796</v>
      </c>
      <c r="B116" s="1">
        <v>42464</v>
      </c>
      <c r="C116">
        <v>10254</v>
      </c>
      <c r="D116">
        <v>6.8000001907348597</v>
      </c>
      <c r="E116">
        <v>6.8000001907348597</v>
      </c>
      <c r="F116">
        <v>0</v>
      </c>
      <c r="G116">
        <v>1.41999995708466</v>
      </c>
      <c r="H116">
        <v>1.2300000190734901</v>
      </c>
      <c r="I116">
        <v>4.1599998474121103</v>
      </c>
      <c r="J116">
        <v>0</v>
      </c>
      <c r="K116">
        <v>21</v>
      </c>
      <c r="L116">
        <v>25</v>
      </c>
      <c r="M116">
        <v>231</v>
      </c>
      <c r="N116">
        <v>638</v>
      </c>
      <c r="O116">
        <v>2099</v>
      </c>
      <c r="P116" t="str">
        <f>TEXT(tbl_working_daily[[#This Row],[ActivityDate]],"dddd")</f>
        <v>Monday</v>
      </c>
      <c r="Q116" t="str">
        <f>TEXT(tbl_working_daily[[#This Row],[ActivityDate]],"mmmm")</f>
        <v>April</v>
      </c>
      <c r="R116">
        <f t="shared" si="2"/>
        <v>277</v>
      </c>
      <c r="S116">
        <f t="shared" si="3"/>
        <v>915</v>
      </c>
      <c r="T116">
        <f>ROUND(tbl_working_daily[[#This Row],[SedentaryMinutes]]/60,2)</f>
        <v>10.63</v>
      </c>
      <c r="U116" t="str" cm="1">
        <f t="array" ref="U11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6" t="str" cm="1">
        <f t="array" ref="V116">_xlfn.IFS(tbl_working_daily[[#This Row],[VeryActiveMinutes]]&gt;=30,"Very Active",tbl_working_daily[[#This Row],[VeryActiveMinutes]]&gt;=15,"Moderately Active",tbl_working_daily[[#This Row],[VeryActiveMinutes]]&gt;=1,"Lightly Active",tbl_working_daily[[#This Row],[VeryActiveMinutes]]=0,"Sedentary")</f>
        <v>Moderately Active</v>
      </c>
      <c r="W116" t="str">
        <f>tbl_working_daily[[#This Row],[Id]]&amp;"|"&amp;TEXT(tbl_working_daily[[#This Row],[ActivityDate]],"yyyy-mm-dd")</f>
        <v>2347167796|2016-04-04</v>
      </c>
      <c r="X116" t="b">
        <f>ISNUMBER(MATCH(tbl_working_daily[[#This Row],[LookupKey]],tbl_working_sleep[LookupKey],0))</f>
        <v>0</v>
      </c>
    </row>
    <row r="117" spans="1:24" x14ac:dyDescent="0.3">
      <c r="A117">
        <v>2347167796</v>
      </c>
      <c r="B117" s="1">
        <v>42465</v>
      </c>
      <c r="C117">
        <v>10114</v>
      </c>
      <c r="D117">
        <v>6.8200001716613796</v>
      </c>
      <c r="E117">
        <v>6.8200001716613796</v>
      </c>
      <c r="F117">
        <v>0</v>
      </c>
      <c r="G117">
        <v>1.6399999856948899</v>
      </c>
      <c r="H117">
        <v>0.479999989271164</v>
      </c>
      <c r="I117">
        <v>4.6799998283386204</v>
      </c>
      <c r="J117">
        <v>0</v>
      </c>
      <c r="K117">
        <v>18</v>
      </c>
      <c r="L117">
        <v>9</v>
      </c>
      <c r="M117">
        <v>269</v>
      </c>
      <c r="N117">
        <v>696</v>
      </c>
      <c r="O117">
        <v>2096</v>
      </c>
      <c r="P117" t="str">
        <f>TEXT(tbl_working_daily[[#This Row],[ActivityDate]],"dddd")</f>
        <v>Tuesday</v>
      </c>
      <c r="Q117" t="str">
        <f>TEXT(tbl_working_daily[[#This Row],[ActivityDate]],"mmmm")</f>
        <v>April</v>
      </c>
      <c r="R117">
        <f t="shared" si="2"/>
        <v>296</v>
      </c>
      <c r="S117">
        <f t="shared" si="3"/>
        <v>992</v>
      </c>
      <c r="T117">
        <f>ROUND(tbl_working_daily[[#This Row],[SedentaryMinutes]]/60,2)</f>
        <v>11.6</v>
      </c>
      <c r="U117" t="str" cm="1">
        <f t="array" ref="U11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7" t="str" cm="1">
        <f t="array" ref="V117">_xlfn.IFS(tbl_working_daily[[#This Row],[VeryActiveMinutes]]&gt;=30,"Very Active",tbl_working_daily[[#This Row],[VeryActiveMinutes]]&gt;=15,"Moderately Active",tbl_working_daily[[#This Row],[VeryActiveMinutes]]&gt;=1,"Lightly Active",tbl_working_daily[[#This Row],[VeryActiveMinutes]]=0,"Sedentary")</f>
        <v>Moderately Active</v>
      </c>
      <c r="W117" t="str">
        <f>tbl_working_daily[[#This Row],[Id]]&amp;"|"&amp;TEXT(tbl_working_daily[[#This Row],[ActivityDate]],"yyyy-mm-dd")</f>
        <v>2347167796|2016-04-05</v>
      </c>
      <c r="X117" t="b">
        <f>ISNUMBER(MATCH(tbl_working_daily[[#This Row],[LookupKey]],tbl_working_sleep[LookupKey],0))</f>
        <v>0</v>
      </c>
    </row>
    <row r="118" spans="1:24" x14ac:dyDescent="0.3">
      <c r="A118">
        <v>2347167796</v>
      </c>
      <c r="B118" s="1">
        <v>42466</v>
      </c>
      <c r="C118">
        <v>11107</v>
      </c>
      <c r="D118">
        <v>7.3400001525878897</v>
      </c>
      <c r="E118">
        <v>7.3400001525878897</v>
      </c>
      <c r="F118">
        <v>0</v>
      </c>
      <c r="G118">
        <v>0.89999997615814198</v>
      </c>
      <c r="H118">
        <v>2.7599999904632599</v>
      </c>
      <c r="I118">
        <v>3.6800000667571999</v>
      </c>
      <c r="J118">
        <v>0</v>
      </c>
      <c r="K118">
        <v>14</v>
      </c>
      <c r="L118">
        <v>46</v>
      </c>
      <c r="M118">
        <v>196</v>
      </c>
      <c r="N118">
        <v>759</v>
      </c>
      <c r="O118">
        <v>2058</v>
      </c>
      <c r="P118" t="str">
        <f>TEXT(tbl_working_daily[[#This Row],[ActivityDate]],"dddd")</f>
        <v>Wednesday</v>
      </c>
      <c r="Q118" t="str">
        <f>TEXT(tbl_working_daily[[#This Row],[ActivityDate]],"mmmm")</f>
        <v>April</v>
      </c>
      <c r="R118">
        <f t="shared" si="2"/>
        <v>256</v>
      </c>
      <c r="S118">
        <f t="shared" si="3"/>
        <v>1015</v>
      </c>
      <c r="T118">
        <f>ROUND(tbl_working_daily[[#This Row],[SedentaryMinutes]]/60,2)</f>
        <v>12.65</v>
      </c>
      <c r="U118" t="str" cm="1">
        <f t="array" ref="U11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8" t="str" cm="1">
        <f t="array" ref="V118">_xlfn.IFS(tbl_working_daily[[#This Row],[VeryActiveMinutes]]&gt;=30,"Very Active",tbl_working_daily[[#This Row],[VeryActiveMinutes]]&gt;=15,"Moderately Active",tbl_working_daily[[#This Row],[VeryActiveMinutes]]&gt;=1,"Lightly Active",tbl_working_daily[[#This Row],[VeryActiveMinutes]]=0,"Sedentary")</f>
        <v>Lightly Active</v>
      </c>
      <c r="W118" t="str">
        <f>tbl_working_daily[[#This Row],[Id]]&amp;"|"&amp;TEXT(tbl_working_daily[[#This Row],[ActivityDate]],"yyyy-mm-dd")</f>
        <v>2347167796|2016-04-06</v>
      </c>
      <c r="X118" t="b">
        <f>ISNUMBER(MATCH(tbl_working_daily[[#This Row],[LookupKey]],tbl_working_sleep[LookupKey],0))</f>
        <v>0</v>
      </c>
    </row>
    <row r="119" spans="1:24" x14ac:dyDescent="0.3">
      <c r="A119">
        <v>2347167796</v>
      </c>
      <c r="B119" s="1">
        <v>42467</v>
      </c>
      <c r="C119">
        <v>10320</v>
      </c>
      <c r="D119">
        <v>6.8499999046325701</v>
      </c>
      <c r="E119">
        <v>6.8499999046325701</v>
      </c>
      <c r="F119">
        <v>0</v>
      </c>
      <c r="G119">
        <v>0.68000000715255704</v>
      </c>
      <c r="H119">
        <v>1.2300000190734901</v>
      </c>
      <c r="I119">
        <v>4.9400000572204599</v>
      </c>
      <c r="J119">
        <v>0</v>
      </c>
      <c r="K119">
        <v>15</v>
      </c>
      <c r="L119">
        <v>32</v>
      </c>
      <c r="M119">
        <v>315</v>
      </c>
      <c r="N119">
        <v>1002</v>
      </c>
      <c r="O119">
        <v>2338</v>
      </c>
      <c r="P119" t="str">
        <f>TEXT(tbl_working_daily[[#This Row],[ActivityDate]],"dddd")</f>
        <v>Thursday</v>
      </c>
      <c r="Q119" t="str">
        <f>TEXT(tbl_working_daily[[#This Row],[ActivityDate]],"mmmm")</f>
        <v>April</v>
      </c>
      <c r="R119">
        <f t="shared" si="2"/>
        <v>362</v>
      </c>
      <c r="S119">
        <f t="shared" si="3"/>
        <v>1364</v>
      </c>
      <c r="T119">
        <f>ROUND(tbl_working_daily[[#This Row],[SedentaryMinutes]]/60,2)</f>
        <v>16.7</v>
      </c>
      <c r="U119" t="str" cm="1">
        <f t="array" ref="U11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 t="str" cm="1">
        <f t="array" ref="V119">_xlfn.IFS(tbl_working_daily[[#This Row],[VeryActiveMinutes]]&gt;=30,"Very Active",tbl_working_daily[[#This Row],[VeryActiveMinutes]]&gt;=15,"Moderately Active",tbl_working_daily[[#This Row],[VeryActiveMinutes]]&gt;=1,"Lightly Active",tbl_working_daily[[#This Row],[VeryActiveMinutes]]=0,"Sedentary")</f>
        <v>Moderately Active</v>
      </c>
      <c r="W119" t="str">
        <f>tbl_working_daily[[#This Row],[Id]]&amp;"|"&amp;TEXT(tbl_working_daily[[#This Row],[ActivityDate]],"yyyy-mm-dd")</f>
        <v>2347167796|2016-04-07</v>
      </c>
      <c r="X119" t="b">
        <f>ISNUMBER(MATCH(tbl_working_daily[[#This Row],[LookupKey]],tbl_working_sleep[LookupKey],0))</f>
        <v>0</v>
      </c>
    </row>
    <row r="120" spans="1:24" x14ac:dyDescent="0.3">
      <c r="A120">
        <v>2347167796</v>
      </c>
      <c r="B120" s="1">
        <v>42468</v>
      </c>
      <c r="C120">
        <v>10209</v>
      </c>
      <c r="D120">
        <v>6.75</v>
      </c>
      <c r="E120">
        <v>6.75</v>
      </c>
      <c r="F120">
        <v>0</v>
      </c>
      <c r="G120">
        <v>0.15999999642372101</v>
      </c>
      <c r="H120">
        <v>0.34999999403953602</v>
      </c>
      <c r="I120">
        <v>6.2300000190734899</v>
      </c>
      <c r="J120">
        <v>0</v>
      </c>
      <c r="K120">
        <v>2</v>
      </c>
      <c r="L120">
        <v>6</v>
      </c>
      <c r="M120">
        <v>316</v>
      </c>
      <c r="N120">
        <v>711</v>
      </c>
      <c r="O120">
        <v>2104</v>
      </c>
      <c r="P120" t="str">
        <f>TEXT(tbl_working_daily[[#This Row],[ActivityDate]],"dddd")</f>
        <v>Friday</v>
      </c>
      <c r="Q120" t="str">
        <f>TEXT(tbl_working_daily[[#This Row],[ActivityDate]],"mmmm")</f>
        <v>April</v>
      </c>
      <c r="R120">
        <f t="shared" si="2"/>
        <v>324</v>
      </c>
      <c r="S120">
        <f t="shared" si="3"/>
        <v>1035</v>
      </c>
      <c r="T120">
        <f>ROUND(tbl_working_daily[[#This Row],[SedentaryMinutes]]/60,2)</f>
        <v>11.85</v>
      </c>
      <c r="U120" t="str" cm="1">
        <f t="array" ref="U12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0" t="str" cm="1">
        <f t="array" ref="V120">_xlfn.IFS(tbl_working_daily[[#This Row],[VeryActiveMinutes]]&gt;=30,"Very Active",tbl_working_daily[[#This Row],[VeryActiveMinutes]]&gt;=15,"Moderately Active",tbl_working_daily[[#This Row],[VeryActiveMinutes]]&gt;=1,"Lightly Active",tbl_working_daily[[#This Row],[VeryActiveMinutes]]=0,"Sedentary")</f>
        <v>Lightly Active</v>
      </c>
      <c r="W120" t="str">
        <f>tbl_working_daily[[#This Row],[Id]]&amp;"|"&amp;TEXT(tbl_working_daily[[#This Row],[ActivityDate]],"yyyy-mm-dd")</f>
        <v>2347167796|2016-04-08</v>
      </c>
      <c r="X120" t="b">
        <f>ISNUMBER(MATCH(tbl_working_daily[[#This Row],[LookupKey]],tbl_working_sleep[LookupKey],0))</f>
        <v>0</v>
      </c>
    </row>
    <row r="121" spans="1:24" x14ac:dyDescent="0.3">
      <c r="A121">
        <v>2347167796</v>
      </c>
      <c r="B121" s="1">
        <v>42469</v>
      </c>
      <c r="C121">
        <v>16081</v>
      </c>
      <c r="D121">
        <v>10.6300001144409</v>
      </c>
      <c r="E121">
        <v>10.6300001144409</v>
      </c>
      <c r="F121">
        <v>0</v>
      </c>
      <c r="G121">
        <v>1.25</v>
      </c>
      <c r="H121">
        <v>1.8200000524520901</v>
      </c>
      <c r="I121">
        <v>7.5599999427795401</v>
      </c>
      <c r="J121">
        <v>0</v>
      </c>
      <c r="K121">
        <v>16</v>
      </c>
      <c r="L121">
        <v>32</v>
      </c>
      <c r="M121">
        <v>401</v>
      </c>
      <c r="N121">
        <v>970</v>
      </c>
      <c r="O121">
        <v>2488</v>
      </c>
      <c r="P121" t="str">
        <f>TEXT(tbl_working_daily[[#This Row],[ActivityDate]],"dddd")</f>
        <v>Saturday</v>
      </c>
      <c r="Q121" t="str">
        <f>TEXT(tbl_working_daily[[#This Row],[ActivityDate]],"mmmm")</f>
        <v>April</v>
      </c>
      <c r="R121">
        <f t="shared" si="2"/>
        <v>449</v>
      </c>
      <c r="S121">
        <f t="shared" si="3"/>
        <v>1419</v>
      </c>
      <c r="T121">
        <f>ROUND(tbl_working_daily[[#This Row],[SedentaryMinutes]]/60,2)</f>
        <v>16.170000000000002</v>
      </c>
      <c r="U121" t="str" cm="1">
        <f t="array" ref="U12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 t="str" cm="1">
        <f t="array" ref="V121">_xlfn.IFS(tbl_working_daily[[#This Row],[VeryActiveMinutes]]&gt;=30,"Very Active",tbl_working_daily[[#This Row],[VeryActiveMinutes]]&gt;=15,"Moderately Active",tbl_working_daily[[#This Row],[VeryActiveMinutes]]&gt;=1,"Lightly Active",tbl_working_daily[[#This Row],[VeryActiveMinutes]]=0,"Sedentary")</f>
        <v>Moderately Active</v>
      </c>
      <c r="W121" t="str">
        <f>tbl_working_daily[[#This Row],[Id]]&amp;"|"&amp;TEXT(tbl_working_daily[[#This Row],[ActivityDate]],"yyyy-mm-dd")</f>
        <v>2347167796|2016-04-09</v>
      </c>
      <c r="X121" t="b">
        <f>ISNUMBER(MATCH(tbl_working_daily[[#This Row],[LookupKey]],tbl_working_sleep[LookupKey],0))</f>
        <v>0</v>
      </c>
    </row>
    <row r="122" spans="1:24" x14ac:dyDescent="0.3">
      <c r="A122">
        <v>2347167796</v>
      </c>
      <c r="B122" s="1">
        <v>42470</v>
      </c>
      <c r="C122">
        <v>10078</v>
      </c>
      <c r="D122">
        <v>6.8299999237060502</v>
      </c>
      <c r="E122">
        <v>6.8299999237060502</v>
      </c>
      <c r="F122">
        <v>0</v>
      </c>
      <c r="G122">
        <v>1.0199999809265099</v>
      </c>
      <c r="H122">
        <v>0.119999997317791</v>
      </c>
      <c r="I122">
        <v>5.6900000572204599</v>
      </c>
      <c r="J122">
        <v>0</v>
      </c>
      <c r="K122">
        <v>12</v>
      </c>
      <c r="L122">
        <v>3</v>
      </c>
      <c r="M122">
        <v>303</v>
      </c>
      <c r="N122">
        <v>463</v>
      </c>
      <c r="O122">
        <v>2164</v>
      </c>
      <c r="P122" t="str">
        <f>TEXT(tbl_working_daily[[#This Row],[ActivityDate]],"dddd")</f>
        <v>Sunday</v>
      </c>
      <c r="Q122" t="str">
        <f>TEXT(tbl_working_daily[[#This Row],[ActivityDate]],"mmmm")</f>
        <v>April</v>
      </c>
      <c r="R122">
        <f t="shared" si="2"/>
        <v>318</v>
      </c>
      <c r="S122">
        <f t="shared" si="3"/>
        <v>781</v>
      </c>
      <c r="T122">
        <f>ROUND(tbl_working_daily[[#This Row],[SedentaryMinutes]]/60,2)</f>
        <v>7.72</v>
      </c>
      <c r="U122" t="str" cm="1">
        <f t="array" ref="U12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2" t="str" cm="1">
        <f t="array" ref="V122">_xlfn.IFS(tbl_working_daily[[#This Row],[VeryActiveMinutes]]&gt;=30,"Very Active",tbl_working_daily[[#This Row],[VeryActiveMinutes]]&gt;=15,"Moderately Active",tbl_working_daily[[#This Row],[VeryActiveMinutes]]&gt;=1,"Lightly Active",tbl_working_daily[[#This Row],[VeryActiveMinutes]]=0,"Sedentary")</f>
        <v>Lightly Active</v>
      </c>
      <c r="W122" t="str">
        <f>tbl_working_daily[[#This Row],[Id]]&amp;"|"&amp;TEXT(tbl_working_daily[[#This Row],[ActivityDate]],"yyyy-mm-dd")</f>
        <v>2347167796|2016-04-10</v>
      </c>
      <c r="X122" t="b">
        <f>ISNUMBER(MATCH(tbl_working_daily[[#This Row],[LookupKey]],tbl_working_sleep[LookupKey],0))</f>
        <v>0</v>
      </c>
    </row>
    <row r="123" spans="1:24" x14ac:dyDescent="0.3">
      <c r="A123">
        <v>2347167796</v>
      </c>
      <c r="B123" s="1">
        <v>42471</v>
      </c>
      <c r="C123">
        <v>10001</v>
      </c>
      <c r="D123">
        <v>6.6100001335143999</v>
      </c>
      <c r="E123">
        <v>6.6100001335143999</v>
      </c>
      <c r="F123">
        <v>0</v>
      </c>
      <c r="G123">
        <v>0.33000001311302202</v>
      </c>
      <c r="H123">
        <v>2.9300000667571999</v>
      </c>
      <c r="I123">
        <v>3.3599998950958301</v>
      </c>
      <c r="J123">
        <v>0</v>
      </c>
      <c r="K123">
        <v>5</v>
      </c>
      <c r="L123">
        <v>52</v>
      </c>
      <c r="M123">
        <v>196</v>
      </c>
      <c r="N123">
        <v>788</v>
      </c>
      <c r="O123">
        <v>2009</v>
      </c>
      <c r="P123" t="str">
        <f>TEXT(tbl_working_daily[[#This Row],[ActivityDate]],"dddd")</f>
        <v>Monday</v>
      </c>
      <c r="Q123" t="str">
        <f>TEXT(tbl_working_daily[[#This Row],[ActivityDate]],"mmmm")</f>
        <v>April</v>
      </c>
      <c r="R123">
        <f t="shared" si="2"/>
        <v>253</v>
      </c>
      <c r="S123">
        <f t="shared" si="3"/>
        <v>1041</v>
      </c>
      <c r="T123">
        <f>ROUND(tbl_working_daily[[#This Row],[SedentaryMinutes]]/60,2)</f>
        <v>13.13</v>
      </c>
      <c r="U123" t="str" cm="1">
        <f t="array" ref="U12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3" t="str" cm="1">
        <f t="array" ref="V123">_xlfn.IFS(tbl_working_daily[[#This Row],[VeryActiveMinutes]]&gt;=30,"Very Active",tbl_working_daily[[#This Row],[VeryActiveMinutes]]&gt;=15,"Moderately Active",tbl_working_daily[[#This Row],[VeryActiveMinutes]]&gt;=1,"Lightly Active",tbl_working_daily[[#This Row],[VeryActiveMinutes]]=0,"Sedentary")</f>
        <v>Lightly Active</v>
      </c>
      <c r="W123" t="str">
        <f>tbl_working_daily[[#This Row],[Id]]&amp;"|"&amp;TEXT(tbl_working_daily[[#This Row],[ActivityDate]],"yyyy-mm-dd")</f>
        <v>2347167796|2016-04-11</v>
      </c>
      <c r="X123" t="b">
        <f>ISNUMBER(MATCH(tbl_working_daily[[#This Row],[LookupKey]],tbl_working_sleep[LookupKey],0))</f>
        <v>0</v>
      </c>
    </row>
    <row r="124" spans="1:24" x14ac:dyDescent="0.3">
      <c r="A124">
        <v>2347167796</v>
      </c>
      <c r="B124" s="1">
        <v>42472</v>
      </c>
      <c r="C124">
        <v>0</v>
      </c>
      <c r="D124">
        <v>0</v>
      </c>
      <c r="E124">
        <v>0</v>
      </c>
      <c r="F124">
        <v>0</v>
      </c>
      <c r="G124">
        <v>0</v>
      </c>
      <c r="H124">
        <v>0</v>
      </c>
      <c r="I124">
        <v>0</v>
      </c>
      <c r="J124">
        <v>0</v>
      </c>
      <c r="K124">
        <v>0</v>
      </c>
      <c r="L124">
        <v>0</v>
      </c>
      <c r="M124">
        <v>0</v>
      </c>
      <c r="N124">
        <v>425</v>
      </c>
      <c r="O124">
        <v>399</v>
      </c>
      <c r="P124" t="str">
        <f>TEXT(tbl_working_daily[[#This Row],[ActivityDate]],"dddd")</f>
        <v>Tuesday</v>
      </c>
      <c r="Q124" t="str">
        <f>TEXT(tbl_working_daily[[#This Row],[ActivityDate]],"mmmm")</f>
        <v>April</v>
      </c>
      <c r="R124">
        <f t="shared" si="2"/>
        <v>0</v>
      </c>
      <c r="S124">
        <f t="shared" si="3"/>
        <v>425</v>
      </c>
      <c r="T124">
        <f>ROUND(tbl_working_daily[[#This Row],[SedentaryMinutes]]/60,2)</f>
        <v>7.08</v>
      </c>
      <c r="U124" t="str" cm="1">
        <f t="array" ref="U1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4" t="str" cm="1">
        <f t="array" ref="V124">_xlfn.IFS(tbl_working_daily[[#This Row],[VeryActiveMinutes]]&gt;=30,"Very Active",tbl_working_daily[[#This Row],[VeryActiveMinutes]]&gt;=15,"Moderately Active",tbl_working_daily[[#This Row],[VeryActiveMinutes]]&gt;=1,"Lightly Active",tbl_working_daily[[#This Row],[VeryActiveMinutes]]=0,"Sedentary")</f>
        <v>Sedentary</v>
      </c>
      <c r="W124" t="str">
        <f>tbl_working_daily[[#This Row],[Id]]&amp;"|"&amp;TEXT(tbl_working_daily[[#This Row],[ActivityDate]],"yyyy-mm-dd")</f>
        <v>2347167796|2016-04-12</v>
      </c>
      <c r="X124" t="b">
        <f>ISNUMBER(MATCH(tbl_working_daily[[#This Row],[LookupKey]],tbl_working_sleep[LookupKey],0))</f>
        <v>0</v>
      </c>
    </row>
    <row r="125" spans="1:24" x14ac:dyDescent="0.3">
      <c r="A125">
        <v>2873212765</v>
      </c>
      <c r="B125" s="1">
        <v>42461</v>
      </c>
      <c r="C125">
        <v>890</v>
      </c>
      <c r="D125">
        <v>0.60000002384185802</v>
      </c>
      <c r="E125">
        <v>0.60000002384185802</v>
      </c>
      <c r="F125">
        <v>0</v>
      </c>
      <c r="G125">
        <v>0</v>
      </c>
      <c r="H125">
        <v>0</v>
      </c>
      <c r="I125">
        <v>0.60000002384185802</v>
      </c>
      <c r="J125">
        <v>0</v>
      </c>
      <c r="K125">
        <v>0</v>
      </c>
      <c r="L125">
        <v>0</v>
      </c>
      <c r="M125">
        <v>41</v>
      </c>
      <c r="N125">
        <v>1399</v>
      </c>
      <c r="O125">
        <v>1335</v>
      </c>
      <c r="P125" t="str">
        <f>TEXT(tbl_working_daily[[#This Row],[ActivityDate]],"dddd")</f>
        <v>Friday</v>
      </c>
      <c r="Q125" t="str">
        <f>TEXT(tbl_working_daily[[#This Row],[ActivityDate]],"mmmm")</f>
        <v>April</v>
      </c>
      <c r="R125">
        <f t="shared" si="2"/>
        <v>41</v>
      </c>
      <c r="S125">
        <f t="shared" si="3"/>
        <v>1440</v>
      </c>
      <c r="T125">
        <f>ROUND(tbl_working_daily[[#This Row],[SedentaryMinutes]]/60,2)</f>
        <v>23.32</v>
      </c>
      <c r="U125" t="str" cm="1">
        <f t="array" ref="U12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5" t="str" cm="1">
        <f t="array" ref="V125">_xlfn.IFS(tbl_working_daily[[#This Row],[VeryActiveMinutes]]&gt;=30,"Very Active",tbl_working_daily[[#This Row],[VeryActiveMinutes]]&gt;=15,"Moderately Active",tbl_working_daily[[#This Row],[VeryActiveMinutes]]&gt;=1,"Lightly Active",tbl_working_daily[[#This Row],[VeryActiveMinutes]]=0,"Sedentary")</f>
        <v>Sedentary</v>
      </c>
      <c r="W125" t="str">
        <f>tbl_working_daily[[#This Row],[Id]]&amp;"|"&amp;TEXT(tbl_working_daily[[#This Row],[ActivityDate]],"yyyy-mm-dd")</f>
        <v>2873212765|2016-04-01</v>
      </c>
      <c r="X125" t="b">
        <f>ISNUMBER(MATCH(tbl_working_daily[[#This Row],[LookupKey]],tbl_working_sleep[LookupKey],0))</f>
        <v>0</v>
      </c>
    </row>
    <row r="126" spans="1:24" x14ac:dyDescent="0.3">
      <c r="A126">
        <v>2873212765</v>
      </c>
      <c r="B126" s="1">
        <v>42462</v>
      </c>
      <c r="C126">
        <v>2214</v>
      </c>
      <c r="D126">
        <v>1.4900000095367401</v>
      </c>
      <c r="E126">
        <v>1.4900000095367401</v>
      </c>
      <c r="F126">
        <v>0</v>
      </c>
      <c r="G126">
        <v>0</v>
      </c>
      <c r="H126">
        <v>0</v>
      </c>
      <c r="I126">
        <v>1.4900000095367401</v>
      </c>
      <c r="J126">
        <v>0</v>
      </c>
      <c r="K126">
        <v>0</v>
      </c>
      <c r="L126">
        <v>0</v>
      </c>
      <c r="M126">
        <v>197</v>
      </c>
      <c r="N126">
        <v>1243</v>
      </c>
      <c r="O126">
        <v>1559</v>
      </c>
      <c r="P126" t="str">
        <f>TEXT(tbl_working_daily[[#This Row],[ActivityDate]],"dddd")</f>
        <v>Saturday</v>
      </c>
      <c r="Q126" t="str">
        <f>TEXT(tbl_working_daily[[#This Row],[ActivityDate]],"mmmm")</f>
        <v>April</v>
      </c>
      <c r="R126">
        <f t="shared" si="2"/>
        <v>197</v>
      </c>
      <c r="S126">
        <f t="shared" si="3"/>
        <v>1440</v>
      </c>
      <c r="T126">
        <f>ROUND(tbl_working_daily[[#This Row],[SedentaryMinutes]]/60,2)</f>
        <v>20.72</v>
      </c>
      <c r="U126" t="str" cm="1">
        <f t="array" ref="U12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6" t="str" cm="1">
        <f t="array" ref="V126">_xlfn.IFS(tbl_working_daily[[#This Row],[VeryActiveMinutes]]&gt;=30,"Very Active",tbl_working_daily[[#This Row],[VeryActiveMinutes]]&gt;=15,"Moderately Active",tbl_working_daily[[#This Row],[VeryActiveMinutes]]&gt;=1,"Lightly Active",tbl_working_daily[[#This Row],[VeryActiveMinutes]]=0,"Sedentary")</f>
        <v>Sedentary</v>
      </c>
      <c r="W126" t="str">
        <f>tbl_working_daily[[#This Row],[Id]]&amp;"|"&amp;TEXT(tbl_working_daily[[#This Row],[ActivityDate]],"yyyy-mm-dd")</f>
        <v>2873212765|2016-04-02</v>
      </c>
      <c r="X126" t="b">
        <f>ISNUMBER(MATCH(tbl_working_daily[[#This Row],[LookupKey]],tbl_working_sleep[LookupKey],0))</f>
        <v>0</v>
      </c>
    </row>
    <row r="127" spans="1:24" x14ac:dyDescent="0.3">
      <c r="A127">
        <v>2873212765</v>
      </c>
      <c r="B127" s="1">
        <v>42463</v>
      </c>
      <c r="C127">
        <v>7640</v>
      </c>
      <c r="D127">
        <v>5.1300001144409197</v>
      </c>
      <c r="E127">
        <v>5.1300001144409197</v>
      </c>
      <c r="F127">
        <v>0</v>
      </c>
      <c r="G127">
        <v>0.18999999761581399</v>
      </c>
      <c r="H127">
        <v>0.80000001192092896</v>
      </c>
      <c r="I127">
        <v>4.1500000953674299</v>
      </c>
      <c r="J127">
        <v>0</v>
      </c>
      <c r="K127">
        <v>3</v>
      </c>
      <c r="L127">
        <v>15</v>
      </c>
      <c r="M127">
        <v>315</v>
      </c>
      <c r="N127">
        <v>1107</v>
      </c>
      <c r="O127">
        <v>1845</v>
      </c>
      <c r="P127" t="str">
        <f>TEXT(tbl_working_daily[[#This Row],[ActivityDate]],"dddd")</f>
        <v>Sunday</v>
      </c>
      <c r="Q127" t="str">
        <f>TEXT(tbl_working_daily[[#This Row],[ActivityDate]],"mmmm")</f>
        <v>April</v>
      </c>
      <c r="R127">
        <f t="shared" si="2"/>
        <v>333</v>
      </c>
      <c r="S127">
        <f t="shared" si="3"/>
        <v>1440</v>
      </c>
      <c r="T127">
        <f>ROUND(tbl_working_daily[[#This Row],[SedentaryMinutes]]/60,2)</f>
        <v>18.45</v>
      </c>
      <c r="U127" t="str" cm="1">
        <f t="array" ref="U12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7" t="str" cm="1">
        <f t="array" ref="V127">_xlfn.IFS(tbl_working_daily[[#This Row],[VeryActiveMinutes]]&gt;=30,"Very Active",tbl_working_daily[[#This Row],[VeryActiveMinutes]]&gt;=15,"Moderately Active",tbl_working_daily[[#This Row],[VeryActiveMinutes]]&gt;=1,"Lightly Active",tbl_working_daily[[#This Row],[VeryActiveMinutes]]=0,"Sedentary")</f>
        <v>Lightly Active</v>
      </c>
      <c r="W127" t="str">
        <f>tbl_working_daily[[#This Row],[Id]]&amp;"|"&amp;TEXT(tbl_working_daily[[#This Row],[ActivityDate]],"yyyy-mm-dd")</f>
        <v>2873212765|2016-04-03</v>
      </c>
      <c r="X127" t="b">
        <f>ISNUMBER(MATCH(tbl_working_daily[[#This Row],[LookupKey]],tbl_working_sleep[LookupKey],0))</f>
        <v>0</v>
      </c>
    </row>
    <row r="128" spans="1:24" x14ac:dyDescent="0.3">
      <c r="A128">
        <v>2873212765</v>
      </c>
      <c r="B128" s="1">
        <v>42464</v>
      </c>
      <c r="C128">
        <v>9713</v>
      </c>
      <c r="D128">
        <v>6.5300002098083496</v>
      </c>
      <c r="E128">
        <v>6.5300002098083496</v>
      </c>
      <c r="F128">
        <v>0</v>
      </c>
      <c r="G128">
        <v>0.34000000357627902</v>
      </c>
      <c r="H128">
        <v>0.88999998569488503</v>
      </c>
      <c r="I128">
        <v>5.28999996185303</v>
      </c>
      <c r="J128">
        <v>0</v>
      </c>
      <c r="K128">
        <v>6</v>
      </c>
      <c r="L128">
        <v>24</v>
      </c>
      <c r="M128">
        <v>355</v>
      </c>
      <c r="N128">
        <v>1055</v>
      </c>
      <c r="O128">
        <v>2046</v>
      </c>
      <c r="P128" t="str">
        <f>TEXT(tbl_working_daily[[#This Row],[ActivityDate]],"dddd")</f>
        <v>Monday</v>
      </c>
      <c r="Q128" t="str">
        <f>TEXT(tbl_working_daily[[#This Row],[ActivityDate]],"mmmm")</f>
        <v>April</v>
      </c>
      <c r="R128">
        <f t="shared" si="2"/>
        <v>385</v>
      </c>
      <c r="S128">
        <f t="shared" si="3"/>
        <v>1440</v>
      </c>
      <c r="T128">
        <f>ROUND(tbl_working_daily[[#This Row],[SedentaryMinutes]]/60,2)</f>
        <v>17.579999999999998</v>
      </c>
      <c r="U128" t="str" cm="1">
        <f t="array" ref="U12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8" t="str" cm="1">
        <f t="array" ref="V128">_xlfn.IFS(tbl_working_daily[[#This Row],[VeryActiveMinutes]]&gt;=30,"Very Active",tbl_working_daily[[#This Row],[VeryActiveMinutes]]&gt;=15,"Moderately Active",tbl_working_daily[[#This Row],[VeryActiveMinutes]]&gt;=1,"Lightly Active",tbl_working_daily[[#This Row],[VeryActiveMinutes]]=0,"Sedentary")</f>
        <v>Lightly Active</v>
      </c>
      <c r="W128" t="str">
        <f>tbl_working_daily[[#This Row],[Id]]&amp;"|"&amp;TEXT(tbl_working_daily[[#This Row],[ActivityDate]],"yyyy-mm-dd")</f>
        <v>2873212765|2016-04-04</v>
      </c>
      <c r="X128" t="b">
        <f>ISNUMBER(MATCH(tbl_working_daily[[#This Row],[LookupKey]],tbl_working_sleep[LookupKey],0))</f>
        <v>0</v>
      </c>
    </row>
    <row r="129" spans="1:24" x14ac:dyDescent="0.3">
      <c r="A129">
        <v>2873212765</v>
      </c>
      <c r="B129" s="1">
        <v>42465</v>
      </c>
      <c r="C129">
        <v>8432</v>
      </c>
      <c r="D129">
        <v>5.6700000762939498</v>
      </c>
      <c r="E129">
        <v>5.6700000762939498</v>
      </c>
      <c r="F129">
        <v>0</v>
      </c>
      <c r="G129">
        <v>0</v>
      </c>
      <c r="H129">
        <v>0</v>
      </c>
      <c r="I129">
        <v>5.6500000953674299</v>
      </c>
      <c r="J129">
        <v>9.9999997764825804E-3</v>
      </c>
      <c r="K129">
        <v>0</v>
      </c>
      <c r="L129">
        <v>0</v>
      </c>
      <c r="M129">
        <v>374</v>
      </c>
      <c r="N129">
        <v>1066</v>
      </c>
      <c r="O129">
        <v>1953</v>
      </c>
      <c r="P129" t="str">
        <f>TEXT(tbl_working_daily[[#This Row],[ActivityDate]],"dddd")</f>
        <v>Tuesday</v>
      </c>
      <c r="Q129" t="str">
        <f>TEXT(tbl_working_daily[[#This Row],[ActivityDate]],"mmmm")</f>
        <v>April</v>
      </c>
      <c r="R129">
        <f t="shared" si="2"/>
        <v>374</v>
      </c>
      <c r="S129">
        <f t="shared" si="3"/>
        <v>1440</v>
      </c>
      <c r="T129">
        <f>ROUND(tbl_working_daily[[#This Row],[SedentaryMinutes]]/60,2)</f>
        <v>17.77</v>
      </c>
      <c r="U129" t="str" cm="1">
        <f t="array" ref="U12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9" t="str" cm="1">
        <f t="array" ref="V129">_xlfn.IFS(tbl_working_daily[[#This Row],[VeryActiveMinutes]]&gt;=30,"Very Active",tbl_working_daily[[#This Row],[VeryActiveMinutes]]&gt;=15,"Moderately Active",tbl_working_daily[[#This Row],[VeryActiveMinutes]]&gt;=1,"Lightly Active",tbl_working_daily[[#This Row],[VeryActiveMinutes]]=0,"Sedentary")</f>
        <v>Sedentary</v>
      </c>
      <c r="W129" t="str">
        <f>tbl_working_daily[[#This Row],[Id]]&amp;"|"&amp;TEXT(tbl_working_daily[[#This Row],[ActivityDate]],"yyyy-mm-dd")</f>
        <v>2873212765|2016-04-05</v>
      </c>
      <c r="X129" t="b">
        <f>ISNUMBER(MATCH(tbl_working_daily[[#This Row],[LookupKey]],tbl_working_sleep[LookupKey],0))</f>
        <v>0</v>
      </c>
    </row>
    <row r="130" spans="1:24" x14ac:dyDescent="0.3">
      <c r="A130">
        <v>2873212765</v>
      </c>
      <c r="B130" s="1">
        <v>42466</v>
      </c>
      <c r="C130">
        <v>7350</v>
      </c>
      <c r="D130">
        <v>4.9400000572204599</v>
      </c>
      <c r="E130">
        <v>4.9400000572204599</v>
      </c>
      <c r="F130">
        <v>0</v>
      </c>
      <c r="G130">
        <v>0</v>
      </c>
      <c r="H130">
        <v>0</v>
      </c>
      <c r="I130">
        <v>4.9400000572204599</v>
      </c>
      <c r="J130">
        <v>0</v>
      </c>
      <c r="K130">
        <v>0</v>
      </c>
      <c r="L130">
        <v>0</v>
      </c>
      <c r="M130">
        <v>382</v>
      </c>
      <c r="N130">
        <v>1058</v>
      </c>
      <c r="O130">
        <v>1910</v>
      </c>
      <c r="P130" t="str">
        <f>TEXT(tbl_working_daily[[#This Row],[ActivityDate]],"dddd")</f>
        <v>Wednesday</v>
      </c>
      <c r="Q130" t="str">
        <f>TEXT(tbl_working_daily[[#This Row],[ActivityDate]],"mmmm")</f>
        <v>April</v>
      </c>
      <c r="R130">
        <f t="shared" ref="R130:R193" si="4">K130+L130+M130</f>
        <v>382</v>
      </c>
      <c r="S130">
        <f t="shared" ref="S130:S193" si="5">R130+N130</f>
        <v>1440</v>
      </c>
      <c r="T130">
        <f>ROUND(tbl_working_daily[[#This Row],[SedentaryMinutes]]/60,2)</f>
        <v>17.63</v>
      </c>
      <c r="U130" t="str" cm="1">
        <f t="array" ref="U13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0" t="str" cm="1">
        <f t="array" ref="V130">_xlfn.IFS(tbl_working_daily[[#This Row],[VeryActiveMinutes]]&gt;=30,"Very Active",tbl_working_daily[[#This Row],[VeryActiveMinutes]]&gt;=15,"Moderately Active",tbl_working_daily[[#This Row],[VeryActiveMinutes]]&gt;=1,"Lightly Active",tbl_working_daily[[#This Row],[VeryActiveMinutes]]=0,"Sedentary")</f>
        <v>Sedentary</v>
      </c>
      <c r="W130" t="str">
        <f>tbl_working_daily[[#This Row],[Id]]&amp;"|"&amp;TEXT(tbl_working_daily[[#This Row],[ActivityDate]],"yyyy-mm-dd")</f>
        <v>2873212765|2016-04-06</v>
      </c>
      <c r="X130" t="b">
        <f>ISNUMBER(MATCH(tbl_working_daily[[#This Row],[LookupKey]],tbl_working_sleep[LookupKey],0))</f>
        <v>0</v>
      </c>
    </row>
    <row r="131" spans="1:24" x14ac:dyDescent="0.3">
      <c r="A131">
        <v>2873212765</v>
      </c>
      <c r="B131" s="1">
        <v>42467</v>
      </c>
      <c r="C131">
        <v>9353</v>
      </c>
      <c r="D131">
        <v>6.3099999427795401</v>
      </c>
      <c r="E131">
        <v>6.3099999427795401</v>
      </c>
      <c r="F131">
        <v>0</v>
      </c>
      <c r="G131">
        <v>0.37000000476837203</v>
      </c>
      <c r="H131">
        <v>0.68999999761581399</v>
      </c>
      <c r="I131">
        <v>5.2399997711181596</v>
      </c>
      <c r="J131">
        <v>0</v>
      </c>
      <c r="K131">
        <v>5</v>
      </c>
      <c r="L131">
        <v>17</v>
      </c>
      <c r="M131">
        <v>363</v>
      </c>
      <c r="N131">
        <v>1055</v>
      </c>
      <c r="O131">
        <v>2035</v>
      </c>
      <c r="P131" t="str">
        <f>TEXT(tbl_working_daily[[#This Row],[ActivityDate]],"dddd")</f>
        <v>Thursday</v>
      </c>
      <c r="Q131" t="str">
        <f>TEXT(tbl_working_daily[[#This Row],[ActivityDate]],"mmmm")</f>
        <v>April</v>
      </c>
      <c r="R131">
        <f t="shared" si="4"/>
        <v>385</v>
      </c>
      <c r="S131">
        <f t="shared" si="5"/>
        <v>1440</v>
      </c>
      <c r="T131">
        <f>ROUND(tbl_working_daily[[#This Row],[SedentaryMinutes]]/60,2)</f>
        <v>17.579999999999998</v>
      </c>
      <c r="U131" t="str" cm="1">
        <f t="array" ref="U13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1" t="str" cm="1">
        <f t="array" ref="V131">_xlfn.IFS(tbl_working_daily[[#This Row],[VeryActiveMinutes]]&gt;=30,"Very Active",tbl_working_daily[[#This Row],[VeryActiveMinutes]]&gt;=15,"Moderately Active",tbl_working_daily[[#This Row],[VeryActiveMinutes]]&gt;=1,"Lightly Active",tbl_working_daily[[#This Row],[VeryActiveMinutes]]=0,"Sedentary")</f>
        <v>Lightly Active</v>
      </c>
      <c r="W131" t="str">
        <f>tbl_working_daily[[#This Row],[Id]]&amp;"|"&amp;TEXT(tbl_working_daily[[#This Row],[ActivityDate]],"yyyy-mm-dd")</f>
        <v>2873212765|2016-04-07</v>
      </c>
      <c r="X131" t="b">
        <f>ISNUMBER(MATCH(tbl_working_daily[[#This Row],[LookupKey]],tbl_working_sleep[LookupKey],0))</f>
        <v>0</v>
      </c>
    </row>
    <row r="132" spans="1:24" x14ac:dyDescent="0.3">
      <c r="A132">
        <v>2873212765</v>
      </c>
      <c r="B132" s="1">
        <v>42468</v>
      </c>
      <c r="C132">
        <v>7157</v>
      </c>
      <c r="D132">
        <v>4.8099999427795401</v>
      </c>
      <c r="E132">
        <v>4.8099999427795401</v>
      </c>
      <c r="F132">
        <v>0</v>
      </c>
      <c r="G132">
        <v>0</v>
      </c>
      <c r="H132">
        <v>0</v>
      </c>
      <c r="I132">
        <v>4.8099999427795401</v>
      </c>
      <c r="J132">
        <v>0</v>
      </c>
      <c r="K132">
        <v>0</v>
      </c>
      <c r="L132">
        <v>0</v>
      </c>
      <c r="M132">
        <v>380</v>
      </c>
      <c r="N132">
        <v>1060</v>
      </c>
      <c r="O132">
        <v>1944</v>
      </c>
      <c r="P132" t="str">
        <f>TEXT(tbl_working_daily[[#This Row],[ActivityDate]],"dddd")</f>
        <v>Friday</v>
      </c>
      <c r="Q132" t="str">
        <f>TEXT(tbl_working_daily[[#This Row],[ActivityDate]],"mmmm")</f>
        <v>April</v>
      </c>
      <c r="R132">
        <f t="shared" si="4"/>
        <v>380</v>
      </c>
      <c r="S132">
        <f t="shared" si="5"/>
        <v>1440</v>
      </c>
      <c r="T132">
        <f>ROUND(tbl_working_daily[[#This Row],[SedentaryMinutes]]/60,2)</f>
        <v>17.670000000000002</v>
      </c>
      <c r="U132" t="str" cm="1">
        <f t="array" ref="U13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2" t="str" cm="1">
        <f t="array" ref="V132">_xlfn.IFS(tbl_working_daily[[#This Row],[VeryActiveMinutes]]&gt;=30,"Very Active",tbl_working_daily[[#This Row],[VeryActiveMinutes]]&gt;=15,"Moderately Active",tbl_working_daily[[#This Row],[VeryActiveMinutes]]&gt;=1,"Lightly Active",tbl_working_daily[[#This Row],[VeryActiveMinutes]]=0,"Sedentary")</f>
        <v>Sedentary</v>
      </c>
      <c r="W132" t="str">
        <f>tbl_working_daily[[#This Row],[Id]]&amp;"|"&amp;TEXT(tbl_working_daily[[#This Row],[ActivityDate]],"yyyy-mm-dd")</f>
        <v>2873212765|2016-04-08</v>
      </c>
      <c r="X132" t="b">
        <f>ISNUMBER(MATCH(tbl_working_daily[[#This Row],[LookupKey]],tbl_working_sleep[LookupKey],0))</f>
        <v>0</v>
      </c>
    </row>
    <row r="133" spans="1:24" x14ac:dyDescent="0.3">
      <c r="A133">
        <v>2873212765</v>
      </c>
      <c r="B133" s="1">
        <v>42469</v>
      </c>
      <c r="C133">
        <v>14103</v>
      </c>
      <c r="D133">
        <v>9.5600004196166992</v>
      </c>
      <c r="E133">
        <v>9.5600004196166992</v>
      </c>
      <c r="F133">
        <v>0</v>
      </c>
      <c r="G133">
        <v>3.0199999809265101</v>
      </c>
      <c r="H133">
        <v>0.40999999642372098</v>
      </c>
      <c r="I133">
        <v>6.1399998664856001</v>
      </c>
      <c r="J133">
        <v>9.9999997764825804E-3</v>
      </c>
      <c r="K133">
        <v>46</v>
      </c>
      <c r="L133">
        <v>8</v>
      </c>
      <c r="M133">
        <v>288</v>
      </c>
      <c r="N133">
        <v>1098</v>
      </c>
      <c r="O133">
        <v>2257</v>
      </c>
      <c r="P133" t="str">
        <f>TEXT(tbl_working_daily[[#This Row],[ActivityDate]],"dddd")</f>
        <v>Saturday</v>
      </c>
      <c r="Q133" t="str">
        <f>TEXT(tbl_working_daily[[#This Row],[ActivityDate]],"mmmm")</f>
        <v>April</v>
      </c>
      <c r="R133">
        <f t="shared" si="4"/>
        <v>342</v>
      </c>
      <c r="S133">
        <f t="shared" si="5"/>
        <v>1440</v>
      </c>
      <c r="T133">
        <f>ROUND(tbl_working_daily[[#This Row],[SedentaryMinutes]]/60,2)</f>
        <v>18.3</v>
      </c>
      <c r="U133" t="str" cm="1">
        <f t="array" ref="U13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3" t="str" cm="1">
        <f t="array" ref="V133">_xlfn.IFS(tbl_working_daily[[#This Row],[VeryActiveMinutes]]&gt;=30,"Very Active",tbl_working_daily[[#This Row],[VeryActiveMinutes]]&gt;=15,"Moderately Active",tbl_working_daily[[#This Row],[VeryActiveMinutes]]&gt;=1,"Lightly Active",tbl_working_daily[[#This Row],[VeryActiveMinutes]]=0,"Sedentary")</f>
        <v>Very Active</v>
      </c>
      <c r="W133" t="str">
        <f>tbl_working_daily[[#This Row],[Id]]&amp;"|"&amp;TEXT(tbl_working_daily[[#This Row],[ActivityDate]],"yyyy-mm-dd")</f>
        <v>2873212765|2016-04-09</v>
      </c>
      <c r="X133" t="b">
        <f>ISNUMBER(MATCH(tbl_working_daily[[#This Row],[LookupKey]],tbl_working_sleep[LookupKey],0))</f>
        <v>0</v>
      </c>
    </row>
    <row r="134" spans="1:24" x14ac:dyDescent="0.3">
      <c r="A134">
        <v>2873212765</v>
      </c>
      <c r="B134" s="1">
        <v>42470</v>
      </c>
      <c r="C134">
        <v>5290</v>
      </c>
      <c r="D134">
        <v>3.5499999523162802</v>
      </c>
      <c r="E134">
        <v>3.5499999523162802</v>
      </c>
      <c r="F134">
        <v>0</v>
      </c>
      <c r="G134">
        <v>3.9999999105930301E-2</v>
      </c>
      <c r="H134">
        <v>0.34000000357627902</v>
      </c>
      <c r="I134">
        <v>3.1700000762939502</v>
      </c>
      <c r="J134">
        <v>0</v>
      </c>
      <c r="K134">
        <v>1</v>
      </c>
      <c r="L134">
        <v>8</v>
      </c>
      <c r="M134">
        <v>251</v>
      </c>
      <c r="N134">
        <v>1180</v>
      </c>
      <c r="O134">
        <v>1724</v>
      </c>
      <c r="P134" t="str">
        <f>TEXT(tbl_working_daily[[#This Row],[ActivityDate]],"dddd")</f>
        <v>Sunday</v>
      </c>
      <c r="Q134" t="str">
        <f>TEXT(tbl_working_daily[[#This Row],[ActivityDate]],"mmmm")</f>
        <v>April</v>
      </c>
      <c r="R134">
        <f t="shared" si="4"/>
        <v>260</v>
      </c>
      <c r="S134">
        <f t="shared" si="5"/>
        <v>1440</v>
      </c>
      <c r="T134">
        <f>ROUND(tbl_working_daily[[#This Row],[SedentaryMinutes]]/60,2)</f>
        <v>19.670000000000002</v>
      </c>
      <c r="U134" t="str" cm="1">
        <f t="array" ref="U13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4" t="str" cm="1">
        <f t="array" ref="V134">_xlfn.IFS(tbl_working_daily[[#This Row],[VeryActiveMinutes]]&gt;=30,"Very Active",tbl_working_daily[[#This Row],[VeryActiveMinutes]]&gt;=15,"Moderately Active",tbl_working_daily[[#This Row],[VeryActiveMinutes]]&gt;=1,"Lightly Active",tbl_working_daily[[#This Row],[VeryActiveMinutes]]=0,"Sedentary")</f>
        <v>Lightly Active</v>
      </c>
      <c r="W134" t="str">
        <f>tbl_working_daily[[#This Row],[Id]]&amp;"|"&amp;TEXT(tbl_working_daily[[#This Row],[ActivityDate]],"yyyy-mm-dd")</f>
        <v>2873212765|2016-04-10</v>
      </c>
      <c r="X134" t="b">
        <f>ISNUMBER(MATCH(tbl_working_daily[[#This Row],[LookupKey]],tbl_working_sleep[LookupKey],0))</f>
        <v>0</v>
      </c>
    </row>
    <row r="135" spans="1:24" x14ac:dyDescent="0.3">
      <c r="A135">
        <v>2873212765</v>
      </c>
      <c r="B135" s="1">
        <v>42471</v>
      </c>
      <c r="C135">
        <v>7497</v>
      </c>
      <c r="D135">
        <v>5.03999996185303</v>
      </c>
      <c r="E135">
        <v>5.03999996185303</v>
      </c>
      <c r="F135">
        <v>0</v>
      </c>
      <c r="G135">
        <v>0</v>
      </c>
      <c r="H135">
        <v>0</v>
      </c>
      <c r="I135">
        <v>5.03999996185303</v>
      </c>
      <c r="J135">
        <v>0</v>
      </c>
      <c r="K135">
        <v>0</v>
      </c>
      <c r="L135">
        <v>0</v>
      </c>
      <c r="M135">
        <v>357</v>
      </c>
      <c r="N135">
        <v>882</v>
      </c>
      <c r="O135">
        <v>1741</v>
      </c>
      <c r="P135" t="str">
        <f>TEXT(tbl_working_daily[[#This Row],[ActivityDate]],"dddd")</f>
        <v>Monday</v>
      </c>
      <c r="Q135" t="str">
        <f>TEXT(tbl_working_daily[[#This Row],[ActivityDate]],"mmmm")</f>
        <v>April</v>
      </c>
      <c r="R135">
        <f t="shared" si="4"/>
        <v>357</v>
      </c>
      <c r="S135">
        <f t="shared" si="5"/>
        <v>1239</v>
      </c>
      <c r="T135">
        <f>ROUND(tbl_working_daily[[#This Row],[SedentaryMinutes]]/60,2)</f>
        <v>14.7</v>
      </c>
      <c r="U135" t="str" cm="1">
        <f t="array" ref="U13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5" t="str" cm="1">
        <f t="array" ref="V135">_xlfn.IFS(tbl_working_daily[[#This Row],[VeryActiveMinutes]]&gt;=30,"Very Active",tbl_working_daily[[#This Row],[VeryActiveMinutes]]&gt;=15,"Moderately Active",tbl_working_daily[[#This Row],[VeryActiveMinutes]]&gt;=1,"Lightly Active",tbl_working_daily[[#This Row],[VeryActiveMinutes]]=0,"Sedentary")</f>
        <v>Sedentary</v>
      </c>
      <c r="W135" t="str">
        <f>tbl_working_daily[[#This Row],[Id]]&amp;"|"&amp;TEXT(tbl_working_daily[[#This Row],[ActivityDate]],"yyyy-mm-dd")</f>
        <v>2873212765|2016-04-11</v>
      </c>
      <c r="X135" t="b">
        <f>ISNUMBER(MATCH(tbl_working_daily[[#This Row],[LookupKey]],tbl_working_sleep[LookupKey],0))</f>
        <v>0</v>
      </c>
    </row>
    <row r="136" spans="1:24" x14ac:dyDescent="0.3">
      <c r="A136">
        <v>2873212765</v>
      </c>
      <c r="B136" s="1">
        <v>42472</v>
      </c>
      <c r="C136">
        <v>0</v>
      </c>
      <c r="D136">
        <v>0</v>
      </c>
      <c r="E136">
        <v>0</v>
      </c>
      <c r="F136">
        <v>0</v>
      </c>
      <c r="G136">
        <v>0</v>
      </c>
      <c r="H136">
        <v>0</v>
      </c>
      <c r="I136">
        <v>0</v>
      </c>
      <c r="J136">
        <v>0</v>
      </c>
      <c r="K136">
        <v>0</v>
      </c>
      <c r="L136">
        <v>0</v>
      </c>
      <c r="M136">
        <v>0</v>
      </c>
      <c r="N136">
        <v>1440</v>
      </c>
      <c r="O136">
        <v>0</v>
      </c>
      <c r="P136" t="str">
        <f>TEXT(tbl_working_daily[[#This Row],[ActivityDate]],"dddd")</f>
        <v>Tuesday</v>
      </c>
      <c r="Q136" t="str">
        <f>TEXT(tbl_working_daily[[#This Row],[ActivityDate]],"mmmm")</f>
        <v>April</v>
      </c>
      <c r="R136">
        <f t="shared" si="4"/>
        <v>0</v>
      </c>
      <c r="S136">
        <f t="shared" si="5"/>
        <v>1440</v>
      </c>
      <c r="T136">
        <f>ROUND(tbl_working_daily[[#This Row],[SedentaryMinutes]]/60,2)</f>
        <v>24</v>
      </c>
      <c r="U136" t="str" cm="1">
        <f t="array" ref="U13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6" t="str" cm="1">
        <f t="array" ref="V136">_xlfn.IFS(tbl_working_daily[[#This Row],[VeryActiveMinutes]]&gt;=30,"Very Active",tbl_working_daily[[#This Row],[VeryActiveMinutes]]&gt;=15,"Moderately Active",tbl_working_daily[[#This Row],[VeryActiveMinutes]]&gt;=1,"Lightly Active",tbl_working_daily[[#This Row],[VeryActiveMinutes]]=0,"Sedentary")</f>
        <v>Sedentary</v>
      </c>
      <c r="W136" t="str">
        <f>tbl_working_daily[[#This Row],[Id]]&amp;"|"&amp;TEXT(tbl_working_daily[[#This Row],[ActivityDate]],"yyyy-mm-dd")</f>
        <v>2873212765|2016-04-12</v>
      </c>
      <c r="X136" t="b">
        <f>ISNUMBER(MATCH(tbl_working_daily[[#This Row],[LookupKey]],tbl_working_sleep[LookupKey],0))</f>
        <v>0</v>
      </c>
    </row>
    <row r="137" spans="1:24" x14ac:dyDescent="0.3">
      <c r="A137">
        <v>2891001357</v>
      </c>
      <c r="B137" s="1">
        <v>42458</v>
      </c>
      <c r="C137">
        <v>0</v>
      </c>
      <c r="D137">
        <v>0</v>
      </c>
      <c r="E137">
        <v>0</v>
      </c>
      <c r="F137">
        <v>0</v>
      </c>
      <c r="G137">
        <v>0</v>
      </c>
      <c r="H137">
        <v>0</v>
      </c>
      <c r="I137">
        <v>0</v>
      </c>
      <c r="J137">
        <v>0</v>
      </c>
      <c r="K137">
        <v>0</v>
      </c>
      <c r="L137">
        <v>0</v>
      </c>
      <c r="M137">
        <v>0</v>
      </c>
      <c r="N137">
        <v>1440</v>
      </c>
      <c r="O137">
        <v>1920</v>
      </c>
      <c r="P137" t="str">
        <f>TEXT(tbl_working_daily[[#This Row],[ActivityDate]],"dddd")</f>
        <v>Tuesday</v>
      </c>
      <c r="Q137" t="str">
        <f>TEXT(tbl_working_daily[[#This Row],[ActivityDate]],"mmmm")</f>
        <v>March</v>
      </c>
      <c r="R137">
        <f t="shared" si="4"/>
        <v>0</v>
      </c>
      <c r="S137">
        <f t="shared" si="5"/>
        <v>1440</v>
      </c>
      <c r="T137">
        <f>ROUND(tbl_working_daily[[#This Row],[SedentaryMinutes]]/60,2)</f>
        <v>24</v>
      </c>
      <c r="U137" t="str" cm="1">
        <f t="array" ref="U1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7" t="str" cm="1">
        <f t="array" ref="V137">_xlfn.IFS(tbl_working_daily[[#This Row],[VeryActiveMinutes]]&gt;=30,"Very Active",tbl_working_daily[[#This Row],[VeryActiveMinutes]]&gt;=15,"Moderately Active",tbl_working_daily[[#This Row],[VeryActiveMinutes]]&gt;=1,"Lightly Active",tbl_working_daily[[#This Row],[VeryActiveMinutes]]=0,"Sedentary")</f>
        <v>Sedentary</v>
      </c>
      <c r="W137" t="str">
        <f>tbl_working_daily[[#This Row],[Id]]&amp;"|"&amp;TEXT(tbl_working_daily[[#This Row],[ActivityDate]],"yyyy-mm-dd")</f>
        <v>2891001357|2016-03-29</v>
      </c>
      <c r="X137" t="b">
        <f>ISNUMBER(MATCH(tbl_working_daily[[#This Row],[LookupKey]],tbl_working_sleep[LookupKey],0))</f>
        <v>0</v>
      </c>
    </row>
    <row r="138" spans="1:24" x14ac:dyDescent="0.3">
      <c r="A138">
        <v>2891001357</v>
      </c>
      <c r="B138" s="1">
        <v>42459</v>
      </c>
      <c r="C138">
        <v>0</v>
      </c>
      <c r="D138">
        <v>0</v>
      </c>
      <c r="E138">
        <v>0</v>
      </c>
      <c r="F138">
        <v>0</v>
      </c>
      <c r="G138">
        <v>0</v>
      </c>
      <c r="H138">
        <v>0</v>
      </c>
      <c r="I138">
        <v>0</v>
      </c>
      <c r="J138">
        <v>0</v>
      </c>
      <c r="K138">
        <v>0</v>
      </c>
      <c r="L138">
        <v>0</v>
      </c>
      <c r="M138">
        <v>0</v>
      </c>
      <c r="N138">
        <v>1440</v>
      </c>
      <c r="O138">
        <v>1920</v>
      </c>
      <c r="P138" t="str">
        <f>TEXT(tbl_working_daily[[#This Row],[ActivityDate]],"dddd")</f>
        <v>Wednesday</v>
      </c>
      <c r="Q138" t="str">
        <f>TEXT(tbl_working_daily[[#This Row],[ActivityDate]],"mmmm")</f>
        <v>March</v>
      </c>
      <c r="R138">
        <f t="shared" si="4"/>
        <v>0</v>
      </c>
      <c r="S138">
        <f t="shared" si="5"/>
        <v>1440</v>
      </c>
      <c r="T138">
        <f>ROUND(tbl_working_daily[[#This Row],[SedentaryMinutes]]/60,2)</f>
        <v>24</v>
      </c>
      <c r="U138" t="str" cm="1">
        <f t="array" ref="U13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8" t="str" cm="1">
        <f t="array" ref="V138">_xlfn.IFS(tbl_working_daily[[#This Row],[VeryActiveMinutes]]&gt;=30,"Very Active",tbl_working_daily[[#This Row],[VeryActiveMinutes]]&gt;=15,"Moderately Active",tbl_working_daily[[#This Row],[VeryActiveMinutes]]&gt;=1,"Lightly Active",tbl_working_daily[[#This Row],[VeryActiveMinutes]]=0,"Sedentary")</f>
        <v>Sedentary</v>
      </c>
      <c r="W138" t="str">
        <f>tbl_working_daily[[#This Row],[Id]]&amp;"|"&amp;TEXT(tbl_working_daily[[#This Row],[ActivityDate]],"yyyy-mm-dd")</f>
        <v>2891001357|2016-03-30</v>
      </c>
      <c r="X138" t="b">
        <f>ISNUMBER(MATCH(tbl_working_daily[[#This Row],[LookupKey]],tbl_working_sleep[LookupKey],0))</f>
        <v>0</v>
      </c>
    </row>
    <row r="139" spans="1:24" x14ac:dyDescent="0.3">
      <c r="A139">
        <v>2891001357</v>
      </c>
      <c r="B139" s="1">
        <v>42460</v>
      </c>
      <c r="C139">
        <v>0</v>
      </c>
      <c r="D139">
        <v>0</v>
      </c>
      <c r="E139">
        <v>0</v>
      </c>
      <c r="F139">
        <v>0</v>
      </c>
      <c r="G139">
        <v>0</v>
      </c>
      <c r="H139">
        <v>0</v>
      </c>
      <c r="I139">
        <v>0</v>
      </c>
      <c r="J139">
        <v>0</v>
      </c>
      <c r="K139">
        <v>0</v>
      </c>
      <c r="L139">
        <v>0</v>
      </c>
      <c r="M139">
        <v>0</v>
      </c>
      <c r="N139">
        <v>1440</v>
      </c>
      <c r="O139">
        <v>1920</v>
      </c>
      <c r="P139" t="str">
        <f>TEXT(tbl_working_daily[[#This Row],[ActivityDate]],"dddd")</f>
        <v>Thursday</v>
      </c>
      <c r="Q139" t="str">
        <f>TEXT(tbl_working_daily[[#This Row],[ActivityDate]],"mmmm")</f>
        <v>March</v>
      </c>
      <c r="R139">
        <f t="shared" si="4"/>
        <v>0</v>
      </c>
      <c r="S139">
        <f t="shared" si="5"/>
        <v>1440</v>
      </c>
      <c r="T139">
        <f>ROUND(tbl_working_daily[[#This Row],[SedentaryMinutes]]/60,2)</f>
        <v>24</v>
      </c>
      <c r="U139" t="str" cm="1">
        <f t="array" ref="U1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9" t="str" cm="1">
        <f t="array" ref="V139">_xlfn.IFS(tbl_working_daily[[#This Row],[VeryActiveMinutes]]&gt;=30,"Very Active",tbl_working_daily[[#This Row],[VeryActiveMinutes]]&gt;=15,"Moderately Active",tbl_working_daily[[#This Row],[VeryActiveMinutes]]&gt;=1,"Lightly Active",tbl_working_daily[[#This Row],[VeryActiveMinutes]]=0,"Sedentary")</f>
        <v>Sedentary</v>
      </c>
      <c r="W139" t="str">
        <f>tbl_working_daily[[#This Row],[Id]]&amp;"|"&amp;TEXT(tbl_working_daily[[#This Row],[ActivityDate]],"yyyy-mm-dd")</f>
        <v>2891001357|2016-03-31</v>
      </c>
      <c r="X139" t="b">
        <f>ISNUMBER(MATCH(tbl_working_daily[[#This Row],[LookupKey]],tbl_working_sleep[LookupKey],0))</f>
        <v>0</v>
      </c>
    </row>
    <row r="140" spans="1:24" x14ac:dyDescent="0.3">
      <c r="A140">
        <v>2891001357</v>
      </c>
      <c r="B140" s="1">
        <v>42461</v>
      </c>
      <c r="C140">
        <v>0</v>
      </c>
      <c r="D140">
        <v>0</v>
      </c>
      <c r="E140">
        <v>0</v>
      </c>
      <c r="F140">
        <v>4.8280320167541504</v>
      </c>
      <c r="G140">
        <v>0</v>
      </c>
      <c r="H140">
        <v>0</v>
      </c>
      <c r="I140">
        <v>0</v>
      </c>
      <c r="J140">
        <v>0</v>
      </c>
      <c r="K140">
        <v>0</v>
      </c>
      <c r="L140">
        <v>660</v>
      </c>
      <c r="M140">
        <v>0</v>
      </c>
      <c r="N140">
        <v>780</v>
      </c>
      <c r="O140">
        <v>4562</v>
      </c>
      <c r="P140" t="str">
        <f>TEXT(tbl_working_daily[[#This Row],[ActivityDate]],"dddd")</f>
        <v>Friday</v>
      </c>
      <c r="Q140" t="str">
        <f>TEXT(tbl_working_daily[[#This Row],[ActivityDate]],"mmmm")</f>
        <v>April</v>
      </c>
      <c r="R140">
        <f t="shared" si="4"/>
        <v>660</v>
      </c>
      <c r="S140">
        <f t="shared" si="5"/>
        <v>1440</v>
      </c>
      <c r="T140">
        <f>ROUND(tbl_working_daily[[#This Row],[SedentaryMinutes]]/60,2)</f>
        <v>13</v>
      </c>
      <c r="U140" t="str" cm="1">
        <f t="array" ref="U1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0" t="str" cm="1">
        <f t="array" ref="V140">_xlfn.IFS(tbl_working_daily[[#This Row],[VeryActiveMinutes]]&gt;=30,"Very Active",tbl_working_daily[[#This Row],[VeryActiveMinutes]]&gt;=15,"Moderately Active",tbl_working_daily[[#This Row],[VeryActiveMinutes]]&gt;=1,"Lightly Active",tbl_working_daily[[#This Row],[VeryActiveMinutes]]=0,"Sedentary")</f>
        <v>Sedentary</v>
      </c>
      <c r="W140" t="str">
        <f>tbl_working_daily[[#This Row],[Id]]&amp;"|"&amp;TEXT(tbl_working_daily[[#This Row],[ActivityDate]],"yyyy-mm-dd")</f>
        <v>2891001357|2016-04-01</v>
      </c>
      <c r="X140" t="b">
        <f>ISNUMBER(MATCH(tbl_working_daily[[#This Row],[LookupKey]],tbl_working_sleep[LookupKey],0))</f>
        <v>0</v>
      </c>
    </row>
    <row r="141" spans="1:24" x14ac:dyDescent="0.3">
      <c r="A141">
        <v>2891001357</v>
      </c>
      <c r="B141" s="1">
        <v>42462</v>
      </c>
      <c r="C141">
        <v>4126</v>
      </c>
      <c r="D141">
        <v>3.2200000286102299</v>
      </c>
      <c r="E141">
        <v>0</v>
      </c>
      <c r="F141">
        <v>3.21868801116943</v>
      </c>
      <c r="G141">
        <v>0</v>
      </c>
      <c r="H141">
        <v>0</v>
      </c>
      <c r="I141">
        <v>3.2200000286102299</v>
      </c>
      <c r="J141">
        <v>0</v>
      </c>
      <c r="K141">
        <v>0</v>
      </c>
      <c r="L141">
        <v>0</v>
      </c>
      <c r="M141">
        <v>720</v>
      </c>
      <c r="N141">
        <v>720</v>
      </c>
      <c r="O141">
        <v>2881</v>
      </c>
      <c r="P141" t="str">
        <f>TEXT(tbl_working_daily[[#This Row],[ActivityDate]],"dddd")</f>
        <v>Saturday</v>
      </c>
      <c r="Q141" t="str">
        <f>TEXT(tbl_working_daily[[#This Row],[ActivityDate]],"mmmm")</f>
        <v>April</v>
      </c>
      <c r="R141">
        <f t="shared" si="4"/>
        <v>720</v>
      </c>
      <c r="S141">
        <f t="shared" si="5"/>
        <v>1440</v>
      </c>
      <c r="T141">
        <f>ROUND(tbl_working_daily[[#This Row],[SedentaryMinutes]]/60,2)</f>
        <v>12</v>
      </c>
      <c r="U141" t="str" cm="1">
        <f t="array" ref="U1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1" t="str" cm="1">
        <f t="array" ref="V141">_xlfn.IFS(tbl_working_daily[[#This Row],[VeryActiveMinutes]]&gt;=30,"Very Active",tbl_working_daily[[#This Row],[VeryActiveMinutes]]&gt;=15,"Moderately Active",tbl_working_daily[[#This Row],[VeryActiveMinutes]]&gt;=1,"Lightly Active",tbl_working_daily[[#This Row],[VeryActiveMinutes]]=0,"Sedentary")</f>
        <v>Sedentary</v>
      </c>
      <c r="W141" t="str">
        <f>tbl_working_daily[[#This Row],[Id]]&amp;"|"&amp;TEXT(tbl_working_daily[[#This Row],[ActivityDate]],"yyyy-mm-dd")</f>
        <v>2891001357|2016-04-02</v>
      </c>
      <c r="X141" t="b">
        <f>ISNUMBER(MATCH(tbl_working_daily[[#This Row],[LookupKey]],tbl_working_sleep[LookupKey],0))</f>
        <v>0</v>
      </c>
    </row>
    <row r="142" spans="1:24" x14ac:dyDescent="0.3">
      <c r="A142">
        <v>2891001357</v>
      </c>
      <c r="B142" s="1">
        <v>42463</v>
      </c>
      <c r="C142">
        <v>0</v>
      </c>
      <c r="D142">
        <v>0</v>
      </c>
      <c r="E142">
        <v>0</v>
      </c>
      <c r="F142">
        <v>0</v>
      </c>
      <c r="G142">
        <v>0</v>
      </c>
      <c r="H142">
        <v>0</v>
      </c>
      <c r="I142">
        <v>0</v>
      </c>
      <c r="J142">
        <v>0</v>
      </c>
      <c r="K142">
        <v>0</v>
      </c>
      <c r="L142">
        <v>0</v>
      </c>
      <c r="M142">
        <v>0</v>
      </c>
      <c r="N142">
        <v>1440</v>
      </c>
      <c r="O142">
        <v>1920</v>
      </c>
      <c r="P142" t="str">
        <f>TEXT(tbl_working_daily[[#This Row],[ActivityDate]],"dddd")</f>
        <v>Sunday</v>
      </c>
      <c r="Q142" t="str">
        <f>TEXT(tbl_working_daily[[#This Row],[ActivityDate]],"mmmm")</f>
        <v>April</v>
      </c>
      <c r="R142">
        <f t="shared" si="4"/>
        <v>0</v>
      </c>
      <c r="S142">
        <f t="shared" si="5"/>
        <v>1440</v>
      </c>
      <c r="T142">
        <f>ROUND(tbl_working_daily[[#This Row],[SedentaryMinutes]]/60,2)</f>
        <v>24</v>
      </c>
      <c r="U142" t="str" cm="1">
        <f t="array" ref="U1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2" t="str" cm="1">
        <f t="array" ref="V142">_xlfn.IFS(tbl_working_daily[[#This Row],[VeryActiveMinutes]]&gt;=30,"Very Active",tbl_working_daily[[#This Row],[VeryActiveMinutes]]&gt;=15,"Moderately Active",tbl_working_daily[[#This Row],[VeryActiveMinutes]]&gt;=1,"Lightly Active",tbl_working_daily[[#This Row],[VeryActiveMinutes]]=0,"Sedentary")</f>
        <v>Sedentary</v>
      </c>
      <c r="W142" t="str">
        <f>tbl_working_daily[[#This Row],[Id]]&amp;"|"&amp;TEXT(tbl_working_daily[[#This Row],[ActivityDate]],"yyyy-mm-dd")</f>
        <v>2891001357|2016-04-03</v>
      </c>
      <c r="X142" t="b">
        <f>ISNUMBER(MATCH(tbl_working_daily[[#This Row],[LookupKey]],tbl_working_sleep[LookupKey],0))</f>
        <v>0</v>
      </c>
    </row>
    <row r="143" spans="1:24" x14ac:dyDescent="0.3">
      <c r="A143">
        <v>2891001357</v>
      </c>
      <c r="B143" s="1">
        <v>42464</v>
      </c>
      <c r="C143">
        <v>0</v>
      </c>
      <c r="D143">
        <v>0</v>
      </c>
      <c r="E143">
        <v>0</v>
      </c>
      <c r="F143">
        <v>0</v>
      </c>
      <c r="G143">
        <v>0</v>
      </c>
      <c r="H143">
        <v>0</v>
      </c>
      <c r="I143">
        <v>0</v>
      </c>
      <c r="J143">
        <v>0</v>
      </c>
      <c r="K143">
        <v>0</v>
      </c>
      <c r="L143">
        <v>0</v>
      </c>
      <c r="M143">
        <v>0</v>
      </c>
      <c r="N143">
        <v>1440</v>
      </c>
      <c r="O143">
        <v>1920</v>
      </c>
      <c r="P143" t="str">
        <f>TEXT(tbl_working_daily[[#This Row],[ActivityDate]],"dddd")</f>
        <v>Monday</v>
      </c>
      <c r="Q143" t="str">
        <f>TEXT(tbl_working_daily[[#This Row],[ActivityDate]],"mmmm")</f>
        <v>April</v>
      </c>
      <c r="R143">
        <f t="shared" si="4"/>
        <v>0</v>
      </c>
      <c r="S143">
        <f t="shared" si="5"/>
        <v>1440</v>
      </c>
      <c r="T143">
        <f>ROUND(tbl_working_daily[[#This Row],[SedentaryMinutes]]/60,2)</f>
        <v>24</v>
      </c>
      <c r="U143" t="str" cm="1">
        <f t="array" ref="U1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3" t="str" cm="1">
        <f t="array" ref="V143">_xlfn.IFS(tbl_working_daily[[#This Row],[VeryActiveMinutes]]&gt;=30,"Very Active",tbl_working_daily[[#This Row],[VeryActiveMinutes]]&gt;=15,"Moderately Active",tbl_working_daily[[#This Row],[VeryActiveMinutes]]&gt;=1,"Lightly Active",tbl_working_daily[[#This Row],[VeryActiveMinutes]]=0,"Sedentary")</f>
        <v>Sedentary</v>
      </c>
      <c r="W143" t="str">
        <f>tbl_working_daily[[#This Row],[Id]]&amp;"|"&amp;TEXT(tbl_working_daily[[#This Row],[ActivityDate]],"yyyy-mm-dd")</f>
        <v>2891001357|2016-04-04</v>
      </c>
      <c r="X143" t="b">
        <f>ISNUMBER(MATCH(tbl_working_daily[[#This Row],[LookupKey]],tbl_working_sleep[LookupKey],0))</f>
        <v>0</v>
      </c>
    </row>
    <row r="144" spans="1:24" x14ac:dyDescent="0.3">
      <c r="A144">
        <v>2891001357</v>
      </c>
      <c r="B144" s="1">
        <v>42465</v>
      </c>
      <c r="C144">
        <v>2063</v>
      </c>
      <c r="D144">
        <v>1.6100000143051101</v>
      </c>
      <c r="E144">
        <v>0</v>
      </c>
      <c r="F144">
        <v>1.6093440055847199</v>
      </c>
      <c r="G144">
        <v>0</v>
      </c>
      <c r="H144">
        <v>0</v>
      </c>
      <c r="I144">
        <v>1.6100000143051101</v>
      </c>
      <c r="J144">
        <v>0</v>
      </c>
      <c r="K144">
        <v>0</v>
      </c>
      <c r="L144">
        <v>0</v>
      </c>
      <c r="M144">
        <v>630</v>
      </c>
      <c r="N144">
        <v>99</v>
      </c>
      <c r="O144">
        <v>1144</v>
      </c>
      <c r="P144" t="str">
        <f>TEXT(tbl_working_daily[[#This Row],[ActivityDate]],"dddd")</f>
        <v>Tuesday</v>
      </c>
      <c r="Q144" t="str">
        <f>TEXT(tbl_working_daily[[#This Row],[ActivityDate]],"mmmm")</f>
        <v>April</v>
      </c>
      <c r="R144">
        <f t="shared" si="4"/>
        <v>630</v>
      </c>
      <c r="S144">
        <f t="shared" si="5"/>
        <v>729</v>
      </c>
      <c r="T144">
        <f>ROUND(tbl_working_daily[[#This Row],[SedentaryMinutes]]/60,2)</f>
        <v>1.65</v>
      </c>
      <c r="U144" t="str" cm="1">
        <f t="array" ref="U1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4" t="str" cm="1">
        <f t="array" ref="V144">_xlfn.IFS(tbl_working_daily[[#This Row],[VeryActiveMinutes]]&gt;=30,"Very Active",tbl_working_daily[[#This Row],[VeryActiveMinutes]]&gt;=15,"Moderately Active",tbl_working_daily[[#This Row],[VeryActiveMinutes]]&gt;=1,"Lightly Active",tbl_working_daily[[#This Row],[VeryActiveMinutes]]=0,"Sedentary")</f>
        <v>Sedentary</v>
      </c>
      <c r="W144" t="str">
        <f>tbl_working_daily[[#This Row],[Id]]&amp;"|"&amp;TEXT(tbl_working_daily[[#This Row],[ActivityDate]],"yyyy-mm-dd")</f>
        <v>2891001357|2016-04-05</v>
      </c>
      <c r="X144" t="b">
        <f>ISNUMBER(MATCH(tbl_working_daily[[#This Row],[LookupKey]],tbl_working_sleep[LookupKey],0))</f>
        <v>0</v>
      </c>
    </row>
    <row r="145" spans="1:24" x14ac:dyDescent="0.3">
      <c r="A145">
        <v>3372868164</v>
      </c>
      <c r="B145" s="1">
        <v>42461</v>
      </c>
      <c r="C145">
        <v>5785</v>
      </c>
      <c r="D145">
        <v>3.9500000476837198</v>
      </c>
      <c r="E145">
        <v>3.9500000476837198</v>
      </c>
      <c r="F145">
        <v>0</v>
      </c>
      <c r="G145">
        <v>0</v>
      </c>
      <c r="H145">
        <v>0</v>
      </c>
      <c r="I145">
        <v>3.9100000858306898</v>
      </c>
      <c r="J145">
        <v>3.9999999105930301E-2</v>
      </c>
      <c r="K145">
        <v>0</v>
      </c>
      <c r="L145">
        <v>0</v>
      </c>
      <c r="M145">
        <v>311</v>
      </c>
      <c r="N145">
        <v>1129</v>
      </c>
      <c r="O145">
        <v>1852</v>
      </c>
      <c r="P145" t="str">
        <f>TEXT(tbl_working_daily[[#This Row],[ActivityDate]],"dddd")</f>
        <v>Friday</v>
      </c>
      <c r="Q145" t="str">
        <f>TEXT(tbl_working_daily[[#This Row],[ActivityDate]],"mmmm")</f>
        <v>April</v>
      </c>
      <c r="R145">
        <f t="shared" si="4"/>
        <v>311</v>
      </c>
      <c r="S145">
        <f t="shared" si="5"/>
        <v>1440</v>
      </c>
      <c r="T145">
        <f>ROUND(tbl_working_daily[[#This Row],[SedentaryMinutes]]/60,2)</f>
        <v>18.82</v>
      </c>
      <c r="U145" t="str" cm="1">
        <f t="array" ref="U14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45" t="str" cm="1">
        <f t="array" ref="V145">_xlfn.IFS(tbl_working_daily[[#This Row],[VeryActiveMinutes]]&gt;=30,"Very Active",tbl_working_daily[[#This Row],[VeryActiveMinutes]]&gt;=15,"Moderately Active",tbl_working_daily[[#This Row],[VeryActiveMinutes]]&gt;=1,"Lightly Active",tbl_working_daily[[#This Row],[VeryActiveMinutes]]=0,"Sedentary")</f>
        <v>Sedentary</v>
      </c>
      <c r="W145" t="str">
        <f>tbl_working_daily[[#This Row],[Id]]&amp;"|"&amp;TEXT(tbl_working_daily[[#This Row],[ActivityDate]],"yyyy-mm-dd")</f>
        <v>3372868164|2016-04-01</v>
      </c>
      <c r="X145" t="b">
        <f>ISNUMBER(MATCH(tbl_working_daily[[#This Row],[LookupKey]],tbl_working_sleep[LookupKey],0))</f>
        <v>0</v>
      </c>
    </row>
    <row r="146" spans="1:24" x14ac:dyDescent="0.3">
      <c r="A146">
        <v>3372868164</v>
      </c>
      <c r="B146" s="1">
        <v>42462</v>
      </c>
      <c r="C146">
        <v>7625</v>
      </c>
      <c r="D146">
        <v>5.2300000190734899</v>
      </c>
      <c r="E146">
        <v>5.2300000190734899</v>
      </c>
      <c r="F146">
        <v>0</v>
      </c>
      <c r="G146">
        <v>1.6799999475479099</v>
      </c>
      <c r="H146">
        <v>3.9999999105930301E-2</v>
      </c>
      <c r="I146">
        <v>3.5</v>
      </c>
      <c r="J146">
        <v>9.9999997764825804E-3</v>
      </c>
      <c r="K146">
        <v>24</v>
      </c>
      <c r="L146">
        <v>1</v>
      </c>
      <c r="M146">
        <v>341</v>
      </c>
      <c r="N146">
        <v>1074</v>
      </c>
      <c r="O146">
        <v>2069</v>
      </c>
      <c r="P146" t="str">
        <f>TEXT(tbl_working_daily[[#This Row],[ActivityDate]],"dddd")</f>
        <v>Saturday</v>
      </c>
      <c r="Q146" t="str">
        <f>TEXT(tbl_working_daily[[#This Row],[ActivityDate]],"mmmm")</f>
        <v>April</v>
      </c>
      <c r="R146">
        <f t="shared" si="4"/>
        <v>366</v>
      </c>
      <c r="S146">
        <f t="shared" si="5"/>
        <v>1440</v>
      </c>
      <c r="T146">
        <f>ROUND(tbl_working_daily[[#This Row],[SedentaryMinutes]]/60,2)</f>
        <v>17.899999999999999</v>
      </c>
      <c r="U146" t="str" cm="1">
        <f t="array" ref="U14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46" t="str" cm="1">
        <f t="array" ref="V146">_xlfn.IFS(tbl_working_daily[[#This Row],[VeryActiveMinutes]]&gt;=30,"Very Active",tbl_working_daily[[#This Row],[VeryActiveMinutes]]&gt;=15,"Moderately Active",tbl_working_daily[[#This Row],[VeryActiveMinutes]]&gt;=1,"Lightly Active",tbl_working_daily[[#This Row],[VeryActiveMinutes]]=0,"Sedentary")</f>
        <v>Moderately Active</v>
      </c>
      <c r="W146" t="str">
        <f>tbl_working_daily[[#This Row],[Id]]&amp;"|"&amp;TEXT(tbl_working_daily[[#This Row],[ActivityDate]],"yyyy-mm-dd")</f>
        <v>3372868164|2016-04-02</v>
      </c>
      <c r="X146" t="b">
        <f>ISNUMBER(MATCH(tbl_working_daily[[#This Row],[LookupKey]],tbl_working_sleep[LookupKey],0))</f>
        <v>0</v>
      </c>
    </row>
    <row r="147" spans="1:24" x14ac:dyDescent="0.3">
      <c r="A147">
        <v>3372868164</v>
      </c>
      <c r="B147" s="1">
        <v>42463</v>
      </c>
      <c r="C147">
        <v>4706</v>
      </c>
      <c r="D147">
        <v>3.21000003814697</v>
      </c>
      <c r="E147">
        <v>3.21000003814697</v>
      </c>
      <c r="F147">
        <v>0</v>
      </c>
      <c r="G147">
        <v>0</v>
      </c>
      <c r="H147">
        <v>0</v>
      </c>
      <c r="I147">
        <v>3.21000003814697</v>
      </c>
      <c r="J147">
        <v>0</v>
      </c>
      <c r="K147">
        <v>0</v>
      </c>
      <c r="L147">
        <v>0</v>
      </c>
      <c r="M147">
        <v>299</v>
      </c>
      <c r="N147">
        <v>1141</v>
      </c>
      <c r="O147">
        <v>1816</v>
      </c>
      <c r="P147" t="str">
        <f>TEXT(tbl_working_daily[[#This Row],[ActivityDate]],"dddd")</f>
        <v>Sunday</v>
      </c>
      <c r="Q147" t="str">
        <f>TEXT(tbl_working_daily[[#This Row],[ActivityDate]],"mmmm")</f>
        <v>April</v>
      </c>
      <c r="R147">
        <f t="shared" si="4"/>
        <v>299</v>
      </c>
      <c r="S147">
        <f t="shared" si="5"/>
        <v>1440</v>
      </c>
      <c r="T147">
        <f>ROUND(tbl_working_daily[[#This Row],[SedentaryMinutes]]/60,2)</f>
        <v>19.02</v>
      </c>
      <c r="U147" t="str" cm="1">
        <f t="array" ref="U14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7" t="str" cm="1">
        <f t="array" ref="V147">_xlfn.IFS(tbl_working_daily[[#This Row],[VeryActiveMinutes]]&gt;=30,"Very Active",tbl_working_daily[[#This Row],[VeryActiveMinutes]]&gt;=15,"Moderately Active",tbl_working_daily[[#This Row],[VeryActiveMinutes]]&gt;=1,"Lightly Active",tbl_working_daily[[#This Row],[VeryActiveMinutes]]=0,"Sedentary")</f>
        <v>Sedentary</v>
      </c>
      <c r="W147" t="str">
        <f>tbl_working_daily[[#This Row],[Id]]&amp;"|"&amp;TEXT(tbl_working_daily[[#This Row],[ActivityDate]],"yyyy-mm-dd")</f>
        <v>3372868164|2016-04-03</v>
      </c>
      <c r="X147" t="b">
        <f>ISNUMBER(MATCH(tbl_working_daily[[#This Row],[LookupKey]],tbl_working_sleep[LookupKey],0))</f>
        <v>0</v>
      </c>
    </row>
    <row r="148" spans="1:24" x14ac:dyDescent="0.3">
      <c r="A148">
        <v>3372868164</v>
      </c>
      <c r="B148" s="1">
        <v>42464</v>
      </c>
      <c r="C148">
        <v>5861</v>
      </c>
      <c r="D148">
        <v>4.0199999809265101</v>
      </c>
      <c r="E148">
        <v>4.0199999809265101</v>
      </c>
      <c r="F148">
        <v>0</v>
      </c>
      <c r="G148">
        <v>1.29999995231628</v>
      </c>
      <c r="H148">
        <v>0.21999999880790699</v>
      </c>
      <c r="I148">
        <v>2.4900000095367401</v>
      </c>
      <c r="J148">
        <v>9.9999997764825804E-3</v>
      </c>
      <c r="K148">
        <v>20</v>
      </c>
      <c r="L148">
        <v>7</v>
      </c>
      <c r="M148">
        <v>233</v>
      </c>
      <c r="N148">
        <v>1180</v>
      </c>
      <c r="O148">
        <v>1878</v>
      </c>
      <c r="P148" t="str">
        <f>TEXT(tbl_working_daily[[#This Row],[ActivityDate]],"dddd")</f>
        <v>Monday</v>
      </c>
      <c r="Q148" t="str">
        <f>TEXT(tbl_working_daily[[#This Row],[ActivityDate]],"mmmm")</f>
        <v>April</v>
      </c>
      <c r="R148">
        <f t="shared" si="4"/>
        <v>260</v>
      </c>
      <c r="S148">
        <f t="shared" si="5"/>
        <v>1440</v>
      </c>
      <c r="T148">
        <f>ROUND(tbl_working_daily[[#This Row],[SedentaryMinutes]]/60,2)</f>
        <v>19.670000000000002</v>
      </c>
      <c r="U148" t="str" cm="1">
        <f t="array" ref="U14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48" t="str" cm="1">
        <f t="array" ref="V148">_xlfn.IFS(tbl_working_daily[[#This Row],[VeryActiveMinutes]]&gt;=30,"Very Active",tbl_working_daily[[#This Row],[VeryActiveMinutes]]&gt;=15,"Moderately Active",tbl_working_daily[[#This Row],[VeryActiveMinutes]]&gt;=1,"Lightly Active",tbl_working_daily[[#This Row],[VeryActiveMinutes]]=0,"Sedentary")</f>
        <v>Moderately Active</v>
      </c>
      <c r="W148" t="str">
        <f>tbl_working_daily[[#This Row],[Id]]&amp;"|"&amp;TEXT(tbl_working_daily[[#This Row],[ActivityDate]],"yyyy-mm-dd")</f>
        <v>3372868164|2016-04-04</v>
      </c>
      <c r="X148" t="b">
        <f>ISNUMBER(MATCH(tbl_working_daily[[#This Row],[LookupKey]],tbl_working_sleep[LookupKey],0))</f>
        <v>0</v>
      </c>
    </row>
    <row r="149" spans="1:24" x14ac:dyDescent="0.3">
      <c r="A149">
        <v>3372868164</v>
      </c>
      <c r="B149" s="1">
        <v>42465</v>
      </c>
      <c r="C149">
        <v>4460</v>
      </c>
      <c r="D149">
        <v>3.03999996185303</v>
      </c>
      <c r="E149">
        <v>3.03999996185303</v>
      </c>
      <c r="F149">
        <v>0</v>
      </c>
      <c r="G149">
        <v>0</v>
      </c>
      <c r="H149">
        <v>0</v>
      </c>
      <c r="I149">
        <v>3.0199999809265101</v>
      </c>
      <c r="J149">
        <v>2.9999999329447701E-2</v>
      </c>
      <c r="K149">
        <v>0</v>
      </c>
      <c r="L149">
        <v>0</v>
      </c>
      <c r="M149">
        <v>248</v>
      </c>
      <c r="N149">
        <v>1192</v>
      </c>
      <c r="O149">
        <v>1787</v>
      </c>
      <c r="P149" t="str">
        <f>TEXT(tbl_working_daily[[#This Row],[ActivityDate]],"dddd")</f>
        <v>Tuesday</v>
      </c>
      <c r="Q149" t="str">
        <f>TEXT(tbl_working_daily[[#This Row],[ActivityDate]],"mmmm")</f>
        <v>April</v>
      </c>
      <c r="R149">
        <f t="shared" si="4"/>
        <v>248</v>
      </c>
      <c r="S149">
        <f t="shared" si="5"/>
        <v>1440</v>
      </c>
      <c r="T149">
        <f>ROUND(tbl_working_daily[[#This Row],[SedentaryMinutes]]/60,2)</f>
        <v>19.87</v>
      </c>
      <c r="U149" t="str" cm="1">
        <f t="array" ref="U14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49" t="str" cm="1">
        <f t="array" ref="V149">_xlfn.IFS(tbl_working_daily[[#This Row],[VeryActiveMinutes]]&gt;=30,"Very Active",tbl_working_daily[[#This Row],[VeryActiveMinutes]]&gt;=15,"Moderately Active",tbl_working_daily[[#This Row],[VeryActiveMinutes]]&gt;=1,"Lightly Active",tbl_working_daily[[#This Row],[VeryActiveMinutes]]=0,"Sedentary")</f>
        <v>Sedentary</v>
      </c>
      <c r="W149" t="str">
        <f>tbl_working_daily[[#This Row],[Id]]&amp;"|"&amp;TEXT(tbl_working_daily[[#This Row],[ActivityDate]],"yyyy-mm-dd")</f>
        <v>3372868164|2016-04-05</v>
      </c>
      <c r="X149" t="b">
        <f>ISNUMBER(MATCH(tbl_working_daily[[#This Row],[LookupKey]],tbl_working_sleep[LookupKey],0))</f>
        <v>0</v>
      </c>
    </row>
    <row r="150" spans="1:24" x14ac:dyDescent="0.3">
      <c r="A150">
        <v>3372868164</v>
      </c>
      <c r="B150" s="1">
        <v>42466</v>
      </c>
      <c r="C150">
        <v>6406</v>
      </c>
      <c r="D150">
        <v>4.3899998664856001</v>
      </c>
      <c r="E150">
        <v>4.3899998664856001</v>
      </c>
      <c r="F150">
        <v>0</v>
      </c>
      <c r="G150">
        <v>0.77999997138977095</v>
      </c>
      <c r="H150">
        <v>9.00000035762787E-2</v>
      </c>
      <c r="I150">
        <v>3.5199999809265101</v>
      </c>
      <c r="J150">
        <v>9.9999997764825804E-3</v>
      </c>
      <c r="K150">
        <v>17</v>
      </c>
      <c r="L150">
        <v>4</v>
      </c>
      <c r="M150">
        <v>325</v>
      </c>
      <c r="N150">
        <v>1094</v>
      </c>
      <c r="O150">
        <v>2010</v>
      </c>
      <c r="P150" t="str">
        <f>TEXT(tbl_working_daily[[#This Row],[ActivityDate]],"dddd")</f>
        <v>Wednesday</v>
      </c>
      <c r="Q150" t="str">
        <f>TEXT(tbl_working_daily[[#This Row],[ActivityDate]],"mmmm")</f>
        <v>April</v>
      </c>
      <c r="R150">
        <f t="shared" si="4"/>
        <v>346</v>
      </c>
      <c r="S150">
        <f t="shared" si="5"/>
        <v>1440</v>
      </c>
      <c r="T150">
        <f>ROUND(tbl_working_daily[[#This Row],[SedentaryMinutes]]/60,2)</f>
        <v>18.23</v>
      </c>
      <c r="U150" t="str" cm="1">
        <f t="array" ref="U15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50" t="str" cm="1">
        <f t="array" ref="V150">_xlfn.IFS(tbl_working_daily[[#This Row],[VeryActiveMinutes]]&gt;=30,"Very Active",tbl_working_daily[[#This Row],[VeryActiveMinutes]]&gt;=15,"Moderately Active",tbl_working_daily[[#This Row],[VeryActiveMinutes]]&gt;=1,"Lightly Active",tbl_working_daily[[#This Row],[VeryActiveMinutes]]=0,"Sedentary")</f>
        <v>Moderately Active</v>
      </c>
      <c r="W150" t="str">
        <f>tbl_working_daily[[#This Row],[Id]]&amp;"|"&amp;TEXT(tbl_working_daily[[#This Row],[ActivityDate]],"yyyy-mm-dd")</f>
        <v>3372868164|2016-04-06</v>
      </c>
      <c r="X150" t="b">
        <f>ISNUMBER(MATCH(tbl_working_daily[[#This Row],[LookupKey]],tbl_working_sleep[LookupKey],0))</f>
        <v>0</v>
      </c>
    </row>
    <row r="151" spans="1:24" x14ac:dyDescent="0.3">
      <c r="A151">
        <v>3372868164</v>
      </c>
      <c r="B151" s="1">
        <v>42467</v>
      </c>
      <c r="C151">
        <v>7392</v>
      </c>
      <c r="D151">
        <v>5.0999999046325701</v>
      </c>
      <c r="E151">
        <v>5.0999999046325701</v>
      </c>
      <c r="F151">
        <v>0</v>
      </c>
      <c r="G151">
        <v>0.87000000476837203</v>
      </c>
      <c r="H151">
        <v>0.15999999642372101</v>
      </c>
      <c r="I151">
        <v>4.0500001907348597</v>
      </c>
      <c r="J151">
        <v>1.9999999552965199E-2</v>
      </c>
      <c r="K151">
        <v>14</v>
      </c>
      <c r="L151">
        <v>9</v>
      </c>
      <c r="M151">
        <v>332</v>
      </c>
      <c r="N151">
        <v>1085</v>
      </c>
      <c r="O151">
        <v>2038</v>
      </c>
      <c r="P151" t="str">
        <f>TEXT(tbl_working_daily[[#This Row],[ActivityDate]],"dddd")</f>
        <v>Thursday</v>
      </c>
      <c r="Q151" t="str">
        <f>TEXT(tbl_working_daily[[#This Row],[ActivityDate]],"mmmm")</f>
        <v>April</v>
      </c>
      <c r="R151">
        <f t="shared" si="4"/>
        <v>355</v>
      </c>
      <c r="S151">
        <f t="shared" si="5"/>
        <v>1440</v>
      </c>
      <c r="T151">
        <f>ROUND(tbl_working_daily[[#This Row],[SedentaryMinutes]]/60,2)</f>
        <v>18.079999999999998</v>
      </c>
      <c r="U151" t="str" cm="1">
        <f t="array" ref="U15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51" t="str" cm="1">
        <f t="array" ref="V151">_xlfn.IFS(tbl_working_daily[[#This Row],[VeryActiveMinutes]]&gt;=30,"Very Active",tbl_working_daily[[#This Row],[VeryActiveMinutes]]&gt;=15,"Moderately Active",tbl_working_daily[[#This Row],[VeryActiveMinutes]]&gt;=1,"Lightly Active",tbl_working_daily[[#This Row],[VeryActiveMinutes]]=0,"Sedentary")</f>
        <v>Lightly Active</v>
      </c>
      <c r="W151" t="str">
        <f>tbl_working_daily[[#This Row],[Id]]&amp;"|"&amp;TEXT(tbl_working_daily[[#This Row],[ActivityDate]],"yyyy-mm-dd")</f>
        <v>3372868164|2016-04-07</v>
      </c>
      <c r="X151" t="b">
        <f>ISNUMBER(MATCH(tbl_working_daily[[#This Row],[LookupKey]],tbl_working_sleep[LookupKey],0))</f>
        <v>0</v>
      </c>
    </row>
    <row r="152" spans="1:24" x14ac:dyDescent="0.3">
      <c r="A152">
        <v>3372868164</v>
      </c>
      <c r="B152" s="1">
        <v>42468</v>
      </c>
      <c r="C152">
        <v>5551</v>
      </c>
      <c r="D152">
        <v>3.78999996185303</v>
      </c>
      <c r="E152">
        <v>3.78999996185303</v>
      </c>
      <c r="F152">
        <v>0</v>
      </c>
      <c r="G152">
        <v>0</v>
      </c>
      <c r="H152">
        <v>0</v>
      </c>
      <c r="I152">
        <v>3.7699999809265101</v>
      </c>
      <c r="J152">
        <v>9.9999997764825804E-3</v>
      </c>
      <c r="K152">
        <v>0</v>
      </c>
      <c r="L152">
        <v>0</v>
      </c>
      <c r="M152">
        <v>282</v>
      </c>
      <c r="N152">
        <v>1158</v>
      </c>
      <c r="O152">
        <v>1815</v>
      </c>
      <c r="P152" t="str">
        <f>TEXT(tbl_working_daily[[#This Row],[ActivityDate]],"dddd")</f>
        <v>Friday</v>
      </c>
      <c r="Q152" t="str">
        <f>TEXT(tbl_working_daily[[#This Row],[ActivityDate]],"mmmm")</f>
        <v>April</v>
      </c>
      <c r="R152">
        <f t="shared" si="4"/>
        <v>282</v>
      </c>
      <c r="S152">
        <f t="shared" si="5"/>
        <v>1440</v>
      </c>
      <c r="T152">
        <f>ROUND(tbl_working_daily[[#This Row],[SedentaryMinutes]]/60,2)</f>
        <v>19.3</v>
      </c>
      <c r="U152" t="str" cm="1">
        <f t="array" ref="U15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52" t="str" cm="1">
        <f t="array" ref="V152">_xlfn.IFS(tbl_working_daily[[#This Row],[VeryActiveMinutes]]&gt;=30,"Very Active",tbl_working_daily[[#This Row],[VeryActiveMinutes]]&gt;=15,"Moderately Active",tbl_working_daily[[#This Row],[VeryActiveMinutes]]&gt;=1,"Lightly Active",tbl_working_daily[[#This Row],[VeryActiveMinutes]]=0,"Sedentary")</f>
        <v>Sedentary</v>
      </c>
      <c r="W152" t="str">
        <f>tbl_working_daily[[#This Row],[Id]]&amp;"|"&amp;TEXT(tbl_working_daily[[#This Row],[ActivityDate]],"yyyy-mm-dd")</f>
        <v>3372868164|2016-04-08</v>
      </c>
      <c r="X152" t="b">
        <f>ISNUMBER(MATCH(tbl_working_daily[[#This Row],[LookupKey]],tbl_working_sleep[LookupKey],0))</f>
        <v>0</v>
      </c>
    </row>
    <row r="153" spans="1:24" x14ac:dyDescent="0.3">
      <c r="A153">
        <v>3372868164</v>
      </c>
      <c r="B153" s="1">
        <v>42469</v>
      </c>
      <c r="C153">
        <v>8827</v>
      </c>
      <c r="D153">
        <v>6.25</v>
      </c>
      <c r="E153">
        <v>6.25</v>
      </c>
      <c r="F153">
        <v>0</v>
      </c>
      <c r="G153">
        <v>1.7699999809265099</v>
      </c>
      <c r="H153">
        <v>0.479999989271164</v>
      </c>
      <c r="I153">
        <v>4</v>
      </c>
      <c r="J153">
        <v>9.9999997764825804E-3</v>
      </c>
      <c r="K153">
        <v>21</v>
      </c>
      <c r="L153">
        <v>10</v>
      </c>
      <c r="M153">
        <v>346</v>
      </c>
      <c r="N153">
        <v>1063</v>
      </c>
      <c r="O153">
        <v>2062</v>
      </c>
      <c r="P153" t="str">
        <f>TEXT(tbl_working_daily[[#This Row],[ActivityDate]],"dddd")</f>
        <v>Saturday</v>
      </c>
      <c r="Q153" t="str">
        <f>TEXT(tbl_working_daily[[#This Row],[ActivityDate]],"mmmm")</f>
        <v>April</v>
      </c>
      <c r="R153">
        <f t="shared" si="4"/>
        <v>377</v>
      </c>
      <c r="S153">
        <f t="shared" si="5"/>
        <v>1440</v>
      </c>
      <c r="T153">
        <f>ROUND(tbl_working_daily[[#This Row],[SedentaryMinutes]]/60,2)</f>
        <v>17.72</v>
      </c>
      <c r="U153" t="str" cm="1">
        <f t="array" ref="U15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53" t="str" cm="1">
        <f t="array" ref="V153">_xlfn.IFS(tbl_working_daily[[#This Row],[VeryActiveMinutes]]&gt;=30,"Very Active",tbl_working_daily[[#This Row],[VeryActiveMinutes]]&gt;=15,"Moderately Active",tbl_working_daily[[#This Row],[VeryActiveMinutes]]&gt;=1,"Lightly Active",tbl_working_daily[[#This Row],[VeryActiveMinutes]]=0,"Sedentary")</f>
        <v>Moderately Active</v>
      </c>
      <c r="W153" t="str">
        <f>tbl_working_daily[[#This Row],[Id]]&amp;"|"&amp;TEXT(tbl_working_daily[[#This Row],[ActivityDate]],"yyyy-mm-dd")</f>
        <v>3372868164|2016-04-09</v>
      </c>
      <c r="X153" t="b">
        <f>ISNUMBER(MATCH(tbl_working_daily[[#This Row],[LookupKey]],tbl_working_sleep[LookupKey],0))</f>
        <v>0</v>
      </c>
    </row>
    <row r="154" spans="1:24" x14ac:dyDescent="0.3">
      <c r="A154">
        <v>3372868164</v>
      </c>
      <c r="B154" s="1">
        <v>42470</v>
      </c>
      <c r="C154">
        <v>4662</v>
      </c>
      <c r="D154">
        <v>3.1800000667571999</v>
      </c>
      <c r="E154">
        <v>3.1800000667571999</v>
      </c>
      <c r="F154">
        <v>0</v>
      </c>
      <c r="G154">
        <v>1.03999996185303</v>
      </c>
      <c r="H154">
        <v>0.15000000596046401</v>
      </c>
      <c r="I154">
        <v>1.9900000095367401</v>
      </c>
      <c r="J154">
        <v>0</v>
      </c>
      <c r="K154">
        <v>22</v>
      </c>
      <c r="L154">
        <v>4</v>
      </c>
      <c r="M154">
        <v>152</v>
      </c>
      <c r="N154">
        <v>735</v>
      </c>
      <c r="O154">
        <v>1276</v>
      </c>
      <c r="P154" t="str">
        <f>TEXT(tbl_working_daily[[#This Row],[ActivityDate]],"dddd")</f>
        <v>Sunday</v>
      </c>
      <c r="Q154" t="str">
        <f>TEXT(tbl_working_daily[[#This Row],[ActivityDate]],"mmmm")</f>
        <v>April</v>
      </c>
      <c r="R154">
        <f t="shared" si="4"/>
        <v>178</v>
      </c>
      <c r="S154">
        <f t="shared" si="5"/>
        <v>913</v>
      </c>
      <c r="T154">
        <f>ROUND(tbl_working_daily[[#This Row],[SedentaryMinutes]]/60,2)</f>
        <v>12.25</v>
      </c>
      <c r="U154" t="str" cm="1">
        <f t="array" ref="U15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54" t="str" cm="1">
        <f t="array" ref="V154">_xlfn.IFS(tbl_working_daily[[#This Row],[VeryActiveMinutes]]&gt;=30,"Very Active",tbl_working_daily[[#This Row],[VeryActiveMinutes]]&gt;=15,"Moderately Active",tbl_working_daily[[#This Row],[VeryActiveMinutes]]&gt;=1,"Lightly Active",tbl_working_daily[[#This Row],[VeryActiveMinutes]]=0,"Sedentary")</f>
        <v>Moderately Active</v>
      </c>
      <c r="W154" t="str">
        <f>tbl_working_daily[[#This Row],[Id]]&amp;"|"&amp;TEXT(tbl_working_daily[[#This Row],[ActivityDate]],"yyyy-mm-dd")</f>
        <v>3372868164|2016-04-10</v>
      </c>
      <c r="X154" t="b">
        <f>ISNUMBER(MATCH(tbl_working_daily[[#This Row],[LookupKey]],tbl_working_sleep[LookupKey],0))</f>
        <v>0</v>
      </c>
    </row>
    <row r="155" spans="1:24" x14ac:dyDescent="0.3">
      <c r="A155">
        <v>3977333714</v>
      </c>
      <c r="B155" s="1">
        <v>42461</v>
      </c>
      <c r="C155">
        <v>4499</v>
      </c>
      <c r="D155">
        <v>3.0099999904632599</v>
      </c>
      <c r="E155">
        <v>3.0099999904632599</v>
      </c>
      <c r="F155">
        <v>0</v>
      </c>
      <c r="G155">
        <v>0</v>
      </c>
      <c r="H155">
        <v>0</v>
      </c>
      <c r="I155">
        <v>3.0099999904632599</v>
      </c>
      <c r="J155">
        <v>0</v>
      </c>
      <c r="K155">
        <v>0</v>
      </c>
      <c r="L155">
        <v>0</v>
      </c>
      <c r="M155">
        <v>168</v>
      </c>
      <c r="N155">
        <v>842</v>
      </c>
      <c r="O155">
        <v>1288</v>
      </c>
      <c r="P155" t="str">
        <f>TEXT(tbl_working_daily[[#This Row],[ActivityDate]],"dddd")</f>
        <v>Friday</v>
      </c>
      <c r="Q155" t="str">
        <f>TEXT(tbl_working_daily[[#This Row],[ActivityDate]],"mmmm")</f>
        <v>April</v>
      </c>
      <c r="R155">
        <f t="shared" si="4"/>
        <v>168</v>
      </c>
      <c r="S155">
        <f t="shared" si="5"/>
        <v>1010</v>
      </c>
      <c r="T155">
        <f>ROUND(tbl_working_daily[[#This Row],[SedentaryMinutes]]/60,2)</f>
        <v>14.03</v>
      </c>
      <c r="U155" t="str" cm="1">
        <f t="array" ref="U15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55" t="str" cm="1">
        <f t="array" ref="V155">_xlfn.IFS(tbl_working_daily[[#This Row],[VeryActiveMinutes]]&gt;=30,"Very Active",tbl_working_daily[[#This Row],[VeryActiveMinutes]]&gt;=15,"Moderately Active",tbl_working_daily[[#This Row],[VeryActiveMinutes]]&gt;=1,"Lightly Active",tbl_working_daily[[#This Row],[VeryActiveMinutes]]=0,"Sedentary")</f>
        <v>Sedentary</v>
      </c>
      <c r="W155" t="str">
        <f>tbl_working_daily[[#This Row],[Id]]&amp;"|"&amp;TEXT(tbl_working_daily[[#This Row],[ActivityDate]],"yyyy-mm-dd")</f>
        <v>3977333714|2016-04-01</v>
      </c>
      <c r="X155" t="b">
        <f>ISNUMBER(MATCH(tbl_working_daily[[#This Row],[LookupKey]],tbl_working_sleep[LookupKey],0))</f>
        <v>0</v>
      </c>
    </row>
    <row r="156" spans="1:24" x14ac:dyDescent="0.3">
      <c r="A156">
        <v>3977333714</v>
      </c>
      <c r="B156" s="1">
        <v>42462</v>
      </c>
      <c r="C156">
        <v>7618</v>
      </c>
      <c r="D156">
        <v>5.0999999046325701</v>
      </c>
      <c r="E156">
        <v>5.0999999046325701</v>
      </c>
      <c r="F156">
        <v>0</v>
      </c>
      <c r="G156">
        <v>0</v>
      </c>
      <c r="H156">
        <v>0.18000000715255701</v>
      </c>
      <c r="I156">
        <v>4.9099998474121103</v>
      </c>
      <c r="J156">
        <v>0</v>
      </c>
      <c r="K156">
        <v>0</v>
      </c>
      <c r="L156">
        <v>6</v>
      </c>
      <c r="M156">
        <v>302</v>
      </c>
      <c r="N156">
        <v>842</v>
      </c>
      <c r="O156">
        <v>1490</v>
      </c>
      <c r="P156" t="str">
        <f>TEXT(tbl_working_daily[[#This Row],[ActivityDate]],"dddd")</f>
        <v>Saturday</v>
      </c>
      <c r="Q156" t="str">
        <f>TEXT(tbl_working_daily[[#This Row],[ActivityDate]],"mmmm")</f>
        <v>April</v>
      </c>
      <c r="R156">
        <f t="shared" si="4"/>
        <v>308</v>
      </c>
      <c r="S156">
        <f t="shared" si="5"/>
        <v>1150</v>
      </c>
      <c r="T156">
        <f>ROUND(tbl_working_daily[[#This Row],[SedentaryMinutes]]/60,2)</f>
        <v>14.03</v>
      </c>
      <c r="U156" t="str" cm="1">
        <f t="array" ref="U15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56" t="str" cm="1">
        <f t="array" ref="V156">_xlfn.IFS(tbl_working_daily[[#This Row],[VeryActiveMinutes]]&gt;=30,"Very Active",tbl_working_daily[[#This Row],[VeryActiveMinutes]]&gt;=15,"Moderately Active",tbl_working_daily[[#This Row],[VeryActiveMinutes]]&gt;=1,"Lightly Active",tbl_working_daily[[#This Row],[VeryActiveMinutes]]=0,"Sedentary")</f>
        <v>Sedentary</v>
      </c>
      <c r="W156" t="str">
        <f>tbl_working_daily[[#This Row],[Id]]&amp;"|"&amp;TEXT(tbl_working_daily[[#This Row],[ActivityDate]],"yyyy-mm-dd")</f>
        <v>3977333714|2016-04-02</v>
      </c>
      <c r="X156" t="b">
        <f>ISNUMBER(MATCH(tbl_working_daily[[#This Row],[LookupKey]],tbl_working_sleep[LookupKey],0))</f>
        <v>0</v>
      </c>
    </row>
    <row r="157" spans="1:24" x14ac:dyDescent="0.3">
      <c r="A157">
        <v>3977333714</v>
      </c>
      <c r="B157" s="1">
        <v>42463</v>
      </c>
      <c r="C157">
        <v>11508</v>
      </c>
      <c r="D157">
        <v>7.6999998092651403</v>
      </c>
      <c r="E157">
        <v>7.6999998092651403</v>
      </c>
      <c r="F157">
        <v>0</v>
      </c>
      <c r="G157">
        <v>2.1700000762939502</v>
      </c>
      <c r="H157">
        <v>0.83999997377395597</v>
      </c>
      <c r="I157">
        <v>4.6900000572204599</v>
      </c>
      <c r="J157">
        <v>0</v>
      </c>
      <c r="K157">
        <v>29</v>
      </c>
      <c r="L157">
        <v>22</v>
      </c>
      <c r="M157">
        <v>282</v>
      </c>
      <c r="N157">
        <v>748</v>
      </c>
      <c r="O157">
        <v>1630</v>
      </c>
      <c r="P157" t="str">
        <f>TEXT(tbl_working_daily[[#This Row],[ActivityDate]],"dddd")</f>
        <v>Sunday</v>
      </c>
      <c r="Q157" t="str">
        <f>TEXT(tbl_working_daily[[#This Row],[ActivityDate]],"mmmm")</f>
        <v>April</v>
      </c>
      <c r="R157">
        <f t="shared" si="4"/>
        <v>333</v>
      </c>
      <c r="S157">
        <f t="shared" si="5"/>
        <v>1081</v>
      </c>
      <c r="T157">
        <f>ROUND(tbl_working_daily[[#This Row],[SedentaryMinutes]]/60,2)</f>
        <v>12.47</v>
      </c>
      <c r="U157" t="str" cm="1">
        <f t="array" ref="U15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57" t="str" cm="1">
        <f t="array" ref="V157">_xlfn.IFS(tbl_working_daily[[#This Row],[VeryActiveMinutes]]&gt;=30,"Very Active",tbl_working_daily[[#This Row],[VeryActiveMinutes]]&gt;=15,"Moderately Active",tbl_working_daily[[#This Row],[VeryActiveMinutes]]&gt;=1,"Lightly Active",tbl_working_daily[[#This Row],[VeryActiveMinutes]]=0,"Sedentary")</f>
        <v>Moderately Active</v>
      </c>
      <c r="W157" t="str">
        <f>tbl_working_daily[[#This Row],[Id]]&amp;"|"&amp;TEXT(tbl_working_daily[[#This Row],[ActivityDate]],"yyyy-mm-dd")</f>
        <v>3977333714|2016-04-03</v>
      </c>
      <c r="X157" t="b">
        <f>ISNUMBER(MATCH(tbl_working_daily[[#This Row],[LookupKey]],tbl_working_sleep[LookupKey],0))</f>
        <v>0</v>
      </c>
    </row>
    <row r="158" spans="1:24" x14ac:dyDescent="0.3">
      <c r="A158">
        <v>3977333714</v>
      </c>
      <c r="B158" s="1">
        <v>42464</v>
      </c>
      <c r="C158">
        <v>11943</v>
      </c>
      <c r="D158">
        <v>7.9899997711181596</v>
      </c>
      <c r="E158">
        <v>7.9899997711181596</v>
      </c>
      <c r="F158">
        <v>0</v>
      </c>
      <c r="G158">
        <v>1.0299999713897701</v>
      </c>
      <c r="H158">
        <v>2.0099999904632599</v>
      </c>
      <c r="I158">
        <v>4.9499998092651403</v>
      </c>
      <c r="J158">
        <v>0</v>
      </c>
      <c r="K158">
        <v>16</v>
      </c>
      <c r="L158">
        <v>43</v>
      </c>
      <c r="M158">
        <v>297</v>
      </c>
      <c r="N158">
        <v>710</v>
      </c>
      <c r="O158">
        <v>1648</v>
      </c>
      <c r="P158" t="str">
        <f>TEXT(tbl_working_daily[[#This Row],[ActivityDate]],"dddd")</f>
        <v>Monday</v>
      </c>
      <c r="Q158" t="str">
        <f>TEXT(tbl_working_daily[[#This Row],[ActivityDate]],"mmmm")</f>
        <v>April</v>
      </c>
      <c r="R158">
        <f t="shared" si="4"/>
        <v>356</v>
      </c>
      <c r="S158">
        <f t="shared" si="5"/>
        <v>1066</v>
      </c>
      <c r="T158">
        <f>ROUND(tbl_working_daily[[#This Row],[SedentaryMinutes]]/60,2)</f>
        <v>11.83</v>
      </c>
      <c r="U158" t="str" cm="1">
        <f t="array" ref="U15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58" t="str" cm="1">
        <f t="array" ref="V158">_xlfn.IFS(tbl_working_daily[[#This Row],[VeryActiveMinutes]]&gt;=30,"Very Active",tbl_working_daily[[#This Row],[VeryActiveMinutes]]&gt;=15,"Moderately Active",tbl_working_daily[[#This Row],[VeryActiveMinutes]]&gt;=1,"Lightly Active",tbl_working_daily[[#This Row],[VeryActiveMinutes]]=0,"Sedentary")</f>
        <v>Moderately Active</v>
      </c>
      <c r="W158" t="str">
        <f>tbl_working_daily[[#This Row],[Id]]&amp;"|"&amp;TEXT(tbl_working_daily[[#This Row],[ActivityDate]],"yyyy-mm-dd")</f>
        <v>3977333714|2016-04-04</v>
      </c>
      <c r="X158" t="b">
        <f>ISNUMBER(MATCH(tbl_working_daily[[#This Row],[LookupKey]],tbl_working_sleep[LookupKey],0))</f>
        <v>0</v>
      </c>
    </row>
    <row r="159" spans="1:24" x14ac:dyDescent="0.3">
      <c r="A159">
        <v>3977333714</v>
      </c>
      <c r="B159" s="1">
        <v>42465</v>
      </c>
      <c r="C159">
        <v>12303</v>
      </c>
      <c r="D159">
        <v>8.2299995422363299</v>
      </c>
      <c r="E159">
        <v>8.2299995422363299</v>
      </c>
      <c r="F159">
        <v>0</v>
      </c>
      <c r="G159">
        <v>1.71000003814697</v>
      </c>
      <c r="H159">
        <v>1.3500000238418599</v>
      </c>
      <c r="I159">
        <v>5.1700000762939498</v>
      </c>
      <c r="J159">
        <v>0</v>
      </c>
      <c r="K159">
        <v>26</v>
      </c>
      <c r="L159">
        <v>32</v>
      </c>
      <c r="M159">
        <v>291</v>
      </c>
      <c r="N159">
        <v>605</v>
      </c>
      <c r="O159">
        <v>1649</v>
      </c>
      <c r="P159" t="str">
        <f>TEXT(tbl_working_daily[[#This Row],[ActivityDate]],"dddd")</f>
        <v>Tuesday</v>
      </c>
      <c r="Q159" t="str">
        <f>TEXT(tbl_working_daily[[#This Row],[ActivityDate]],"mmmm")</f>
        <v>April</v>
      </c>
      <c r="R159">
        <f t="shared" si="4"/>
        <v>349</v>
      </c>
      <c r="S159">
        <f t="shared" si="5"/>
        <v>954</v>
      </c>
      <c r="T159">
        <f>ROUND(tbl_working_daily[[#This Row],[SedentaryMinutes]]/60,2)</f>
        <v>10.08</v>
      </c>
      <c r="U159" t="str" cm="1">
        <f t="array" ref="U15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59" t="str" cm="1">
        <f t="array" ref="V159">_xlfn.IFS(tbl_working_daily[[#This Row],[VeryActiveMinutes]]&gt;=30,"Very Active",tbl_working_daily[[#This Row],[VeryActiveMinutes]]&gt;=15,"Moderately Active",tbl_working_daily[[#This Row],[VeryActiveMinutes]]&gt;=1,"Lightly Active",tbl_working_daily[[#This Row],[VeryActiveMinutes]]=0,"Sedentary")</f>
        <v>Moderately Active</v>
      </c>
      <c r="W159" t="str">
        <f>tbl_working_daily[[#This Row],[Id]]&amp;"|"&amp;TEXT(tbl_working_daily[[#This Row],[ActivityDate]],"yyyy-mm-dd")</f>
        <v>3977333714|2016-04-05</v>
      </c>
      <c r="X159" t="b">
        <f>ISNUMBER(MATCH(tbl_working_daily[[#This Row],[LookupKey]],tbl_working_sleep[LookupKey],0))</f>
        <v>0</v>
      </c>
    </row>
    <row r="160" spans="1:24" x14ac:dyDescent="0.3">
      <c r="A160">
        <v>3977333714</v>
      </c>
      <c r="B160" s="1">
        <v>42466</v>
      </c>
      <c r="C160">
        <v>15425</v>
      </c>
      <c r="D160">
        <v>10.319999694824199</v>
      </c>
      <c r="E160">
        <v>10.319999694824199</v>
      </c>
      <c r="F160">
        <v>0</v>
      </c>
      <c r="G160">
        <v>1.62000000476837</v>
      </c>
      <c r="H160">
        <v>1.8200000524520901</v>
      </c>
      <c r="I160">
        <v>6.8699998855590803</v>
      </c>
      <c r="J160">
        <v>0</v>
      </c>
      <c r="K160">
        <v>24</v>
      </c>
      <c r="L160">
        <v>45</v>
      </c>
      <c r="M160">
        <v>331</v>
      </c>
      <c r="N160">
        <v>614</v>
      </c>
      <c r="O160">
        <v>1783</v>
      </c>
      <c r="P160" t="str">
        <f>TEXT(tbl_working_daily[[#This Row],[ActivityDate]],"dddd")</f>
        <v>Wednesday</v>
      </c>
      <c r="Q160" t="str">
        <f>TEXT(tbl_working_daily[[#This Row],[ActivityDate]],"mmmm")</f>
        <v>April</v>
      </c>
      <c r="R160">
        <f t="shared" si="4"/>
        <v>400</v>
      </c>
      <c r="S160">
        <f t="shared" si="5"/>
        <v>1014</v>
      </c>
      <c r="T160">
        <f>ROUND(tbl_working_daily[[#This Row],[SedentaryMinutes]]/60,2)</f>
        <v>10.23</v>
      </c>
      <c r="U160" t="str" cm="1">
        <f t="array" ref="U16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60" t="str" cm="1">
        <f t="array" ref="V160">_xlfn.IFS(tbl_working_daily[[#This Row],[VeryActiveMinutes]]&gt;=30,"Very Active",tbl_working_daily[[#This Row],[VeryActiveMinutes]]&gt;=15,"Moderately Active",tbl_working_daily[[#This Row],[VeryActiveMinutes]]&gt;=1,"Lightly Active",tbl_working_daily[[#This Row],[VeryActiveMinutes]]=0,"Sedentary")</f>
        <v>Moderately Active</v>
      </c>
      <c r="W160" t="str">
        <f>tbl_working_daily[[#This Row],[Id]]&amp;"|"&amp;TEXT(tbl_working_daily[[#This Row],[ActivityDate]],"yyyy-mm-dd")</f>
        <v>3977333714|2016-04-06</v>
      </c>
      <c r="X160" t="b">
        <f>ISNUMBER(MATCH(tbl_working_daily[[#This Row],[LookupKey]],tbl_working_sleep[LookupKey],0))</f>
        <v>0</v>
      </c>
    </row>
    <row r="161" spans="1:24" x14ac:dyDescent="0.3">
      <c r="A161">
        <v>3977333714</v>
      </c>
      <c r="B161" s="1">
        <v>42467</v>
      </c>
      <c r="C161">
        <v>8422</v>
      </c>
      <c r="D161">
        <v>5.6300001144409197</v>
      </c>
      <c r="E161">
        <v>5.6300001144409197</v>
      </c>
      <c r="F161">
        <v>0</v>
      </c>
      <c r="G161">
        <v>0</v>
      </c>
      <c r="H161">
        <v>3.5999999046325701</v>
      </c>
      <c r="I161">
        <v>2.03999996185303</v>
      </c>
      <c r="J161">
        <v>0</v>
      </c>
      <c r="K161">
        <v>0</v>
      </c>
      <c r="L161">
        <v>81</v>
      </c>
      <c r="M161">
        <v>139</v>
      </c>
      <c r="N161">
        <v>815</v>
      </c>
      <c r="O161">
        <v>1431</v>
      </c>
      <c r="P161" t="str">
        <f>TEXT(tbl_working_daily[[#This Row],[ActivityDate]],"dddd")</f>
        <v>Thursday</v>
      </c>
      <c r="Q161" t="str">
        <f>TEXT(tbl_working_daily[[#This Row],[ActivityDate]],"mmmm")</f>
        <v>April</v>
      </c>
      <c r="R161">
        <f t="shared" si="4"/>
        <v>220</v>
      </c>
      <c r="S161">
        <f t="shared" si="5"/>
        <v>1035</v>
      </c>
      <c r="T161">
        <f>ROUND(tbl_working_daily[[#This Row],[SedentaryMinutes]]/60,2)</f>
        <v>13.58</v>
      </c>
      <c r="U161" t="str" cm="1">
        <f t="array" ref="U16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61" t="str" cm="1">
        <f t="array" ref="V161">_xlfn.IFS(tbl_working_daily[[#This Row],[VeryActiveMinutes]]&gt;=30,"Very Active",tbl_working_daily[[#This Row],[VeryActiveMinutes]]&gt;=15,"Moderately Active",tbl_working_daily[[#This Row],[VeryActiveMinutes]]&gt;=1,"Lightly Active",tbl_working_daily[[#This Row],[VeryActiveMinutes]]=0,"Sedentary")</f>
        <v>Sedentary</v>
      </c>
      <c r="W161" t="str">
        <f>tbl_working_daily[[#This Row],[Id]]&amp;"|"&amp;TEXT(tbl_working_daily[[#This Row],[ActivityDate]],"yyyy-mm-dd")</f>
        <v>3977333714|2016-04-07</v>
      </c>
      <c r="X161" t="b">
        <f>ISNUMBER(MATCH(tbl_working_daily[[#This Row],[LookupKey]],tbl_working_sleep[LookupKey],0))</f>
        <v>0</v>
      </c>
    </row>
    <row r="162" spans="1:24" x14ac:dyDescent="0.3">
      <c r="A162">
        <v>3977333714</v>
      </c>
      <c r="B162" s="1">
        <v>42468</v>
      </c>
      <c r="C162">
        <v>10226</v>
      </c>
      <c r="D162">
        <v>6.8400001525878897</v>
      </c>
      <c r="E162">
        <v>6.8400001525878897</v>
      </c>
      <c r="F162">
        <v>0</v>
      </c>
      <c r="G162">
        <v>0</v>
      </c>
      <c r="H162">
        <v>4.4400000572204599</v>
      </c>
      <c r="I162">
        <v>2.4000000953674299</v>
      </c>
      <c r="J162">
        <v>0</v>
      </c>
      <c r="K162">
        <v>0</v>
      </c>
      <c r="L162">
        <v>101</v>
      </c>
      <c r="M162">
        <v>174</v>
      </c>
      <c r="N162">
        <v>685</v>
      </c>
      <c r="O162">
        <v>1524</v>
      </c>
      <c r="P162" t="str">
        <f>TEXT(tbl_working_daily[[#This Row],[ActivityDate]],"dddd")</f>
        <v>Friday</v>
      </c>
      <c r="Q162" t="str">
        <f>TEXT(tbl_working_daily[[#This Row],[ActivityDate]],"mmmm")</f>
        <v>April</v>
      </c>
      <c r="R162">
        <f t="shared" si="4"/>
        <v>275</v>
      </c>
      <c r="S162">
        <f t="shared" si="5"/>
        <v>960</v>
      </c>
      <c r="T162">
        <f>ROUND(tbl_working_daily[[#This Row],[SedentaryMinutes]]/60,2)</f>
        <v>11.42</v>
      </c>
      <c r="U162" t="str" cm="1">
        <f t="array" ref="U16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62" t="str" cm="1">
        <f t="array" ref="V162">_xlfn.IFS(tbl_working_daily[[#This Row],[VeryActiveMinutes]]&gt;=30,"Very Active",tbl_working_daily[[#This Row],[VeryActiveMinutes]]&gt;=15,"Moderately Active",tbl_working_daily[[#This Row],[VeryActiveMinutes]]&gt;=1,"Lightly Active",tbl_working_daily[[#This Row],[VeryActiveMinutes]]=0,"Sedentary")</f>
        <v>Sedentary</v>
      </c>
      <c r="W162" t="str">
        <f>tbl_working_daily[[#This Row],[Id]]&amp;"|"&amp;TEXT(tbl_working_daily[[#This Row],[ActivityDate]],"yyyy-mm-dd")</f>
        <v>3977333714|2016-04-08</v>
      </c>
      <c r="X162" t="b">
        <f>ISNUMBER(MATCH(tbl_working_daily[[#This Row],[LookupKey]],tbl_working_sleep[LookupKey],0))</f>
        <v>0</v>
      </c>
    </row>
    <row r="163" spans="1:24" x14ac:dyDescent="0.3">
      <c r="A163">
        <v>3977333714</v>
      </c>
      <c r="B163" s="1">
        <v>42469</v>
      </c>
      <c r="C163">
        <v>14583</v>
      </c>
      <c r="D163">
        <v>9.7600002288818395</v>
      </c>
      <c r="E163">
        <v>9.7600002288818395</v>
      </c>
      <c r="F163">
        <v>0</v>
      </c>
      <c r="G163">
        <v>2.4800000190734899</v>
      </c>
      <c r="H163">
        <v>1.7400000095367401</v>
      </c>
      <c r="I163">
        <v>5.5300002098083496</v>
      </c>
      <c r="J163">
        <v>0</v>
      </c>
      <c r="K163">
        <v>35</v>
      </c>
      <c r="L163">
        <v>36</v>
      </c>
      <c r="M163">
        <v>254</v>
      </c>
      <c r="N163">
        <v>697</v>
      </c>
      <c r="O163">
        <v>1697</v>
      </c>
      <c r="P163" t="str">
        <f>TEXT(tbl_working_daily[[#This Row],[ActivityDate]],"dddd")</f>
        <v>Saturday</v>
      </c>
      <c r="Q163" t="str">
        <f>TEXT(tbl_working_daily[[#This Row],[ActivityDate]],"mmmm")</f>
        <v>April</v>
      </c>
      <c r="R163">
        <f t="shared" si="4"/>
        <v>325</v>
      </c>
      <c r="S163">
        <f t="shared" si="5"/>
        <v>1022</v>
      </c>
      <c r="T163">
        <f>ROUND(tbl_working_daily[[#This Row],[SedentaryMinutes]]/60,2)</f>
        <v>11.62</v>
      </c>
      <c r="U163" t="str" cm="1">
        <f t="array" ref="U16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63" t="str" cm="1">
        <f t="array" ref="V163">_xlfn.IFS(tbl_working_daily[[#This Row],[VeryActiveMinutes]]&gt;=30,"Very Active",tbl_working_daily[[#This Row],[VeryActiveMinutes]]&gt;=15,"Moderately Active",tbl_working_daily[[#This Row],[VeryActiveMinutes]]&gt;=1,"Lightly Active",tbl_working_daily[[#This Row],[VeryActiveMinutes]]=0,"Sedentary")</f>
        <v>Very Active</v>
      </c>
      <c r="W163" t="str">
        <f>tbl_working_daily[[#This Row],[Id]]&amp;"|"&amp;TEXT(tbl_working_daily[[#This Row],[ActivityDate]],"yyyy-mm-dd")</f>
        <v>3977333714|2016-04-09</v>
      </c>
      <c r="X163" t="b">
        <f>ISNUMBER(MATCH(tbl_working_daily[[#This Row],[LookupKey]],tbl_working_sleep[LookupKey],0))</f>
        <v>0</v>
      </c>
    </row>
    <row r="164" spans="1:24" x14ac:dyDescent="0.3">
      <c r="A164">
        <v>3977333714</v>
      </c>
      <c r="B164" s="1">
        <v>42470</v>
      </c>
      <c r="C164">
        <v>3573</v>
      </c>
      <c r="D164">
        <v>2.3900001049041699</v>
      </c>
      <c r="E164">
        <v>2.3900001049041699</v>
      </c>
      <c r="F164">
        <v>0</v>
      </c>
      <c r="G164">
        <v>0.93999999761581399</v>
      </c>
      <c r="H164">
        <v>0.40999999642372098</v>
      </c>
      <c r="I164">
        <v>0.97000002861022905</v>
      </c>
      <c r="J164">
        <v>0</v>
      </c>
      <c r="K164">
        <v>15</v>
      </c>
      <c r="L164">
        <v>8</v>
      </c>
      <c r="M164">
        <v>99</v>
      </c>
      <c r="N164">
        <v>866</v>
      </c>
      <c r="O164">
        <v>1232</v>
      </c>
      <c r="P164" t="str">
        <f>TEXT(tbl_working_daily[[#This Row],[ActivityDate]],"dddd")</f>
        <v>Sunday</v>
      </c>
      <c r="Q164" t="str">
        <f>TEXT(tbl_working_daily[[#This Row],[ActivityDate]],"mmmm")</f>
        <v>April</v>
      </c>
      <c r="R164">
        <f t="shared" si="4"/>
        <v>122</v>
      </c>
      <c r="S164">
        <f t="shared" si="5"/>
        <v>988</v>
      </c>
      <c r="T164">
        <f>ROUND(tbl_working_daily[[#This Row],[SedentaryMinutes]]/60,2)</f>
        <v>14.43</v>
      </c>
      <c r="U164" t="str" cm="1">
        <f t="array" ref="U16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64" t="str" cm="1">
        <f t="array" ref="V164">_xlfn.IFS(tbl_working_daily[[#This Row],[VeryActiveMinutes]]&gt;=30,"Very Active",tbl_working_daily[[#This Row],[VeryActiveMinutes]]&gt;=15,"Moderately Active",tbl_working_daily[[#This Row],[VeryActiveMinutes]]&gt;=1,"Lightly Active",tbl_working_daily[[#This Row],[VeryActiveMinutes]]=0,"Sedentary")</f>
        <v>Moderately Active</v>
      </c>
      <c r="W164" t="str">
        <f>tbl_working_daily[[#This Row],[Id]]&amp;"|"&amp;TEXT(tbl_working_daily[[#This Row],[ActivityDate]],"yyyy-mm-dd")</f>
        <v>3977333714|2016-04-10</v>
      </c>
      <c r="X164" t="b">
        <f>ISNUMBER(MATCH(tbl_working_daily[[#This Row],[LookupKey]],tbl_working_sleep[LookupKey],0))</f>
        <v>0</v>
      </c>
    </row>
    <row r="165" spans="1:24" x14ac:dyDescent="0.3">
      <c r="A165">
        <v>3977333714</v>
      </c>
      <c r="B165" s="1">
        <v>42471</v>
      </c>
      <c r="C165">
        <v>3108</v>
      </c>
      <c r="D165">
        <v>2.1400001049041699</v>
      </c>
      <c r="E165">
        <v>2.1400001049041699</v>
      </c>
      <c r="F165">
        <v>0</v>
      </c>
      <c r="G165">
        <v>7.0000000298023196E-2</v>
      </c>
      <c r="H165">
        <v>3.9999999105930301E-2</v>
      </c>
      <c r="I165">
        <v>1.96000003814697</v>
      </c>
      <c r="J165">
        <v>0</v>
      </c>
      <c r="K165">
        <v>1</v>
      </c>
      <c r="L165">
        <v>1</v>
      </c>
      <c r="M165">
        <v>129</v>
      </c>
      <c r="N165">
        <v>894</v>
      </c>
      <c r="O165">
        <v>1223</v>
      </c>
      <c r="P165" t="str">
        <f>TEXT(tbl_working_daily[[#This Row],[ActivityDate]],"dddd")</f>
        <v>Monday</v>
      </c>
      <c r="Q165" t="str">
        <f>TEXT(tbl_working_daily[[#This Row],[ActivityDate]],"mmmm")</f>
        <v>April</v>
      </c>
      <c r="R165">
        <f t="shared" si="4"/>
        <v>131</v>
      </c>
      <c r="S165">
        <f t="shared" si="5"/>
        <v>1025</v>
      </c>
      <c r="T165">
        <f>ROUND(tbl_working_daily[[#This Row],[SedentaryMinutes]]/60,2)</f>
        <v>14.9</v>
      </c>
      <c r="U165" t="str" cm="1">
        <f t="array" ref="U16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65" t="str" cm="1">
        <f t="array" ref="V165">_xlfn.IFS(tbl_working_daily[[#This Row],[VeryActiveMinutes]]&gt;=30,"Very Active",tbl_working_daily[[#This Row],[VeryActiveMinutes]]&gt;=15,"Moderately Active",tbl_working_daily[[#This Row],[VeryActiveMinutes]]&gt;=1,"Lightly Active",tbl_working_daily[[#This Row],[VeryActiveMinutes]]=0,"Sedentary")</f>
        <v>Lightly Active</v>
      </c>
      <c r="W165" t="str">
        <f>tbl_working_daily[[#This Row],[Id]]&amp;"|"&amp;TEXT(tbl_working_daily[[#This Row],[ActivityDate]],"yyyy-mm-dd")</f>
        <v>3977333714|2016-04-11</v>
      </c>
      <c r="X165" t="b">
        <f>ISNUMBER(MATCH(tbl_working_daily[[#This Row],[LookupKey]],tbl_working_sleep[LookupKey],0))</f>
        <v>0</v>
      </c>
    </row>
    <row r="166" spans="1:24" x14ac:dyDescent="0.3">
      <c r="A166">
        <v>3977333714</v>
      </c>
      <c r="B166" s="1">
        <v>42472</v>
      </c>
      <c r="C166">
        <v>759</v>
      </c>
      <c r="D166">
        <v>0.56999999284744296</v>
      </c>
      <c r="E166">
        <v>0.56999999284744296</v>
      </c>
      <c r="F166">
        <v>0</v>
      </c>
      <c r="G166">
        <v>0</v>
      </c>
      <c r="H166">
        <v>0</v>
      </c>
      <c r="I166">
        <v>0.56999999284744296</v>
      </c>
      <c r="J166">
        <v>0</v>
      </c>
      <c r="K166">
        <v>0</v>
      </c>
      <c r="L166">
        <v>0</v>
      </c>
      <c r="M166">
        <v>17</v>
      </c>
      <c r="N166">
        <v>187</v>
      </c>
      <c r="O166">
        <v>182</v>
      </c>
      <c r="P166" t="str">
        <f>TEXT(tbl_working_daily[[#This Row],[ActivityDate]],"dddd")</f>
        <v>Tuesday</v>
      </c>
      <c r="Q166" t="str">
        <f>TEXT(tbl_working_daily[[#This Row],[ActivityDate]],"mmmm")</f>
        <v>April</v>
      </c>
      <c r="R166">
        <f t="shared" si="4"/>
        <v>17</v>
      </c>
      <c r="S166">
        <f t="shared" si="5"/>
        <v>204</v>
      </c>
      <c r="T166">
        <f>ROUND(tbl_working_daily[[#This Row],[SedentaryMinutes]]/60,2)</f>
        <v>3.12</v>
      </c>
      <c r="U166" t="str" cm="1">
        <f t="array" ref="U16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66" t="str" cm="1">
        <f t="array" ref="V166">_xlfn.IFS(tbl_working_daily[[#This Row],[VeryActiveMinutes]]&gt;=30,"Very Active",tbl_working_daily[[#This Row],[VeryActiveMinutes]]&gt;=15,"Moderately Active",tbl_working_daily[[#This Row],[VeryActiveMinutes]]&gt;=1,"Lightly Active",tbl_working_daily[[#This Row],[VeryActiveMinutes]]=0,"Sedentary")</f>
        <v>Sedentary</v>
      </c>
      <c r="W166" t="str">
        <f>tbl_working_daily[[#This Row],[Id]]&amp;"|"&amp;TEXT(tbl_working_daily[[#This Row],[ActivityDate]],"yyyy-mm-dd")</f>
        <v>3977333714|2016-04-12</v>
      </c>
      <c r="X166" t="b">
        <f>ISNUMBER(MATCH(tbl_working_daily[[#This Row],[LookupKey]],tbl_working_sleep[LookupKey],0))</f>
        <v>1</v>
      </c>
    </row>
    <row r="167" spans="1:24" x14ac:dyDescent="0.3">
      <c r="A167">
        <v>4020332650</v>
      </c>
      <c r="B167" s="1">
        <v>42441</v>
      </c>
      <c r="C167">
        <v>5543</v>
      </c>
      <c r="D167">
        <v>3.9700000286102299</v>
      </c>
      <c r="E167">
        <v>3.9700000286102299</v>
      </c>
      <c r="F167">
        <v>0</v>
      </c>
      <c r="G167">
        <v>0</v>
      </c>
      <c r="H167">
        <v>0</v>
      </c>
      <c r="I167">
        <v>3.96000003814697</v>
      </c>
      <c r="J167">
        <v>9.9999997764825804E-3</v>
      </c>
      <c r="K167">
        <v>0</v>
      </c>
      <c r="L167">
        <v>0</v>
      </c>
      <c r="M167">
        <v>254</v>
      </c>
      <c r="N167">
        <v>757</v>
      </c>
      <c r="O167">
        <v>2990</v>
      </c>
      <c r="P167" t="str">
        <f>TEXT(tbl_working_daily[[#This Row],[ActivityDate]],"dddd")</f>
        <v>Saturday</v>
      </c>
      <c r="Q167" t="str">
        <f>TEXT(tbl_working_daily[[#This Row],[ActivityDate]],"mmmm")</f>
        <v>March</v>
      </c>
      <c r="R167">
        <f t="shared" si="4"/>
        <v>254</v>
      </c>
      <c r="S167">
        <f t="shared" si="5"/>
        <v>1011</v>
      </c>
      <c r="T167">
        <f>ROUND(tbl_working_daily[[#This Row],[SedentaryMinutes]]/60,2)</f>
        <v>12.62</v>
      </c>
      <c r="U167" t="str" cm="1">
        <f t="array" ref="U16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67" t="str" cm="1">
        <f t="array" ref="V167">_xlfn.IFS(tbl_working_daily[[#This Row],[VeryActiveMinutes]]&gt;=30,"Very Active",tbl_working_daily[[#This Row],[VeryActiveMinutes]]&gt;=15,"Moderately Active",tbl_working_daily[[#This Row],[VeryActiveMinutes]]&gt;=1,"Lightly Active",tbl_working_daily[[#This Row],[VeryActiveMinutes]]=0,"Sedentary")</f>
        <v>Sedentary</v>
      </c>
      <c r="W167" t="str">
        <f>tbl_working_daily[[#This Row],[Id]]&amp;"|"&amp;TEXT(tbl_working_daily[[#This Row],[ActivityDate]],"yyyy-mm-dd")</f>
        <v>4020332650|2016-03-12</v>
      </c>
      <c r="X167" t="b">
        <f>ISNUMBER(MATCH(tbl_working_daily[[#This Row],[LookupKey]],tbl_working_sleep[LookupKey],0))</f>
        <v>0</v>
      </c>
    </row>
    <row r="168" spans="1:24" x14ac:dyDescent="0.3">
      <c r="A168">
        <v>4020332650</v>
      </c>
      <c r="B168" s="1">
        <v>42442</v>
      </c>
      <c r="C168">
        <v>3226</v>
      </c>
      <c r="D168">
        <v>2.3099999427795401</v>
      </c>
      <c r="E168">
        <v>2.3099999427795401</v>
      </c>
      <c r="F168">
        <v>0</v>
      </c>
      <c r="G168">
        <v>0</v>
      </c>
      <c r="H168">
        <v>0</v>
      </c>
      <c r="I168">
        <v>2.2799999713897701</v>
      </c>
      <c r="J168">
        <v>0</v>
      </c>
      <c r="K168">
        <v>0</v>
      </c>
      <c r="L168">
        <v>0</v>
      </c>
      <c r="M168">
        <v>136</v>
      </c>
      <c r="N168">
        <v>771</v>
      </c>
      <c r="O168">
        <v>2480</v>
      </c>
      <c r="P168" t="str">
        <f>TEXT(tbl_working_daily[[#This Row],[ActivityDate]],"dddd")</f>
        <v>Sunday</v>
      </c>
      <c r="Q168" t="str">
        <f>TEXT(tbl_working_daily[[#This Row],[ActivityDate]],"mmmm")</f>
        <v>March</v>
      </c>
      <c r="R168">
        <f t="shared" si="4"/>
        <v>136</v>
      </c>
      <c r="S168">
        <f t="shared" si="5"/>
        <v>907</v>
      </c>
      <c r="T168">
        <f>ROUND(tbl_working_daily[[#This Row],[SedentaryMinutes]]/60,2)</f>
        <v>12.85</v>
      </c>
      <c r="U168" t="str" cm="1">
        <f t="array" ref="U16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68" t="str" cm="1">
        <f t="array" ref="V168">_xlfn.IFS(tbl_working_daily[[#This Row],[VeryActiveMinutes]]&gt;=30,"Very Active",tbl_working_daily[[#This Row],[VeryActiveMinutes]]&gt;=15,"Moderately Active",tbl_working_daily[[#This Row],[VeryActiveMinutes]]&gt;=1,"Lightly Active",tbl_working_daily[[#This Row],[VeryActiveMinutes]]=0,"Sedentary")</f>
        <v>Sedentary</v>
      </c>
      <c r="W168" t="str">
        <f>tbl_working_daily[[#This Row],[Id]]&amp;"|"&amp;TEXT(tbl_working_daily[[#This Row],[ActivityDate]],"yyyy-mm-dd")</f>
        <v>4020332650|2016-03-13</v>
      </c>
      <c r="X168" t="b">
        <f>ISNUMBER(MATCH(tbl_working_daily[[#This Row],[LookupKey]],tbl_working_sleep[LookupKey],0))</f>
        <v>0</v>
      </c>
    </row>
    <row r="169" spans="1:24" x14ac:dyDescent="0.3">
      <c r="A169">
        <v>4020332650</v>
      </c>
      <c r="B169" s="1">
        <v>42443</v>
      </c>
      <c r="C169">
        <v>3023</v>
      </c>
      <c r="D169">
        <v>2.1700000762939502</v>
      </c>
      <c r="E169">
        <v>2.1700000762939502</v>
      </c>
      <c r="F169">
        <v>0</v>
      </c>
      <c r="G169">
        <v>0</v>
      </c>
      <c r="H169">
        <v>0</v>
      </c>
      <c r="I169">
        <v>2.1400001049041699</v>
      </c>
      <c r="J169">
        <v>0</v>
      </c>
      <c r="K169">
        <v>0</v>
      </c>
      <c r="L169">
        <v>0</v>
      </c>
      <c r="M169">
        <v>145</v>
      </c>
      <c r="N169">
        <v>1005</v>
      </c>
      <c r="O169">
        <v>2570</v>
      </c>
      <c r="P169" t="str">
        <f>TEXT(tbl_working_daily[[#This Row],[ActivityDate]],"dddd")</f>
        <v>Monday</v>
      </c>
      <c r="Q169" t="str">
        <f>TEXT(tbl_working_daily[[#This Row],[ActivityDate]],"mmmm")</f>
        <v>March</v>
      </c>
      <c r="R169">
        <f t="shared" si="4"/>
        <v>145</v>
      </c>
      <c r="S169">
        <f t="shared" si="5"/>
        <v>1150</v>
      </c>
      <c r="T169">
        <f>ROUND(tbl_working_daily[[#This Row],[SedentaryMinutes]]/60,2)</f>
        <v>16.75</v>
      </c>
      <c r="U169" t="str" cm="1">
        <f t="array" ref="U16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69" t="str" cm="1">
        <f t="array" ref="V169">_xlfn.IFS(tbl_working_daily[[#This Row],[VeryActiveMinutes]]&gt;=30,"Very Active",tbl_working_daily[[#This Row],[VeryActiveMinutes]]&gt;=15,"Moderately Active",tbl_working_daily[[#This Row],[VeryActiveMinutes]]&gt;=1,"Lightly Active",tbl_working_daily[[#This Row],[VeryActiveMinutes]]=0,"Sedentary")</f>
        <v>Sedentary</v>
      </c>
      <c r="W169" t="str">
        <f>tbl_working_daily[[#This Row],[Id]]&amp;"|"&amp;TEXT(tbl_working_daily[[#This Row],[ActivityDate]],"yyyy-mm-dd")</f>
        <v>4020332650|2016-03-14</v>
      </c>
      <c r="X169" t="b">
        <f>ISNUMBER(MATCH(tbl_working_daily[[#This Row],[LookupKey]],tbl_working_sleep[LookupKey],0))</f>
        <v>0</v>
      </c>
    </row>
    <row r="170" spans="1:24" x14ac:dyDescent="0.3">
      <c r="A170">
        <v>4020332650</v>
      </c>
      <c r="B170" s="1">
        <v>42444</v>
      </c>
      <c r="C170">
        <v>5906</v>
      </c>
      <c r="D170">
        <v>4.2300000190734899</v>
      </c>
      <c r="E170">
        <v>4.2300000190734899</v>
      </c>
      <c r="F170">
        <v>0</v>
      </c>
      <c r="G170">
        <v>0</v>
      </c>
      <c r="H170">
        <v>0.15999999642372101</v>
      </c>
      <c r="I170">
        <v>4.03999996185303</v>
      </c>
      <c r="J170">
        <v>0</v>
      </c>
      <c r="K170">
        <v>0</v>
      </c>
      <c r="L170">
        <v>10</v>
      </c>
      <c r="M170">
        <v>215</v>
      </c>
      <c r="N170">
        <v>874</v>
      </c>
      <c r="O170">
        <v>3016</v>
      </c>
      <c r="P170" t="str">
        <f>TEXT(tbl_working_daily[[#This Row],[ActivityDate]],"dddd")</f>
        <v>Tuesday</v>
      </c>
      <c r="Q170" t="str">
        <f>TEXT(tbl_working_daily[[#This Row],[ActivityDate]],"mmmm")</f>
        <v>March</v>
      </c>
      <c r="R170">
        <f t="shared" si="4"/>
        <v>225</v>
      </c>
      <c r="S170">
        <f t="shared" si="5"/>
        <v>1099</v>
      </c>
      <c r="T170">
        <f>ROUND(tbl_working_daily[[#This Row],[SedentaryMinutes]]/60,2)</f>
        <v>14.57</v>
      </c>
      <c r="U170" t="str" cm="1">
        <f t="array" ref="U17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70" t="str" cm="1">
        <f t="array" ref="V170">_xlfn.IFS(tbl_working_daily[[#This Row],[VeryActiveMinutes]]&gt;=30,"Very Active",tbl_working_daily[[#This Row],[VeryActiveMinutes]]&gt;=15,"Moderately Active",tbl_working_daily[[#This Row],[VeryActiveMinutes]]&gt;=1,"Lightly Active",tbl_working_daily[[#This Row],[VeryActiveMinutes]]=0,"Sedentary")</f>
        <v>Sedentary</v>
      </c>
      <c r="W170" t="str">
        <f>tbl_working_daily[[#This Row],[Id]]&amp;"|"&amp;TEXT(tbl_working_daily[[#This Row],[ActivityDate]],"yyyy-mm-dd")</f>
        <v>4020332650|2016-03-15</v>
      </c>
      <c r="X170" t="b">
        <f>ISNUMBER(MATCH(tbl_working_daily[[#This Row],[LookupKey]],tbl_working_sleep[LookupKey],0))</f>
        <v>0</v>
      </c>
    </row>
    <row r="171" spans="1:24" x14ac:dyDescent="0.3">
      <c r="A171">
        <v>4020332650</v>
      </c>
      <c r="B171" s="1">
        <v>42445</v>
      </c>
      <c r="C171">
        <v>12483</v>
      </c>
      <c r="D171">
        <v>8.9899997711181605</v>
      </c>
      <c r="E171">
        <v>8.9899997711181605</v>
      </c>
      <c r="F171">
        <v>0</v>
      </c>
      <c r="G171">
        <v>1.45000004768372</v>
      </c>
      <c r="H171">
        <v>0.56999999284744296</v>
      </c>
      <c r="I171">
        <v>6.9000000953674299</v>
      </c>
      <c r="J171">
        <v>0</v>
      </c>
      <c r="K171">
        <v>25</v>
      </c>
      <c r="L171">
        <v>14</v>
      </c>
      <c r="M171">
        <v>309</v>
      </c>
      <c r="N171">
        <v>599</v>
      </c>
      <c r="O171">
        <v>3830</v>
      </c>
      <c r="P171" t="str">
        <f>TEXT(tbl_working_daily[[#This Row],[ActivityDate]],"dddd")</f>
        <v>Wednesday</v>
      </c>
      <c r="Q171" t="str">
        <f>TEXT(tbl_working_daily[[#This Row],[ActivityDate]],"mmmm")</f>
        <v>March</v>
      </c>
      <c r="R171">
        <f t="shared" si="4"/>
        <v>348</v>
      </c>
      <c r="S171">
        <f t="shared" si="5"/>
        <v>947</v>
      </c>
      <c r="T171">
        <f>ROUND(tbl_working_daily[[#This Row],[SedentaryMinutes]]/60,2)</f>
        <v>9.98</v>
      </c>
      <c r="U171" t="str" cm="1">
        <f t="array" ref="U17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71" t="str" cm="1">
        <f t="array" ref="V171">_xlfn.IFS(tbl_working_daily[[#This Row],[VeryActiveMinutes]]&gt;=30,"Very Active",tbl_working_daily[[#This Row],[VeryActiveMinutes]]&gt;=15,"Moderately Active",tbl_working_daily[[#This Row],[VeryActiveMinutes]]&gt;=1,"Lightly Active",tbl_working_daily[[#This Row],[VeryActiveMinutes]]=0,"Sedentary")</f>
        <v>Moderately Active</v>
      </c>
      <c r="W171" t="str">
        <f>tbl_working_daily[[#This Row],[Id]]&amp;"|"&amp;TEXT(tbl_working_daily[[#This Row],[ActivityDate]],"yyyy-mm-dd")</f>
        <v>4020332650|2016-03-16</v>
      </c>
      <c r="X171" t="b">
        <f>ISNUMBER(MATCH(tbl_working_daily[[#This Row],[LookupKey]],tbl_working_sleep[LookupKey],0))</f>
        <v>0</v>
      </c>
    </row>
    <row r="172" spans="1:24" x14ac:dyDescent="0.3">
      <c r="A172">
        <v>4020332650</v>
      </c>
      <c r="B172" s="1">
        <v>42446</v>
      </c>
      <c r="C172">
        <v>8940</v>
      </c>
      <c r="D172">
        <v>6.4099998474121103</v>
      </c>
      <c r="E172">
        <v>6.4099998474121103</v>
      </c>
      <c r="F172">
        <v>0</v>
      </c>
      <c r="G172">
        <v>0</v>
      </c>
      <c r="H172">
        <v>0</v>
      </c>
      <c r="I172">
        <v>0.61000001430511497</v>
      </c>
      <c r="J172">
        <v>3.9999999105930301E-2</v>
      </c>
      <c r="K172">
        <v>0</v>
      </c>
      <c r="L172">
        <v>0</v>
      </c>
      <c r="M172">
        <v>47</v>
      </c>
      <c r="N172">
        <v>986</v>
      </c>
      <c r="O172">
        <v>3706</v>
      </c>
      <c r="P172" t="str">
        <f>TEXT(tbl_working_daily[[#This Row],[ActivityDate]],"dddd")</f>
        <v>Thursday</v>
      </c>
      <c r="Q172" t="str">
        <f>TEXT(tbl_working_daily[[#This Row],[ActivityDate]],"mmmm")</f>
        <v>March</v>
      </c>
      <c r="R172">
        <f t="shared" si="4"/>
        <v>47</v>
      </c>
      <c r="S172">
        <f t="shared" si="5"/>
        <v>1033</v>
      </c>
      <c r="T172">
        <f>ROUND(tbl_working_daily[[#This Row],[SedentaryMinutes]]/60,2)</f>
        <v>16.43</v>
      </c>
      <c r="U172" t="str" cm="1">
        <f t="array" ref="U17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72" t="str" cm="1">
        <f t="array" ref="V172">_xlfn.IFS(tbl_working_daily[[#This Row],[VeryActiveMinutes]]&gt;=30,"Very Active",tbl_working_daily[[#This Row],[VeryActiveMinutes]]&gt;=15,"Moderately Active",tbl_working_daily[[#This Row],[VeryActiveMinutes]]&gt;=1,"Lightly Active",tbl_working_daily[[#This Row],[VeryActiveMinutes]]=0,"Sedentary")</f>
        <v>Sedentary</v>
      </c>
      <c r="W172" t="str">
        <f>tbl_working_daily[[#This Row],[Id]]&amp;"|"&amp;TEXT(tbl_working_daily[[#This Row],[ActivityDate]],"yyyy-mm-dd")</f>
        <v>4020332650|2016-03-17</v>
      </c>
      <c r="X172" t="b">
        <f>ISNUMBER(MATCH(tbl_working_daily[[#This Row],[LookupKey]],tbl_working_sleep[LookupKey],0))</f>
        <v>0</v>
      </c>
    </row>
    <row r="173" spans="1:24" x14ac:dyDescent="0.3">
      <c r="A173">
        <v>4020332650</v>
      </c>
      <c r="B173" s="1">
        <v>42447</v>
      </c>
      <c r="C173">
        <v>368</v>
      </c>
      <c r="D173">
        <v>0.259999990463257</v>
      </c>
      <c r="E173">
        <v>0.259999990463257</v>
      </c>
      <c r="F173">
        <v>0</v>
      </c>
      <c r="G173">
        <v>0</v>
      </c>
      <c r="H173">
        <v>0</v>
      </c>
      <c r="I173">
        <v>0</v>
      </c>
      <c r="J173">
        <v>0</v>
      </c>
      <c r="K173">
        <v>0</v>
      </c>
      <c r="L173">
        <v>0</v>
      </c>
      <c r="M173">
        <v>0</v>
      </c>
      <c r="N173">
        <v>1440</v>
      </c>
      <c r="O173">
        <v>2024</v>
      </c>
      <c r="P173" t="str">
        <f>TEXT(tbl_working_daily[[#This Row],[ActivityDate]],"dddd")</f>
        <v>Friday</v>
      </c>
      <c r="Q173" t="str">
        <f>TEXT(tbl_working_daily[[#This Row],[ActivityDate]],"mmmm")</f>
        <v>March</v>
      </c>
      <c r="R173">
        <f t="shared" si="4"/>
        <v>0</v>
      </c>
      <c r="S173">
        <f t="shared" si="5"/>
        <v>1440</v>
      </c>
      <c r="T173">
        <f>ROUND(tbl_working_daily[[#This Row],[SedentaryMinutes]]/60,2)</f>
        <v>24</v>
      </c>
      <c r="U173" t="str" cm="1">
        <f t="array" ref="U17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73" t="str" cm="1">
        <f t="array" ref="V173">_xlfn.IFS(tbl_working_daily[[#This Row],[VeryActiveMinutes]]&gt;=30,"Very Active",tbl_working_daily[[#This Row],[VeryActiveMinutes]]&gt;=15,"Moderately Active",tbl_working_daily[[#This Row],[VeryActiveMinutes]]&gt;=1,"Lightly Active",tbl_working_daily[[#This Row],[VeryActiveMinutes]]=0,"Sedentary")</f>
        <v>Sedentary</v>
      </c>
      <c r="W173" t="str">
        <f>tbl_working_daily[[#This Row],[Id]]&amp;"|"&amp;TEXT(tbl_working_daily[[#This Row],[ActivityDate]],"yyyy-mm-dd")</f>
        <v>4020332650|2016-03-18</v>
      </c>
      <c r="X173" t="b">
        <f>ISNUMBER(MATCH(tbl_working_daily[[#This Row],[LookupKey]],tbl_working_sleep[LookupKey],0))</f>
        <v>0</v>
      </c>
    </row>
    <row r="174" spans="1:24" x14ac:dyDescent="0.3">
      <c r="A174">
        <v>4020332650</v>
      </c>
      <c r="B174" s="1">
        <v>42448</v>
      </c>
      <c r="C174">
        <v>5702</v>
      </c>
      <c r="D174">
        <v>4.0900001525878897</v>
      </c>
      <c r="E174">
        <v>4.0900001525878897</v>
      </c>
      <c r="F174">
        <v>0</v>
      </c>
      <c r="G174">
        <v>0</v>
      </c>
      <c r="H174">
        <v>0</v>
      </c>
      <c r="I174">
        <v>0</v>
      </c>
      <c r="J174">
        <v>0</v>
      </c>
      <c r="K174">
        <v>0</v>
      </c>
      <c r="L174">
        <v>0</v>
      </c>
      <c r="M174">
        <v>0</v>
      </c>
      <c r="N174">
        <v>1440</v>
      </c>
      <c r="O174">
        <v>2980</v>
      </c>
      <c r="P174" t="str">
        <f>TEXT(tbl_working_daily[[#This Row],[ActivityDate]],"dddd")</f>
        <v>Saturday</v>
      </c>
      <c r="Q174" t="str">
        <f>TEXT(tbl_working_daily[[#This Row],[ActivityDate]],"mmmm")</f>
        <v>March</v>
      </c>
      <c r="R174">
        <f t="shared" si="4"/>
        <v>0</v>
      </c>
      <c r="S174">
        <f t="shared" si="5"/>
        <v>1440</v>
      </c>
      <c r="T174">
        <f>ROUND(tbl_working_daily[[#This Row],[SedentaryMinutes]]/60,2)</f>
        <v>24</v>
      </c>
      <c r="U174" t="str" cm="1">
        <f t="array" ref="U17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74" t="str" cm="1">
        <f t="array" ref="V174">_xlfn.IFS(tbl_working_daily[[#This Row],[VeryActiveMinutes]]&gt;=30,"Very Active",tbl_working_daily[[#This Row],[VeryActiveMinutes]]&gt;=15,"Moderately Active",tbl_working_daily[[#This Row],[VeryActiveMinutes]]&gt;=1,"Lightly Active",tbl_working_daily[[#This Row],[VeryActiveMinutes]]=0,"Sedentary")</f>
        <v>Sedentary</v>
      </c>
      <c r="W174" t="str">
        <f>tbl_working_daily[[#This Row],[Id]]&amp;"|"&amp;TEXT(tbl_working_daily[[#This Row],[ActivityDate]],"yyyy-mm-dd")</f>
        <v>4020332650|2016-03-19</v>
      </c>
      <c r="X174" t="b">
        <f>ISNUMBER(MATCH(tbl_working_daily[[#This Row],[LookupKey]],tbl_working_sleep[LookupKey],0))</f>
        <v>0</v>
      </c>
    </row>
    <row r="175" spans="1:24" x14ac:dyDescent="0.3">
      <c r="A175">
        <v>4020332650</v>
      </c>
      <c r="B175" s="1">
        <v>42449</v>
      </c>
      <c r="C175">
        <v>10330</v>
      </c>
      <c r="D175">
        <v>7.4099998474121103</v>
      </c>
      <c r="E175">
        <v>7.4099998474121103</v>
      </c>
      <c r="F175">
        <v>0</v>
      </c>
      <c r="G175">
        <v>0</v>
      </c>
      <c r="H175">
        <v>0</v>
      </c>
      <c r="I175">
        <v>0</v>
      </c>
      <c r="J175">
        <v>0</v>
      </c>
      <c r="K175">
        <v>0</v>
      </c>
      <c r="L175">
        <v>0</v>
      </c>
      <c r="M175">
        <v>0</v>
      </c>
      <c r="N175">
        <v>1440</v>
      </c>
      <c r="O175">
        <v>3728</v>
      </c>
      <c r="P175" t="str">
        <f>TEXT(tbl_working_daily[[#This Row],[ActivityDate]],"dddd")</f>
        <v>Sunday</v>
      </c>
      <c r="Q175" t="str">
        <f>TEXT(tbl_working_daily[[#This Row],[ActivityDate]],"mmmm")</f>
        <v>March</v>
      </c>
      <c r="R175">
        <f t="shared" si="4"/>
        <v>0</v>
      </c>
      <c r="S175">
        <f t="shared" si="5"/>
        <v>1440</v>
      </c>
      <c r="T175">
        <f>ROUND(tbl_working_daily[[#This Row],[SedentaryMinutes]]/60,2)</f>
        <v>24</v>
      </c>
      <c r="U175" t="str" cm="1">
        <f t="array" ref="U17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75" t="str" cm="1">
        <f t="array" ref="V175">_xlfn.IFS(tbl_working_daily[[#This Row],[VeryActiveMinutes]]&gt;=30,"Very Active",tbl_working_daily[[#This Row],[VeryActiveMinutes]]&gt;=15,"Moderately Active",tbl_working_daily[[#This Row],[VeryActiveMinutes]]&gt;=1,"Lightly Active",tbl_working_daily[[#This Row],[VeryActiveMinutes]]=0,"Sedentary")</f>
        <v>Sedentary</v>
      </c>
      <c r="W175" t="str">
        <f>tbl_working_daily[[#This Row],[Id]]&amp;"|"&amp;TEXT(tbl_working_daily[[#This Row],[ActivityDate]],"yyyy-mm-dd")</f>
        <v>4020332650|2016-03-20</v>
      </c>
      <c r="X175" t="b">
        <f>ISNUMBER(MATCH(tbl_working_daily[[#This Row],[LookupKey]],tbl_working_sleep[LookupKey],0))</f>
        <v>0</v>
      </c>
    </row>
    <row r="176" spans="1:24" x14ac:dyDescent="0.3">
      <c r="A176">
        <v>4020332650</v>
      </c>
      <c r="B176" s="1">
        <v>42450</v>
      </c>
      <c r="C176">
        <v>8778</v>
      </c>
      <c r="D176">
        <v>6.28999996185303</v>
      </c>
      <c r="E176">
        <v>6.28999996185303</v>
      </c>
      <c r="F176">
        <v>0</v>
      </c>
      <c r="G176">
        <v>0</v>
      </c>
      <c r="H176">
        <v>0</v>
      </c>
      <c r="I176">
        <v>0</v>
      </c>
      <c r="J176">
        <v>0</v>
      </c>
      <c r="K176">
        <v>0</v>
      </c>
      <c r="L176">
        <v>0</v>
      </c>
      <c r="M176">
        <v>0</v>
      </c>
      <c r="N176">
        <v>1440</v>
      </c>
      <c r="O176">
        <v>3348</v>
      </c>
      <c r="P176" t="str">
        <f>TEXT(tbl_working_daily[[#This Row],[ActivityDate]],"dddd")</f>
        <v>Monday</v>
      </c>
      <c r="Q176" t="str">
        <f>TEXT(tbl_working_daily[[#This Row],[ActivityDate]],"mmmm")</f>
        <v>March</v>
      </c>
      <c r="R176">
        <f t="shared" si="4"/>
        <v>0</v>
      </c>
      <c r="S176">
        <f t="shared" si="5"/>
        <v>1440</v>
      </c>
      <c r="T176">
        <f>ROUND(tbl_working_daily[[#This Row],[SedentaryMinutes]]/60,2)</f>
        <v>24</v>
      </c>
      <c r="U176" t="str" cm="1">
        <f t="array" ref="U17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76" t="str" cm="1">
        <f t="array" ref="V176">_xlfn.IFS(tbl_working_daily[[#This Row],[VeryActiveMinutes]]&gt;=30,"Very Active",tbl_working_daily[[#This Row],[VeryActiveMinutes]]&gt;=15,"Moderately Active",tbl_working_daily[[#This Row],[VeryActiveMinutes]]&gt;=1,"Lightly Active",tbl_working_daily[[#This Row],[VeryActiveMinutes]]=0,"Sedentary")</f>
        <v>Sedentary</v>
      </c>
      <c r="W176" t="str">
        <f>tbl_working_daily[[#This Row],[Id]]&amp;"|"&amp;TEXT(tbl_working_daily[[#This Row],[ActivityDate]],"yyyy-mm-dd")</f>
        <v>4020332650|2016-03-21</v>
      </c>
      <c r="X176" t="b">
        <f>ISNUMBER(MATCH(tbl_working_daily[[#This Row],[LookupKey]],tbl_working_sleep[LookupKey],0))</f>
        <v>0</v>
      </c>
    </row>
    <row r="177" spans="1:24" x14ac:dyDescent="0.3">
      <c r="A177">
        <v>4020332650</v>
      </c>
      <c r="B177" s="1">
        <v>42451</v>
      </c>
      <c r="C177">
        <v>6662</v>
      </c>
      <c r="D177">
        <v>4.7800002098083496</v>
      </c>
      <c r="E177">
        <v>4.7800002098083496</v>
      </c>
      <c r="F177">
        <v>0</v>
      </c>
      <c r="G177">
        <v>0</v>
      </c>
      <c r="H177">
        <v>0</v>
      </c>
      <c r="I177">
        <v>0</v>
      </c>
      <c r="J177">
        <v>0</v>
      </c>
      <c r="K177">
        <v>0</v>
      </c>
      <c r="L177">
        <v>0</v>
      </c>
      <c r="M177">
        <v>0</v>
      </c>
      <c r="N177">
        <v>1440</v>
      </c>
      <c r="O177">
        <v>3162</v>
      </c>
      <c r="P177" t="str">
        <f>TEXT(tbl_working_daily[[#This Row],[ActivityDate]],"dddd")</f>
        <v>Tuesday</v>
      </c>
      <c r="Q177" t="str">
        <f>TEXT(tbl_working_daily[[#This Row],[ActivityDate]],"mmmm")</f>
        <v>March</v>
      </c>
      <c r="R177">
        <f t="shared" si="4"/>
        <v>0</v>
      </c>
      <c r="S177">
        <f t="shared" si="5"/>
        <v>1440</v>
      </c>
      <c r="T177">
        <f>ROUND(tbl_working_daily[[#This Row],[SedentaryMinutes]]/60,2)</f>
        <v>24</v>
      </c>
      <c r="U177" t="str" cm="1">
        <f t="array" ref="U17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77" t="str" cm="1">
        <f t="array" ref="V177">_xlfn.IFS(tbl_working_daily[[#This Row],[VeryActiveMinutes]]&gt;=30,"Very Active",tbl_working_daily[[#This Row],[VeryActiveMinutes]]&gt;=15,"Moderately Active",tbl_working_daily[[#This Row],[VeryActiveMinutes]]&gt;=1,"Lightly Active",tbl_working_daily[[#This Row],[VeryActiveMinutes]]=0,"Sedentary")</f>
        <v>Sedentary</v>
      </c>
      <c r="W177" t="str">
        <f>tbl_working_daily[[#This Row],[Id]]&amp;"|"&amp;TEXT(tbl_working_daily[[#This Row],[ActivityDate]],"yyyy-mm-dd")</f>
        <v>4020332650|2016-03-22</v>
      </c>
      <c r="X177" t="b">
        <f>ISNUMBER(MATCH(tbl_working_daily[[#This Row],[LookupKey]],tbl_working_sleep[LookupKey],0))</f>
        <v>0</v>
      </c>
    </row>
    <row r="178" spans="1:24" x14ac:dyDescent="0.3">
      <c r="A178">
        <v>4020332650</v>
      </c>
      <c r="B178" s="1">
        <v>42452</v>
      </c>
      <c r="C178">
        <v>6309</v>
      </c>
      <c r="D178">
        <v>4.5199999809265101</v>
      </c>
      <c r="E178">
        <v>4.5199999809265101</v>
      </c>
      <c r="F178">
        <v>0</v>
      </c>
      <c r="G178">
        <v>0</v>
      </c>
      <c r="H178">
        <v>0</v>
      </c>
      <c r="I178">
        <v>0</v>
      </c>
      <c r="J178">
        <v>0</v>
      </c>
      <c r="K178">
        <v>0</v>
      </c>
      <c r="L178">
        <v>0</v>
      </c>
      <c r="M178">
        <v>0</v>
      </c>
      <c r="N178">
        <v>1440</v>
      </c>
      <c r="O178">
        <v>3140</v>
      </c>
      <c r="P178" t="str">
        <f>TEXT(tbl_working_daily[[#This Row],[ActivityDate]],"dddd")</f>
        <v>Wednesday</v>
      </c>
      <c r="Q178" t="str">
        <f>TEXT(tbl_working_daily[[#This Row],[ActivityDate]],"mmmm")</f>
        <v>March</v>
      </c>
      <c r="R178">
        <f t="shared" si="4"/>
        <v>0</v>
      </c>
      <c r="S178">
        <f t="shared" si="5"/>
        <v>1440</v>
      </c>
      <c r="T178">
        <f>ROUND(tbl_working_daily[[#This Row],[SedentaryMinutes]]/60,2)</f>
        <v>24</v>
      </c>
      <c r="U178" t="str" cm="1">
        <f t="array" ref="U17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78" t="str" cm="1">
        <f t="array" ref="V178">_xlfn.IFS(tbl_working_daily[[#This Row],[VeryActiveMinutes]]&gt;=30,"Very Active",tbl_working_daily[[#This Row],[VeryActiveMinutes]]&gt;=15,"Moderately Active",tbl_working_daily[[#This Row],[VeryActiveMinutes]]&gt;=1,"Lightly Active",tbl_working_daily[[#This Row],[VeryActiveMinutes]]=0,"Sedentary")</f>
        <v>Sedentary</v>
      </c>
      <c r="W178" t="str">
        <f>tbl_working_daily[[#This Row],[Id]]&amp;"|"&amp;TEXT(tbl_working_daily[[#This Row],[ActivityDate]],"yyyy-mm-dd")</f>
        <v>4020332650|2016-03-23</v>
      </c>
      <c r="X178" t="b">
        <f>ISNUMBER(MATCH(tbl_working_daily[[#This Row],[LookupKey]],tbl_working_sleep[LookupKey],0))</f>
        <v>0</v>
      </c>
    </row>
    <row r="179" spans="1:24" x14ac:dyDescent="0.3">
      <c r="A179">
        <v>4020332650</v>
      </c>
      <c r="B179" s="1">
        <v>42453</v>
      </c>
      <c r="C179">
        <v>1951</v>
      </c>
      <c r="D179">
        <v>1.4099999666214</v>
      </c>
      <c r="E179">
        <v>1.4099999666214</v>
      </c>
      <c r="F179">
        <v>0</v>
      </c>
      <c r="G179">
        <v>0</v>
      </c>
      <c r="H179">
        <v>0</v>
      </c>
      <c r="I179">
        <v>0</v>
      </c>
      <c r="J179">
        <v>0</v>
      </c>
      <c r="K179">
        <v>0</v>
      </c>
      <c r="L179">
        <v>0</v>
      </c>
      <c r="M179">
        <v>0</v>
      </c>
      <c r="N179">
        <v>1440</v>
      </c>
      <c r="O179">
        <v>1980</v>
      </c>
      <c r="P179" t="str">
        <f>TEXT(tbl_working_daily[[#This Row],[ActivityDate]],"dddd")</f>
        <v>Thursday</v>
      </c>
      <c r="Q179" t="str">
        <f>TEXT(tbl_working_daily[[#This Row],[ActivityDate]],"mmmm")</f>
        <v>March</v>
      </c>
      <c r="R179">
        <f t="shared" si="4"/>
        <v>0</v>
      </c>
      <c r="S179">
        <f t="shared" si="5"/>
        <v>1440</v>
      </c>
      <c r="T179">
        <f>ROUND(tbl_working_daily[[#This Row],[SedentaryMinutes]]/60,2)</f>
        <v>24</v>
      </c>
      <c r="U179" t="str" cm="1">
        <f t="array" ref="U17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79" t="str" cm="1">
        <f t="array" ref="V179">_xlfn.IFS(tbl_working_daily[[#This Row],[VeryActiveMinutes]]&gt;=30,"Very Active",tbl_working_daily[[#This Row],[VeryActiveMinutes]]&gt;=15,"Moderately Active",tbl_working_daily[[#This Row],[VeryActiveMinutes]]&gt;=1,"Lightly Active",tbl_working_daily[[#This Row],[VeryActiveMinutes]]=0,"Sedentary")</f>
        <v>Sedentary</v>
      </c>
      <c r="W179" t="str">
        <f>tbl_working_daily[[#This Row],[Id]]&amp;"|"&amp;TEXT(tbl_working_daily[[#This Row],[ActivityDate]],"yyyy-mm-dd")</f>
        <v>4020332650|2016-03-24</v>
      </c>
      <c r="X179" t="b">
        <f>ISNUMBER(MATCH(tbl_working_daily[[#This Row],[LookupKey]],tbl_working_sleep[LookupKey],0))</f>
        <v>0</v>
      </c>
    </row>
    <row r="180" spans="1:24" x14ac:dyDescent="0.3">
      <c r="A180">
        <v>4020332650</v>
      </c>
      <c r="B180" s="1">
        <v>42454</v>
      </c>
      <c r="C180">
        <v>5563</v>
      </c>
      <c r="D180">
        <v>3.9900000095367401</v>
      </c>
      <c r="E180">
        <v>3.9900000095367401</v>
      </c>
      <c r="F180">
        <v>0</v>
      </c>
      <c r="G180">
        <v>0</v>
      </c>
      <c r="H180">
        <v>0</v>
      </c>
      <c r="I180">
        <v>0</v>
      </c>
      <c r="J180">
        <v>0</v>
      </c>
      <c r="K180">
        <v>0</v>
      </c>
      <c r="L180">
        <v>0</v>
      </c>
      <c r="M180">
        <v>0</v>
      </c>
      <c r="N180">
        <v>1440</v>
      </c>
      <c r="O180">
        <v>3681</v>
      </c>
      <c r="P180" t="str">
        <f>TEXT(tbl_working_daily[[#This Row],[ActivityDate]],"dddd")</f>
        <v>Friday</v>
      </c>
      <c r="Q180" t="str">
        <f>TEXT(tbl_working_daily[[#This Row],[ActivityDate]],"mmmm")</f>
        <v>March</v>
      </c>
      <c r="R180">
        <f t="shared" si="4"/>
        <v>0</v>
      </c>
      <c r="S180">
        <f t="shared" si="5"/>
        <v>1440</v>
      </c>
      <c r="T180">
        <f>ROUND(tbl_working_daily[[#This Row],[SedentaryMinutes]]/60,2)</f>
        <v>24</v>
      </c>
      <c r="U180" t="str" cm="1">
        <f t="array" ref="U18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80" t="str" cm="1">
        <f t="array" ref="V180">_xlfn.IFS(tbl_working_daily[[#This Row],[VeryActiveMinutes]]&gt;=30,"Very Active",tbl_working_daily[[#This Row],[VeryActiveMinutes]]&gt;=15,"Moderately Active",tbl_working_daily[[#This Row],[VeryActiveMinutes]]&gt;=1,"Lightly Active",tbl_working_daily[[#This Row],[VeryActiveMinutes]]=0,"Sedentary")</f>
        <v>Sedentary</v>
      </c>
      <c r="W180" t="str">
        <f>tbl_working_daily[[#This Row],[Id]]&amp;"|"&amp;TEXT(tbl_working_daily[[#This Row],[ActivityDate]],"yyyy-mm-dd")</f>
        <v>4020332650|2016-03-25</v>
      </c>
      <c r="X180" t="b">
        <f>ISNUMBER(MATCH(tbl_working_daily[[#This Row],[LookupKey]],tbl_working_sleep[LookupKey],0))</f>
        <v>0</v>
      </c>
    </row>
    <row r="181" spans="1:24" x14ac:dyDescent="0.3">
      <c r="A181">
        <v>4020332650</v>
      </c>
      <c r="B181" s="1">
        <v>42455</v>
      </c>
      <c r="C181">
        <v>4370</v>
      </c>
      <c r="D181">
        <v>3.1300001144409202</v>
      </c>
      <c r="E181">
        <v>3.1300001144409202</v>
      </c>
      <c r="F181">
        <v>0</v>
      </c>
      <c r="G181">
        <v>0</v>
      </c>
      <c r="H181">
        <v>0</v>
      </c>
      <c r="I181">
        <v>0</v>
      </c>
      <c r="J181">
        <v>0</v>
      </c>
      <c r="K181">
        <v>0</v>
      </c>
      <c r="L181">
        <v>0</v>
      </c>
      <c r="M181">
        <v>0</v>
      </c>
      <c r="N181">
        <v>1440</v>
      </c>
      <c r="O181">
        <v>3444</v>
      </c>
      <c r="P181" t="str">
        <f>TEXT(tbl_working_daily[[#This Row],[ActivityDate]],"dddd")</f>
        <v>Saturday</v>
      </c>
      <c r="Q181" t="str">
        <f>TEXT(tbl_working_daily[[#This Row],[ActivityDate]],"mmmm")</f>
        <v>March</v>
      </c>
      <c r="R181">
        <f t="shared" si="4"/>
        <v>0</v>
      </c>
      <c r="S181">
        <f t="shared" si="5"/>
        <v>1440</v>
      </c>
      <c r="T181">
        <f>ROUND(tbl_working_daily[[#This Row],[SedentaryMinutes]]/60,2)</f>
        <v>24</v>
      </c>
      <c r="U181" t="str" cm="1">
        <f t="array" ref="U18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81" t="str" cm="1">
        <f t="array" ref="V181">_xlfn.IFS(tbl_working_daily[[#This Row],[VeryActiveMinutes]]&gt;=30,"Very Active",tbl_working_daily[[#This Row],[VeryActiveMinutes]]&gt;=15,"Moderately Active",tbl_working_daily[[#This Row],[VeryActiveMinutes]]&gt;=1,"Lightly Active",tbl_working_daily[[#This Row],[VeryActiveMinutes]]=0,"Sedentary")</f>
        <v>Sedentary</v>
      </c>
      <c r="W181" t="str">
        <f>tbl_working_daily[[#This Row],[Id]]&amp;"|"&amp;TEXT(tbl_working_daily[[#This Row],[ActivityDate]],"yyyy-mm-dd")</f>
        <v>4020332650|2016-03-26</v>
      </c>
      <c r="X181" t="b">
        <f>ISNUMBER(MATCH(tbl_working_daily[[#This Row],[LookupKey]],tbl_working_sleep[LookupKey],0))</f>
        <v>0</v>
      </c>
    </row>
    <row r="182" spans="1:24" x14ac:dyDescent="0.3">
      <c r="A182">
        <v>4020332650</v>
      </c>
      <c r="B182" s="1">
        <v>42456</v>
      </c>
      <c r="C182">
        <v>7144</v>
      </c>
      <c r="D182">
        <v>5.1199998855590803</v>
      </c>
      <c r="E182">
        <v>5.1199998855590803</v>
      </c>
      <c r="F182">
        <v>0</v>
      </c>
      <c r="G182">
        <v>0</v>
      </c>
      <c r="H182">
        <v>0</v>
      </c>
      <c r="I182">
        <v>0</v>
      </c>
      <c r="J182">
        <v>0</v>
      </c>
      <c r="K182">
        <v>0</v>
      </c>
      <c r="L182">
        <v>0</v>
      </c>
      <c r="M182">
        <v>0</v>
      </c>
      <c r="N182">
        <v>1440</v>
      </c>
      <c r="O182">
        <v>3510</v>
      </c>
      <c r="P182" t="str">
        <f>TEXT(tbl_working_daily[[#This Row],[ActivityDate]],"dddd")</f>
        <v>Sunday</v>
      </c>
      <c r="Q182" t="str">
        <f>TEXT(tbl_working_daily[[#This Row],[ActivityDate]],"mmmm")</f>
        <v>March</v>
      </c>
      <c r="R182">
        <f t="shared" si="4"/>
        <v>0</v>
      </c>
      <c r="S182">
        <f t="shared" si="5"/>
        <v>1440</v>
      </c>
      <c r="T182">
        <f>ROUND(tbl_working_daily[[#This Row],[SedentaryMinutes]]/60,2)</f>
        <v>24</v>
      </c>
      <c r="U182" t="str" cm="1">
        <f t="array" ref="U18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82" t="str" cm="1">
        <f t="array" ref="V182">_xlfn.IFS(tbl_working_daily[[#This Row],[VeryActiveMinutes]]&gt;=30,"Very Active",tbl_working_daily[[#This Row],[VeryActiveMinutes]]&gt;=15,"Moderately Active",tbl_working_daily[[#This Row],[VeryActiveMinutes]]&gt;=1,"Lightly Active",tbl_working_daily[[#This Row],[VeryActiveMinutes]]=0,"Sedentary")</f>
        <v>Sedentary</v>
      </c>
      <c r="W182" t="str">
        <f>tbl_working_daily[[#This Row],[Id]]&amp;"|"&amp;TEXT(tbl_working_daily[[#This Row],[ActivityDate]],"yyyy-mm-dd")</f>
        <v>4020332650|2016-03-27</v>
      </c>
      <c r="X182" t="b">
        <f>ISNUMBER(MATCH(tbl_working_daily[[#This Row],[LookupKey]],tbl_working_sleep[LookupKey],0))</f>
        <v>0</v>
      </c>
    </row>
    <row r="183" spans="1:24" x14ac:dyDescent="0.3">
      <c r="A183">
        <v>4020332650</v>
      </c>
      <c r="B183" s="1">
        <v>42457</v>
      </c>
      <c r="C183">
        <v>2106</v>
      </c>
      <c r="D183">
        <v>1.5099999904632599</v>
      </c>
      <c r="E183">
        <v>1.5099999904632599</v>
      </c>
      <c r="F183">
        <v>0</v>
      </c>
      <c r="G183">
        <v>1.9999999552965199E-2</v>
      </c>
      <c r="H183">
        <v>5.0000000745058101E-2</v>
      </c>
      <c r="I183">
        <v>0.20999999344348899</v>
      </c>
      <c r="J183">
        <v>0</v>
      </c>
      <c r="K183">
        <v>31</v>
      </c>
      <c r="L183">
        <v>45</v>
      </c>
      <c r="M183">
        <v>75</v>
      </c>
      <c r="N183">
        <v>1289</v>
      </c>
      <c r="O183">
        <v>4010</v>
      </c>
      <c r="P183" t="str">
        <f>TEXT(tbl_working_daily[[#This Row],[ActivityDate]],"dddd")</f>
        <v>Monday</v>
      </c>
      <c r="Q183" t="str">
        <f>TEXT(tbl_working_daily[[#This Row],[ActivityDate]],"mmmm")</f>
        <v>March</v>
      </c>
      <c r="R183">
        <f t="shared" si="4"/>
        <v>151</v>
      </c>
      <c r="S183">
        <f t="shared" si="5"/>
        <v>1440</v>
      </c>
      <c r="T183">
        <f>ROUND(tbl_working_daily[[#This Row],[SedentaryMinutes]]/60,2)</f>
        <v>21.48</v>
      </c>
      <c r="U183" t="str" cm="1">
        <f t="array" ref="U18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83" t="str" cm="1">
        <f t="array" ref="V183">_xlfn.IFS(tbl_working_daily[[#This Row],[VeryActiveMinutes]]&gt;=30,"Very Active",tbl_working_daily[[#This Row],[VeryActiveMinutes]]&gt;=15,"Moderately Active",tbl_working_daily[[#This Row],[VeryActiveMinutes]]&gt;=1,"Lightly Active",tbl_working_daily[[#This Row],[VeryActiveMinutes]]=0,"Sedentary")</f>
        <v>Very Active</v>
      </c>
      <c r="W183" t="str">
        <f>tbl_working_daily[[#This Row],[Id]]&amp;"|"&amp;TEXT(tbl_working_daily[[#This Row],[ActivityDate]],"yyyy-mm-dd")</f>
        <v>4020332650|2016-03-28</v>
      </c>
      <c r="X183" t="b">
        <f>ISNUMBER(MATCH(tbl_working_daily[[#This Row],[LookupKey]],tbl_working_sleep[LookupKey],0))</f>
        <v>0</v>
      </c>
    </row>
    <row r="184" spans="1:24" x14ac:dyDescent="0.3">
      <c r="A184">
        <v>4020332650</v>
      </c>
      <c r="B184" s="1">
        <v>42458</v>
      </c>
      <c r="C184">
        <v>4152</v>
      </c>
      <c r="D184">
        <v>2.9800000190734899</v>
      </c>
      <c r="E184">
        <v>2.9800000190734899</v>
      </c>
      <c r="F184">
        <v>0</v>
      </c>
      <c r="G184">
        <v>0</v>
      </c>
      <c r="H184">
        <v>0</v>
      </c>
      <c r="I184">
        <v>2.96000003814697</v>
      </c>
      <c r="J184">
        <v>0</v>
      </c>
      <c r="K184">
        <v>0</v>
      </c>
      <c r="L184">
        <v>0</v>
      </c>
      <c r="M184">
        <v>187</v>
      </c>
      <c r="N184">
        <v>1253</v>
      </c>
      <c r="O184">
        <v>2976</v>
      </c>
      <c r="P184" t="str">
        <f>TEXT(tbl_working_daily[[#This Row],[ActivityDate]],"dddd")</f>
        <v>Tuesday</v>
      </c>
      <c r="Q184" t="str">
        <f>TEXT(tbl_working_daily[[#This Row],[ActivityDate]],"mmmm")</f>
        <v>March</v>
      </c>
      <c r="R184">
        <f t="shared" si="4"/>
        <v>187</v>
      </c>
      <c r="S184">
        <f t="shared" si="5"/>
        <v>1440</v>
      </c>
      <c r="T184">
        <f>ROUND(tbl_working_daily[[#This Row],[SedentaryMinutes]]/60,2)</f>
        <v>20.88</v>
      </c>
      <c r="U184" t="str" cm="1">
        <f t="array" ref="U18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84" t="str" cm="1">
        <f t="array" ref="V184">_xlfn.IFS(tbl_working_daily[[#This Row],[VeryActiveMinutes]]&gt;=30,"Very Active",tbl_working_daily[[#This Row],[VeryActiveMinutes]]&gt;=15,"Moderately Active",tbl_working_daily[[#This Row],[VeryActiveMinutes]]&gt;=1,"Lightly Active",tbl_working_daily[[#This Row],[VeryActiveMinutes]]=0,"Sedentary")</f>
        <v>Sedentary</v>
      </c>
      <c r="W184" t="str">
        <f>tbl_working_daily[[#This Row],[Id]]&amp;"|"&amp;TEXT(tbl_working_daily[[#This Row],[ActivityDate]],"yyyy-mm-dd")</f>
        <v>4020332650|2016-03-29</v>
      </c>
      <c r="X184" t="b">
        <f>ISNUMBER(MATCH(tbl_working_daily[[#This Row],[LookupKey]],tbl_working_sleep[LookupKey],0))</f>
        <v>0</v>
      </c>
    </row>
    <row r="185" spans="1:24" x14ac:dyDescent="0.3">
      <c r="A185">
        <v>4020332650</v>
      </c>
      <c r="B185" s="1">
        <v>42459</v>
      </c>
      <c r="C185">
        <v>5400</v>
      </c>
      <c r="D185">
        <v>3.8699998855590798</v>
      </c>
      <c r="E185">
        <v>3.8699998855590798</v>
      </c>
      <c r="F185">
        <v>0</v>
      </c>
      <c r="G185">
        <v>0</v>
      </c>
      <c r="H185">
        <v>0</v>
      </c>
      <c r="I185">
        <v>3.8499999046325701</v>
      </c>
      <c r="J185">
        <v>0</v>
      </c>
      <c r="K185">
        <v>0</v>
      </c>
      <c r="L185">
        <v>0</v>
      </c>
      <c r="M185">
        <v>258</v>
      </c>
      <c r="N185">
        <v>795</v>
      </c>
      <c r="O185">
        <v>3418</v>
      </c>
      <c r="P185" t="str">
        <f>TEXT(tbl_working_daily[[#This Row],[ActivityDate]],"dddd")</f>
        <v>Wednesday</v>
      </c>
      <c r="Q185" t="str">
        <f>TEXT(tbl_working_daily[[#This Row],[ActivityDate]],"mmmm")</f>
        <v>March</v>
      </c>
      <c r="R185">
        <f t="shared" si="4"/>
        <v>258</v>
      </c>
      <c r="S185">
        <f t="shared" si="5"/>
        <v>1053</v>
      </c>
      <c r="T185">
        <f>ROUND(tbl_working_daily[[#This Row],[SedentaryMinutes]]/60,2)</f>
        <v>13.25</v>
      </c>
      <c r="U185" t="str" cm="1">
        <f t="array" ref="U18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85" t="str" cm="1">
        <f t="array" ref="V185">_xlfn.IFS(tbl_working_daily[[#This Row],[VeryActiveMinutes]]&gt;=30,"Very Active",tbl_working_daily[[#This Row],[VeryActiveMinutes]]&gt;=15,"Moderately Active",tbl_working_daily[[#This Row],[VeryActiveMinutes]]&gt;=1,"Lightly Active",tbl_working_daily[[#This Row],[VeryActiveMinutes]]=0,"Sedentary")</f>
        <v>Sedentary</v>
      </c>
      <c r="W185" t="str">
        <f>tbl_working_daily[[#This Row],[Id]]&amp;"|"&amp;TEXT(tbl_working_daily[[#This Row],[ActivityDate]],"yyyy-mm-dd")</f>
        <v>4020332650|2016-03-30</v>
      </c>
      <c r="X185" t="b">
        <f>ISNUMBER(MATCH(tbl_working_daily[[#This Row],[LookupKey]],tbl_working_sleep[LookupKey],0))</f>
        <v>0</v>
      </c>
    </row>
    <row r="186" spans="1:24" x14ac:dyDescent="0.3">
      <c r="A186">
        <v>4020332650</v>
      </c>
      <c r="B186" s="1">
        <v>42460</v>
      </c>
      <c r="C186">
        <v>7428</v>
      </c>
      <c r="D186">
        <v>5.3299999237060502</v>
      </c>
      <c r="E186">
        <v>5.3299999237060502</v>
      </c>
      <c r="F186">
        <v>0</v>
      </c>
      <c r="G186">
        <v>0.87000000476837203</v>
      </c>
      <c r="H186">
        <v>0.92000001668930098</v>
      </c>
      <c r="I186">
        <v>3.5099999904632599</v>
      </c>
      <c r="J186">
        <v>0</v>
      </c>
      <c r="K186">
        <v>18</v>
      </c>
      <c r="L186">
        <v>33</v>
      </c>
      <c r="M186">
        <v>261</v>
      </c>
      <c r="N186">
        <v>860</v>
      </c>
      <c r="O186">
        <v>3439</v>
      </c>
      <c r="P186" t="str">
        <f>TEXT(tbl_working_daily[[#This Row],[ActivityDate]],"dddd")</f>
        <v>Thursday</v>
      </c>
      <c r="Q186" t="str">
        <f>TEXT(tbl_working_daily[[#This Row],[ActivityDate]],"mmmm")</f>
        <v>March</v>
      </c>
      <c r="R186">
        <f t="shared" si="4"/>
        <v>312</v>
      </c>
      <c r="S186">
        <f t="shared" si="5"/>
        <v>1172</v>
      </c>
      <c r="T186">
        <f>ROUND(tbl_working_daily[[#This Row],[SedentaryMinutes]]/60,2)</f>
        <v>14.33</v>
      </c>
      <c r="U186" t="str" cm="1">
        <f t="array" ref="U18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86" t="str" cm="1">
        <f t="array" ref="V186">_xlfn.IFS(tbl_working_daily[[#This Row],[VeryActiveMinutes]]&gt;=30,"Very Active",tbl_working_daily[[#This Row],[VeryActiveMinutes]]&gt;=15,"Moderately Active",tbl_working_daily[[#This Row],[VeryActiveMinutes]]&gt;=1,"Lightly Active",tbl_working_daily[[#This Row],[VeryActiveMinutes]]=0,"Sedentary")</f>
        <v>Moderately Active</v>
      </c>
      <c r="W186" t="str">
        <f>tbl_working_daily[[#This Row],[Id]]&amp;"|"&amp;TEXT(tbl_working_daily[[#This Row],[ActivityDate]],"yyyy-mm-dd")</f>
        <v>4020332650|2016-03-31</v>
      </c>
      <c r="X186" t="b">
        <f>ISNUMBER(MATCH(tbl_working_daily[[#This Row],[LookupKey]],tbl_working_sleep[LookupKey],0))</f>
        <v>0</v>
      </c>
    </row>
    <row r="187" spans="1:24" x14ac:dyDescent="0.3">
      <c r="A187">
        <v>4020332650</v>
      </c>
      <c r="B187" s="1">
        <v>42461</v>
      </c>
      <c r="C187">
        <v>5351</v>
      </c>
      <c r="D187">
        <v>3.8399999141693102</v>
      </c>
      <c r="E187">
        <v>3.8399999141693102</v>
      </c>
      <c r="F187">
        <v>0</v>
      </c>
      <c r="G187">
        <v>0.62000000476837203</v>
      </c>
      <c r="H187">
        <v>0.18000000715255701</v>
      </c>
      <c r="I187">
        <v>3.0099999904632599</v>
      </c>
      <c r="J187">
        <v>0</v>
      </c>
      <c r="K187">
        <v>15</v>
      </c>
      <c r="L187">
        <v>17</v>
      </c>
      <c r="M187">
        <v>210</v>
      </c>
      <c r="N187">
        <v>748</v>
      </c>
      <c r="O187">
        <v>3338</v>
      </c>
      <c r="P187" t="str">
        <f>TEXT(tbl_working_daily[[#This Row],[ActivityDate]],"dddd")</f>
        <v>Friday</v>
      </c>
      <c r="Q187" t="str">
        <f>TEXT(tbl_working_daily[[#This Row],[ActivityDate]],"mmmm")</f>
        <v>April</v>
      </c>
      <c r="R187">
        <f t="shared" si="4"/>
        <v>242</v>
      </c>
      <c r="S187">
        <f t="shared" si="5"/>
        <v>990</v>
      </c>
      <c r="T187">
        <f>ROUND(tbl_working_daily[[#This Row],[SedentaryMinutes]]/60,2)</f>
        <v>12.47</v>
      </c>
      <c r="U187" t="str" cm="1">
        <f t="array" ref="U18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87" t="str" cm="1">
        <f t="array" ref="V187">_xlfn.IFS(tbl_working_daily[[#This Row],[VeryActiveMinutes]]&gt;=30,"Very Active",tbl_working_daily[[#This Row],[VeryActiveMinutes]]&gt;=15,"Moderately Active",tbl_working_daily[[#This Row],[VeryActiveMinutes]]&gt;=1,"Lightly Active",tbl_working_daily[[#This Row],[VeryActiveMinutes]]=0,"Sedentary")</f>
        <v>Moderately Active</v>
      </c>
      <c r="W187" t="str">
        <f>tbl_working_daily[[#This Row],[Id]]&amp;"|"&amp;TEXT(tbl_working_daily[[#This Row],[ActivityDate]],"yyyy-mm-dd")</f>
        <v>4020332650|2016-04-01</v>
      </c>
      <c r="X187" t="b">
        <f>ISNUMBER(MATCH(tbl_working_daily[[#This Row],[LookupKey]],tbl_working_sleep[LookupKey],0))</f>
        <v>0</v>
      </c>
    </row>
    <row r="188" spans="1:24" x14ac:dyDescent="0.3">
      <c r="A188">
        <v>4020332650</v>
      </c>
      <c r="B188" s="1">
        <v>42462</v>
      </c>
      <c r="C188">
        <v>4299</v>
      </c>
      <c r="D188">
        <v>3.0999999046325701</v>
      </c>
      <c r="E188">
        <v>3.0999999046325701</v>
      </c>
      <c r="F188">
        <v>0</v>
      </c>
      <c r="G188">
        <v>9.00000035762787E-2</v>
      </c>
      <c r="H188">
        <v>0.20999999344348899</v>
      </c>
      <c r="I188">
        <v>2.7400000095367401</v>
      </c>
      <c r="J188">
        <v>3.9999999105930301E-2</v>
      </c>
      <c r="K188">
        <v>3</v>
      </c>
      <c r="L188">
        <v>15</v>
      </c>
      <c r="M188">
        <v>162</v>
      </c>
      <c r="N188">
        <v>752</v>
      </c>
      <c r="O188">
        <v>2892</v>
      </c>
      <c r="P188" t="str">
        <f>TEXT(tbl_working_daily[[#This Row],[ActivityDate]],"dddd")</f>
        <v>Saturday</v>
      </c>
      <c r="Q188" t="str">
        <f>TEXT(tbl_working_daily[[#This Row],[ActivityDate]],"mmmm")</f>
        <v>April</v>
      </c>
      <c r="R188">
        <f t="shared" si="4"/>
        <v>180</v>
      </c>
      <c r="S188">
        <f t="shared" si="5"/>
        <v>932</v>
      </c>
      <c r="T188">
        <f>ROUND(tbl_working_daily[[#This Row],[SedentaryMinutes]]/60,2)</f>
        <v>12.53</v>
      </c>
      <c r="U188" t="str" cm="1">
        <f t="array" ref="U1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88" t="str" cm="1">
        <f t="array" ref="V188">_xlfn.IFS(tbl_working_daily[[#This Row],[VeryActiveMinutes]]&gt;=30,"Very Active",tbl_working_daily[[#This Row],[VeryActiveMinutes]]&gt;=15,"Moderately Active",tbl_working_daily[[#This Row],[VeryActiveMinutes]]&gt;=1,"Lightly Active",tbl_working_daily[[#This Row],[VeryActiveMinutes]]=0,"Sedentary")</f>
        <v>Lightly Active</v>
      </c>
      <c r="W188" t="str">
        <f>tbl_working_daily[[#This Row],[Id]]&amp;"|"&amp;TEXT(tbl_working_daily[[#This Row],[ActivityDate]],"yyyy-mm-dd")</f>
        <v>4020332650|2016-04-02</v>
      </c>
      <c r="X188" t="b">
        <f>ISNUMBER(MATCH(tbl_working_daily[[#This Row],[LookupKey]],tbl_working_sleep[LookupKey],0))</f>
        <v>0</v>
      </c>
    </row>
    <row r="189" spans="1:24" x14ac:dyDescent="0.3">
      <c r="A189">
        <v>4020332650</v>
      </c>
      <c r="B189" s="1">
        <v>42463</v>
      </c>
      <c r="C189">
        <v>6107</v>
      </c>
      <c r="D189">
        <v>4.3800001144409197</v>
      </c>
      <c r="E189">
        <v>4.3800001144409197</v>
      </c>
      <c r="F189">
        <v>0</v>
      </c>
      <c r="G189">
        <v>0</v>
      </c>
      <c r="H189">
        <v>0</v>
      </c>
      <c r="I189">
        <v>4.3600001335143999</v>
      </c>
      <c r="J189">
        <v>0</v>
      </c>
      <c r="K189">
        <v>0</v>
      </c>
      <c r="L189">
        <v>0</v>
      </c>
      <c r="M189">
        <v>265</v>
      </c>
      <c r="N189">
        <v>776</v>
      </c>
      <c r="O189">
        <v>3313</v>
      </c>
      <c r="P189" t="str">
        <f>TEXT(tbl_working_daily[[#This Row],[ActivityDate]],"dddd")</f>
        <v>Sunday</v>
      </c>
      <c r="Q189" t="str">
        <f>TEXT(tbl_working_daily[[#This Row],[ActivityDate]],"mmmm")</f>
        <v>April</v>
      </c>
      <c r="R189">
        <f t="shared" si="4"/>
        <v>265</v>
      </c>
      <c r="S189">
        <f t="shared" si="5"/>
        <v>1041</v>
      </c>
      <c r="T189">
        <f>ROUND(tbl_working_daily[[#This Row],[SedentaryMinutes]]/60,2)</f>
        <v>12.93</v>
      </c>
      <c r="U189" t="str" cm="1">
        <f t="array" ref="U18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89" t="str" cm="1">
        <f t="array" ref="V189">_xlfn.IFS(tbl_working_daily[[#This Row],[VeryActiveMinutes]]&gt;=30,"Very Active",tbl_working_daily[[#This Row],[VeryActiveMinutes]]&gt;=15,"Moderately Active",tbl_working_daily[[#This Row],[VeryActiveMinutes]]&gt;=1,"Lightly Active",tbl_working_daily[[#This Row],[VeryActiveMinutes]]=0,"Sedentary")</f>
        <v>Sedentary</v>
      </c>
      <c r="W189" t="str">
        <f>tbl_working_daily[[#This Row],[Id]]&amp;"|"&amp;TEXT(tbl_working_daily[[#This Row],[ActivityDate]],"yyyy-mm-dd")</f>
        <v>4020332650|2016-04-03</v>
      </c>
      <c r="X189" t="b">
        <f>ISNUMBER(MATCH(tbl_working_daily[[#This Row],[LookupKey]],tbl_working_sleep[LookupKey],0))</f>
        <v>0</v>
      </c>
    </row>
    <row r="190" spans="1:24" x14ac:dyDescent="0.3">
      <c r="A190">
        <v>4020332650</v>
      </c>
      <c r="B190" s="1">
        <v>42464</v>
      </c>
      <c r="C190">
        <v>6429</v>
      </c>
      <c r="D190">
        <v>4.5999999046325701</v>
      </c>
      <c r="E190">
        <v>4.5999999046325701</v>
      </c>
      <c r="F190">
        <v>0</v>
      </c>
      <c r="G190">
        <v>0</v>
      </c>
      <c r="H190">
        <v>0.94999998807907104</v>
      </c>
      <c r="I190">
        <v>3.6500000953674299</v>
      </c>
      <c r="J190">
        <v>0</v>
      </c>
      <c r="K190">
        <v>0</v>
      </c>
      <c r="L190">
        <v>28</v>
      </c>
      <c r="M190">
        <v>193</v>
      </c>
      <c r="N190">
        <v>741</v>
      </c>
      <c r="O190">
        <v>3118</v>
      </c>
      <c r="P190" t="str">
        <f>TEXT(tbl_working_daily[[#This Row],[ActivityDate]],"dddd")</f>
        <v>Monday</v>
      </c>
      <c r="Q190" t="str">
        <f>TEXT(tbl_working_daily[[#This Row],[ActivityDate]],"mmmm")</f>
        <v>April</v>
      </c>
      <c r="R190">
        <f t="shared" si="4"/>
        <v>221</v>
      </c>
      <c r="S190">
        <f t="shared" si="5"/>
        <v>962</v>
      </c>
      <c r="T190">
        <f>ROUND(tbl_working_daily[[#This Row],[SedentaryMinutes]]/60,2)</f>
        <v>12.35</v>
      </c>
      <c r="U190" t="str" cm="1">
        <f t="array" ref="U19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90" t="str" cm="1">
        <f t="array" ref="V190">_xlfn.IFS(tbl_working_daily[[#This Row],[VeryActiveMinutes]]&gt;=30,"Very Active",tbl_working_daily[[#This Row],[VeryActiveMinutes]]&gt;=15,"Moderately Active",tbl_working_daily[[#This Row],[VeryActiveMinutes]]&gt;=1,"Lightly Active",tbl_working_daily[[#This Row],[VeryActiveMinutes]]=0,"Sedentary")</f>
        <v>Sedentary</v>
      </c>
      <c r="W190" t="str">
        <f>tbl_working_daily[[#This Row],[Id]]&amp;"|"&amp;TEXT(tbl_working_daily[[#This Row],[ActivityDate]],"yyyy-mm-dd")</f>
        <v>4020332650|2016-04-04</v>
      </c>
      <c r="X190" t="b">
        <f>ISNUMBER(MATCH(tbl_working_daily[[#This Row],[LookupKey]],tbl_working_sleep[LookupKey],0))</f>
        <v>0</v>
      </c>
    </row>
    <row r="191" spans="1:24" x14ac:dyDescent="0.3">
      <c r="A191">
        <v>4020332650</v>
      </c>
      <c r="B191" s="1">
        <v>42465</v>
      </c>
      <c r="C191">
        <v>6880</v>
      </c>
      <c r="D191">
        <v>4.9299998283386204</v>
      </c>
      <c r="E191">
        <v>4.9299998283386204</v>
      </c>
      <c r="F191">
        <v>0</v>
      </c>
      <c r="G191">
        <v>0.5</v>
      </c>
      <c r="H191">
        <v>0.75999999046325695</v>
      </c>
      <c r="I191">
        <v>3.6500000953674299</v>
      </c>
      <c r="J191">
        <v>0</v>
      </c>
      <c r="K191">
        <v>7</v>
      </c>
      <c r="L191">
        <v>19</v>
      </c>
      <c r="M191">
        <v>165</v>
      </c>
      <c r="N191">
        <v>1249</v>
      </c>
      <c r="O191">
        <v>2966</v>
      </c>
      <c r="P191" t="str">
        <f>TEXT(tbl_working_daily[[#This Row],[ActivityDate]],"dddd")</f>
        <v>Tuesday</v>
      </c>
      <c r="Q191" t="str">
        <f>TEXT(tbl_working_daily[[#This Row],[ActivityDate]],"mmmm")</f>
        <v>April</v>
      </c>
      <c r="R191">
        <f t="shared" si="4"/>
        <v>191</v>
      </c>
      <c r="S191">
        <f t="shared" si="5"/>
        <v>1440</v>
      </c>
      <c r="T191">
        <f>ROUND(tbl_working_daily[[#This Row],[SedentaryMinutes]]/60,2)</f>
        <v>20.82</v>
      </c>
      <c r="U191" t="str" cm="1">
        <f t="array" ref="U19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91" t="str" cm="1">
        <f t="array" ref="V191">_xlfn.IFS(tbl_working_daily[[#This Row],[VeryActiveMinutes]]&gt;=30,"Very Active",tbl_working_daily[[#This Row],[VeryActiveMinutes]]&gt;=15,"Moderately Active",tbl_working_daily[[#This Row],[VeryActiveMinutes]]&gt;=1,"Lightly Active",tbl_working_daily[[#This Row],[VeryActiveMinutes]]=0,"Sedentary")</f>
        <v>Lightly Active</v>
      </c>
      <c r="W191" t="str">
        <f>tbl_working_daily[[#This Row],[Id]]&amp;"|"&amp;TEXT(tbl_working_daily[[#This Row],[ActivityDate]],"yyyy-mm-dd")</f>
        <v>4020332650|2016-04-05</v>
      </c>
      <c r="X191" t="b">
        <f>ISNUMBER(MATCH(tbl_working_daily[[#This Row],[LookupKey]],tbl_working_sleep[LookupKey],0))</f>
        <v>0</v>
      </c>
    </row>
    <row r="192" spans="1:24" x14ac:dyDescent="0.3">
      <c r="A192">
        <v>4020332650</v>
      </c>
      <c r="B192" s="1">
        <v>42466</v>
      </c>
      <c r="C192">
        <v>7476</v>
      </c>
      <c r="D192">
        <v>5.3600001335143999</v>
      </c>
      <c r="E192">
        <v>5.3600001335143999</v>
      </c>
      <c r="F192">
        <v>0</v>
      </c>
      <c r="G192">
        <v>0</v>
      </c>
      <c r="H192">
        <v>0</v>
      </c>
      <c r="I192">
        <v>5.3099999427795401</v>
      </c>
      <c r="J192">
        <v>0</v>
      </c>
      <c r="K192">
        <v>0</v>
      </c>
      <c r="L192">
        <v>0</v>
      </c>
      <c r="M192">
        <v>263</v>
      </c>
      <c r="N192">
        <v>920</v>
      </c>
      <c r="O192">
        <v>3253</v>
      </c>
      <c r="P192" t="str">
        <f>TEXT(tbl_working_daily[[#This Row],[ActivityDate]],"dddd")</f>
        <v>Wednesday</v>
      </c>
      <c r="Q192" t="str">
        <f>TEXT(tbl_working_daily[[#This Row],[ActivityDate]],"mmmm")</f>
        <v>April</v>
      </c>
      <c r="R192">
        <f t="shared" si="4"/>
        <v>263</v>
      </c>
      <c r="S192">
        <f t="shared" si="5"/>
        <v>1183</v>
      </c>
      <c r="T192">
        <f>ROUND(tbl_working_daily[[#This Row],[SedentaryMinutes]]/60,2)</f>
        <v>15.33</v>
      </c>
      <c r="U192" t="str" cm="1">
        <f t="array" ref="U19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92" t="str" cm="1">
        <f t="array" ref="V192">_xlfn.IFS(tbl_working_daily[[#This Row],[VeryActiveMinutes]]&gt;=30,"Very Active",tbl_working_daily[[#This Row],[VeryActiveMinutes]]&gt;=15,"Moderately Active",tbl_working_daily[[#This Row],[VeryActiveMinutes]]&gt;=1,"Lightly Active",tbl_working_daily[[#This Row],[VeryActiveMinutes]]=0,"Sedentary")</f>
        <v>Sedentary</v>
      </c>
      <c r="W192" t="str">
        <f>tbl_working_daily[[#This Row],[Id]]&amp;"|"&amp;TEXT(tbl_working_daily[[#This Row],[ActivityDate]],"yyyy-mm-dd")</f>
        <v>4020332650|2016-04-06</v>
      </c>
      <c r="X192" t="b">
        <f>ISNUMBER(MATCH(tbl_working_daily[[#This Row],[LookupKey]],tbl_working_sleep[LookupKey],0))</f>
        <v>0</v>
      </c>
    </row>
    <row r="193" spans="1:24" x14ac:dyDescent="0.3">
      <c r="A193">
        <v>4020332650</v>
      </c>
      <c r="B193" s="1">
        <v>42467</v>
      </c>
      <c r="C193">
        <v>6581</v>
      </c>
      <c r="D193">
        <v>4.7199997901916504</v>
      </c>
      <c r="E193">
        <v>4.7199997901916504</v>
      </c>
      <c r="F193">
        <v>0</v>
      </c>
      <c r="G193">
        <v>0</v>
      </c>
      <c r="H193">
        <v>0.28999999165535001</v>
      </c>
      <c r="I193">
        <v>4.3899998664856001</v>
      </c>
      <c r="J193">
        <v>0</v>
      </c>
      <c r="K193">
        <v>0</v>
      </c>
      <c r="L193">
        <v>8</v>
      </c>
      <c r="M193">
        <v>241</v>
      </c>
      <c r="N193">
        <v>1191</v>
      </c>
      <c r="O193">
        <v>3032</v>
      </c>
      <c r="P193" t="str">
        <f>TEXT(tbl_working_daily[[#This Row],[ActivityDate]],"dddd")</f>
        <v>Thursday</v>
      </c>
      <c r="Q193" t="str">
        <f>TEXT(tbl_working_daily[[#This Row],[ActivityDate]],"mmmm")</f>
        <v>April</v>
      </c>
      <c r="R193">
        <f t="shared" si="4"/>
        <v>249</v>
      </c>
      <c r="S193">
        <f t="shared" si="5"/>
        <v>1440</v>
      </c>
      <c r="T193">
        <f>ROUND(tbl_working_daily[[#This Row],[SedentaryMinutes]]/60,2)</f>
        <v>19.850000000000001</v>
      </c>
      <c r="U193" t="str" cm="1">
        <f t="array" ref="U19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93" t="str" cm="1">
        <f t="array" ref="V193">_xlfn.IFS(tbl_working_daily[[#This Row],[VeryActiveMinutes]]&gt;=30,"Very Active",tbl_working_daily[[#This Row],[VeryActiveMinutes]]&gt;=15,"Moderately Active",tbl_working_daily[[#This Row],[VeryActiveMinutes]]&gt;=1,"Lightly Active",tbl_working_daily[[#This Row],[VeryActiveMinutes]]=0,"Sedentary")</f>
        <v>Sedentary</v>
      </c>
      <c r="W193" t="str">
        <f>tbl_working_daily[[#This Row],[Id]]&amp;"|"&amp;TEXT(tbl_working_daily[[#This Row],[ActivityDate]],"yyyy-mm-dd")</f>
        <v>4020332650|2016-04-07</v>
      </c>
      <c r="X193" t="b">
        <f>ISNUMBER(MATCH(tbl_working_daily[[#This Row],[LookupKey]],tbl_working_sleep[LookupKey],0))</f>
        <v>0</v>
      </c>
    </row>
    <row r="194" spans="1:24" x14ac:dyDescent="0.3">
      <c r="A194">
        <v>4020332650</v>
      </c>
      <c r="B194" s="1">
        <v>42468</v>
      </c>
      <c r="C194">
        <v>10480</v>
      </c>
      <c r="D194">
        <v>7.5100002288818404</v>
      </c>
      <c r="E194">
        <v>7.5100002288818404</v>
      </c>
      <c r="F194">
        <v>0</v>
      </c>
      <c r="G194">
        <v>0.40999999642372098</v>
      </c>
      <c r="H194">
        <v>1.4700000286102299</v>
      </c>
      <c r="I194">
        <v>5.0100002288818404</v>
      </c>
      <c r="J194">
        <v>3.9999999105930301E-2</v>
      </c>
      <c r="K194">
        <v>6</v>
      </c>
      <c r="L194">
        <v>37</v>
      </c>
      <c r="M194">
        <v>272</v>
      </c>
      <c r="N194">
        <v>1125</v>
      </c>
      <c r="O194">
        <v>4034</v>
      </c>
      <c r="P194" t="str">
        <f>TEXT(tbl_working_daily[[#This Row],[ActivityDate]],"dddd")</f>
        <v>Friday</v>
      </c>
      <c r="Q194" t="str">
        <f>TEXT(tbl_working_daily[[#This Row],[ActivityDate]],"mmmm")</f>
        <v>April</v>
      </c>
      <c r="R194">
        <f t="shared" ref="R194:R257" si="6">K194+L194+M194</f>
        <v>315</v>
      </c>
      <c r="S194">
        <f t="shared" ref="S194:S257" si="7">R194+N194</f>
        <v>1440</v>
      </c>
      <c r="T194">
        <f>ROUND(tbl_working_daily[[#This Row],[SedentaryMinutes]]/60,2)</f>
        <v>18.75</v>
      </c>
      <c r="U194" t="str" cm="1">
        <f t="array" ref="U19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94" t="str" cm="1">
        <f t="array" ref="V194">_xlfn.IFS(tbl_working_daily[[#This Row],[VeryActiveMinutes]]&gt;=30,"Very Active",tbl_working_daily[[#This Row],[VeryActiveMinutes]]&gt;=15,"Moderately Active",tbl_working_daily[[#This Row],[VeryActiveMinutes]]&gt;=1,"Lightly Active",tbl_working_daily[[#This Row],[VeryActiveMinutes]]=0,"Sedentary")</f>
        <v>Lightly Active</v>
      </c>
      <c r="W194" t="str">
        <f>tbl_working_daily[[#This Row],[Id]]&amp;"|"&amp;TEXT(tbl_working_daily[[#This Row],[ActivityDate]],"yyyy-mm-dd")</f>
        <v>4020332650|2016-04-08</v>
      </c>
      <c r="X194" t="b">
        <f>ISNUMBER(MATCH(tbl_working_daily[[#This Row],[LookupKey]],tbl_working_sleep[LookupKey],0))</f>
        <v>0</v>
      </c>
    </row>
    <row r="195" spans="1:24" x14ac:dyDescent="0.3">
      <c r="A195">
        <v>4020332650</v>
      </c>
      <c r="B195" s="1">
        <v>42469</v>
      </c>
      <c r="C195">
        <v>7734</v>
      </c>
      <c r="D195">
        <v>5.5500001907348597</v>
      </c>
      <c r="E195">
        <v>5.5500001907348597</v>
      </c>
      <c r="F195">
        <v>0</v>
      </c>
      <c r="G195">
        <v>1.1599999666214</v>
      </c>
      <c r="H195">
        <v>0.490000009536743</v>
      </c>
      <c r="I195">
        <v>3.8199999332428001</v>
      </c>
      <c r="J195">
        <v>5.9999998658895499E-2</v>
      </c>
      <c r="K195">
        <v>20</v>
      </c>
      <c r="L195">
        <v>12</v>
      </c>
      <c r="M195">
        <v>223</v>
      </c>
      <c r="N195">
        <v>1185</v>
      </c>
      <c r="O195">
        <v>3264</v>
      </c>
      <c r="P195" t="str">
        <f>TEXT(tbl_working_daily[[#This Row],[ActivityDate]],"dddd")</f>
        <v>Saturday</v>
      </c>
      <c r="Q195" t="str">
        <f>TEXT(tbl_working_daily[[#This Row],[ActivityDate]],"mmmm")</f>
        <v>April</v>
      </c>
      <c r="R195">
        <f t="shared" si="6"/>
        <v>255</v>
      </c>
      <c r="S195">
        <f t="shared" si="7"/>
        <v>1440</v>
      </c>
      <c r="T195">
        <f>ROUND(tbl_working_daily[[#This Row],[SedentaryMinutes]]/60,2)</f>
        <v>19.75</v>
      </c>
      <c r="U195" t="str" cm="1">
        <f t="array" ref="U19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95" t="str" cm="1">
        <f t="array" ref="V195">_xlfn.IFS(tbl_working_daily[[#This Row],[VeryActiveMinutes]]&gt;=30,"Very Active",tbl_working_daily[[#This Row],[VeryActiveMinutes]]&gt;=15,"Moderately Active",tbl_working_daily[[#This Row],[VeryActiveMinutes]]&gt;=1,"Lightly Active",tbl_working_daily[[#This Row],[VeryActiveMinutes]]=0,"Sedentary")</f>
        <v>Moderately Active</v>
      </c>
      <c r="W195" t="str">
        <f>tbl_working_daily[[#This Row],[Id]]&amp;"|"&amp;TEXT(tbl_working_daily[[#This Row],[ActivityDate]],"yyyy-mm-dd")</f>
        <v>4020332650|2016-04-09</v>
      </c>
      <c r="X195" t="b">
        <f>ISNUMBER(MATCH(tbl_working_daily[[#This Row],[LookupKey]],tbl_working_sleep[LookupKey],0))</f>
        <v>0</v>
      </c>
    </row>
    <row r="196" spans="1:24" x14ac:dyDescent="0.3">
      <c r="A196">
        <v>4020332650</v>
      </c>
      <c r="B196" s="1">
        <v>42470</v>
      </c>
      <c r="C196">
        <v>5129</v>
      </c>
      <c r="D196">
        <v>3.6800000667571999</v>
      </c>
      <c r="E196">
        <v>3.6800000667571999</v>
      </c>
      <c r="F196">
        <v>0</v>
      </c>
      <c r="G196">
        <v>0.18000000715255701</v>
      </c>
      <c r="H196">
        <v>0.239999994635582</v>
      </c>
      <c r="I196">
        <v>3.21000003814697</v>
      </c>
      <c r="J196">
        <v>9.9999997764825804E-3</v>
      </c>
      <c r="K196">
        <v>5</v>
      </c>
      <c r="L196">
        <v>7</v>
      </c>
      <c r="M196">
        <v>176</v>
      </c>
      <c r="N196">
        <v>1178</v>
      </c>
      <c r="O196">
        <v>2817</v>
      </c>
      <c r="P196" t="str">
        <f>TEXT(tbl_working_daily[[#This Row],[ActivityDate]],"dddd")</f>
        <v>Sunday</v>
      </c>
      <c r="Q196" t="str">
        <f>TEXT(tbl_working_daily[[#This Row],[ActivityDate]],"mmmm")</f>
        <v>April</v>
      </c>
      <c r="R196">
        <f t="shared" si="6"/>
        <v>188</v>
      </c>
      <c r="S196">
        <f t="shared" si="7"/>
        <v>1366</v>
      </c>
      <c r="T196">
        <f>ROUND(tbl_working_daily[[#This Row],[SedentaryMinutes]]/60,2)</f>
        <v>19.63</v>
      </c>
      <c r="U196" t="str" cm="1">
        <f t="array" ref="U19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96" t="str" cm="1">
        <f t="array" ref="V196">_xlfn.IFS(tbl_working_daily[[#This Row],[VeryActiveMinutes]]&gt;=30,"Very Active",tbl_working_daily[[#This Row],[VeryActiveMinutes]]&gt;=15,"Moderately Active",tbl_working_daily[[#This Row],[VeryActiveMinutes]]&gt;=1,"Lightly Active",tbl_working_daily[[#This Row],[VeryActiveMinutes]]=0,"Sedentary")</f>
        <v>Lightly Active</v>
      </c>
      <c r="W196" t="str">
        <f>tbl_working_daily[[#This Row],[Id]]&amp;"|"&amp;TEXT(tbl_working_daily[[#This Row],[ActivityDate]],"yyyy-mm-dd")</f>
        <v>4020332650|2016-04-10</v>
      </c>
      <c r="X196" t="b">
        <f>ISNUMBER(MATCH(tbl_working_daily[[#This Row],[LookupKey]],tbl_working_sleep[LookupKey],0))</f>
        <v>0</v>
      </c>
    </row>
    <row r="197" spans="1:24" x14ac:dyDescent="0.3">
      <c r="A197">
        <v>4020332650</v>
      </c>
      <c r="B197" s="1">
        <v>42471</v>
      </c>
      <c r="C197">
        <v>2993</v>
      </c>
      <c r="D197">
        <v>2.1500000953674299</v>
      </c>
      <c r="E197">
        <v>2.1500000953674299</v>
      </c>
      <c r="F197">
        <v>0</v>
      </c>
      <c r="G197">
        <v>0</v>
      </c>
      <c r="H197">
        <v>0</v>
      </c>
      <c r="I197">
        <v>2.0899999141693102</v>
      </c>
      <c r="J197">
        <v>0</v>
      </c>
      <c r="K197">
        <v>0</v>
      </c>
      <c r="L197">
        <v>0</v>
      </c>
      <c r="M197">
        <v>114</v>
      </c>
      <c r="N197">
        <v>888</v>
      </c>
      <c r="O197">
        <v>2507</v>
      </c>
      <c r="P197" t="str">
        <f>TEXT(tbl_working_daily[[#This Row],[ActivityDate]],"dddd")</f>
        <v>Monday</v>
      </c>
      <c r="Q197" t="str">
        <f>TEXT(tbl_working_daily[[#This Row],[ActivityDate]],"mmmm")</f>
        <v>April</v>
      </c>
      <c r="R197">
        <f t="shared" si="6"/>
        <v>114</v>
      </c>
      <c r="S197">
        <f t="shared" si="7"/>
        <v>1002</v>
      </c>
      <c r="T197">
        <f>ROUND(tbl_working_daily[[#This Row],[SedentaryMinutes]]/60,2)</f>
        <v>14.8</v>
      </c>
      <c r="U197" t="str" cm="1">
        <f t="array" ref="U1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97" t="str" cm="1">
        <f t="array" ref="V197">_xlfn.IFS(tbl_working_daily[[#This Row],[VeryActiveMinutes]]&gt;=30,"Very Active",tbl_working_daily[[#This Row],[VeryActiveMinutes]]&gt;=15,"Moderately Active",tbl_working_daily[[#This Row],[VeryActiveMinutes]]&gt;=1,"Lightly Active",tbl_working_daily[[#This Row],[VeryActiveMinutes]]=0,"Sedentary")</f>
        <v>Sedentary</v>
      </c>
      <c r="W197" t="str">
        <f>tbl_working_daily[[#This Row],[Id]]&amp;"|"&amp;TEXT(tbl_working_daily[[#This Row],[ActivityDate]],"yyyy-mm-dd")</f>
        <v>4020332650|2016-04-11</v>
      </c>
      <c r="X197" t="b">
        <f>ISNUMBER(MATCH(tbl_working_daily[[#This Row],[LookupKey]],tbl_working_sleep[LookupKey],0))</f>
        <v>0</v>
      </c>
    </row>
    <row r="198" spans="1:24" x14ac:dyDescent="0.3">
      <c r="A198">
        <v>4020332650</v>
      </c>
      <c r="B198" s="1">
        <v>42472</v>
      </c>
      <c r="C198">
        <v>8</v>
      </c>
      <c r="D198">
        <v>9.9999997764825804E-3</v>
      </c>
      <c r="E198">
        <v>9.9999997764825804E-3</v>
      </c>
      <c r="F198">
        <v>0</v>
      </c>
      <c r="G198">
        <v>0</v>
      </c>
      <c r="H198">
        <v>0</v>
      </c>
      <c r="I198">
        <v>9.9999997764825804E-3</v>
      </c>
      <c r="J198">
        <v>0</v>
      </c>
      <c r="K198">
        <v>0</v>
      </c>
      <c r="L198">
        <v>0</v>
      </c>
      <c r="M198">
        <v>1</v>
      </c>
      <c r="N198">
        <v>321</v>
      </c>
      <c r="O198">
        <v>446</v>
      </c>
      <c r="P198" t="str">
        <f>TEXT(tbl_working_daily[[#This Row],[ActivityDate]],"dddd")</f>
        <v>Tuesday</v>
      </c>
      <c r="Q198" t="str">
        <f>TEXT(tbl_working_daily[[#This Row],[ActivityDate]],"mmmm")</f>
        <v>April</v>
      </c>
      <c r="R198">
        <f t="shared" si="6"/>
        <v>1</v>
      </c>
      <c r="S198">
        <f t="shared" si="7"/>
        <v>322</v>
      </c>
      <c r="T198">
        <f>ROUND(tbl_working_daily[[#This Row],[SedentaryMinutes]]/60,2)</f>
        <v>5.35</v>
      </c>
      <c r="U198" t="str" cm="1">
        <f t="array" ref="U1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98" t="str" cm="1">
        <f t="array" ref="V198">_xlfn.IFS(tbl_working_daily[[#This Row],[VeryActiveMinutes]]&gt;=30,"Very Active",tbl_working_daily[[#This Row],[VeryActiveMinutes]]&gt;=15,"Moderately Active",tbl_working_daily[[#This Row],[VeryActiveMinutes]]&gt;=1,"Lightly Active",tbl_working_daily[[#This Row],[VeryActiveMinutes]]=0,"Sedentary")</f>
        <v>Sedentary</v>
      </c>
      <c r="W198" t="str">
        <f>tbl_working_daily[[#This Row],[Id]]&amp;"|"&amp;TEXT(tbl_working_daily[[#This Row],[ActivityDate]],"yyyy-mm-dd")</f>
        <v>4020332650|2016-04-12</v>
      </c>
      <c r="X198" t="b">
        <f>ISNUMBER(MATCH(tbl_working_daily[[#This Row],[LookupKey]],tbl_working_sleep[LookupKey],0))</f>
        <v>1</v>
      </c>
    </row>
    <row r="199" spans="1:24" x14ac:dyDescent="0.3">
      <c r="A199">
        <v>4057192912</v>
      </c>
      <c r="B199" s="1">
        <v>42441</v>
      </c>
      <c r="C199">
        <v>0</v>
      </c>
      <c r="D199">
        <v>0</v>
      </c>
      <c r="E199">
        <v>0</v>
      </c>
      <c r="F199">
        <v>0</v>
      </c>
      <c r="G199">
        <v>0</v>
      </c>
      <c r="H199">
        <v>0</v>
      </c>
      <c r="I199">
        <v>0</v>
      </c>
      <c r="J199">
        <v>0</v>
      </c>
      <c r="K199">
        <v>0</v>
      </c>
      <c r="L199">
        <v>0</v>
      </c>
      <c r="M199">
        <v>0</v>
      </c>
      <c r="N199">
        <v>1440</v>
      </c>
      <c r="O199">
        <v>1777</v>
      </c>
      <c r="P199" t="str">
        <f>TEXT(tbl_working_daily[[#This Row],[ActivityDate]],"dddd")</f>
        <v>Saturday</v>
      </c>
      <c r="Q199" t="str">
        <f>TEXT(tbl_working_daily[[#This Row],[ActivityDate]],"mmmm")</f>
        <v>March</v>
      </c>
      <c r="R199">
        <f t="shared" si="6"/>
        <v>0</v>
      </c>
      <c r="S199">
        <f t="shared" si="7"/>
        <v>1440</v>
      </c>
      <c r="T199">
        <f>ROUND(tbl_working_daily[[#This Row],[SedentaryMinutes]]/60,2)</f>
        <v>24</v>
      </c>
      <c r="U199" t="str" cm="1">
        <f t="array" ref="U19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99" t="str" cm="1">
        <f t="array" ref="V199">_xlfn.IFS(tbl_working_daily[[#This Row],[VeryActiveMinutes]]&gt;=30,"Very Active",tbl_working_daily[[#This Row],[VeryActiveMinutes]]&gt;=15,"Moderately Active",tbl_working_daily[[#This Row],[VeryActiveMinutes]]&gt;=1,"Lightly Active",tbl_working_daily[[#This Row],[VeryActiveMinutes]]=0,"Sedentary")</f>
        <v>Sedentary</v>
      </c>
      <c r="W199" t="str">
        <f>tbl_working_daily[[#This Row],[Id]]&amp;"|"&amp;TEXT(tbl_working_daily[[#This Row],[ActivityDate]],"yyyy-mm-dd")</f>
        <v>4057192912|2016-03-12</v>
      </c>
      <c r="X199" t="b">
        <f>ISNUMBER(MATCH(tbl_working_daily[[#This Row],[LookupKey]],tbl_working_sleep[LookupKey],0))</f>
        <v>0</v>
      </c>
    </row>
    <row r="200" spans="1:24" x14ac:dyDescent="0.3">
      <c r="A200">
        <v>4057192912</v>
      </c>
      <c r="B200" s="1">
        <v>42442</v>
      </c>
      <c r="C200">
        <v>0</v>
      </c>
      <c r="D200">
        <v>0</v>
      </c>
      <c r="E200">
        <v>0</v>
      </c>
      <c r="F200">
        <v>0</v>
      </c>
      <c r="G200">
        <v>0</v>
      </c>
      <c r="H200">
        <v>0</v>
      </c>
      <c r="I200">
        <v>0</v>
      </c>
      <c r="J200">
        <v>0</v>
      </c>
      <c r="K200">
        <v>0</v>
      </c>
      <c r="L200">
        <v>0</v>
      </c>
      <c r="M200">
        <v>0</v>
      </c>
      <c r="N200">
        <v>1440</v>
      </c>
      <c r="O200">
        <v>1777</v>
      </c>
      <c r="P200" t="str">
        <f>TEXT(tbl_working_daily[[#This Row],[ActivityDate]],"dddd")</f>
        <v>Sunday</v>
      </c>
      <c r="Q200" t="str">
        <f>TEXT(tbl_working_daily[[#This Row],[ActivityDate]],"mmmm")</f>
        <v>March</v>
      </c>
      <c r="R200">
        <f t="shared" si="6"/>
        <v>0</v>
      </c>
      <c r="S200">
        <f t="shared" si="7"/>
        <v>1440</v>
      </c>
      <c r="T200">
        <f>ROUND(tbl_working_daily[[#This Row],[SedentaryMinutes]]/60,2)</f>
        <v>24</v>
      </c>
      <c r="U200" t="str" cm="1">
        <f t="array" ref="U20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0" t="str" cm="1">
        <f t="array" ref="V200">_xlfn.IFS(tbl_working_daily[[#This Row],[VeryActiveMinutes]]&gt;=30,"Very Active",tbl_working_daily[[#This Row],[VeryActiveMinutes]]&gt;=15,"Moderately Active",tbl_working_daily[[#This Row],[VeryActiveMinutes]]&gt;=1,"Lightly Active",tbl_working_daily[[#This Row],[VeryActiveMinutes]]=0,"Sedentary")</f>
        <v>Sedentary</v>
      </c>
      <c r="W200" t="str">
        <f>tbl_working_daily[[#This Row],[Id]]&amp;"|"&amp;TEXT(tbl_working_daily[[#This Row],[ActivityDate]],"yyyy-mm-dd")</f>
        <v>4057192912|2016-03-13</v>
      </c>
      <c r="X200" t="b">
        <f>ISNUMBER(MATCH(tbl_working_daily[[#This Row],[LookupKey]],tbl_working_sleep[LookupKey],0))</f>
        <v>0</v>
      </c>
    </row>
    <row r="201" spans="1:24" x14ac:dyDescent="0.3">
      <c r="A201">
        <v>4057192912</v>
      </c>
      <c r="B201" s="1">
        <v>42443</v>
      </c>
      <c r="C201">
        <v>8433</v>
      </c>
      <c r="D201">
        <v>6.2300000190734899</v>
      </c>
      <c r="E201">
        <v>6.2300000190734899</v>
      </c>
      <c r="F201">
        <v>0</v>
      </c>
      <c r="G201">
        <v>2.4500000476837198</v>
      </c>
      <c r="H201">
        <v>0.33000001311302202</v>
      </c>
      <c r="I201">
        <v>3.4400000572204599</v>
      </c>
      <c r="J201">
        <v>0</v>
      </c>
      <c r="K201">
        <v>30</v>
      </c>
      <c r="L201">
        <v>7</v>
      </c>
      <c r="M201">
        <v>135</v>
      </c>
      <c r="N201">
        <v>1268</v>
      </c>
      <c r="O201">
        <v>2453</v>
      </c>
      <c r="P201" t="str">
        <f>TEXT(tbl_working_daily[[#This Row],[ActivityDate]],"dddd")</f>
        <v>Monday</v>
      </c>
      <c r="Q201" t="str">
        <f>TEXT(tbl_working_daily[[#This Row],[ActivityDate]],"mmmm")</f>
        <v>March</v>
      </c>
      <c r="R201">
        <f t="shared" si="6"/>
        <v>172</v>
      </c>
      <c r="S201">
        <f t="shared" si="7"/>
        <v>1440</v>
      </c>
      <c r="T201">
        <f>ROUND(tbl_working_daily[[#This Row],[SedentaryMinutes]]/60,2)</f>
        <v>21.13</v>
      </c>
      <c r="U201" t="str" cm="1">
        <f t="array" ref="U20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01" t="str" cm="1">
        <f t="array" ref="V201">_xlfn.IFS(tbl_working_daily[[#This Row],[VeryActiveMinutes]]&gt;=30,"Very Active",tbl_working_daily[[#This Row],[VeryActiveMinutes]]&gt;=15,"Moderately Active",tbl_working_daily[[#This Row],[VeryActiveMinutes]]&gt;=1,"Lightly Active",tbl_working_daily[[#This Row],[VeryActiveMinutes]]=0,"Sedentary")</f>
        <v>Very Active</v>
      </c>
      <c r="W201" t="str">
        <f>tbl_working_daily[[#This Row],[Id]]&amp;"|"&amp;TEXT(tbl_working_daily[[#This Row],[ActivityDate]],"yyyy-mm-dd")</f>
        <v>4057192912|2016-03-14</v>
      </c>
      <c r="X201" t="b">
        <f>ISNUMBER(MATCH(tbl_working_daily[[#This Row],[LookupKey]],tbl_working_sleep[LookupKey],0))</f>
        <v>0</v>
      </c>
    </row>
    <row r="202" spans="1:24" x14ac:dyDescent="0.3">
      <c r="A202">
        <v>4057192912</v>
      </c>
      <c r="B202" s="1">
        <v>42444</v>
      </c>
      <c r="C202">
        <v>0</v>
      </c>
      <c r="D202">
        <v>0</v>
      </c>
      <c r="E202">
        <v>0</v>
      </c>
      <c r="F202">
        <v>0</v>
      </c>
      <c r="G202">
        <v>0</v>
      </c>
      <c r="H202">
        <v>0</v>
      </c>
      <c r="I202">
        <v>0</v>
      </c>
      <c r="J202">
        <v>0</v>
      </c>
      <c r="K202">
        <v>0</v>
      </c>
      <c r="L202">
        <v>0</v>
      </c>
      <c r="M202">
        <v>0</v>
      </c>
      <c r="N202">
        <v>1440</v>
      </c>
      <c r="O202">
        <v>1776</v>
      </c>
      <c r="P202" t="str">
        <f>TEXT(tbl_working_daily[[#This Row],[ActivityDate]],"dddd")</f>
        <v>Tuesday</v>
      </c>
      <c r="Q202" t="str">
        <f>TEXT(tbl_working_daily[[#This Row],[ActivityDate]],"mmmm")</f>
        <v>March</v>
      </c>
      <c r="R202">
        <f t="shared" si="6"/>
        <v>0</v>
      </c>
      <c r="S202">
        <f t="shared" si="7"/>
        <v>1440</v>
      </c>
      <c r="T202">
        <f>ROUND(tbl_working_daily[[#This Row],[SedentaryMinutes]]/60,2)</f>
        <v>24</v>
      </c>
      <c r="U202" t="str" cm="1">
        <f t="array" ref="U2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2" t="str" cm="1">
        <f t="array" ref="V202">_xlfn.IFS(tbl_working_daily[[#This Row],[VeryActiveMinutes]]&gt;=30,"Very Active",tbl_working_daily[[#This Row],[VeryActiveMinutes]]&gt;=15,"Moderately Active",tbl_working_daily[[#This Row],[VeryActiveMinutes]]&gt;=1,"Lightly Active",tbl_working_daily[[#This Row],[VeryActiveMinutes]]=0,"Sedentary")</f>
        <v>Sedentary</v>
      </c>
      <c r="W202" t="str">
        <f>tbl_working_daily[[#This Row],[Id]]&amp;"|"&amp;TEXT(tbl_working_daily[[#This Row],[ActivityDate]],"yyyy-mm-dd")</f>
        <v>4057192912|2016-03-15</v>
      </c>
      <c r="X202" t="b">
        <f>ISNUMBER(MATCH(tbl_working_daily[[#This Row],[LookupKey]],tbl_working_sleep[LookupKey],0))</f>
        <v>0</v>
      </c>
    </row>
    <row r="203" spans="1:24" x14ac:dyDescent="0.3">
      <c r="A203">
        <v>4057192912</v>
      </c>
      <c r="B203" s="1">
        <v>42445</v>
      </c>
      <c r="C203">
        <v>2139</v>
      </c>
      <c r="D203">
        <v>1.5599999427795399</v>
      </c>
      <c r="E203">
        <v>1.5599999427795399</v>
      </c>
      <c r="F203">
        <v>0</v>
      </c>
      <c r="G203">
        <v>0</v>
      </c>
      <c r="H203">
        <v>1.29999995231628</v>
      </c>
      <c r="I203">
        <v>0.259999990463257</v>
      </c>
      <c r="J203">
        <v>0</v>
      </c>
      <c r="K203">
        <v>0</v>
      </c>
      <c r="L203">
        <v>28</v>
      </c>
      <c r="M203">
        <v>15</v>
      </c>
      <c r="N203">
        <v>1397</v>
      </c>
      <c r="O203">
        <v>1935</v>
      </c>
      <c r="P203" t="str">
        <f>TEXT(tbl_working_daily[[#This Row],[ActivityDate]],"dddd")</f>
        <v>Wednesday</v>
      </c>
      <c r="Q203" t="str">
        <f>TEXT(tbl_working_daily[[#This Row],[ActivityDate]],"mmmm")</f>
        <v>March</v>
      </c>
      <c r="R203">
        <f t="shared" si="6"/>
        <v>43</v>
      </c>
      <c r="S203">
        <f t="shared" si="7"/>
        <v>1440</v>
      </c>
      <c r="T203">
        <f>ROUND(tbl_working_daily[[#This Row],[SedentaryMinutes]]/60,2)</f>
        <v>23.28</v>
      </c>
      <c r="U203" t="str" cm="1">
        <f t="array" ref="U20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3" t="str" cm="1">
        <f t="array" ref="V203">_xlfn.IFS(tbl_working_daily[[#This Row],[VeryActiveMinutes]]&gt;=30,"Very Active",tbl_working_daily[[#This Row],[VeryActiveMinutes]]&gt;=15,"Moderately Active",tbl_working_daily[[#This Row],[VeryActiveMinutes]]&gt;=1,"Lightly Active",tbl_working_daily[[#This Row],[VeryActiveMinutes]]=0,"Sedentary")</f>
        <v>Sedentary</v>
      </c>
      <c r="W203" t="str">
        <f>tbl_working_daily[[#This Row],[Id]]&amp;"|"&amp;TEXT(tbl_working_daily[[#This Row],[ActivityDate]],"yyyy-mm-dd")</f>
        <v>4057192912|2016-03-16</v>
      </c>
      <c r="X203" t="b">
        <f>ISNUMBER(MATCH(tbl_working_daily[[#This Row],[LookupKey]],tbl_working_sleep[LookupKey],0))</f>
        <v>0</v>
      </c>
    </row>
    <row r="204" spans="1:24" x14ac:dyDescent="0.3">
      <c r="A204">
        <v>4057192912</v>
      </c>
      <c r="B204" s="1">
        <v>42446</v>
      </c>
      <c r="C204">
        <v>0</v>
      </c>
      <c r="D204">
        <v>0</v>
      </c>
      <c r="E204">
        <v>0</v>
      </c>
      <c r="F204">
        <v>0</v>
      </c>
      <c r="G204">
        <v>0</v>
      </c>
      <c r="H204">
        <v>0</v>
      </c>
      <c r="I204">
        <v>0</v>
      </c>
      <c r="J204">
        <v>0</v>
      </c>
      <c r="K204">
        <v>0</v>
      </c>
      <c r="L204">
        <v>0</v>
      </c>
      <c r="M204">
        <v>0</v>
      </c>
      <c r="N204">
        <v>1440</v>
      </c>
      <c r="O204">
        <v>1776</v>
      </c>
      <c r="P204" t="str">
        <f>TEXT(tbl_working_daily[[#This Row],[ActivityDate]],"dddd")</f>
        <v>Thursday</v>
      </c>
      <c r="Q204" t="str">
        <f>TEXT(tbl_working_daily[[#This Row],[ActivityDate]],"mmmm")</f>
        <v>March</v>
      </c>
      <c r="R204">
        <f t="shared" si="6"/>
        <v>0</v>
      </c>
      <c r="S204">
        <f t="shared" si="7"/>
        <v>1440</v>
      </c>
      <c r="T204">
        <f>ROUND(tbl_working_daily[[#This Row],[SedentaryMinutes]]/60,2)</f>
        <v>24</v>
      </c>
      <c r="U204" t="str" cm="1">
        <f t="array" ref="U2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4" t="str" cm="1">
        <f t="array" ref="V204">_xlfn.IFS(tbl_working_daily[[#This Row],[VeryActiveMinutes]]&gt;=30,"Very Active",tbl_working_daily[[#This Row],[VeryActiveMinutes]]&gt;=15,"Moderately Active",tbl_working_daily[[#This Row],[VeryActiveMinutes]]&gt;=1,"Lightly Active",tbl_working_daily[[#This Row],[VeryActiveMinutes]]=0,"Sedentary")</f>
        <v>Sedentary</v>
      </c>
      <c r="W204" t="str">
        <f>tbl_working_daily[[#This Row],[Id]]&amp;"|"&amp;TEXT(tbl_working_daily[[#This Row],[ActivityDate]],"yyyy-mm-dd")</f>
        <v>4057192912|2016-03-17</v>
      </c>
      <c r="X204" t="b">
        <f>ISNUMBER(MATCH(tbl_working_daily[[#This Row],[LookupKey]],tbl_working_sleep[LookupKey],0))</f>
        <v>0</v>
      </c>
    </row>
    <row r="205" spans="1:24" x14ac:dyDescent="0.3">
      <c r="A205">
        <v>4057192912</v>
      </c>
      <c r="B205" s="1">
        <v>42447</v>
      </c>
      <c r="C205">
        <v>949</v>
      </c>
      <c r="D205">
        <v>0.68999999761581399</v>
      </c>
      <c r="E205">
        <v>0.68999999761581399</v>
      </c>
      <c r="F205">
        <v>0</v>
      </c>
      <c r="G205">
        <v>0</v>
      </c>
      <c r="H205">
        <v>0</v>
      </c>
      <c r="I205">
        <v>0.68999999761581399</v>
      </c>
      <c r="J205">
        <v>0</v>
      </c>
      <c r="K205">
        <v>0</v>
      </c>
      <c r="L205">
        <v>0</v>
      </c>
      <c r="M205">
        <v>34</v>
      </c>
      <c r="N205">
        <v>1406</v>
      </c>
      <c r="O205">
        <v>1870</v>
      </c>
      <c r="P205" t="str">
        <f>TEXT(tbl_working_daily[[#This Row],[ActivityDate]],"dddd")</f>
        <v>Friday</v>
      </c>
      <c r="Q205" t="str">
        <f>TEXT(tbl_working_daily[[#This Row],[ActivityDate]],"mmmm")</f>
        <v>March</v>
      </c>
      <c r="R205">
        <f t="shared" si="6"/>
        <v>34</v>
      </c>
      <c r="S205">
        <f t="shared" si="7"/>
        <v>1440</v>
      </c>
      <c r="T205">
        <f>ROUND(tbl_working_daily[[#This Row],[SedentaryMinutes]]/60,2)</f>
        <v>23.43</v>
      </c>
      <c r="U205" t="str" cm="1">
        <f t="array" ref="U2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5" t="str" cm="1">
        <f t="array" ref="V205">_xlfn.IFS(tbl_working_daily[[#This Row],[VeryActiveMinutes]]&gt;=30,"Very Active",tbl_working_daily[[#This Row],[VeryActiveMinutes]]&gt;=15,"Moderately Active",tbl_working_daily[[#This Row],[VeryActiveMinutes]]&gt;=1,"Lightly Active",tbl_working_daily[[#This Row],[VeryActiveMinutes]]=0,"Sedentary")</f>
        <v>Sedentary</v>
      </c>
      <c r="W205" t="str">
        <f>tbl_working_daily[[#This Row],[Id]]&amp;"|"&amp;TEXT(tbl_working_daily[[#This Row],[ActivityDate]],"yyyy-mm-dd")</f>
        <v>4057192912|2016-03-18</v>
      </c>
      <c r="X205" t="b">
        <f>ISNUMBER(MATCH(tbl_working_daily[[#This Row],[LookupKey]],tbl_working_sleep[LookupKey],0))</f>
        <v>0</v>
      </c>
    </row>
    <row r="206" spans="1:24" x14ac:dyDescent="0.3">
      <c r="A206">
        <v>4057192912</v>
      </c>
      <c r="B206" s="1">
        <v>42448</v>
      </c>
      <c r="C206">
        <v>0</v>
      </c>
      <c r="D206">
        <v>0</v>
      </c>
      <c r="E206">
        <v>0</v>
      </c>
      <c r="F206">
        <v>0</v>
      </c>
      <c r="G206">
        <v>0</v>
      </c>
      <c r="H206">
        <v>0</v>
      </c>
      <c r="I206">
        <v>0</v>
      </c>
      <c r="J206">
        <v>0</v>
      </c>
      <c r="K206">
        <v>0</v>
      </c>
      <c r="L206">
        <v>0</v>
      </c>
      <c r="M206">
        <v>0</v>
      </c>
      <c r="N206">
        <v>1440</v>
      </c>
      <c r="O206">
        <v>1777</v>
      </c>
      <c r="P206" t="str">
        <f>TEXT(tbl_working_daily[[#This Row],[ActivityDate]],"dddd")</f>
        <v>Saturday</v>
      </c>
      <c r="Q206" t="str">
        <f>TEXT(tbl_working_daily[[#This Row],[ActivityDate]],"mmmm")</f>
        <v>March</v>
      </c>
      <c r="R206">
        <f t="shared" si="6"/>
        <v>0</v>
      </c>
      <c r="S206">
        <f t="shared" si="7"/>
        <v>1440</v>
      </c>
      <c r="T206">
        <f>ROUND(tbl_working_daily[[#This Row],[SedentaryMinutes]]/60,2)</f>
        <v>24</v>
      </c>
      <c r="U206" t="str" cm="1">
        <f t="array" ref="U2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6" t="str" cm="1">
        <f t="array" ref="V206">_xlfn.IFS(tbl_working_daily[[#This Row],[VeryActiveMinutes]]&gt;=30,"Very Active",tbl_working_daily[[#This Row],[VeryActiveMinutes]]&gt;=15,"Moderately Active",tbl_working_daily[[#This Row],[VeryActiveMinutes]]&gt;=1,"Lightly Active",tbl_working_daily[[#This Row],[VeryActiveMinutes]]=0,"Sedentary")</f>
        <v>Sedentary</v>
      </c>
      <c r="W206" t="str">
        <f>tbl_working_daily[[#This Row],[Id]]&amp;"|"&amp;TEXT(tbl_working_daily[[#This Row],[ActivityDate]],"yyyy-mm-dd")</f>
        <v>4057192912|2016-03-19</v>
      </c>
      <c r="X206" t="b">
        <f>ISNUMBER(MATCH(tbl_working_daily[[#This Row],[LookupKey]],tbl_working_sleep[LookupKey],0))</f>
        <v>0</v>
      </c>
    </row>
    <row r="207" spans="1:24" x14ac:dyDescent="0.3">
      <c r="A207">
        <v>4057192912</v>
      </c>
      <c r="B207" s="1">
        <v>42449</v>
      </c>
      <c r="C207">
        <v>44</v>
      </c>
      <c r="D207">
        <v>2.9999999329447701E-2</v>
      </c>
      <c r="E207">
        <v>2.9999999329447701E-2</v>
      </c>
      <c r="F207">
        <v>0</v>
      </c>
      <c r="G207">
        <v>0</v>
      </c>
      <c r="H207">
        <v>0</v>
      </c>
      <c r="I207">
        <v>2.9999999329447701E-2</v>
      </c>
      <c r="J207">
        <v>0</v>
      </c>
      <c r="K207">
        <v>0</v>
      </c>
      <c r="L207">
        <v>0</v>
      </c>
      <c r="M207">
        <v>2</v>
      </c>
      <c r="N207">
        <v>1438</v>
      </c>
      <c r="O207">
        <v>1782</v>
      </c>
      <c r="P207" t="str">
        <f>TEXT(tbl_working_daily[[#This Row],[ActivityDate]],"dddd")</f>
        <v>Sunday</v>
      </c>
      <c r="Q207" t="str">
        <f>TEXT(tbl_working_daily[[#This Row],[ActivityDate]],"mmmm")</f>
        <v>March</v>
      </c>
      <c r="R207">
        <f t="shared" si="6"/>
        <v>2</v>
      </c>
      <c r="S207">
        <f t="shared" si="7"/>
        <v>1440</v>
      </c>
      <c r="T207">
        <f>ROUND(tbl_working_daily[[#This Row],[SedentaryMinutes]]/60,2)</f>
        <v>23.97</v>
      </c>
      <c r="U207" t="str" cm="1">
        <f t="array" ref="U2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7" t="str" cm="1">
        <f t="array" ref="V207">_xlfn.IFS(tbl_working_daily[[#This Row],[VeryActiveMinutes]]&gt;=30,"Very Active",tbl_working_daily[[#This Row],[VeryActiveMinutes]]&gt;=15,"Moderately Active",tbl_working_daily[[#This Row],[VeryActiveMinutes]]&gt;=1,"Lightly Active",tbl_working_daily[[#This Row],[VeryActiveMinutes]]=0,"Sedentary")</f>
        <v>Sedentary</v>
      </c>
      <c r="W207" t="str">
        <f>tbl_working_daily[[#This Row],[Id]]&amp;"|"&amp;TEXT(tbl_working_daily[[#This Row],[ActivityDate]],"yyyy-mm-dd")</f>
        <v>4057192912|2016-03-20</v>
      </c>
      <c r="X207" t="b">
        <f>ISNUMBER(MATCH(tbl_working_daily[[#This Row],[LookupKey]],tbl_working_sleep[LookupKey],0))</f>
        <v>0</v>
      </c>
    </row>
    <row r="208" spans="1:24" x14ac:dyDescent="0.3">
      <c r="A208">
        <v>4057192912</v>
      </c>
      <c r="B208" s="1">
        <v>42450</v>
      </c>
      <c r="C208">
        <v>2660</v>
      </c>
      <c r="D208">
        <v>1.9400000572204601</v>
      </c>
      <c r="E208">
        <v>1.9400000572204601</v>
      </c>
      <c r="F208">
        <v>0</v>
      </c>
      <c r="G208">
        <v>0</v>
      </c>
      <c r="H208">
        <v>0</v>
      </c>
      <c r="I208">
        <v>1.9400000572204601</v>
      </c>
      <c r="J208">
        <v>0</v>
      </c>
      <c r="K208">
        <v>0</v>
      </c>
      <c r="L208">
        <v>0</v>
      </c>
      <c r="M208">
        <v>46</v>
      </c>
      <c r="N208">
        <v>1394</v>
      </c>
      <c r="O208">
        <v>1978</v>
      </c>
      <c r="P208" t="str">
        <f>TEXT(tbl_working_daily[[#This Row],[ActivityDate]],"dddd")</f>
        <v>Monday</v>
      </c>
      <c r="Q208" t="str">
        <f>TEXT(tbl_working_daily[[#This Row],[ActivityDate]],"mmmm")</f>
        <v>March</v>
      </c>
      <c r="R208">
        <f t="shared" si="6"/>
        <v>46</v>
      </c>
      <c r="S208">
        <f t="shared" si="7"/>
        <v>1440</v>
      </c>
      <c r="T208">
        <f>ROUND(tbl_working_daily[[#This Row],[SedentaryMinutes]]/60,2)</f>
        <v>23.23</v>
      </c>
      <c r="U208" t="str" cm="1">
        <f t="array" ref="U2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08" t="str" cm="1">
        <f t="array" ref="V208">_xlfn.IFS(tbl_working_daily[[#This Row],[VeryActiveMinutes]]&gt;=30,"Very Active",tbl_working_daily[[#This Row],[VeryActiveMinutes]]&gt;=15,"Moderately Active",tbl_working_daily[[#This Row],[VeryActiveMinutes]]&gt;=1,"Lightly Active",tbl_working_daily[[#This Row],[VeryActiveMinutes]]=0,"Sedentary")</f>
        <v>Sedentary</v>
      </c>
      <c r="W208" t="str">
        <f>tbl_working_daily[[#This Row],[Id]]&amp;"|"&amp;TEXT(tbl_working_daily[[#This Row],[ActivityDate]],"yyyy-mm-dd")</f>
        <v>4057192912|2016-03-21</v>
      </c>
      <c r="X208" t="b">
        <f>ISNUMBER(MATCH(tbl_working_daily[[#This Row],[LookupKey]],tbl_working_sleep[LookupKey],0))</f>
        <v>0</v>
      </c>
    </row>
    <row r="209" spans="1:24" x14ac:dyDescent="0.3">
      <c r="A209">
        <v>4057192912</v>
      </c>
      <c r="B209" s="1">
        <v>42451</v>
      </c>
      <c r="C209">
        <v>5561</v>
      </c>
      <c r="D209">
        <v>4.1900000572204599</v>
      </c>
      <c r="E209">
        <v>4.1900000572204599</v>
      </c>
      <c r="F209">
        <v>0</v>
      </c>
      <c r="G209">
        <v>0</v>
      </c>
      <c r="H209">
        <v>0</v>
      </c>
      <c r="I209">
        <v>4.0700001716613796</v>
      </c>
      <c r="J209">
        <v>0</v>
      </c>
      <c r="K209">
        <v>0</v>
      </c>
      <c r="L209">
        <v>0</v>
      </c>
      <c r="M209">
        <v>169</v>
      </c>
      <c r="N209">
        <v>1271</v>
      </c>
      <c r="O209">
        <v>2296</v>
      </c>
      <c r="P209" t="str">
        <f>TEXT(tbl_working_daily[[#This Row],[ActivityDate]],"dddd")</f>
        <v>Tuesday</v>
      </c>
      <c r="Q209" t="str">
        <f>TEXT(tbl_working_daily[[#This Row],[ActivityDate]],"mmmm")</f>
        <v>March</v>
      </c>
      <c r="R209">
        <f t="shared" si="6"/>
        <v>169</v>
      </c>
      <c r="S209">
        <f t="shared" si="7"/>
        <v>1440</v>
      </c>
      <c r="T209">
        <f>ROUND(tbl_working_daily[[#This Row],[SedentaryMinutes]]/60,2)</f>
        <v>21.18</v>
      </c>
      <c r="U209" t="str" cm="1">
        <f t="array" ref="U20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09" t="str" cm="1">
        <f t="array" ref="V209">_xlfn.IFS(tbl_working_daily[[#This Row],[VeryActiveMinutes]]&gt;=30,"Very Active",tbl_working_daily[[#This Row],[VeryActiveMinutes]]&gt;=15,"Moderately Active",tbl_working_daily[[#This Row],[VeryActiveMinutes]]&gt;=1,"Lightly Active",tbl_working_daily[[#This Row],[VeryActiveMinutes]]=0,"Sedentary")</f>
        <v>Sedentary</v>
      </c>
      <c r="W209" t="str">
        <f>tbl_working_daily[[#This Row],[Id]]&amp;"|"&amp;TEXT(tbl_working_daily[[#This Row],[ActivityDate]],"yyyy-mm-dd")</f>
        <v>4057192912|2016-03-22</v>
      </c>
      <c r="X209" t="b">
        <f>ISNUMBER(MATCH(tbl_working_daily[[#This Row],[LookupKey]],tbl_working_sleep[LookupKey],0))</f>
        <v>0</v>
      </c>
    </row>
    <row r="210" spans="1:24" x14ac:dyDescent="0.3">
      <c r="A210">
        <v>4057192912</v>
      </c>
      <c r="B210" s="1">
        <v>42452</v>
      </c>
      <c r="C210">
        <v>7239</v>
      </c>
      <c r="D210">
        <v>5.3400001525878897</v>
      </c>
      <c r="E210">
        <v>5.3400001525878897</v>
      </c>
      <c r="F210">
        <v>0</v>
      </c>
      <c r="G210">
        <v>0.55000001192092896</v>
      </c>
      <c r="H210">
        <v>0.36000001430511502</v>
      </c>
      <c r="I210">
        <v>4.3800001144409197</v>
      </c>
      <c r="J210">
        <v>0</v>
      </c>
      <c r="K210">
        <v>7</v>
      </c>
      <c r="L210">
        <v>7</v>
      </c>
      <c r="M210">
        <v>190</v>
      </c>
      <c r="N210">
        <v>1236</v>
      </c>
      <c r="O210">
        <v>2484</v>
      </c>
      <c r="P210" t="str">
        <f>TEXT(tbl_working_daily[[#This Row],[ActivityDate]],"dddd")</f>
        <v>Wednesday</v>
      </c>
      <c r="Q210" t="str">
        <f>TEXT(tbl_working_daily[[#This Row],[ActivityDate]],"mmmm")</f>
        <v>March</v>
      </c>
      <c r="R210">
        <f t="shared" si="6"/>
        <v>204</v>
      </c>
      <c r="S210">
        <f t="shared" si="7"/>
        <v>1440</v>
      </c>
      <c r="T210">
        <f>ROUND(tbl_working_daily[[#This Row],[SedentaryMinutes]]/60,2)</f>
        <v>20.6</v>
      </c>
      <c r="U210" t="str" cm="1">
        <f t="array" ref="U21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10" t="str" cm="1">
        <f t="array" ref="V210">_xlfn.IFS(tbl_working_daily[[#This Row],[VeryActiveMinutes]]&gt;=30,"Very Active",tbl_working_daily[[#This Row],[VeryActiveMinutes]]&gt;=15,"Moderately Active",tbl_working_daily[[#This Row],[VeryActiveMinutes]]&gt;=1,"Lightly Active",tbl_working_daily[[#This Row],[VeryActiveMinutes]]=0,"Sedentary")</f>
        <v>Lightly Active</v>
      </c>
      <c r="W210" t="str">
        <f>tbl_working_daily[[#This Row],[Id]]&amp;"|"&amp;TEXT(tbl_working_daily[[#This Row],[ActivityDate]],"yyyy-mm-dd")</f>
        <v>4057192912|2016-03-23</v>
      </c>
      <c r="X210" t="b">
        <f>ISNUMBER(MATCH(tbl_working_daily[[#This Row],[LookupKey]],tbl_working_sleep[LookupKey],0))</f>
        <v>0</v>
      </c>
    </row>
    <row r="211" spans="1:24" x14ac:dyDescent="0.3">
      <c r="A211">
        <v>4057192912</v>
      </c>
      <c r="B211" s="1">
        <v>42453</v>
      </c>
      <c r="C211">
        <v>7</v>
      </c>
      <c r="D211">
        <v>9.9999997764825804E-3</v>
      </c>
      <c r="E211">
        <v>9.9999997764825804E-3</v>
      </c>
      <c r="F211">
        <v>0</v>
      </c>
      <c r="G211">
        <v>0</v>
      </c>
      <c r="H211">
        <v>0</v>
      </c>
      <c r="I211">
        <v>9.9999997764825804E-3</v>
      </c>
      <c r="J211">
        <v>0</v>
      </c>
      <c r="K211">
        <v>0</v>
      </c>
      <c r="L211">
        <v>0</v>
      </c>
      <c r="M211">
        <v>1</v>
      </c>
      <c r="N211">
        <v>1439</v>
      </c>
      <c r="O211">
        <v>1787</v>
      </c>
      <c r="P211" t="str">
        <f>TEXT(tbl_working_daily[[#This Row],[ActivityDate]],"dddd")</f>
        <v>Thursday</v>
      </c>
      <c r="Q211" t="str">
        <f>TEXT(tbl_working_daily[[#This Row],[ActivityDate]],"mmmm")</f>
        <v>March</v>
      </c>
      <c r="R211">
        <f t="shared" si="6"/>
        <v>1</v>
      </c>
      <c r="S211">
        <f t="shared" si="7"/>
        <v>1440</v>
      </c>
      <c r="T211">
        <f>ROUND(tbl_working_daily[[#This Row],[SedentaryMinutes]]/60,2)</f>
        <v>23.98</v>
      </c>
      <c r="U211" t="str" cm="1">
        <f t="array" ref="U21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1" t="str" cm="1">
        <f t="array" ref="V211">_xlfn.IFS(tbl_working_daily[[#This Row],[VeryActiveMinutes]]&gt;=30,"Very Active",tbl_working_daily[[#This Row],[VeryActiveMinutes]]&gt;=15,"Moderately Active",tbl_working_daily[[#This Row],[VeryActiveMinutes]]&gt;=1,"Lightly Active",tbl_working_daily[[#This Row],[VeryActiveMinutes]]=0,"Sedentary")</f>
        <v>Sedentary</v>
      </c>
      <c r="W211" t="str">
        <f>tbl_working_daily[[#This Row],[Id]]&amp;"|"&amp;TEXT(tbl_working_daily[[#This Row],[ActivityDate]],"yyyy-mm-dd")</f>
        <v>4057192912|2016-03-24</v>
      </c>
      <c r="X211" t="b">
        <f>ISNUMBER(MATCH(tbl_working_daily[[#This Row],[LookupKey]],tbl_working_sleep[LookupKey],0))</f>
        <v>0</v>
      </c>
    </row>
    <row r="212" spans="1:24" x14ac:dyDescent="0.3">
      <c r="A212">
        <v>4057192912</v>
      </c>
      <c r="B212" s="1">
        <v>42454</v>
      </c>
      <c r="C212">
        <v>0</v>
      </c>
      <c r="D212">
        <v>0</v>
      </c>
      <c r="E212">
        <v>0</v>
      </c>
      <c r="F212">
        <v>0</v>
      </c>
      <c r="G212">
        <v>0</v>
      </c>
      <c r="H212">
        <v>0</v>
      </c>
      <c r="I212">
        <v>0</v>
      </c>
      <c r="J212">
        <v>0</v>
      </c>
      <c r="K212">
        <v>0</v>
      </c>
      <c r="L212">
        <v>0</v>
      </c>
      <c r="M212">
        <v>0</v>
      </c>
      <c r="N212">
        <v>1440</v>
      </c>
      <c r="O212">
        <v>1776</v>
      </c>
      <c r="P212" t="str">
        <f>TEXT(tbl_working_daily[[#This Row],[ActivityDate]],"dddd")</f>
        <v>Friday</v>
      </c>
      <c r="Q212" t="str">
        <f>TEXT(tbl_working_daily[[#This Row],[ActivityDate]],"mmmm")</f>
        <v>March</v>
      </c>
      <c r="R212">
        <f t="shared" si="6"/>
        <v>0</v>
      </c>
      <c r="S212">
        <f t="shared" si="7"/>
        <v>1440</v>
      </c>
      <c r="T212">
        <f>ROUND(tbl_working_daily[[#This Row],[SedentaryMinutes]]/60,2)</f>
        <v>24</v>
      </c>
      <c r="U212" t="str" cm="1">
        <f t="array" ref="U2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2" t="str" cm="1">
        <f t="array" ref="V212">_xlfn.IFS(tbl_working_daily[[#This Row],[VeryActiveMinutes]]&gt;=30,"Very Active",tbl_working_daily[[#This Row],[VeryActiveMinutes]]&gt;=15,"Moderately Active",tbl_working_daily[[#This Row],[VeryActiveMinutes]]&gt;=1,"Lightly Active",tbl_working_daily[[#This Row],[VeryActiveMinutes]]=0,"Sedentary")</f>
        <v>Sedentary</v>
      </c>
      <c r="W212" t="str">
        <f>tbl_working_daily[[#This Row],[Id]]&amp;"|"&amp;TEXT(tbl_working_daily[[#This Row],[ActivityDate]],"yyyy-mm-dd")</f>
        <v>4057192912|2016-03-25</v>
      </c>
      <c r="X212" t="b">
        <f>ISNUMBER(MATCH(tbl_working_daily[[#This Row],[LookupKey]],tbl_working_sleep[LookupKey],0))</f>
        <v>0</v>
      </c>
    </row>
    <row r="213" spans="1:24" x14ac:dyDescent="0.3">
      <c r="A213">
        <v>4057192912</v>
      </c>
      <c r="B213" s="1">
        <v>42455</v>
      </c>
      <c r="C213">
        <v>0</v>
      </c>
      <c r="D213">
        <v>0</v>
      </c>
      <c r="E213">
        <v>0</v>
      </c>
      <c r="F213">
        <v>0</v>
      </c>
      <c r="G213">
        <v>0</v>
      </c>
      <c r="H213">
        <v>0</v>
      </c>
      <c r="I213">
        <v>0</v>
      </c>
      <c r="J213">
        <v>0</v>
      </c>
      <c r="K213">
        <v>0</v>
      </c>
      <c r="L213">
        <v>0</v>
      </c>
      <c r="M213">
        <v>0</v>
      </c>
      <c r="N213">
        <v>1440</v>
      </c>
      <c r="O213">
        <v>1776</v>
      </c>
      <c r="P213" t="str">
        <f>TEXT(tbl_working_daily[[#This Row],[ActivityDate]],"dddd")</f>
        <v>Saturday</v>
      </c>
      <c r="Q213" t="str">
        <f>TEXT(tbl_working_daily[[#This Row],[ActivityDate]],"mmmm")</f>
        <v>March</v>
      </c>
      <c r="R213">
        <f t="shared" si="6"/>
        <v>0</v>
      </c>
      <c r="S213">
        <f t="shared" si="7"/>
        <v>1440</v>
      </c>
      <c r="T213">
        <f>ROUND(tbl_working_daily[[#This Row],[SedentaryMinutes]]/60,2)</f>
        <v>24</v>
      </c>
      <c r="U213" t="str" cm="1">
        <f t="array" ref="U21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3" t="str" cm="1">
        <f t="array" ref="V213">_xlfn.IFS(tbl_working_daily[[#This Row],[VeryActiveMinutes]]&gt;=30,"Very Active",tbl_working_daily[[#This Row],[VeryActiveMinutes]]&gt;=15,"Moderately Active",tbl_working_daily[[#This Row],[VeryActiveMinutes]]&gt;=1,"Lightly Active",tbl_working_daily[[#This Row],[VeryActiveMinutes]]=0,"Sedentary")</f>
        <v>Sedentary</v>
      </c>
      <c r="W213" t="str">
        <f>tbl_working_daily[[#This Row],[Id]]&amp;"|"&amp;TEXT(tbl_working_daily[[#This Row],[ActivityDate]],"yyyy-mm-dd")</f>
        <v>4057192912|2016-03-26</v>
      </c>
      <c r="X213" t="b">
        <f>ISNUMBER(MATCH(tbl_working_daily[[#This Row],[LookupKey]],tbl_working_sleep[LookupKey],0))</f>
        <v>0</v>
      </c>
    </row>
    <row r="214" spans="1:24" x14ac:dyDescent="0.3">
      <c r="A214">
        <v>4057192912</v>
      </c>
      <c r="B214" s="1">
        <v>42456</v>
      </c>
      <c r="C214">
        <v>2275</v>
      </c>
      <c r="D214">
        <v>1.6799999475479099</v>
      </c>
      <c r="E214">
        <v>1.6799999475479099</v>
      </c>
      <c r="F214">
        <v>0</v>
      </c>
      <c r="G214">
        <v>0</v>
      </c>
      <c r="H214">
        <v>0</v>
      </c>
      <c r="I214">
        <v>1.6599999666214</v>
      </c>
      <c r="J214">
        <v>0</v>
      </c>
      <c r="K214">
        <v>0</v>
      </c>
      <c r="L214">
        <v>0</v>
      </c>
      <c r="M214">
        <v>86</v>
      </c>
      <c r="N214">
        <v>1354</v>
      </c>
      <c r="O214">
        <v>2005</v>
      </c>
      <c r="P214" t="str">
        <f>TEXT(tbl_working_daily[[#This Row],[ActivityDate]],"dddd")</f>
        <v>Sunday</v>
      </c>
      <c r="Q214" t="str">
        <f>TEXT(tbl_working_daily[[#This Row],[ActivityDate]],"mmmm")</f>
        <v>March</v>
      </c>
      <c r="R214">
        <f t="shared" si="6"/>
        <v>86</v>
      </c>
      <c r="S214">
        <f t="shared" si="7"/>
        <v>1440</v>
      </c>
      <c r="T214">
        <f>ROUND(tbl_working_daily[[#This Row],[SedentaryMinutes]]/60,2)</f>
        <v>22.57</v>
      </c>
      <c r="U214" t="str" cm="1">
        <f t="array" ref="U21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4" t="str" cm="1">
        <f t="array" ref="V214">_xlfn.IFS(tbl_working_daily[[#This Row],[VeryActiveMinutes]]&gt;=30,"Very Active",tbl_working_daily[[#This Row],[VeryActiveMinutes]]&gt;=15,"Moderately Active",tbl_working_daily[[#This Row],[VeryActiveMinutes]]&gt;=1,"Lightly Active",tbl_working_daily[[#This Row],[VeryActiveMinutes]]=0,"Sedentary")</f>
        <v>Sedentary</v>
      </c>
      <c r="W214" t="str">
        <f>tbl_working_daily[[#This Row],[Id]]&amp;"|"&amp;TEXT(tbl_working_daily[[#This Row],[ActivityDate]],"yyyy-mm-dd")</f>
        <v>4057192912|2016-03-27</v>
      </c>
      <c r="X214" t="b">
        <f>ISNUMBER(MATCH(tbl_working_daily[[#This Row],[LookupKey]],tbl_working_sleep[LookupKey],0))</f>
        <v>0</v>
      </c>
    </row>
    <row r="215" spans="1:24" x14ac:dyDescent="0.3">
      <c r="A215">
        <v>4057192912</v>
      </c>
      <c r="B215" s="1">
        <v>42457</v>
      </c>
      <c r="C215">
        <v>8</v>
      </c>
      <c r="D215">
        <v>9.9999997764825804E-3</v>
      </c>
      <c r="E215">
        <v>9.9999997764825804E-3</v>
      </c>
      <c r="F215">
        <v>0</v>
      </c>
      <c r="G215">
        <v>0</v>
      </c>
      <c r="H215">
        <v>0</v>
      </c>
      <c r="I215">
        <v>9.9999997764825804E-3</v>
      </c>
      <c r="J215">
        <v>0</v>
      </c>
      <c r="K215">
        <v>0</v>
      </c>
      <c r="L215">
        <v>0</v>
      </c>
      <c r="M215">
        <v>1</v>
      </c>
      <c r="N215">
        <v>1439</v>
      </c>
      <c r="O215">
        <v>1778</v>
      </c>
      <c r="P215" t="str">
        <f>TEXT(tbl_working_daily[[#This Row],[ActivityDate]],"dddd")</f>
        <v>Monday</v>
      </c>
      <c r="Q215" t="str">
        <f>TEXT(tbl_working_daily[[#This Row],[ActivityDate]],"mmmm")</f>
        <v>March</v>
      </c>
      <c r="R215">
        <f t="shared" si="6"/>
        <v>1</v>
      </c>
      <c r="S215">
        <f t="shared" si="7"/>
        <v>1440</v>
      </c>
      <c r="T215">
        <f>ROUND(tbl_working_daily[[#This Row],[SedentaryMinutes]]/60,2)</f>
        <v>23.98</v>
      </c>
      <c r="U215" t="str" cm="1">
        <f t="array" ref="U21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5" t="str" cm="1">
        <f t="array" ref="V215">_xlfn.IFS(tbl_working_daily[[#This Row],[VeryActiveMinutes]]&gt;=30,"Very Active",tbl_working_daily[[#This Row],[VeryActiveMinutes]]&gt;=15,"Moderately Active",tbl_working_daily[[#This Row],[VeryActiveMinutes]]&gt;=1,"Lightly Active",tbl_working_daily[[#This Row],[VeryActiveMinutes]]=0,"Sedentary")</f>
        <v>Sedentary</v>
      </c>
      <c r="W215" t="str">
        <f>tbl_working_daily[[#This Row],[Id]]&amp;"|"&amp;TEXT(tbl_working_daily[[#This Row],[ActivityDate]],"yyyy-mm-dd")</f>
        <v>4057192912|2016-03-28</v>
      </c>
      <c r="X215" t="b">
        <f>ISNUMBER(MATCH(tbl_working_daily[[#This Row],[LookupKey]],tbl_working_sleep[LookupKey],0))</f>
        <v>0</v>
      </c>
    </row>
    <row r="216" spans="1:24" x14ac:dyDescent="0.3">
      <c r="A216">
        <v>4057192912</v>
      </c>
      <c r="B216" s="1">
        <v>42458</v>
      </c>
      <c r="C216">
        <v>5137</v>
      </c>
      <c r="D216">
        <v>3.7599999904632599</v>
      </c>
      <c r="E216">
        <v>3.7599999904632599</v>
      </c>
      <c r="F216">
        <v>0</v>
      </c>
      <c r="G216">
        <v>0</v>
      </c>
      <c r="H216">
        <v>0</v>
      </c>
      <c r="I216">
        <v>3.7599999904632599</v>
      </c>
      <c r="J216">
        <v>0</v>
      </c>
      <c r="K216">
        <v>0</v>
      </c>
      <c r="L216">
        <v>0</v>
      </c>
      <c r="M216">
        <v>160</v>
      </c>
      <c r="N216">
        <v>1280</v>
      </c>
      <c r="O216">
        <v>2293</v>
      </c>
      <c r="P216" t="str">
        <f>TEXT(tbl_working_daily[[#This Row],[ActivityDate]],"dddd")</f>
        <v>Tuesday</v>
      </c>
      <c r="Q216" t="str">
        <f>TEXT(tbl_working_daily[[#This Row],[ActivityDate]],"mmmm")</f>
        <v>March</v>
      </c>
      <c r="R216">
        <f t="shared" si="6"/>
        <v>160</v>
      </c>
      <c r="S216">
        <f t="shared" si="7"/>
        <v>1440</v>
      </c>
      <c r="T216">
        <f>ROUND(tbl_working_daily[[#This Row],[SedentaryMinutes]]/60,2)</f>
        <v>21.33</v>
      </c>
      <c r="U216" t="str" cm="1">
        <f t="array" ref="U21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16" t="str" cm="1">
        <f t="array" ref="V216">_xlfn.IFS(tbl_working_daily[[#This Row],[VeryActiveMinutes]]&gt;=30,"Very Active",tbl_working_daily[[#This Row],[VeryActiveMinutes]]&gt;=15,"Moderately Active",tbl_working_daily[[#This Row],[VeryActiveMinutes]]&gt;=1,"Lightly Active",tbl_working_daily[[#This Row],[VeryActiveMinutes]]=0,"Sedentary")</f>
        <v>Sedentary</v>
      </c>
      <c r="W216" t="str">
        <f>tbl_working_daily[[#This Row],[Id]]&amp;"|"&amp;TEXT(tbl_working_daily[[#This Row],[ActivityDate]],"yyyy-mm-dd")</f>
        <v>4057192912|2016-03-29</v>
      </c>
      <c r="X216" t="b">
        <f>ISNUMBER(MATCH(tbl_working_daily[[#This Row],[LookupKey]],tbl_working_sleep[LookupKey],0))</f>
        <v>0</v>
      </c>
    </row>
    <row r="217" spans="1:24" x14ac:dyDescent="0.3">
      <c r="A217">
        <v>4057192912</v>
      </c>
      <c r="B217" s="1">
        <v>42459</v>
      </c>
      <c r="C217">
        <v>5419</v>
      </c>
      <c r="D217">
        <v>4</v>
      </c>
      <c r="E217">
        <v>4.5700001716613796</v>
      </c>
      <c r="F217">
        <v>5.5842999368906E-2</v>
      </c>
      <c r="G217">
        <v>0</v>
      </c>
      <c r="H217">
        <v>0</v>
      </c>
      <c r="I217">
        <v>3.9100000858306898</v>
      </c>
      <c r="J217">
        <v>5.9999998658895499E-2</v>
      </c>
      <c r="K217">
        <v>0</v>
      </c>
      <c r="L217">
        <v>0</v>
      </c>
      <c r="M217">
        <v>145</v>
      </c>
      <c r="N217">
        <v>1295</v>
      </c>
      <c r="O217">
        <v>2259</v>
      </c>
      <c r="P217" t="str">
        <f>TEXT(tbl_working_daily[[#This Row],[ActivityDate]],"dddd")</f>
        <v>Wednesday</v>
      </c>
      <c r="Q217" t="str">
        <f>TEXT(tbl_working_daily[[#This Row],[ActivityDate]],"mmmm")</f>
        <v>March</v>
      </c>
      <c r="R217">
        <f t="shared" si="6"/>
        <v>145</v>
      </c>
      <c r="S217">
        <f t="shared" si="7"/>
        <v>1440</v>
      </c>
      <c r="T217">
        <f>ROUND(tbl_working_daily[[#This Row],[SedentaryMinutes]]/60,2)</f>
        <v>21.58</v>
      </c>
      <c r="U217" t="str" cm="1">
        <f t="array" ref="U21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17" t="str" cm="1">
        <f t="array" ref="V217">_xlfn.IFS(tbl_working_daily[[#This Row],[VeryActiveMinutes]]&gt;=30,"Very Active",tbl_working_daily[[#This Row],[VeryActiveMinutes]]&gt;=15,"Moderately Active",tbl_working_daily[[#This Row],[VeryActiveMinutes]]&gt;=1,"Lightly Active",tbl_working_daily[[#This Row],[VeryActiveMinutes]]=0,"Sedentary")</f>
        <v>Sedentary</v>
      </c>
      <c r="W217" t="str">
        <f>tbl_working_daily[[#This Row],[Id]]&amp;"|"&amp;TEXT(tbl_working_daily[[#This Row],[ActivityDate]],"yyyy-mm-dd")</f>
        <v>4057192912|2016-03-30</v>
      </c>
      <c r="X217" t="b">
        <f>ISNUMBER(MATCH(tbl_working_daily[[#This Row],[LookupKey]],tbl_working_sleep[LookupKey],0))</f>
        <v>0</v>
      </c>
    </row>
    <row r="218" spans="1:24" x14ac:dyDescent="0.3">
      <c r="A218">
        <v>4057192912</v>
      </c>
      <c r="B218" s="1">
        <v>42460</v>
      </c>
      <c r="C218">
        <v>0</v>
      </c>
      <c r="D218">
        <v>0</v>
      </c>
      <c r="E218">
        <v>0</v>
      </c>
      <c r="F218">
        <v>0</v>
      </c>
      <c r="G218">
        <v>0</v>
      </c>
      <c r="H218">
        <v>0</v>
      </c>
      <c r="I218">
        <v>0</v>
      </c>
      <c r="J218">
        <v>0</v>
      </c>
      <c r="K218">
        <v>0</v>
      </c>
      <c r="L218">
        <v>0</v>
      </c>
      <c r="M218">
        <v>0</v>
      </c>
      <c r="N218">
        <v>1440</v>
      </c>
      <c r="O218">
        <v>1776</v>
      </c>
      <c r="P218" t="str">
        <f>TEXT(tbl_working_daily[[#This Row],[ActivityDate]],"dddd")</f>
        <v>Thursday</v>
      </c>
      <c r="Q218" t="str">
        <f>TEXT(tbl_working_daily[[#This Row],[ActivityDate]],"mmmm")</f>
        <v>March</v>
      </c>
      <c r="R218">
        <f t="shared" si="6"/>
        <v>0</v>
      </c>
      <c r="S218">
        <f t="shared" si="7"/>
        <v>1440</v>
      </c>
      <c r="T218">
        <f>ROUND(tbl_working_daily[[#This Row],[SedentaryMinutes]]/60,2)</f>
        <v>24</v>
      </c>
      <c r="U218" t="str" cm="1">
        <f t="array" ref="U21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8" t="str" cm="1">
        <f t="array" ref="V218">_xlfn.IFS(tbl_working_daily[[#This Row],[VeryActiveMinutes]]&gt;=30,"Very Active",tbl_working_daily[[#This Row],[VeryActiveMinutes]]&gt;=15,"Moderately Active",tbl_working_daily[[#This Row],[VeryActiveMinutes]]&gt;=1,"Lightly Active",tbl_working_daily[[#This Row],[VeryActiveMinutes]]=0,"Sedentary")</f>
        <v>Sedentary</v>
      </c>
      <c r="W218" t="str">
        <f>tbl_working_daily[[#This Row],[Id]]&amp;"|"&amp;TEXT(tbl_working_daily[[#This Row],[ActivityDate]],"yyyy-mm-dd")</f>
        <v>4057192912|2016-03-31</v>
      </c>
      <c r="X218" t="b">
        <f>ISNUMBER(MATCH(tbl_working_daily[[#This Row],[LookupKey]],tbl_working_sleep[LookupKey],0))</f>
        <v>0</v>
      </c>
    </row>
    <row r="219" spans="1:24" x14ac:dyDescent="0.3">
      <c r="A219">
        <v>4057192912</v>
      </c>
      <c r="B219" s="1">
        <v>42461</v>
      </c>
      <c r="C219">
        <v>0</v>
      </c>
      <c r="D219">
        <v>0</v>
      </c>
      <c r="E219">
        <v>0</v>
      </c>
      <c r="F219">
        <v>0</v>
      </c>
      <c r="G219">
        <v>0</v>
      </c>
      <c r="H219">
        <v>0</v>
      </c>
      <c r="I219">
        <v>0</v>
      </c>
      <c r="J219">
        <v>0</v>
      </c>
      <c r="K219">
        <v>0</v>
      </c>
      <c r="L219">
        <v>0</v>
      </c>
      <c r="M219">
        <v>0</v>
      </c>
      <c r="N219">
        <v>1440</v>
      </c>
      <c r="O219">
        <v>1776</v>
      </c>
      <c r="P219" t="str">
        <f>TEXT(tbl_working_daily[[#This Row],[ActivityDate]],"dddd")</f>
        <v>Friday</v>
      </c>
      <c r="Q219" t="str">
        <f>TEXT(tbl_working_daily[[#This Row],[ActivityDate]],"mmmm")</f>
        <v>April</v>
      </c>
      <c r="R219">
        <f t="shared" si="6"/>
        <v>0</v>
      </c>
      <c r="S219">
        <f t="shared" si="7"/>
        <v>1440</v>
      </c>
      <c r="T219">
        <f>ROUND(tbl_working_daily[[#This Row],[SedentaryMinutes]]/60,2)</f>
        <v>24</v>
      </c>
      <c r="U219" t="str" cm="1">
        <f t="array" ref="U21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19" t="str" cm="1">
        <f t="array" ref="V219">_xlfn.IFS(tbl_working_daily[[#This Row],[VeryActiveMinutes]]&gt;=30,"Very Active",tbl_working_daily[[#This Row],[VeryActiveMinutes]]&gt;=15,"Moderately Active",tbl_working_daily[[#This Row],[VeryActiveMinutes]]&gt;=1,"Lightly Active",tbl_working_daily[[#This Row],[VeryActiveMinutes]]=0,"Sedentary")</f>
        <v>Sedentary</v>
      </c>
      <c r="W219" t="str">
        <f>tbl_working_daily[[#This Row],[Id]]&amp;"|"&amp;TEXT(tbl_working_daily[[#This Row],[ActivityDate]],"yyyy-mm-dd")</f>
        <v>4057192912|2016-04-01</v>
      </c>
      <c r="X219" t="b">
        <f>ISNUMBER(MATCH(tbl_working_daily[[#This Row],[LookupKey]],tbl_working_sleep[LookupKey],0))</f>
        <v>0</v>
      </c>
    </row>
    <row r="220" spans="1:24" x14ac:dyDescent="0.3">
      <c r="A220">
        <v>4057192912</v>
      </c>
      <c r="B220" s="1">
        <v>42462</v>
      </c>
      <c r="C220">
        <v>0</v>
      </c>
      <c r="D220">
        <v>0</v>
      </c>
      <c r="E220">
        <v>0</v>
      </c>
      <c r="F220">
        <v>0</v>
      </c>
      <c r="G220">
        <v>0</v>
      </c>
      <c r="H220">
        <v>0</v>
      </c>
      <c r="I220">
        <v>0</v>
      </c>
      <c r="J220">
        <v>0</v>
      </c>
      <c r="K220">
        <v>0</v>
      </c>
      <c r="L220">
        <v>0</v>
      </c>
      <c r="M220">
        <v>0</v>
      </c>
      <c r="N220">
        <v>1440</v>
      </c>
      <c r="O220">
        <v>1776</v>
      </c>
      <c r="P220" t="str">
        <f>TEXT(tbl_working_daily[[#This Row],[ActivityDate]],"dddd")</f>
        <v>Saturday</v>
      </c>
      <c r="Q220" t="str">
        <f>TEXT(tbl_working_daily[[#This Row],[ActivityDate]],"mmmm")</f>
        <v>April</v>
      </c>
      <c r="R220">
        <f t="shared" si="6"/>
        <v>0</v>
      </c>
      <c r="S220">
        <f t="shared" si="7"/>
        <v>1440</v>
      </c>
      <c r="T220">
        <f>ROUND(tbl_working_daily[[#This Row],[SedentaryMinutes]]/60,2)</f>
        <v>24</v>
      </c>
      <c r="U220" t="str" cm="1">
        <f t="array" ref="U22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0" t="str" cm="1">
        <f t="array" ref="V220">_xlfn.IFS(tbl_working_daily[[#This Row],[VeryActiveMinutes]]&gt;=30,"Very Active",tbl_working_daily[[#This Row],[VeryActiveMinutes]]&gt;=15,"Moderately Active",tbl_working_daily[[#This Row],[VeryActiveMinutes]]&gt;=1,"Lightly Active",tbl_working_daily[[#This Row],[VeryActiveMinutes]]=0,"Sedentary")</f>
        <v>Sedentary</v>
      </c>
      <c r="W220" t="str">
        <f>tbl_working_daily[[#This Row],[Id]]&amp;"|"&amp;TEXT(tbl_working_daily[[#This Row],[ActivityDate]],"yyyy-mm-dd")</f>
        <v>4057192912|2016-04-02</v>
      </c>
      <c r="X220" t="b">
        <f>ISNUMBER(MATCH(tbl_working_daily[[#This Row],[LookupKey]],tbl_working_sleep[LookupKey],0))</f>
        <v>0</v>
      </c>
    </row>
    <row r="221" spans="1:24" x14ac:dyDescent="0.3">
      <c r="A221">
        <v>4057192912</v>
      </c>
      <c r="B221" s="1">
        <v>42463</v>
      </c>
      <c r="C221">
        <v>0</v>
      </c>
      <c r="D221">
        <v>0</v>
      </c>
      <c r="E221">
        <v>0</v>
      </c>
      <c r="F221">
        <v>0</v>
      </c>
      <c r="G221">
        <v>0</v>
      </c>
      <c r="H221">
        <v>0</v>
      </c>
      <c r="I221">
        <v>0</v>
      </c>
      <c r="J221">
        <v>0</v>
      </c>
      <c r="K221">
        <v>0</v>
      </c>
      <c r="L221">
        <v>0</v>
      </c>
      <c r="M221">
        <v>0</v>
      </c>
      <c r="N221">
        <v>1440</v>
      </c>
      <c r="O221">
        <v>1776</v>
      </c>
      <c r="P221" t="str">
        <f>TEXT(tbl_working_daily[[#This Row],[ActivityDate]],"dddd")</f>
        <v>Sunday</v>
      </c>
      <c r="Q221" t="str">
        <f>TEXT(tbl_working_daily[[#This Row],[ActivityDate]],"mmmm")</f>
        <v>April</v>
      </c>
      <c r="R221">
        <f t="shared" si="6"/>
        <v>0</v>
      </c>
      <c r="S221">
        <f t="shared" si="7"/>
        <v>1440</v>
      </c>
      <c r="T221">
        <f>ROUND(tbl_working_daily[[#This Row],[SedentaryMinutes]]/60,2)</f>
        <v>24</v>
      </c>
      <c r="U221" t="str" cm="1">
        <f t="array" ref="U22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1" t="str" cm="1">
        <f t="array" ref="V221">_xlfn.IFS(tbl_working_daily[[#This Row],[VeryActiveMinutes]]&gt;=30,"Very Active",tbl_working_daily[[#This Row],[VeryActiveMinutes]]&gt;=15,"Moderately Active",tbl_working_daily[[#This Row],[VeryActiveMinutes]]&gt;=1,"Lightly Active",tbl_working_daily[[#This Row],[VeryActiveMinutes]]=0,"Sedentary")</f>
        <v>Sedentary</v>
      </c>
      <c r="W221" t="str">
        <f>tbl_working_daily[[#This Row],[Id]]&amp;"|"&amp;TEXT(tbl_working_daily[[#This Row],[ActivityDate]],"yyyy-mm-dd")</f>
        <v>4057192912|2016-04-03</v>
      </c>
      <c r="X221" t="b">
        <f>ISNUMBER(MATCH(tbl_working_daily[[#This Row],[LookupKey]],tbl_working_sleep[LookupKey],0))</f>
        <v>0</v>
      </c>
    </row>
    <row r="222" spans="1:24" x14ac:dyDescent="0.3">
      <c r="A222">
        <v>4057192912</v>
      </c>
      <c r="B222" s="1">
        <v>42464</v>
      </c>
      <c r="C222">
        <v>0</v>
      </c>
      <c r="D222">
        <v>0</v>
      </c>
      <c r="E222">
        <v>0</v>
      </c>
      <c r="F222">
        <v>0</v>
      </c>
      <c r="G222">
        <v>0</v>
      </c>
      <c r="H222">
        <v>0</v>
      </c>
      <c r="I222">
        <v>0</v>
      </c>
      <c r="J222">
        <v>0</v>
      </c>
      <c r="K222">
        <v>0</v>
      </c>
      <c r="L222">
        <v>0</v>
      </c>
      <c r="M222">
        <v>0</v>
      </c>
      <c r="N222">
        <v>1440</v>
      </c>
      <c r="O222">
        <v>1776</v>
      </c>
      <c r="P222" t="str">
        <f>TEXT(tbl_working_daily[[#This Row],[ActivityDate]],"dddd")</f>
        <v>Monday</v>
      </c>
      <c r="Q222" t="str">
        <f>TEXT(tbl_working_daily[[#This Row],[ActivityDate]],"mmmm")</f>
        <v>April</v>
      </c>
      <c r="R222">
        <f t="shared" si="6"/>
        <v>0</v>
      </c>
      <c r="S222">
        <f t="shared" si="7"/>
        <v>1440</v>
      </c>
      <c r="T222">
        <f>ROUND(tbl_working_daily[[#This Row],[SedentaryMinutes]]/60,2)</f>
        <v>24</v>
      </c>
      <c r="U222" t="str" cm="1">
        <f t="array" ref="U22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2" t="str" cm="1">
        <f t="array" ref="V222">_xlfn.IFS(tbl_working_daily[[#This Row],[VeryActiveMinutes]]&gt;=30,"Very Active",tbl_working_daily[[#This Row],[VeryActiveMinutes]]&gt;=15,"Moderately Active",tbl_working_daily[[#This Row],[VeryActiveMinutes]]&gt;=1,"Lightly Active",tbl_working_daily[[#This Row],[VeryActiveMinutes]]=0,"Sedentary")</f>
        <v>Sedentary</v>
      </c>
      <c r="W222" t="str">
        <f>tbl_working_daily[[#This Row],[Id]]&amp;"|"&amp;TEXT(tbl_working_daily[[#This Row],[ActivityDate]],"yyyy-mm-dd")</f>
        <v>4057192912|2016-04-04</v>
      </c>
      <c r="X222" t="b">
        <f>ISNUMBER(MATCH(tbl_working_daily[[#This Row],[LookupKey]],tbl_working_sleep[LookupKey],0))</f>
        <v>0</v>
      </c>
    </row>
    <row r="223" spans="1:24" x14ac:dyDescent="0.3">
      <c r="A223">
        <v>4057192912</v>
      </c>
      <c r="B223" s="1">
        <v>42465</v>
      </c>
      <c r="C223">
        <v>0</v>
      </c>
      <c r="D223">
        <v>0</v>
      </c>
      <c r="E223">
        <v>0</v>
      </c>
      <c r="F223">
        <v>0</v>
      </c>
      <c r="G223">
        <v>0</v>
      </c>
      <c r="H223">
        <v>0</v>
      </c>
      <c r="I223">
        <v>0</v>
      </c>
      <c r="J223">
        <v>0</v>
      </c>
      <c r="K223">
        <v>0</v>
      </c>
      <c r="L223">
        <v>0</v>
      </c>
      <c r="M223">
        <v>0</v>
      </c>
      <c r="N223">
        <v>1440</v>
      </c>
      <c r="O223">
        <v>1776</v>
      </c>
      <c r="P223" t="str">
        <f>TEXT(tbl_working_daily[[#This Row],[ActivityDate]],"dddd")</f>
        <v>Tuesday</v>
      </c>
      <c r="Q223" t="str">
        <f>TEXT(tbl_working_daily[[#This Row],[ActivityDate]],"mmmm")</f>
        <v>April</v>
      </c>
      <c r="R223">
        <f t="shared" si="6"/>
        <v>0</v>
      </c>
      <c r="S223">
        <f t="shared" si="7"/>
        <v>1440</v>
      </c>
      <c r="T223">
        <f>ROUND(tbl_working_daily[[#This Row],[SedentaryMinutes]]/60,2)</f>
        <v>24</v>
      </c>
      <c r="U223" t="str" cm="1">
        <f t="array" ref="U22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3" t="str" cm="1">
        <f t="array" ref="V223">_xlfn.IFS(tbl_working_daily[[#This Row],[VeryActiveMinutes]]&gt;=30,"Very Active",tbl_working_daily[[#This Row],[VeryActiveMinutes]]&gt;=15,"Moderately Active",tbl_working_daily[[#This Row],[VeryActiveMinutes]]&gt;=1,"Lightly Active",tbl_working_daily[[#This Row],[VeryActiveMinutes]]=0,"Sedentary")</f>
        <v>Sedentary</v>
      </c>
      <c r="W223" t="str">
        <f>tbl_working_daily[[#This Row],[Id]]&amp;"|"&amp;TEXT(tbl_working_daily[[#This Row],[ActivityDate]],"yyyy-mm-dd")</f>
        <v>4057192912|2016-04-05</v>
      </c>
      <c r="X223" t="b">
        <f>ISNUMBER(MATCH(tbl_working_daily[[#This Row],[LookupKey]],tbl_working_sleep[LookupKey],0))</f>
        <v>0</v>
      </c>
    </row>
    <row r="224" spans="1:24" x14ac:dyDescent="0.3">
      <c r="A224">
        <v>4057192912</v>
      </c>
      <c r="B224" s="1">
        <v>42466</v>
      </c>
      <c r="C224">
        <v>18</v>
      </c>
      <c r="D224">
        <v>9.9999997764825804E-3</v>
      </c>
      <c r="E224">
        <v>9.9999997764825804E-3</v>
      </c>
      <c r="F224">
        <v>0</v>
      </c>
      <c r="G224">
        <v>0</v>
      </c>
      <c r="H224">
        <v>0</v>
      </c>
      <c r="I224">
        <v>9.9999997764825804E-3</v>
      </c>
      <c r="J224">
        <v>0</v>
      </c>
      <c r="K224">
        <v>0</v>
      </c>
      <c r="L224">
        <v>0</v>
      </c>
      <c r="M224">
        <v>2</v>
      </c>
      <c r="N224">
        <v>1438</v>
      </c>
      <c r="O224">
        <v>1780</v>
      </c>
      <c r="P224" t="str">
        <f>TEXT(tbl_working_daily[[#This Row],[ActivityDate]],"dddd")</f>
        <v>Wednesday</v>
      </c>
      <c r="Q224" t="str">
        <f>TEXT(tbl_working_daily[[#This Row],[ActivityDate]],"mmmm")</f>
        <v>April</v>
      </c>
      <c r="R224">
        <f t="shared" si="6"/>
        <v>2</v>
      </c>
      <c r="S224">
        <f t="shared" si="7"/>
        <v>1440</v>
      </c>
      <c r="T224">
        <f>ROUND(tbl_working_daily[[#This Row],[SedentaryMinutes]]/60,2)</f>
        <v>23.97</v>
      </c>
      <c r="U224" t="str" cm="1">
        <f t="array" ref="U2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4" t="str" cm="1">
        <f t="array" ref="V224">_xlfn.IFS(tbl_working_daily[[#This Row],[VeryActiveMinutes]]&gt;=30,"Very Active",tbl_working_daily[[#This Row],[VeryActiveMinutes]]&gt;=15,"Moderately Active",tbl_working_daily[[#This Row],[VeryActiveMinutes]]&gt;=1,"Lightly Active",tbl_working_daily[[#This Row],[VeryActiveMinutes]]=0,"Sedentary")</f>
        <v>Sedentary</v>
      </c>
      <c r="W224" t="str">
        <f>tbl_working_daily[[#This Row],[Id]]&amp;"|"&amp;TEXT(tbl_working_daily[[#This Row],[ActivityDate]],"yyyy-mm-dd")</f>
        <v>4057192912|2016-04-06</v>
      </c>
      <c r="X224" t="b">
        <f>ISNUMBER(MATCH(tbl_working_daily[[#This Row],[LookupKey]],tbl_working_sleep[LookupKey],0))</f>
        <v>0</v>
      </c>
    </row>
    <row r="225" spans="1:24" x14ac:dyDescent="0.3">
      <c r="A225">
        <v>4057192912</v>
      </c>
      <c r="B225" s="1">
        <v>42467</v>
      </c>
      <c r="C225">
        <v>4</v>
      </c>
      <c r="D225">
        <v>0</v>
      </c>
      <c r="E225">
        <v>0</v>
      </c>
      <c r="F225">
        <v>0</v>
      </c>
      <c r="G225">
        <v>0</v>
      </c>
      <c r="H225">
        <v>0</v>
      </c>
      <c r="I225">
        <v>0</v>
      </c>
      <c r="J225">
        <v>0</v>
      </c>
      <c r="K225">
        <v>0</v>
      </c>
      <c r="L225">
        <v>0</v>
      </c>
      <c r="M225">
        <v>1</v>
      </c>
      <c r="N225">
        <v>1439</v>
      </c>
      <c r="O225">
        <v>1778</v>
      </c>
      <c r="P225" t="str">
        <f>TEXT(tbl_working_daily[[#This Row],[ActivityDate]],"dddd")</f>
        <v>Thursday</v>
      </c>
      <c r="Q225" t="str">
        <f>TEXT(tbl_working_daily[[#This Row],[ActivityDate]],"mmmm")</f>
        <v>April</v>
      </c>
      <c r="R225">
        <f t="shared" si="6"/>
        <v>1</v>
      </c>
      <c r="S225">
        <f t="shared" si="7"/>
        <v>1440</v>
      </c>
      <c r="T225">
        <f>ROUND(tbl_working_daily[[#This Row],[SedentaryMinutes]]/60,2)</f>
        <v>23.98</v>
      </c>
      <c r="U225" t="str" cm="1">
        <f t="array" ref="U22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5" t="str" cm="1">
        <f t="array" ref="V225">_xlfn.IFS(tbl_working_daily[[#This Row],[VeryActiveMinutes]]&gt;=30,"Very Active",tbl_working_daily[[#This Row],[VeryActiveMinutes]]&gt;=15,"Moderately Active",tbl_working_daily[[#This Row],[VeryActiveMinutes]]&gt;=1,"Lightly Active",tbl_working_daily[[#This Row],[VeryActiveMinutes]]=0,"Sedentary")</f>
        <v>Sedentary</v>
      </c>
      <c r="W225" t="str">
        <f>tbl_working_daily[[#This Row],[Id]]&amp;"|"&amp;TEXT(tbl_working_daily[[#This Row],[ActivityDate]],"yyyy-mm-dd")</f>
        <v>4057192912|2016-04-07</v>
      </c>
      <c r="X225" t="b">
        <f>ISNUMBER(MATCH(tbl_working_daily[[#This Row],[LookupKey]],tbl_working_sleep[LookupKey],0))</f>
        <v>0</v>
      </c>
    </row>
    <row r="226" spans="1:24" x14ac:dyDescent="0.3">
      <c r="A226">
        <v>4057192912</v>
      </c>
      <c r="B226" s="1">
        <v>42468</v>
      </c>
      <c r="C226">
        <v>8426</v>
      </c>
      <c r="D226">
        <v>6.1599998474121103</v>
      </c>
      <c r="E226">
        <v>6.1599998474121103</v>
      </c>
      <c r="F226">
        <v>0</v>
      </c>
      <c r="G226">
        <v>0.129999995231628</v>
      </c>
      <c r="H226">
        <v>5.4899997711181596</v>
      </c>
      <c r="I226">
        <v>0.54000002145767201</v>
      </c>
      <c r="J226">
        <v>0</v>
      </c>
      <c r="K226">
        <v>2</v>
      </c>
      <c r="L226">
        <v>120</v>
      </c>
      <c r="M226">
        <v>25</v>
      </c>
      <c r="N226">
        <v>1293</v>
      </c>
      <c r="O226">
        <v>2360</v>
      </c>
      <c r="P226" t="str">
        <f>TEXT(tbl_working_daily[[#This Row],[ActivityDate]],"dddd")</f>
        <v>Friday</v>
      </c>
      <c r="Q226" t="str">
        <f>TEXT(tbl_working_daily[[#This Row],[ActivityDate]],"mmmm")</f>
        <v>April</v>
      </c>
      <c r="R226">
        <f t="shared" si="6"/>
        <v>147</v>
      </c>
      <c r="S226">
        <f t="shared" si="7"/>
        <v>1440</v>
      </c>
      <c r="T226">
        <f>ROUND(tbl_working_daily[[#This Row],[SedentaryMinutes]]/60,2)</f>
        <v>21.55</v>
      </c>
      <c r="U226" t="str" cm="1">
        <f t="array" ref="U22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26" t="str" cm="1">
        <f t="array" ref="V226">_xlfn.IFS(tbl_working_daily[[#This Row],[VeryActiveMinutes]]&gt;=30,"Very Active",tbl_working_daily[[#This Row],[VeryActiveMinutes]]&gt;=15,"Moderately Active",tbl_working_daily[[#This Row],[VeryActiveMinutes]]&gt;=1,"Lightly Active",tbl_working_daily[[#This Row],[VeryActiveMinutes]]=0,"Sedentary")</f>
        <v>Lightly Active</v>
      </c>
      <c r="W226" t="str">
        <f>tbl_working_daily[[#This Row],[Id]]&amp;"|"&amp;TEXT(tbl_working_daily[[#This Row],[ActivityDate]],"yyyy-mm-dd")</f>
        <v>4057192912|2016-04-08</v>
      </c>
      <c r="X226" t="b">
        <f>ISNUMBER(MATCH(tbl_working_daily[[#This Row],[LookupKey]],tbl_working_sleep[LookupKey],0))</f>
        <v>0</v>
      </c>
    </row>
    <row r="227" spans="1:24" x14ac:dyDescent="0.3">
      <c r="A227">
        <v>4057192912</v>
      </c>
      <c r="B227" s="1">
        <v>42469</v>
      </c>
      <c r="C227">
        <v>1650</v>
      </c>
      <c r="D227">
        <v>1.21000003814697</v>
      </c>
      <c r="E227">
        <v>1.21000003814697</v>
      </c>
      <c r="F227">
        <v>0</v>
      </c>
      <c r="G227">
        <v>0</v>
      </c>
      <c r="H227">
        <v>0</v>
      </c>
      <c r="I227">
        <v>1.21000003814697</v>
      </c>
      <c r="J227">
        <v>0</v>
      </c>
      <c r="K227">
        <v>0</v>
      </c>
      <c r="L227">
        <v>0</v>
      </c>
      <c r="M227">
        <v>60</v>
      </c>
      <c r="N227">
        <v>1380</v>
      </c>
      <c r="O227">
        <v>1952</v>
      </c>
      <c r="P227" t="str">
        <f>TEXT(tbl_working_daily[[#This Row],[ActivityDate]],"dddd")</f>
        <v>Saturday</v>
      </c>
      <c r="Q227" t="str">
        <f>TEXT(tbl_working_daily[[#This Row],[ActivityDate]],"mmmm")</f>
        <v>April</v>
      </c>
      <c r="R227">
        <f t="shared" si="6"/>
        <v>60</v>
      </c>
      <c r="S227">
        <f t="shared" si="7"/>
        <v>1440</v>
      </c>
      <c r="T227">
        <f>ROUND(tbl_working_daily[[#This Row],[SedentaryMinutes]]/60,2)</f>
        <v>23</v>
      </c>
      <c r="U227" t="str" cm="1">
        <f t="array" ref="U2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7" t="str" cm="1">
        <f t="array" ref="V227">_xlfn.IFS(tbl_working_daily[[#This Row],[VeryActiveMinutes]]&gt;=30,"Very Active",tbl_working_daily[[#This Row],[VeryActiveMinutes]]&gt;=15,"Moderately Active",tbl_working_daily[[#This Row],[VeryActiveMinutes]]&gt;=1,"Lightly Active",tbl_working_daily[[#This Row],[VeryActiveMinutes]]=0,"Sedentary")</f>
        <v>Sedentary</v>
      </c>
      <c r="W227" t="str">
        <f>tbl_working_daily[[#This Row],[Id]]&amp;"|"&amp;TEXT(tbl_working_daily[[#This Row],[ActivityDate]],"yyyy-mm-dd")</f>
        <v>4057192912|2016-04-09</v>
      </c>
      <c r="X227" t="b">
        <f>ISNUMBER(MATCH(tbl_working_daily[[#This Row],[LookupKey]],tbl_working_sleep[LookupKey],0))</f>
        <v>0</v>
      </c>
    </row>
    <row r="228" spans="1:24" x14ac:dyDescent="0.3">
      <c r="A228">
        <v>4057192912</v>
      </c>
      <c r="B228" s="1">
        <v>42470</v>
      </c>
      <c r="C228">
        <v>3434</v>
      </c>
      <c r="D228">
        <v>2.5099999904632599</v>
      </c>
      <c r="E228">
        <v>2.5099999904632599</v>
      </c>
      <c r="F228">
        <v>0</v>
      </c>
      <c r="G228">
        <v>7.0000000298023196E-2</v>
      </c>
      <c r="H228">
        <v>0.30000001192092901</v>
      </c>
      <c r="I228">
        <v>2.1400001049041699</v>
      </c>
      <c r="J228">
        <v>0</v>
      </c>
      <c r="K228">
        <v>1</v>
      </c>
      <c r="L228">
        <v>7</v>
      </c>
      <c r="M228">
        <v>108</v>
      </c>
      <c r="N228">
        <v>1324</v>
      </c>
      <c r="O228">
        <v>2101</v>
      </c>
      <c r="P228" t="str">
        <f>TEXT(tbl_working_daily[[#This Row],[ActivityDate]],"dddd")</f>
        <v>Sunday</v>
      </c>
      <c r="Q228" t="str">
        <f>TEXT(tbl_working_daily[[#This Row],[ActivityDate]],"mmmm")</f>
        <v>April</v>
      </c>
      <c r="R228">
        <f t="shared" si="6"/>
        <v>116</v>
      </c>
      <c r="S228">
        <f t="shared" si="7"/>
        <v>1440</v>
      </c>
      <c r="T228">
        <f>ROUND(tbl_working_daily[[#This Row],[SedentaryMinutes]]/60,2)</f>
        <v>22.07</v>
      </c>
      <c r="U228" t="str" cm="1">
        <f t="array" ref="U22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28" t="str" cm="1">
        <f t="array" ref="V228">_xlfn.IFS(tbl_working_daily[[#This Row],[VeryActiveMinutes]]&gt;=30,"Very Active",tbl_working_daily[[#This Row],[VeryActiveMinutes]]&gt;=15,"Moderately Active",tbl_working_daily[[#This Row],[VeryActiveMinutes]]&gt;=1,"Lightly Active",tbl_working_daily[[#This Row],[VeryActiveMinutes]]=0,"Sedentary")</f>
        <v>Lightly Active</v>
      </c>
      <c r="W228" t="str">
        <f>tbl_working_daily[[#This Row],[Id]]&amp;"|"&amp;TEXT(tbl_working_daily[[#This Row],[ActivityDate]],"yyyy-mm-dd")</f>
        <v>4057192912|2016-04-10</v>
      </c>
      <c r="X228" t="b">
        <f>ISNUMBER(MATCH(tbl_working_daily[[#This Row],[LookupKey]],tbl_working_sleep[LookupKey],0))</f>
        <v>0</v>
      </c>
    </row>
    <row r="229" spans="1:24" x14ac:dyDescent="0.3">
      <c r="A229">
        <v>4057192912</v>
      </c>
      <c r="B229" s="1">
        <v>42471</v>
      </c>
      <c r="C229">
        <v>6801</v>
      </c>
      <c r="D229">
        <v>4.9800000190734899</v>
      </c>
      <c r="E229">
        <v>4.9800000190734899</v>
      </c>
      <c r="F229">
        <v>0</v>
      </c>
      <c r="G229">
        <v>0</v>
      </c>
      <c r="H229">
        <v>0</v>
      </c>
      <c r="I229">
        <v>4.9699997901916504</v>
      </c>
      <c r="J229">
        <v>0</v>
      </c>
      <c r="K229">
        <v>0</v>
      </c>
      <c r="L229">
        <v>0</v>
      </c>
      <c r="M229">
        <v>193</v>
      </c>
      <c r="N229">
        <v>1247</v>
      </c>
      <c r="O229">
        <v>2393</v>
      </c>
      <c r="P229" t="str">
        <f>TEXT(tbl_working_daily[[#This Row],[ActivityDate]],"dddd")</f>
        <v>Monday</v>
      </c>
      <c r="Q229" t="str">
        <f>TEXT(tbl_working_daily[[#This Row],[ActivityDate]],"mmmm")</f>
        <v>April</v>
      </c>
      <c r="R229">
        <f t="shared" si="6"/>
        <v>193</v>
      </c>
      <c r="S229">
        <f t="shared" si="7"/>
        <v>1440</v>
      </c>
      <c r="T229">
        <f>ROUND(tbl_working_daily[[#This Row],[SedentaryMinutes]]/60,2)</f>
        <v>20.78</v>
      </c>
      <c r="U229" t="str" cm="1">
        <f t="array" ref="U22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29" t="str" cm="1">
        <f t="array" ref="V229">_xlfn.IFS(tbl_working_daily[[#This Row],[VeryActiveMinutes]]&gt;=30,"Very Active",tbl_working_daily[[#This Row],[VeryActiveMinutes]]&gt;=15,"Moderately Active",tbl_working_daily[[#This Row],[VeryActiveMinutes]]&gt;=1,"Lightly Active",tbl_working_daily[[#This Row],[VeryActiveMinutes]]=0,"Sedentary")</f>
        <v>Sedentary</v>
      </c>
      <c r="W229" t="str">
        <f>tbl_working_daily[[#This Row],[Id]]&amp;"|"&amp;TEXT(tbl_working_daily[[#This Row],[ActivityDate]],"yyyy-mm-dd")</f>
        <v>4057192912|2016-04-11</v>
      </c>
      <c r="X229" t="b">
        <f>ISNUMBER(MATCH(tbl_working_daily[[#This Row],[LookupKey]],tbl_working_sleep[LookupKey],0))</f>
        <v>0</v>
      </c>
    </row>
    <row r="230" spans="1:24" x14ac:dyDescent="0.3">
      <c r="A230">
        <v>4057192912</v>
      </c>
      <c r="B230" s="1">
        <v>42472</v>
      </c>
      <c r="C230">
        <v>187</v>
      </c>
      <c r="D230">
        <v>0.140000000596046</v>
      </c>
      <c r="E230">
        <v>0.140000000596046</v>
      </c>
      <c r="F230">
        <v>0</v>
      </c>
      <c r="G230">
        <v>0</v>
      </c>
      <c r="H230">
        <v>0</v>
      </c>
      <c r="I230">
        <v>0.140000000596046</v>
      </c>
      <c r="J230">
        <v>0</v>
      </c>
      <c r="K230">
        <v>0</v>
      </c>
      <c r="L230">
        <v>0</v>
      </c>
      <c r="M230">
        <v>11</v>
      </c>
      <c r="N230">
        <v>400</v>
      </c>
      <c r="O230">
        <v>538</v>
      </c>
      <c r="P230" t="str">
        <f>TEXT(tbl_working_daily[[#This Row],[ActivityDate]],"dddd")</f>
        <v>Tuesday</v>
      </c>
      <c r="Q230" t="str">
        <f>TEXT(tbl_working_daily[[#This Row],[ActivityDate]],"mmmm")</f>
        <v>April</v>
      </c>
      <c r="R230">
        <f t="shared" si="6"/>
        <v>11</v>
      </c>
      <c r="S230">
        <f t="shared" si="7"/>
        <v>411</v>
      </c>
      <c r="T230">
        <f>ROUND(tbl_working_daily[[#This Row],[SedentaryMinutes]]/60,2)</f>
        <v>6.67</v>
      </c>
      <c r="U230" t="str" cm="1">
        <f t="array" ref="U23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30" t="str" cm="1">
        <f t="array" ref="V230">_xlfn.IFS(tbl_working_daily[[#This Row],[VeryActiveMinutes]]&gt;=30,"Very Active",tbl_working_daily[[#This Row],[VeryActiveMinutes]]&gt;=15,"Moderately Active",tbl_working_daily[[#This Row],[VeryActiveMinutes]]&gt;=1,"Lightly Active",tbl_working_daily[[#This Row],[VeryActiveMinutes]]=0,"Sedentary")</f>
        <v>Sedentary</v>
      </c>
      <c r="W230" t="str">
        <f>tbl_working_daily[[#This Row],[Id]]&amp;"|"&amp;TEXT(tbl_working_daily[[#This Row],[ActivityDate]],"yyyy-mm-dd")</f>
        <v>4057192912|2016-04-12</v>
      </c>
      <c r="X230" t="b">
        <f>ISNUMBER(MATCH(tbl_working_daily[[#This Row],[LookupKey]],tbl_working_sleep[LookupKey],0))</f>
        <v>0</v>
      </c>
    </row>
    <row r="231" spans="1:24" x14ac:dyDescent="0.3">
      <c r="A231">
        <v>4319703577</v>
      </c>
      <c r="B231" s="1">
        <v>42458</v>
      </c>
      <c r="C231">
        <v>5643</v>
      </c>
      <c r="D231">
        <v>3.78999996185303</v>
      </c>
      <c r="E231">
        <v>3.78999996185303</v>
      </c>
      <c r="F231">
        <v>0</v>
      </c>
      <c r="G231">
        <v>0.230000004172325</v>
      </c>
      <c r="H231">
        <v>0.33000001311302202</v>
      </c>
      <c r="I231">
        <v>3.2300000190734899</v>
      </c>
      <c r="J231">
        <v>0</v>
      </c>
      <c r="K231">
        <v>3</v>
      </c>
      <c r="L231">
        <v>8</v>
      </c>
      <c r="M231">
        <v>199</v>
      </c>
      <c r="N231">
        <v>683</v>
      </c>
      <c r="O231">
        <v>1958</v>
      </c>
      <c r="P231" t="str">
        <f>TEXT(tbl_working_daily[[#This Row],[ActivityDate]],"dddd")</f>
        <v>Tuesday</v>
      </c>
      <c r="Q231" t="str">
        <f>TEXT(tbl_working_daily[[#This Row],[ActivityDate]],"mmmm")</f>
        <v>March</v>
      </c>
      <c r="R231">
        <f t="shared" si="6"/>
        <v>210</v>
      </c>
      <c r="S231">
        <f t="shared" si="7"/>
        <v>893</v>
      </c>
      <c r="T231">
        <f>ROUND(tbl_working_daily[[#This Row],[SedentaryMinutes]]/60,2)</f>
        <v>11.38</v>
      </c>
      <c r="U231" t="str" cm="1">
        <f t="array" ref="U23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31" t="str" cm="1">
        <f t="array" ref="V231">_xlfn.IFS(tbl_working_daily[[#This Row],[VeryActiveMinutes]]&gt;=30,"Very Active",tbl_working_daily[[#This Row],[VeryActiveMinutes]]&gt;=15,"Moderately Active",tbl_working_daily[[#This Row],[VeryActiveMinutes]]&gt;=1,"Lightly Active",tbl_working_daily[[#This Row],[VeryActiveMinutes]]=0,"Sedentary")</f>
        <v>Lightly Active</v>
      </c>
      <c r="W231" t="str">
        <f>tbl_working_daily[[#This Row],[Id]]&amp;"|"&amp;TEXT(tbl_working_daily[[#This Row],[ActivityDate]],"yyyy-mm-dd")</f>
        <v>4319703577|2016-03-29</v>
      </c>
      <c r="X231" t="b">
        <f>ISNUMBER(MATCH(tbl_working_daily[[#This Row],[LookupKey]],tbl_working_sleep[LookupKey],0))</f>
        <v>0</v>
      </c>
    </row>
    <row r="232" spans="1:24" x14ac:dyDescent="0.3">
      <c r="A232">
        <v>4319703577</v>
      </c>
      <c r="B232" s="1">
        <v>42459</v>
      </c>
      <c r="C232">
        <v>9043</v>
      </c>
      <c r="D232">
        <v>6.0700001716613796</v>
      </c>
      <c r="E232">
        <v>6.0700001716613796</v>
      </c>
      <c r="F232">
        <v>0</v>
      </c>
      <c r="G232">
        <v>0.25</v>
      </c>
      <c r="H232">
        <v>0.43000000715255698</v>
      </c>
      <c r="I232">
        <v>5.3699998855590803</v>
      </c>
      <c r="J232">
        <v>0</v>
      </c>
      <c r="K232">
        <v>4</v>
      </c>
      <c r="L232">
        <v>12</v>
      </c>
      <c r="M232">
        <v>244</v>
      </c>
      <c r="N232">
        <v>702</v>
      </c>
      <c r="O232">
        <v>2141</v>
      </c>
      <c r="P232" t="str">
        <f>TEXT(tbl_working_daily[[#This Row],[ActivityDate]],"dddd")</f>
        <v>Wednesday</v>
      </c>
      <c r="Q232" t="str">
        <f>TEXT(tbl_working_daily[[#This Row],[ActivityDate]],"mmmm")</f>
        <v>March</v>
      </c>
      <c r="R232">
        <f t="shared" si="6"/>
        <v>260</v>
      </c>
      <c r="S232">
        <f t="shared" si="7"/>
        <v>962</v>
      </c>
      <c r="T232">
        <f>ROUND(tbl_working_daily[[#This Row],[SedentaryMinutes]]/60,2)</f>
        <v>11.7</v>
      </c>
      <c r="U232" t="str" cm="1">
        <f t="array" ref="U23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32" t="str" cm="1">
        <f t="array" ref="V232">_xlfn.IFS(tbl_working_daily[[#This Row],[VeryActiveMinutes]]&gt;=30,"Very Active",tbl_working_daily[[#This Row],[VeryActiveMinutes]]&gt;=15,"Moderately Active",tbl_working_daily[[#This Row],[VeryActiveMinutes]]&gt;=1,"Lightly Active",tbl_working_daily[[#This Row],[VeryActiveMinutes]]=0,"Sedentary")</f>
        <v>Lightly Active</v>
      </c>
      <c r="W232" t="str">
        <f>tbl_working_daily[[#This Row],[Id]]&amp;"|"&amp;TEXT(tbl_working_daily[[#This Row],[ActivityDate]],"yyyy-mm-dd")</f>
        <v>4319703577|2016-03-30</v>
      </c>
      <c r="X232" t="b">
        <f>ISNUMBER(MATCH(tbl_working_daily[[#This Row],[LookupKey]],tbl_working_sleep[LookupKey],0))</f>
        <v>0</v>
      </c>
    </row>
    <row r="233" spans="1:24" x14ac:dyDescent="0.3">
      <c r="A233">
        <v>4319703577</v>
      </c>
      <c r="B233" s="1">
        <v>42460</v>
      </c>
      <c r="C233">
        <v>8144</v>
      </c>
      <c r="D233">
        <v>5.46000003814697</v>
      </c>
      <c r="E233">
        <v>5.46000003814697</v>
      </c>
      <c r="F233">
        <v>0</v>
      </c>
      <c r="G233">
        <v>0.25</v>
      </c>
      <c r="H233">
        <v>0.61000001430511497</v>
      </c>
      <c r="I233">
        <v>4.6100001335143999</v>
      </c>
      <c r="J233">
        <v>0</v>
      </c>
      <c r="K233">
        <v>4</v>
      </c>
      <c r="L233">
        <v>17</v>
      </c>
      <c r="M233">
        <v>247</v>
      </c>
      <c r="N233">
        <v>1125</v>
      </c>
      <c r="O233">
        <v>2129</v>
      </c>
      <c r="P233" t="str">
        <f>TEXT(tbl_working_daily[[#This Row],[ActivityDate]],"dddd")</f>
        <v>Thursday</v>
      </c>
      <c r="Q233" t="str">
        <f>TEXT(tbl_working_daily[[#This Row],[ActivityDate]],"mmmm")</f>
        <v>March</v>
      </c>
      <c r="R233">
        <f t="shared" si="6"/>
        <v>268</v>
      </c>
      <c r="S233">
        <f t="shared" si="7"/>
        <v>1393</v>
      </c>
      <c r="T233">
        <f>ROUND(tbl_working_daily[[#This Row],[SedentaryMinutes]]/60,2)</f>
        <v>18.75</v>
      </c>
      <c r="U233" t="str" cm="1">
        <f t="array" ref="U23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33" t="str" cm="1">
        <f t="array" ref="V233">_xlfn.IFS(tbl_working_daily[[#This Row],[VeryActiveMinutes]]&gt;=30,"Very Active",tbl_working_daily[[#This Row],[VeryActiveMinutes]]&gt;=15,"Moderately Active",tbl_working_daily[[#This Row],[VeryActiveMinutes]]&gt;=1,"Lightly Active",tbl_working_daily[[#This Row],[VeryActiveMinutes]]=0,"Sedentary")</f>
        <v>Lightly Active</v>
      </c>
      <c r="W233" t="str">
        <f>tbl_working_daily[[#This Row],[Id]]&amp;"|"&amp;TEXT(tbl_working_daily[[#This Row],[ActivityDate]],"yyyy-mm-dd")</f>
        <v>4319703577|2016-03-31</v>
      </c>
      <c r="X233" t="b">
        <f>ISNUMBER(MATCH(tbl_working_daily[[#This Row],[LookupKey]],tbl_working_sleep[LookupKey],0))</f>
        <v>0</v>
      </c>
    </row>
    <row r="234" spans="1:24" x14ac:dyDescent="0.3">
      <c r="A234">
        <v>4319703577</v>
      </c>
      <c r="B234" s="1">
        <v>42461</v>
      </c>
      <c r="C234">
        <v>9343</v>
      </c>
      <c r="D234">
        <v>6.2699999809265101</v>
      </c>
      <c r="E234">
        <v>6.2699999809265101</v>
      </c>
      <c r="F234">
        <v>0</v>
      </c>
      <c r="G234">
        <v>0.95999997854232799</v>
      </c>
      <c r="H234">
        <v>0.85000002384185802</v>
      </c>
      <c r="I234">
        <v>4.46000003814697</v>
      </c>
      <c r="J234">
        <v>0</v>
      </c>
      <c r="K234">
        <v>14</v>
      </c>
      <c r="L234">
        <v>20</v>
      </c>
      <c r="M234">
        <v>268</v>
      </c>
      <c r="N234">
        <v>654</v>
      </c>
      <c r="O234">
        <v>2216</v>
      </c>
      <c r="P234" t="str">
        <f>TEXT(tbl_working_daily[[#This Row],[ActivityDate]],"dddd")</f>
        <v>Friday</v>
      </c>
      <c r="Q234" t="str">
        <f>TEXT(tbl_working_daily[[#This Row],[ActivityDate]],"mmmm")</f>
        <v>April</v>
      </c>
      <c r="R234">
        <f t="shared" si="6"/>
        <v>302</v>
      </c>
      <c r="S234">
        <f t="shared" si="7"/>
        <v>956</v>
      </c>
      <c r="T234">
        <f>ROUND(tbl_working_daily[[#This Row],[SedentaryMinutes]]/60,2)</f>
        <v>10.9</v>
      </c>
      <c r="U234" t="str" cm="1">
        <f t="array" ref="U23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34" t="str" cm="1">
        <f t="array" ref="V234">_xlfn.IFS(tbl_working_daily[[#This Row],[VeryActiveMinutes]]&gt;=30,"Very Active",tbl_working_daily[[#This Row],[VeryActiveMinutes]]&gt;=15,"Moderately Active",tbl_working_daily[[#This Row],[VeryActiveMinutes]]&gt;=1,"Lightly Active",tbl_working_daily[[#This Row],[VeryActiveMinutes]]=0,"Sedentary")</f>
        <v>Lightly Active</v>
      </c>
      <c r="W234" t="str">
        <f>tbl_working_daily[[#This Row],[Id]]&amp;"|"&amp;TEXT(tbl_working_daily[[#This Row],[ActivityDate]],"yyyy-mm-dd")</f>
        <v>4319703577|2016-04-01</v>
      </c>
      <c r="X234" t="b">
        <f>ISNUMBER(MATCH(tbl_working_daily[[#This Row],[LookupKey]],tbl_working_sleep[LookupKey],0))</f>
        <v>0</v>
      </c>
    </row>
    <row r="235" spans="1:24" x14ac:dyDescent="0.3">
      <c r="A235">
        <v>4319703577</v>
      </c>
      <c r="B235" s="1">
        <v>42462</v>
      </c>
      <c r="C235">
        <v>8405</v>
      </c>
      <c r="D235">
        <v>5.6599998474121103</v>
      </c>
      <c r="E235">
        <v>5.6599998474121103</v>
      </c>
      <c r="F235">
        <v>0</v>
      </c>
      <c r="G235">
        <v>1.12999999523163</v>
      </c>
      <c r="H235">
        <v>0.18999999761581399</v>
      </c>
      <c r="I235">
        <v>4.3400001525878897</v>
      </c>
      <c r="J235">
        <v>0</v>
      </c>
      <c r="K235">
        <v>15</v>
      </c>
      <c r="L235">
        <v>4</v>
      </c>
      <c r="M235">
        <v>257</v>
      </c>
      <c r="N235">
        <v>621</v>
      </c>
      <c r="O235">
        <v>2154</v>
      </c>
      <c r="P235" t="str">
        <f>TEXT(tbl_working_daily[[#This Row],[ActivityDate]],"dddd")</f>
        <v>Saturday</v>
      </c>
      <c r="Q235" t="str">
        <f>TEXT(tbl_working_daily[[#This Row],[ActivityDate]],"mmmm")</f>
        <v>April</v>
      </c>
      <c r="R235">
        <f t="shared" si="6"/>
        <v>276</v>
      </c>
      <c r="S235">
        <f t="shared" si="7"/>
        <v>897</v>
      </c>
      <c r="T235">
        <f>ROUND(tbl_working_daily[[#This Row],[SedentaryMinutes]]/60,2)</f>
        <v>10.35</v>
      </c>
      <c r="U235" t="str" cm="1">
        <f t="array" ref="U23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35" t="str" cm="1">
        <f t="array" ref="V235">_xlfn.IFS(tbl_working_daily[[#This Row],[VeryActiveMinutes]]&gt;=30,"Very Active",tbl_working_daily[[#This Row],[VeryActiveMinutes]]&gt;=15,"Moderately Active",tbl_working_daily[[#This Row],[VeryActiveMinutes]]&gt;=1,"Lightly Active",tbl_working_daily[[#This Row],[VeryActiveMinutes]]=0,"Sedentary")</f>
        <v>Moderately Active</v>
      </c>
      <c r="W235" t="str">
        <f>tbl_working_daily[[#This Row],[Id]]&amp;"|"&amp;TEXT(tbl_working_daily[[#This Row],[ActivityDate]],"yyyy-mm-dd")</f>
        <v>4319703577|2016-04-02</v>
      </c>
      <c r="X235" t="b">
        <f>ISNUMBER(MATCH(tbl_working_daily[[#This Row],[LookupKey]],tbl_working_sleep[LookupKey],0))</f>
        <v>0</v>
      </c>
    </row>
    <row r="236" spans="1:24" x14ac:dyDescent="0.3">
      <c r="A236">
        <v>4319703577</v>
      </c>
      <c r="B236" s="1">
        <v>42463</v>
      </c>
      <c r="C236">
        <v>8223</v>
      </c>
      <c r="D236">
        <v>5.5199999809265101</v>
      </c>
      <c r="E236">
        <v>5.5199999809265101</v>
      </c>
      <c r="F236">
        <v>0</v>
      </c>
      <c r="G236">
        <v>0.80000001192092896</v>
      </c>
      <c r="H236">
        <v>1.5099999904632599</v>
      </c>
      <c r="I236">
        <v>3.21000003814697</v>
      </c>
      <c r="J236">
        <v>0</v>
      </c>
      <c r="K236">
        <v>12</v>
      </c>
      <c r="L236">
        <v>37</v>
      </c>
      <c r="M236">
        <v>257</v>
      </c>
      <c r="N236">
        <v>551</v>
      </c>
      <c r="O236">
        <v>2178</v>
      </c>
      <c r="P236" t="str">
        <f>TEXT(tbl_working_daily[[#This Row],[ActivityDate]],"dddd")</f>
        <v>Sunday</v>
      </c>
      <c r="Q236" t="str">
        <f>TEXT(tbl_working_daily[[#This Row],[ActivityDate]],"mmmm")</f>
        <v>April</v>
      </c>
      <c r="R236">
        <f t="shared" si="6"/>
        <v>306</v>
      </c>
      <c r="S236">
        <f t="shared" si="7"/>
        <v>857</v>
      </c>
      <c r="T236">
        <f>ROUND(tbl_working_daily[[#This Row],[SedentaryMinutes]]/60,2)</f>
        <v>9.18</v>
      </c>
      <c r="U236" t="str" cm="1">
        <f t="array" ref="U23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36" t="str" cm="1">
        <f t="array" ref="V236">_xlfn.IFS(tbl_working_daily[[#This Row],[VeryActiveMinutes]]&gt;=30,"Very Active",tbl_working_daily[[#This Row],[VeryActiveMinutes]]&gt;=15,"Moderately Active",tbl_working_daily[[#This Row],[VeryActiveMinutes]]&gt;=1,"Lightly Active",tbl_working_daily[[#This Row],[VeryActiveMinutes]]=0,"Sedentary")</f>
        <v>Lightly Active</v>
      </c>
      <c r="W236" t="str">
        <f>tbl_working_daily[[#This Row],[Id]]&amp;"|"&amp;TEXT(tbl_working_daily[[#This Row],[ActivityDate]],"yyyy-mm-dd")</f>
        <v>4319703577|2016-04-03</v>
      </c>
      <c r="X236" t="b">
        <f>ISNUMBER(MATCH(tbl_working_daily[[#This Row],[LookupKey]],tbl_working_sleep[LookupKey],0))</f>
        <v>0</v>
      </c>
    </row>
    <row r="237" spans="1:24" x14ac:dyDescent="0.3">
      <c r="A237">
        <v>4319703577</v>
      </c>
      <c r="B237" s="1">
        <v>42464</v>
      </c>
      <c r="C237">
        <v>10067</v>
      </c>
      <c r="D237">
        <v>6.7600002288818404</v>
      </c>
      <c r="E237">
        <v>6.7600002288818404</v>
      </c>
      <c r="F237">
        <v>0</v>
      </c>
      <c r="G237">
        <v>0.36000001430511502</v>
      </c>
      <c r="H237">
        <v>1.41999995708466</v>
      </c>
      <c r="I237">
        <v>4.9699997901916504</v>
      </c>
      <c r="J237">
        <v>0</v>
      </c>
      <c r="K237">
        <v>5</v>
      </c>
      <c r="L237">
        <v>39</v>
      </c>
      <c r="M237">
        <v>313</v>
      </c>
      <c r="N237">
        <v>578</v>
      </c>
      <c r="O237">
        <v>2308</v>
      </c>
      <c r="P237" t="str">
        <f>TEXT(tbl_working_daily[[#This Row],[ActivityDate]],"dddd")</f>
        <v>Monday</v>
      </c>
      <c r="Q237" t="str">
        <f>TEXT(tbl_working_daily[[#This Row],[ActivityDate]],"mmmm")</f>
        <v>April</v>
      </c>
      <c r="R237">
        <f t="shared" si="6"/>
        <v>357</v>
      </c>
      <c r="S237">
        <f t="shared" si="7"/>
        <v>935</v>
      </c>
      <c r="T237">
        <f>ROUND(tbl_working_daily[[#This Row],[SedentaryMinutes]]/60,2)</f>
        <v>9.6300000000000008</v>
      </c>
      <c r="U237" t="str" cm="1">
        <f t="array" ref="U23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37" t="str" cm="1">
        <f t="array" ref="V237">_xlfn.IFS(tbl_working_daily[[#This Row],[VeryActiveMinutes]]&gt;=30,"Very Active",tbl_working_daily[[#This Row],[VeryActiveMinutes]]&gt;=15,"Moderately Active",tbl_working_daily[[#This Row],[VeryActiveMinutes]]&gt;=1,"Lightly Active",tbl_working_daily[[#This Row],[VeryActiveMinutes]]=0,"Sedentary")</f>
        <v>Lightly Active</v>
      </c>
      <c r="W237" t="str">
        <f>tbl_working_daily[[#This Row],[Id]]&amp;"|"&amp;TEXT(tbl_working_daily[[#This Row],[ActivityDate]],"yyyy-mm-dd")</f>
        <v>4319703577|2016-04-04</v>
      </c>
      <c r="X237" t="b">
        <f>ISNUMBER(MATCH(tbl_working_daily[[#This Row],[LookupKey]],tbl_working_sleep[LookupKey],0))</f>
        <v>0</v>
      </c>
    </row>
    <row r="238" spans="1:24" x14ac:dyDescent="0.3">
      <c r="A238">
        <v>4319703577</v>
      </c>
      <c r="B238" s="1">
        <v>42465</v>
      </c>
      <c r="C238">
        <v>8359</v>
      </c>
      <c r="D238">
        <v>5.6300001144409197</v>
      </c>
      <c r="E238">
        <v>5.6300001144409197</v>
      </c>
      <c r="F238">
        <v>0</v>
      </c>
      <c r="G238">
        <v>0.230000004172325</v>
      </c>
      <c r="H238">
        <v>0.52999997138977095</v>
      </c>
      <c r="I238">
        <v>4.8699998855590803</v>
      </c>
      <c r="J238">
        <v>0</v>
      </c>
      <c r="K238">
        <v>3</v>
      </c>
      <c r="L238">
        <v>14</v>
      </c>
      <c r="M238">
        <v>311</v>
      </c>
      <c r="N238">
        <v>638</v>
      </c>
      <c r="O238">
        <v>2201</v>
      </c>
      <c r="P238" t="str">
        <f>TEXT(tbl_working_daily[[#This Row],[ActivityDate]],"dddd")</f>
        <v>Tuesday</v>
      </c>
      <c r="Q238" t="str">
        <f>TEXT(tbl_working_daily[[#This Row],[ActivityDate]],"mmmm")</f>
        <v>April</v>
      </c>
      <c r="R238">
        <f t="shared" si="6"/>
        <v>328</v>
      </c>
      <c r="S238">
        <f t="shared" si="7"/>
        <v>966</v>
      </c>
      <c r="T238">
        <f>ROUND(tbl_working_daily[[#This Row],[SedentaryMinutes]]/60,2)</f>
        <v>10.63</v>
      </c>
      <c r="U238" t="str" cm="1">
        <f t="array" ref="U23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38" t="str" cm="1">
        <f t="array" ref="V238">_xlfn.IFS(tbl_working_daily[[#This Row],[VeryActiveMinutes]]&gt;=30,"Very Active",tbl_working_daily[[#This Row],[VeryActiveMinutes]]&gt;=15,"Moderately Active",tbl_working_daily[[#This Row],[VeryActiveMinutes]]&gt;=1,"Lightly Active",tbl_working_daily[[#This Row],[VeryActiveMinutes]]=0,"Sedentary")</f>
        <v>Lightly Active</v>
      </c>
      <c r="W238" t="str">
        <f>tbl_working_daily[[#This Row],[Id]]&amp;"|"&amp;TEXT(tbl_working_daily[[#This Row],[ActivityDate]],"yyyy-mm-dd")</f>
        <v>4319703577|2016-04-05</v>
      </c>
      <c r="X238" t="b">
        <f>ISNUMBER(MATCH(tbl_working_daily[[#This Row],[LookupKey]],tbl_working_sleep[LookupKey],0))</f>
        <v>0</v>
      </c>
    </row>
    <row r="239" spans="1:24" x14ac:dyDescent="0.3">
      <c r="A239">
        <v>4319703577</v>
      </c>
      <c r="B239" s="1">
        <v>42466</v>
      </c>
      <c r="C239">
        <v>10946</v>
      </c>
      <c r="D239">
        <v>7.3499999046325701</v>
      </c>
      <c r="E239">
        <v>7.3499999046325701</v>
      </c>
      <c r="F239">
        <v>0</v>
      </c>
      <c r="G239">
        <v>0.54000002145767201</v>
      </c>
      <c r="H239">
        <v>2.0899999141693102</v>
      </c>
      <c r="I239">
        <v>4.7199997901916504</v>
      </c>
      <c r="J239">
        <v>0</v>
      </c>
      <c r="K239">
        <v>8</v>
      </c>
      <c r="L239">
        <v>51</v>
      </c>
      <c r="M239">
        <v>308</v>
      </c>
      <c r="N239">
        <v>569</v>
      </c>
      <c r="O239">
        <v>2341</v>
      </c>
      <c r="P239" t="str">
        <f>TEXT(tbl_working_daily[[#This Row],[ActivityDate]],"dddd")</f>
        <v>Wednesday</v>
      </c>
      <c r="Q239" t="str">
        <f>TEXT(tbl_working_daily[[#This Row],[ActivityDate]],"mmmm")</f>
        <v>April</v>
      </c>
      <c r="R239">
        <f t="shared" si="6"/>
        <v>367</v>
      </c>
      <c r="S239">
        <f t="shared" si="7"/>
        <v>936</v>
      </c>
      <c r="T239">
        <f>ROUND(tbl_working_daily[[#This Row],[SedentaryMinutes]]/60,2)</f>
        <v>9.48</v>
      </c>
      <c r="U239" t="str" cm="1">
        <f t="array" ref="U23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39" t="str" cm="1">
        <f t="array" ref="V239">_xlfn.IFS(tbl_working_daily[[#This Row],[VeryActiveMinutes]]&gt;=30,"Very Active",tbl_working_daily[[#This Row],[VeryActiveMinutes]]&gt;=15,"Moderately Active",tbl_working_daily[[#This Row],[VeryActiveMinutes]]&gt;=1,"Lightly Active",tbl_working_daily[[#This Row],[VeryActiveMinutes]]=0,"Sedentary")</f>
        <v>Lightly Active</v>
      </c>
      <c r="W239" t="str">
        <f>tbl_working_daily[[#This Row],[Id]]&amp;"|"&amp;TEXT(tbl_working_daily[[#This Row],[ActivityDate]],"yyyy-mm-dd")</f>
        <v>4319703577|2016-04-06</v>
      </c>
      <c r="X239" t="b">
        <f>ISNUMBER(MATCH(tbl_working_daily[[#This Row],[LookupKey]],tbl_working_sleep[LookupKey],0))</f>
        <v>0</v>
      </c>
    </row>
    <row r="240" spans="1:24" x14ac:dyDescent="0.3">
      <c r="A240">
        <v>4319703577</v>
      </c>
      <c r="B240" s="1">
        <v>42467</v>
      </c>
      <c r="C240">
        <v>9130</v>
      </c>
      <c r="D240">
        <v>6.1500000953674299</v>
      </c>
      <c r="E240">
        <v>6.1500000953674299</v>
      </c>
      <c r="F240">
        <v>0</v>
      </c>
      <c r="G240">
        <v>0.5</v>
      </c>
      <c r="H240">
        <v>0.37999999523162797</v>
      </c>
      <c r="I240">
        <v>5.2699999809265101</v>
      </c>
      <c r="J240">
        <v>0</v>
      </c>
      <c r="K240">
        <v>7</v>
      </c>
      <c r="L240">
        <v>11</v>
      </c>
      <c r="M240">
        <v>304</v>
      </c>
      <c r="N240">
        <v>668</v>
      </c>
      <c r="O240">
        <v>2236</v>
      </c>
      <c r="P240" t="str">
        <f>TEXT(tbl_working_daily[[#This Row],[ActivityDate]],"dddd")</f>
        <v>Thursday</v>
      </c>
      <c r="Q240" t="str">
        <f>TEXT(tbl_working_daily[[#This Row],[ActivityDate]],"mmmm")</f>
        <v>April</v>
      </c>
      <c r="R240">
        <f t="shared" si="6"/>
        <v>322</v>
      </c>
      <c r="S240">
        <f t="shared" si="7"/>
        <v>990</v>
      </c>
      <c r="T240">
        <f>ROUND(tbl_working_daily[[#This Row],[SedentaryMinutes]]/60,2)</f>
        <v>11.13</v>
      </c>
      <c r="U240" t="str" cm="1">
        <f t="array" ref="U24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40" t="str" cm="1">
        <f t="array" ref="V240">_xlfn.IFS(tbl_working_daily[[#This Row],[VeryActiveMinutes]]&gt;=30,"Very Active",tbl_working_daily[[#This Row],[VeryActiveMinutes]]&gt;=15,"Moderately Active",tbl_working_daily[[#This Row],[VeryActiveMinutes]]&gt;=1,"Lightly Active",tbl_working_daily[[#This Row],[VeryActiveMinutes]]=0,"Sedentary")</f>
        <v>Lightly Active</v>
      </c>
      <c r="W240" t="str">
        <f>tbl_working_daily[[#This Row],[Id]]&amp;"|"&amp;TEXT(tbl_working_daily[[#This Row],[ActivityDate]],"yyyy-mm-dd")</f>
        <v>4319703577|2016-04-07</v>
      </c>
      <c r="X240" t="b">
        <f>ISNUMBER(MATCH(tbl_working_daily[[#This Row],[LookupKey]],tbl_working_sleep[LookupKey],0))</f>
        <v>0</v>
      </c>
    </row>
    <row r="241" spans="1:24" x14ac:dyDescent="0.3">
      <c r="A241">
        <v>4319703577</v>
      </c>
      <c r="B241" s="1">
        <v>42468</v>
      </c>
      <c r="C241">
        <v>6544</v>
      </c>
      <c r="D241">
        <v>4.4099998474121103</v>
      </c>
      <c r="E241">
        <v>4.4099998474121103</v>
      </c>
      <c r="F241">
        <v>0</v>
      </c>
      <c r="G241">
        <v>0.28999999165535001</v>
      </c>
      <c r="H241">
        <v>0.259999990463257</v>
      </c>
      <c r="I241">
        <v>3.8599998950958301</v>
      </c>
      <c r="J241">
        <v>0</v>
      </c>
      <c r="K241">
        <v>4</v>
      </c>
      <c r="L241">
        <v>6</v>
      </c>
      <c r="M241">
        <v>276</v>
      </c>
      <c r="N241">
        <v>1132</v>
      </c>
      <c r="O241">
        <v>2069</v>
      </c>
      <c r="P241" t="str">
        <f>TEXT(tbl_working_daily[[#This Row],[ActivityDate]],"dddd")</f>
        <v>Friday</v>
      </c>
      <c r="Q241" t="str">
        <f>TEXT(tbl_working_daily[[#This Row],[ActivityDate]],"mmmm")</f>
        <v>April</v>
      </c>
      <c r="R241">
        <f t="shared" si="6"/>
        <v>286</v>
      </c>
      <c r="S241">
        <f t="shared" si="7"/>
        <v>1418</v>
      </c>
      <c r="T241">
        <f>ROUND(tbl_working_daily[[#This Row],[SedentaryMinutes]]/60,2)</f>
        <v>18.87</v>
      </c>
      <c r="U241" t="str" cm="1">
        <f t="array" ref="U24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41" t="str" cm="1">
        <f t="array" ref="V241">_xlfn.IFS(tbl_working_daily[[#This Row],[VeryActiveMinutes]]&gt;=30,"Very Active",tbl_working_daily[[#This Row],[VeryActiveMinutes]]&gt;=15,"Moderately Active",tbl_working_daily[[#This Row],[VeryActiveMinutes]]&gt;=1,"Lightly Active",tbl_working_daily[[#This Row],[VeryActiveMinutes]]=0,"Sedentary")</f>
        <v>Lightly Active</v>
      </c>
      <c r="W241" t="str">
        <f>tbl_working_daily[[#This Row],[Id]]&amp;"|"&amp;TEXT(tbl_working_daily[[#This Row],[ActivityDate]],"yyyy-mm-dd")</f>
        <v>4319703577|2016-04-08</v>
      </c>
      <c r="X241" t="b">
        <f>ISNUMBER(MATCH(tbl_working_daily[[#This Row],[LookupKey]],tbl_working_sleep[LookupKey],0))</f>
        <v>0</v>
      </c>
    </row>
    <row r="242" spans="1:24" x14ac:dyDescent="0.3">
      <c r="A242">
        <v>4319703577</v>
      </c>
      <c r="B242" s="1">
        <v>42469</v>
      </c>
      <c r="C242">
        <v>0</v>
      </c>
      <c r="D242">
        <v>0</v>
      </c>
      <c r="E242">
        <v>0</v>
      </c>
      <c r="F242">
        <v>0</v>
      </c>
      <c r="G242">
        <v>0</v>
      </c>
      <c r="H242">
        <v>0</v>
      </c>
      <c r="I242">
        <v>0</v>
      </c>
      <c r="J242">
        <v>0</v>
      </c>
      <c r="K242">
        <v>0</v>
      </c>
      <c r="L242">
        <v>0</v>
      </c>
      <c r="M242">
        <v>0</v>
      </c>
      <c r="N242">
        <v>1440</v>
      </c>
      <c r="O242">
        <v>0</v>
      </c>
      <c r="P242" t="str">
        <f>TEXT(tbl_working_daily[[#This Row],[ActivityDate]],"dddd")</f>
        <v>Saturday</v>
      </c>
      <c r="Q242" t="str">
        <f>TEXT(tbl_working_daily[[#This Row],[ActivityDate]],"mmmm")</f>
        <v>April</v>
      </c>
      <c r="R242">
        <f t="shared" si="6"/>
        <v>0</v>
      </c>
      <c r="S242">
        <f t="shared" si="7"/>
        <v>1440</v>
      </c>
      <c r="T242">
        <f>ROUND(tbl_working_daily[[#This Row],[SedentaryMinutes]]/60,2)</f>
        <v>24</v>
      </c>
      <c r="U242" t="str" cm="1">
        <f t="array" ref="U2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2" t="str" cm="1">
        <f t="array" ref="V242">_xlfn.IFS(tbl_working_daily[[#This Row],[VeryActiveMinutes]]&gt;=30,"Very Active",tbl_working_daily[[#This Row],[VeryActiveMinutes]]&gt;=15,"Moderately Active",tbl_working_daily[[#This Row],[VeryActiveMinutes]]&gt;=1,"Lightly Active",tbl_working_daily[[#This Row],[VeryActiveMinutes]]=0,"Sedentary")</f>
        <v>Sedentary</v>
      </c>
      <c r="W242" t="str">
        <f>tbl_working_daily[[#This Row],[Id]]&amp;"|"&amp;TEXT(tbl_working_daily[[#This Row],[ActivityDate]],"yyyy-mm-dd")</f>
        <v>4319703577|2016-04-09</v>
      </c>
      <c r="X242" t="b">
        <f>ISNUMBER(MATCH(tbl_working_daily[[#This Row],[LookupKey]],tbl_working_sleep[LookupKey],0))</f>
        <v>0</v>
      </c>
    </row>
    <row r="243" spans="1:24" x14ac:dyDescent="0.3">
      <c r="A243">
        <v>4388161847</v>
      </c>
      <c r="B243" s="1">
        <v>42458</v>
      </c>
      <c r="C243">
        <v>0</v>
      </c>
      <c r="D243">
        <v>0</v>
      </c>
      <c r="E243">
        <v>0</v>
      </c>
      <c r="F243">
        <v>0</v>
      </c>
      <c r="G243">
        <v>0</v>
      </c>
      <c r="H243">
        <v>0</v>
      </c>
      <c r="I243">
        <v>0</v>
      </c>
      <c r="J243">
        <v>0</v>
      </c>
      <c r="K243">
        <v>0</v>
      </c>
      <c r="L243">
        <v>0</v>
      </c>
      <c r="M243">
        <v>0</v>
      </c>
      <c r="N243">
        <v>1440</v>
      </c>
      <c r="O243">
        <v>1878</v>
      </c>
      <c r="P243" t="str">
        <f>TEXT(tbl_working_daily[[#This Row],[ActivityDate]],"dddd")</f>
        <v>Tuesday</v>
      </c>
      <c r="Q243" t="str">
        <f>TEXT(tbl_working_daily[[#This Row],[ActivityDate]],"mmmm")</f>
        <v>March</v>
      </c>
      <c r="R243">
        <f t="shared" si="6"/>
        <v>0</v>
      </c>
      <c r="S243">
        <f t="shared" si="7"/>
        <v>1440</v>
      </c>
      <c r="T243">
        <f>ROUND(tbl_working_daily[[#This Row],[SedentaryMinutes]]/60,2)</f>
        <v>24</v>
      </c>
      <c r="U243" t="str" cm="1">
        <f t="array" ref="U2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3" t="str" cm="1">
        <f t="array" ref="V243">_xlfn.IFS(tbl_working_daily[[#This Row],[VeryActiveMinutes]]&gt;=30,"Very Active",tbl_working_daily[[#This Row],[VeryActiveMinutes]]&gt;=15,"Moderately Active",tbl_working_daily[[#This Row],[VeryActiveMinutes]]&gt;=1,"Lightly Active",tbl_working_daily[[#This Row],[VeryActiveMinutes]]=0,"Sedentary")</f>
        <v>Sedentary</v>
      </c>
      <c r="W243" t="str">
        <f>tbl_working_daily[[#This Row],[Id]]&amp;"|"&amp;TEXT(tbl_working_daily[[#This Row],[ActivityDate]],"yyyy-mm-dd")</f>
        <v>4388161847|2016-03-29</v>
      </c>
      <c r="X243" t="b">
        <f>ISNUMBER(MATCH(tbl_working_daily[[#This Row],[LookupKey]],tbl_working_sleep[LookupKey],0))</f>
        <v>0</v>
      </c>
    </row>
    <row r="244" spans="1:24" x14ac:dyDescent="0.3">
      <c r="A244">
        <v>4388161847</v>
      </c>
      <c r="B244" s="1">
        <v>42459</v>
      </c>
      <c r="C244">
        <v>0</v>
      </c>
      <c r="D244">
        <v>0</v>
      </c>
      <c r="E244">
        <v>0</v>
      </c>
      <c r="F244">
        <v>0</v>
      </c>
      <c r="G244">
        <v>0</v>
      </c>
      <c r="H244">
        <v>0</v>
      </c>
      <c r="I244">
        <v>0</v>
      </c>
      <c r="J244">
        <v>0</v>
      </c>
      <c r="K244">
        <v>0</v>
      </c>
      <c r="L244">
        <v>0</v>
      </c>
      <c r="M244">
        <v>0</v>
      </c>
      <c r="N244">
        <v>1440</v>
      </c>
      <c r="O244">
        <v>1878</v>
      </c>
      <c r="P244" t="str">
        <f>TEXT(tbl_working_daily[[#This Row],[ActivityDate]],"dddd")</f>
        <v>Wednesday</v>
      </c>
      <c r="Q244" t="str">
        <f>TEXT(tbl_working_daily[[#This Row],[ActivityDate]],"mmmm")</f>
        <v>March</v>
      </c>
      <c r="R244">
        <f t="shared" si="6"/>
        <v>0</v>
      </c>
      <c r="S244">
        <f t="shared" si="7"/>
        <v>1440</v>
      </c>
      <c r="T244">
        <f>ROUND(tbl_working_daily[[#This Row],[SedentaryMinutes]]/60,2)</f>
        <v>24</v>
      </c>
      <c r="U244" t="str" cm="1">
        <f t="array" ref="U2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4" t="str" cm="1">
        <f t="array" ref="V244">_xlfn.IFS(tbl_working_daily[[#This Row],[VeryActiveMinutes]]&gt;=30,"Very Active",tbl_working_daily[[#This Row],[VeryActiveMinutes]]&gt;=15,"Moderately Active",tbl_working_daily[[#This Row],[VeryActiveMinutes]]&gt;=1,"Lightly Active",tbl_working_daily[[#This Row],[VeryActiveMinutes]]=0,"Sedentary")</f>
        <v>Sedentary</v>
      </c>
      <c r="W244" t="str">
        <f>tbl_working_daily[[#This Row],[Id]]&amp;"|"&amp;TEXT(tbl_working_daily[[#This Row],[ActivityDate]],"yyyy-mm-dd")</f>
        <v>4388161847|2016-03-30</v>
      </c>
      <c r="X244" t="b">
        <f>ISNUMBER(MATCH(tbl_working_daily[[#This Row],[LookupKey]],tbl_working_sleep[LookupKey],0))</f>
        <v>0</v>
      </c>
    </row>
    <row r="245" spans="1:24" x14ac:dyDescent="0.3">
      <c r="A245">
        <v>4388161847</v>
      </c>
      <c r="B245" s="1">
        <v>42460</v>
      </c>
      <c r="C245">
        <v>0</v>
      </c>
      <c r="D245">
        <v>0</v>
      </c>
      <c r="E245">
        <v>0</v>
      </c>
      <c r="F245">
        <v>0</v>
      </c>
      <c r="G245">
        <v>0</v>
      </c>
      <c r="H245">
        <v>0</v>
      </c>
      <c r="I245">
        <v>0</v>
      </c>
      <c r="J245">
        <v>0</v>
      </c>
      <c r="K245">
        <v>0</v>
      </c>
      <c r="L245">
        <v>0</v>
      </c>
      <c r="M245">
        <v>0</v>
      </c>
      <c r="N245">
        <v>1440</v>
      </c>
      <c r="O245">
        <v>1878</v>
      </c>
      <c r="P245" t="str">
        <f>TEXT(tbl_working_daily[[#This Row],[ActivityDate]],"dddd")</f>
        <v>Thursday</v>
      </c>
      <c r="Q245" t="str">
        <f>TEXT(tbl_working_daily[[#This Row],[ActivityDate]],"mmmm")</f>
        <v>March</v>
      </c>
      <c r="R245">
        <f t="shared" si="6"/>
        <v>0</v>
      </c>
      <c r="S245">
        <f t="shared" si="7"/>
        <v>1440</v>
      </c>
      <c r="T245">
        <f>ROUND(tbl_working_daily[[#This Row],[SedentaryMinutes]]/60,2)</f>
        <v>24</v>
      </c>
      <c r="U245" t="str" cm="1">
        <f t="array" ref="U24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5" t="str" cm="1">
        <f t="array" ref="V245">_xlfn.IFS(tbl_working_daily[[#This Row],[VeryActiveMinutes]]&gt;=30,"Very Active",tbl_working_daily[[#This Row],[VeryActiveMinutes]]&gt;=15,"Moderately Active",tbl_working_daily[[#This Row],[VeryActiveMinutes]]&gt;=1,"Lightly Active",tbl_working_daily[[#This Row],[VeryActiveMinutes]]=0,"Sedentary")</f>
        <v>Sedentary</v>
      </c>
      <c r="W245" t="str">
        <f>tbl_working_daily[[#This Row],[Id]]&amp;"|"&amp;TEXT(tbl_working_daily[[#This Row],[ActivityDate]],"yyyy-mm-dd")</f>
        <v>4388161847|2016-03-31</v>
      </c>
      <c r="X245" t="b">
        <f>ISNUMBER(MATCH(tbl_working_daily[[#This Row],[LookupKey]],tbl_working_sleep[LookupKey],0))</f>
        <v>0</v>
      </c>
    </row>
    <row r="246" spans="1:24" x14ac:dyDescent="0.3">
      <c r="A246">
        <v>4388161847</v>
      </c>
      <c r="B246" s="1">
        <v>42461</v>
      </c>
      <c r="C246">
        <v>0</v>
      </c>
      <c r="D246">
        <v>0</v>
      </c>
      <c r="E246">
        <v>0</v>
      </c>
      <c r="F246">
        <v>0</v>
      </c>
      <c r="G246">
        <v>0</v>
      </c>
      <c r="H246">
        <v>0</v>
      </c>
      <c r="I246">
        <v>0</v>
      </c>
      <c r="J246">
        <v>0</v>
      </c>
      <c r="K246">
        <v>0</v>
      </c>
      <c r="L246">
        <v>0</v>
      </c>
      <c r="M246">
        <v>0</v>
      </c>
      <c r="N246">
        <v>1440</v>
      </c>
      <c r="O246">
        <v>1878</v>
      </c>
      <c r="P246" t="str">
        <f>TEXT(tbl_working_daily[[#This Row],[ActivityDate]],"dddd")</f>
        <v>Friday</v>
      </c>
      <c r="Q246" t="str">
        <f>TEXT(tbl_working_daily[[#This Row],[ActivityDate]],"mmmm")</f>
        <v>April</v>
      </c>
      <c r="R246">
        <f t="shared" si="6"/>
        <v>0</v>
      </c>
      <c r="S246">
        <f t="shared" si="7"/>
        <v>1440</v>
      </c>
      <c r="T246">
        <f>ROUND(tbl_working_daily[[#This Row],[SedentaryMinutes]]/60,2)</f>
        <v>24</v>
      </c>
      <c r="U246" t="str" cm="1">
        <f t="array" ref="U24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6" t="str" cm="1">
        <f t="array" ref="V246">_xlfn.IFS(tbl_working_daily[[#This Row],[VeryActiveMinutes]]&gt;=30,"Very Active",tbl_working_daily[[#This Row],[VeryActiveMinutes]]&gt;=15,"Moderately Active",tbl_working_daily[[#This Row],[VeryActiveMinutes]]&gt;=1,"Lightly Active",tbl_working_daily[[#This Row],[VeryActiveMinutes]]=0,"Sedentary")</f>
        <v>Sedentary</v>
      </c>
      <c r="W246" t="str">
        <f>tbl_working_daily[[#This Row],[Id]]&amp;"|"&amp;TEXT(tbl_working_daily[[#This Row],[ActivityDate]],"yyyy-mm-dd")</f>
        <v>4388161847|2016-04-01</v>
      </c>
      <c r="X246" t="b">
        <f>ISNUMBER(MATCH(tbl_working_daily[[#This Row],[LookupKey]],tbl_working_sleep[LookupKey],0))</f>
        <v>0</v>
      </c>
    </row>
    <row r="247" spans="1:24" x14ac:dyDescent="0.3">
      <c r="A247">
        <v>4388161847</v>
      </c>
      <c r="B247" s="1">
        <v>42462</v>
      </c>
      <c r="C247">
        <v>0</v>
      </c>
      <c r="D247">
        <v>0</v>
      </c>
      <c r="E247">
        <v>0</v>
      </c>
      <c r="F247">
        <v>0</v>
      </c>
      <c r="G247">
        <v>0</v>
      </c>
      <c r="H247">
        <v>0</v>
      </c>
      <c r="I247">
        <v>0</v>
      </c>
      <c r="J247">
        <v>0</v>
      </c>
      <c r="K247">
        <v>0</v>
      </c>
      <c r="L247">
        <v>0</v>
      </c>
      <c r="M247">
        <v>0</v>
      </c>
      <c r="N247">
        <v>1440</v>
      </c>
      <c r="O247">
        <v>1878</v>
      </c>
      <c r="P247" t="str">
        <f>TEXT(tbl_working_daily[[#This Row],[ActivityDate]],"dddd")</f>
        <v>Saturday</v>
      </c>
      <c r="Q247" t="str">
        <f>TEXT(tbl_working_daily[[#This Row],[ActivityDate]],"mmmm")</f>
        <v>April</v>
      </c>
      <c r="R247">
        <f t="shared" si="6"/>
        <v>0</v>
      </c>
      <c r="S247">
        <f t="shared" si="7"/>
        <v>1440</v>
      </c>
      <c r="T247">
        <f>ROUND(tbl_working_daily[[#This Row],[SedentaryMinutes]]/60,2)</f>
        <v>24</v>
      </c>
      <c r="U247" t="str" cm="1">
        <f t="array" ref="U24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7" t="str" cm="1">
        <f t="array" ref="V247">_xlfn.IFS(tbl_working_daily[[#This Row],[VeryActiveMinutes]]&gt;=30,"Very Active",tbl_working_daily[[#This Row],[VeryActiveMinutes]]&gt;=15,"Moderately Active",tbl_working_daily[[#This Row],[VeryActiveMinutes]]&gt;=1,"Lightly Active",tbl_working_daily[[#This Row],[VeryActiveMinutes]]=0,"Sedentary")</f>
        <v>Sedentary</v>
      </c>
      <c r="W247" t="str">
        <f>tbl_working_daily[[#This Row],[Id]]&amp;"|"&amp;TEXT(tbl_working_daily[[#This Row],[ActivityDate]],"yyyy-mm-dd")</f>
        <v>4388161847|2016-04-02</v>
      </c>
      <c r="X247" t="b">
        <f>ISNUMBER(MATCH(tbl_working_daily[[#This Row],[LookupKey]],tbl_working_sleep[LookupKey],0))</f>
        <v>0</v>
      </c>
    </row>
    <row r="248" spans="1:24" x14ac:dyDescent="0.3">
      <c r="A248">
        <v>4388161847</v>
      </c>
      <c r="B248" s="1">
        <v>42463</v>
      </c>
      <c r="C248">
        <v>0</v>
      </c>
      <c r="D248">
        <v>0</v>
      </c>
      <c r="E248">
        <v>0</v>
      </c>
      <c r="F248">
        <v>0</v>
      </c>
      <c r="G248">
        <v>0</v>
      </c>
      <c r="H248">
        <v>0</v>
      </c>
      <c r="I248">
        <v>0</v>
      </c>
      <c r="J248">
        <v>0</v>
      </c>
      <c r="K248">
        <v>0</v>
      </c>
      <c r="L248">
        <v>0</v>
      </c>
      <c r="M248">
        <v>0</v>
      </c>
      <c r="N248">
        <v>1440</v>
      </c>
      <c r="O248">
        <v>1878</v>
      </c>
      <c r="P248" t="str">
        <f>TEXT(tbl_working_daily[[#This Row],[ActivityDate]],"dddd")</f>
        <v>Sunday</v>
      </c>
      <c r="Q248" t="str">
        <f>TEXT(tbl_working_daily[[#This Row],[ActivityDate]],"mmmm")</f>
        <v>April</v>
      </c>
      <c r="R248">
        <f t="shared" si="6"/>
        <v>0</v>
      </c>
      <c r="S248">
        <f t="shared" si="7"/>
        <v>1440</v>
      </c>
      <c r="T248">
        <f>ROUND(tbl_working_daily[[#This Row],[SedentaryMinutes]]/60,2)</f>
        <v>24</v>
      </c>
      <c r="U248" t="str" cm="1">
        <f t="array" ref="U24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8" t="str" cm="1">
        <f t="array" ref="V248">_xlfn.IFS(tbl_working_daily[[#This Row],[VeryActiveMinutes]]&gt;=30,"Very Active",tbl_working_daily[[#This Row],[VeryActiveMinutes]]&gt;=15,"Moderately Active",tbl_working_daily[[#This Row],[VeryActiveMinutes]]&gt;=1,"Lightly Active",tbl_working_daily[[#This Row],[VeryActiveMinutes]]=0,"Sedentary")</f>
        <v>Sedentary</v>
      </c>
      <c r="W248" t="str">
        <f>tbl_working_daily[[#This Row],[Id]]&amp;"|"&amp;TEXT(tbl_working_daily[[#This Row],[ActivityDate]],"yyyy-mm-dd")</f>
        <v>4388161847|2016-04-03</v>
      </c>
      <c r="X248" t="b">
        <f>ISNUMBER(MATCH(tbl_working_daily[[#This Row],[LookupKey]],tbl_working_sleep[LookupKey],0))</f>
        <v>0</v>
      </c>
    </row>
    <row r="249" spans="1:24" x14ac:dyDescent="0.3">
      <c r="A249">
        <v>4388161847</v>
      </c>
      <c r="B249" s="1">
        <v>42464</v>
      </c>
      <c r="C249">
        <v>0</v>
      </c>
      <c r="D249">
        <v>0</v>
      </c>
      <c r="E249">
        <v>0</v>
      </c>
      <c r="F249">
        <v>0</v>
      </c>
      <c r="G249">
        <v>0</v>
      </c>
      <c r="H249">
        <v>0</v>
      </c>
      <c r="I249">
        <v>0</v>
      </c>
      <c r="J249">
        <v>0</v>
      </c>
      <c r="K249">
        <v>0</v>
      </c>
      <c r="L249">
        <v>0</v>
      </c>
      <c r="M249">
        <v>0</v>
      </c>
      <c r="N249">
        <v>1440</v>
      </c>
      <c r="O249">
        <v>1878</v>
      </c>
      <c r="P249" t="str">
        <f>TEXT(tbl_working_daily[[#This Row],[ActivityDate]],"dddd")</f>
        <v>Monday</v>
      </c>
      <c r="Q249" t="str">
        <f>TEXT(tbl_working_daily[[#This Row],[ActivityDate]],"mmmm")</f>
        <v>April</v>
      </c>
      <c r="R249">
        <f t="shared" si="6"/>
        <v>0</v>
      </c>
      <c r="S249">
        <f t="shared" si="7"/>
        <v>1440</v>
      </c>
      <c r="T249">
        <f>ROUND(tbl_working_daily[[#This Row],[SedentaryMinutes]]/60,2)</f>
        <v>24</v>
      </c>
      <c r="U249" t="str" cm="1">
        <f t="array" ref="U24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49" t="str" cm="1">
        <f t="array" ref="V249">_xlfn.IFS(tbl_working_daily[[#This Row],[VeryActiveMinutes]]&gt;=30,"Very Active",tbl_working_daily[[#This Row],[VeryActiveMinutes]]&gt;=15,"Moderately Active",tbl_working_daily[[#This Row],[VeryActiveMinutes]]&gt;=1,"Lightly Active",tbl_working_daily[[#This Row],[VeryActiveMinutes]]=0,"Sedentary")</f>
        <v>Sedentary</v>
      </c>
      <c r="W249" t="str">
        <f>tbl_working_daily[[#This Row],[Id]]&amp;"|"&amp;TEXT(tbl_working_daily[[#This Row],[ActivityDate]],"yyyy-mm-dd")</f>
        <v>4388161847|2016-04-04</v>
      </c>
      <c r="X249" t="b">
        <f>ISNUMBER(MATCH(tbl_working_daily[[#This Row],[LookupKey]],tbl_working_sleep[LookupKey],0))</f>
        <v>0</v>
      </c>
    </row>
    <row r="250" spans="1:24" x14ac:dyDescent="0.3">
      <c r="A250">
        <v>4388161847</v>
      </c>
      <c r="B250" s="1">
        <v>42465</v>
      </c>
      <c r="C250">
        <v>0</v>
      </c>
      <c r="D250">
        <v>0</v>
      </c>
      <c r="E250">
        <v>0</v>
      </c>
      <c r="F250">
        <v>0</v>
      </c>
      <c r="G250">
        <v>0</v>
      </c>
      <c r="H250">
        <v>0</v>
      </c>
      <c r="I250">
        <v>0</v>
      </c>
      <c r="J250">
        <v>0</v>
      </c>
      <c r="K250">
        <v>0</v>
      </c>
      <c r="L250">
        <v>0</v>
      </c>
      <c r="M250">
        <v>0</v>
      </c>
      <c r="N250">
        <v>994</v>
      </c>
      <c r="O250">
        <v>1296</v>
      </c>
      <c r="P250" t="str">
        <f>TEXT(tbl_working_daily[[#This Row],[ActivityDate]],"dddd")</f>
        <v>Tuesday</v>
      </c>
      <c r="Q250" t="str">
        <f>TEXT(tbl_working_daily[[#This Row],[ActivityDate]],"mmmm")</f>
        <v>April</v>
      </c>
      <c r="R250">
        <f t="shared" si="6"/>
        <v>0</v>
      </c>
      <c r="S250">
        <f t="shared" si="7"/>
        <v>994</v>
      </c>
      <c r="T250">
        <f>ROUND(tbl_working_daily[[#This Row],[SedentaryMinutes]]/60,2)</f>
        <v>16.57</v>
      </c>
      <c r="U250" t="str" cm="1">
        <f t="array" ref="U25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0" t="str" cm="1">
        <f t="array" ref="V250">_xlfn.IFS(tbl_working_daily[[#This Row],[VeryActiveMinutes]]&gt;=30,"Very Active",tbl_working_daily[[#This Row],[VeryActiveMinutes]]&gt;=15,"Moderately Active",tbl_working_daily[[#This Row],[VeryActiveMinutes]]&gt;=1,"Lightly Active",tbl_working_daily[[#This Row],[VeryActiveMinutes]]=0,"Sedentary")</f>
        <v>Sedentary</v>
      </c>
      <c r="W250" t="str">
        <f>tbl_working_daily[[#This Row],[Id]]&amp;"|"&amp;TEXT(tbl_working_daily[[#This Row],[ActivityDate]],"yyyy-mm-dd")</f>
        <v>4388161847|2016-04-05</v>
      </c>
      <c r="X250" t="b">
        <f>ISNUMBER(MATCH(tbl_working_daily[[#This Row],[LookupKey]],tbl_working_sleep[LookupKey],0))</f>
        <v>0</v>
      </c>
    </row>
    <row r="251" spans="1:24" x14ac:dyDescent="0.3">
      <c r="A251">
        <v>4445114986</v>
      </c>
      <c r="B251" s="1">
        <v>42458</v>
      </c>
      <c r="C251">
        <v>2303</v>
      </c>
      <c r="D251">
        <v>1.54999995231628</v>
      </c>
      <c r="E251">
        <v>1.54999995231628</v>
      </c>
      <c r="F251">
        <v>0</v>
      </c>
      <c r="G251">
        <v>0</v>
      </c>
      <c r="H251">
        <v>0</v>
      </c>
      <c r="I251">
        <v>1.54999995231628</v>
      </c>
      <c r="J251">
        <v>0</v>
      </c>
      <c r="K251">
        <v>0</v>
      </c>
      <c r="L251">
        <v>0</v>
      </c>
      <c r="M251">
        <v>155</v>
      </c>
      <c r="N251">
        <v>807</v>
      </c>
      <c r="O251">
        <v>2010</v>
      </c>
      <c r="P251" t="str">
        <f>TEXT(tbl_working_daily[[#This Row],[ActivityDate]],"dddd")</f>
        <v>Tuesday</v>
      </c>
      <c r="Q251" t="str">
        <f>TEXT(tbl_working_daily[[#This Row],[ActivityDate]],"mmmm")</f>
        <v>March</v>
      </c>
      <c r="R251">
        <f t="shared" si="6"/>
        <v>155</v>
      </c>
      <c r="S251">
        <f t="shared" si="7"/>
        <v>962</v>
      </c>
      <c r="T251">
        <f>ROUND(tbl_working_daily[[#This Row],[SedentaryMinutes]]/60,2)</f>
        <v>13.45</v>
      </c>
      <c r="U251" t="str" cm="1">
        <f t="array" ref="U25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1" t="str" cm="1">
        <f t="array" ref="V251">_xlfn.IFS(tbl_working_daily[[#This Row],[VeryActiveMinutes]]&gt;=30,"Very Active",tbl_working_daily[[#This Row],[VeryActiveMinutes]]&gt;=15,"Moderately Active",tbl_working_daily[[#This Row],[VeryActiveMinutes]]&gt;=1,"Lightly Active",tbl_working_daily[[#This Row],[VeryActiveMinutes]]=0,"Sedentary")</f>
        <v>Sedentary</v>
      </c>
      <c r="W251" t="str">
        <f>tbl_working_daily[[#This Row],[Id]]&amp;"|"&amp;TEXT(tbl_working_daily[[#This Row],[ActivityDate]],"yyyy-mm-dd")</f>
        <v>4445114986|2016-03-29</v>
      </c>
      <c r="X251" t="b">
        <f>ISNUMBER(MATCH(tbl_working_daily[[#This Row],[LookupKey]],tbl_working_sleep[LookupKey],0))</f>
        <v>0</v>
      </c>
    </row>
    <row r="252" spans="1:24" x14ac:dyDescent="0.3">
      <c r="A252">
        <v>4445114986</v>
      </c>
      <c r="B252" s="1">
        <v>42459</v>
      </c>
      <c r="C252">
        <v>2600</v>
      </c>
      <c r="D252">
        <v>1.7400000095367401</v>
      </c>
      <c r="E252">
        <v>1.7400000095367401</v>
      </c>
      <c r="F252">
        <v>0</v>
      </c>
      <c r="G252">
        <v>0</v>
      </c>
      <c r="H252">
        <v>0</v>
      </c>
      <c r="I252">
        <v>1.7400000095367401</v>
      </c>
      <c r="J252">
        <v>0</v>
      </c>
      <c r="K252">
        <v>0</v>
      </c>
      <c r="L252">
        <v>0</v>
      </c>
      <c r="M252">
        <v>163</v>
      </c>
      <c r="N252">
        <v>1277</v>
      </c>
      <c r="O252">
        <v>2032</v>
      </c>
      <c r="P252" t="str">
        <f>TEXT(tbl_working_daily[[#This Row],[ActivityDate]],"dddd")</f>
        <v>Wednesday</v>
      </c>
      <c r="Q252" t="str">
        <f>TEXT(tbl_working_daily[[#This Row],[ActivityDate]],"mmmm")</f>
        <v>March</v>
      </c>
      <c r="R252">
        <f t="shared" si="6"/>
        <v>163</v>
      </c>
      <c r="S252">
        <f t="shared" si="7"/>
        <v>1440</v>
      </c>
      <c r="T252">
        <f>ROUND(tbl_working_daily[[#This Row],[SedentaryMinutes]]/60,2)</f>
        <v>21.28</v>
      </c>
      <c r="U252" t="str" cm="1">
        <f t="array" ref="U25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2" t="str" cm="1">
        <f t="array" ref="V252">_xlfn.IFS(tbl_working_daily[[#This Row],[VeryActiveMinutes]]&gt;=30,"Very Active",tbl_working_daily[[#This Row],[VeryActiveMinutes]]&gt;=15,"Moderately Active",tbl_working_daily[[#This Row],[VeryActiveMinutes]]&gt;=1,"Lightly Active",tbl_working_daily[[#This Row],[VeryActiveMinutes]]=0,"Sedentary")</f>
        <v>Sedentary</v>
      </c>
      <c r="W252" t="str">
        <f>tbl_working_daily[[#This Row],[Id]]&amp;"|"&amp;TEXT(tbl_working_daily[[#This Row],[ActivityDate]],"yyyy-mm-dd")</f>
        <v>4445114986|2016-03-30</v>
      </c>
      <c r="X252" t="b">
        <f>ISNUMBER(MATCH(tbl_working_daily[[#This Row],[LookupKey]],tbl_working_sleep[LookupKey],0))</f>
        <v>0</v>
      </c>
    </row>
    <row r="253" spans="1:24" x14ac:dyDescent="0.3">
      <c r="A253">
        <v>4445114986</v>
      </c>
      <c r="B253" s="1">
        <v>42460</v>
      </c>
      <c r="C253">
        <v>4804</v>
      </c>
      <c r="D253">
        <v>3.2200000286102299</v>
      </c>
      <c r="E253">
        <v>3.2200000286102299</v>
      </c>
      <c r="F253">
        <v>0</v>
      </c>
      <c r="G253">
        <v>0</v>
      </c>
      <c r="H253">
        <v>0</v>
      </c>
      <c r="I253">
        <v>3.2200000286102299</v>
      </c>
      <c r="J253">
        <v>0</v>
      </c>
      <c r="K253">
        <v>0</v>
      </c>
      <c r="L253">
        <v>0</v>
      </c>
      <c r="M253">
        <v>238</v>
      </c>
      <c r="N253">
        <v>786</v>
      </c>
      <c r="O253">
        <v>2227</v>
      </c>
      <c r="P253" t="str">
        <f>TEXT(tbl_working_daily[[#This Row],[ActivityDate]],"dddd")</f>
        <v>Thursday</v>
      </c>
      <c r="Q253" t="str">
        <f>TEXT(tbl_working_daily[[#This Row],[ActivityDate]],"mmmm")</f>
        <v>March</v>
      </c>
      <c r="R253">
        <f t="shared" si="6"/>
        <v>238</v>
      </c>
      <c r="S253">
        <f t="shared" si="7"/>
        <v>1024</v>
      </c>
      <c r="T253">
        <f>ROUND(tbl_working_daily[[#This Row],[SedentaryMinutes]]/60,2)</f>
        <v>13.1</v>
      </c>
      <c r="U253" t="str" cm="1">
        <f t="array" ref="U25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3" t="str" cm="1">
        <f t="array" ref="V253">_xlfn.IFS(tbl_working_daily[[#This Row],[VeryActiveMinutes]]&gt;=30,"Very Active",tbl_working_daily[[#This Row],[VeryActiveMinutes]]&gt;=15,"Moderately Active",tbl_working_daily[[#This Row],[VeryActiveMinutes]]&gt;=1,"Lightly Active",tbl_working_daily[[#This Row],[VeryActiveMinutes]]=0,"Sedentary")</f>
        <v>Sedentary</v>
      </c>
      <c r="W253" t="str">
        <f>tbl_working_daily[[#This Row],[Id]]&amp;"|"&amp;TEXT(tbl_working_daily[[#This Row],[ActivityDate]],"yyyy-mm-dd")</f>
        <v>4445114986|2016-03-31</v>
      </c>
      <c r="X253" t="b">
        <f>ISNUMBER(MATCH(tbl_working_daily[[#This Row],[LookupKey]],tbl_working_sleep[LookupKey],0))</f>
        <v>0</v>
      </c>
    </row>
    <row r="254" spans="1:24" x14ac:dyDescent="0.3">
      <c r="A254">
        <v>4445114986</v>
      </c>
      <c r="B254" s="1">
        <v>42461</v>
      </c>
      <c r="C254">
        <v>3271</v>
      </c>
      <c r="D254">
        <v>2.1900000572204599</v>
      </c>
      <c r="E254">
        <v>2.1900000572204599</v>
      </c>
      <c r="F254">
        <v>0</v>
      </c>
      <c r="G254">
        <v>0</v>
      </c>
      <c r="H254">
        <v>0</v>
      </c>
      <c r="I254">
        <v>2.1900000572204599</v>
      </c>
      <c r="J254">
        <v>0</v>
      </c>
      <c r="K254">
        <v>0</v>
      </c>
      <c r="L254">
        <v>0</v>
      </c>
      <c r="M254">
        <v>205</v>
      </c>
      <c r="N254">
        <v>898</v>
      </c>
      <c r="O254">
        <v>2133</v>
      </c>
      <c r="P254" t="str">
        <f>TEXT(tbl_working_daily[[#This Row],[ActivityDate]],"dddd")</f>
        <v>Friday</v>
      </c>
      <c r="Q254" t="str">
        <f>TEXT(tbl_working_daily[[#This Row],[ActivityDate]],"mmmm")</f>
        <v>April</v>
      </c>
      <c r="R254">
        <f t="shared" si="6"/>
        <v>205</v>
      </c>
      <c r="S254">
        <f t="shared" si="7"/>
        <v>1103</v>
      </c>
      <c r="T254">
        <f>ROUND(tbl_working_daily[[#This Row],[SedentaryMinutes]]/60,2)</f>
        <v>14.97</v>
      </c>
      <c r="U254" t="str" cm="1">
        <f t="array" ref="U25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4" t="str" cm="1">
        <f t="array" ref="V254">_xlfn.IFS(tbl_working_daily[[#This Row],[VeryActiveMinutes]]&gt;=30,"Very Active",tbl_working_daily[[#This Row],[VeryActiveMinutes]]&gt;=15,"Moderately Active",tbl_working_daily[[#This Row],[VeryActiveMinutes]]&gt;=1,"Lightly Active",tbl_working_daily[[#This Row],[VeryActiveMinutes]]=0,"Sedentary")</f>
        <v>Sedentary</v>
      </c>
      <c r="W254" t="str">
        <f>tbl_working_daily[[#This Row],[Id]]&amp;"|"&amp;TEXT(tbl_working_daily[[#This Row],[ActivityDate]],"yyyy-mm-dd")</f>
        <v>4445114986|2016-04-01</v>
      </c>
      <c r="X254" t="b">
        <f>ISNUMBER(MATCH(tbl_working_daily[[#This Row],[LookupKey]],tbl_working_sleep[LookupKey],0))</f>
        <v>0</v>
      </c>
    </row>
    <row r="255" spans="1:24" x14ac:dyDescent="0.3">
      <c r="A255">
        <v>4445114986</v>
      </c>
      <c r="B255" s="1">
        <v>42462</v>
      </c>
      <c r="C255">
        <v>5406</v>
      </c>
      <c r="D255">
        <v>3.6300001144409202</v>
      </c>
      <c r="E255">
        <v>3.6300001144409202</v>
      </c>
      <c r="F255">
        <v>0</v>
      </c>
      <c r="G255">
        <v>0</v>
      </c>
      <c r="H255">
        <v>0</v>
      </c>
      <c r="I255">
        <v>3.6099998950958301</v>
      </c>
      <c r="J255">
        <v>0</v>
      </c>
      <c r="K255">
        <v>0</v>
      </c>
      <c r="L255">
        <v>0</v>
      </c>
      <c r="M255">
        <v>273</v>
      </c>
      <c r="N255">
        <v>672</v>
      </c>
      <c r="O255">
        <v>2317</v>
      </c>
      <c r="P255" t="str">
        <f>TEXT(tbl_working_daily[[#This Row],[ActivityDate]],"dddd")</f>
        <v>Saturday</v>
      </c>
      <c r="Q255" t="str">
        <f>TEXT(tbl_working_daily[[#This Row],[ActivityDate]],"mmmm")</f>
        <v>April</v>
      </c>
      <c r="R255">
        <f t="shared" si="6"/>
        <v>273</v>
      </c>
      <c r="S255">
        <f t="shared" si="7"/>
        <v>945</v>
      </c>
      <c r="T255">
        <f>ROUND(tbl_working_daily[[#This Row],[SedentaryMinutes]]/60,2)</f>
        <v>11.2</v>
      </c>
      <c r="U255" t="str" cm="1">
        <f t="array" ref="U25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55" t="str" cm="1">
        <f t="array" ref="V255">_xlfn.IFS(tbl_working_daily[[#This Row],[VeryActiveMinutes]]&gt;=30,"Very Active",tbl_working_daily[[#This Row],[VeryActiveMinutes]]&gt;=15,"Moderately Active",tbl_working_daily[[#This Row],[VeryActiveMinutes]]&gt;=1,"Lightly Active",tbl_working_daily[[#This Row],[VeryActiveMinutes]]=0,"Sedentary")</f>
        <v>Sedentary</v>
      </c>
      <c r="W255" t="str">
        <f>tbl_working_daily[[#This Row],[Id]]&amp;"|"&amp;TEXT(tbl_working_daily[[#This Row],[ActivityDate]],"yyyy-mm-dd")</f>
        <v>4445114986|2016-04-02</v>
      </c>
      <c r="X255" t="b">
        <f>ISNUMBER(MATCH(tbl_working_daily[[#This Row],[LookupKey]],tbl_working_sleep[LookupKey],0))</f>
        <v>0</v>
      </c>
    </row>
    <row r="256" spans="1:24" x14ac:dyDescent="0.3">
      <c r="A256">
        <v>4445114986</v>
      </c>
      <c r="B256" s="1">
        <v>42463</v>
      </c>
      <c r="C256">
        <v>3146</v>
      </c>
      <c r="D256">
        <v>2.1099998950958301</v>
      </c>
      <c r="E256">
        <v>2.1099998950958301</v>
      </c>
      <c r="F256">
        <v>0</v>
      </c>
      <c r="G256">
        <v>0</v>
      </c>
      <c r="H256">
        <v>0</v>
      </c>
      <c r="I256">
        <v>2.1099998950958301</v>
      </c>
      <c r="J256">
        <v>0</v>
      </c>
      <c r="K256">
        <v>0</v>
      </c>
      <c r="L256">
        <v>0</v>
      </c>
      <c r="M256">
        <v>171</v>
      </c>
      <c r="N256">
        <v>1269</v>
      </c>
      <c r="O256">
        <v>2058</v>
      </c>
      <c r="P256" t="str">
        <f>TEXT(tbl_working_daily[[#This Row],[ActivityDate]],"dddd")</f>
        <v>Sunday</v>
      </c>
      <c r="Q256" t="str">
        <f>TEXT(tbl_working_daily[[#This Row],[ActivityDate]],"mmmm")</f>
        <v>April</v>
      </c>
      <c r="R256">
        <f t="shared" si="6"/>
        <v>171</v>
      </c>
      <c r="S256">
        <f t="shared" si="7"/>
        <v>1440</v>
      </c>
      <c r="T256">
        <f>ROUND(tbl_working_daily[[#This Row],[SedentaryMinutes]]/60,2)</f>
        <v>21.15</v>
      </c>
      <c r="U256" t="str" cm="1">
        <f t="array" ref="U25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6" t="str" cm="1">
        <f t="array" ref="V256">_xlfn.IFS(tbl_working_daily[[#This Row],[VeryActiveMinutes]]&gt;=30,"Very Active",tbl_working_daily[[#This Row],[VeryActiveMinutes]]&gt;=15,"Moderately Active",tbl_working_daily[[#This Row],[VeryActiveMinutes]]&gt;=1,"Lightly Active",tbl_working_daily[[#This Row],[VeryActiveMinutes]]=0,"Sedentary")</f>
        <v>Sedentary</v>
      </c>
      <c r="W256" t="str">
        <f>tbl_working_daily[[#This Row],[Id]]&amp;"|"&amp;TEXT(tbl_working_daily[[#This Row],[ActivityDate]],"yyyy-mm-dd")</f>
        <v>4445114986|2016-04-03</v>
      </c>
      <c r="X256" t="b">
        <f>ISNUMBER(MATCH(tbl_working_daily[[#This Row],[LookupKey]],tbl_working_sleep[LookupKey],0))</f>
        <v>0</v>
      </c>
    </row>
    <row r="257" spans="1:24" x14ac:dyDescent="0.3">
      <c r="A257">
        <v>4445114986</v>
      </c>
      <c r="B257" s="1">
        <v>42464</v>
      </c>
      <c r="C257">
        <v>2422</v>
      </c>
      <c r="D257">
        <v>1.62999999523163</v>
      </c>
      <c r="E257">
        <v>1.62999999523163</v>
      </c>
      <c r="F257">
        <v>0</v>
      </c>
      <c r="G257">
        <v>0</v>
      </c>
      <c r="H257">
        <v>0</v>
      </c>
      <c r="I257">
        <v>1.62999999523163</v>
      </c>
      <c r="J257">
        <v>0</v>
      </c>
      <c r="K257">
        <v>0</v>
      </c>
      <c r="L257">
        <v>0</v>
      </c>
      <c r="M257">
        <v>110</v>
      </c>
      <c r="N257">
        <v>1330</v>
      </c>
      <c r="O257">
        <v>1935</v>
      </c>
      <c r="P257" t="str">
        <f>TEXT(tbl_working_daily[[#This Row],[ActivityDate]],"dddd")</f>
        <v>Monday</v>
      </c>
      <c r="Q257" t="str">
        <f>TEXT(tbl_working_daily[[#This Row],[ActivityDate]],"mmmm")</f>
        <v>April</v>
      </c>
      <c r="R257">
        <f t="shared" si="6"/>
        <v>110</v>
      </c>
      <c r="S257">
        <f t="shared" si="7"/>
        <v>1440</v>
      </c>
      <c r="T257">
        <f>ROUND(tbl_working_daily[[#This Row],[SedentaryMinutes]]/60,2)</f>
        <v>22.17</v>
      </c>
      <c r="U257" t="str" cm="1">
        <f t="array" ref="U25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7" t="str" cm="1">
        <f t="array" ref="V257">_xlfn.IFS(tbl_working_daily[[#This Row],[VeryActiveMinutes]]&gt;=30,"Very Active",tbl_working_daily[[#This Row],[VeryActiveMinutes]]&gt;=15,"Moderately Active",tbl_working_daily[[#This Row],[VeryActiveMinutes]]&gt;=1,"Lightly Active",tbl_working_daily[[#This Row],[VeryActiveMinutes]]=0,"Sedentary")</f>
        <v>Sedentary</v>
      </c>
      <c r="W257" t="str">
        <f>tbl_working_daily[[#This Row],[Id]]&amp;"|"&amp;TEXT(tbl_working_daily[[#This Row],[ActivityDate]],"yyyy-mm-dd")</f>
        <v>4445114986|2016-04-04</v>
      </c>
      <c r="X257" t="b">
        <f>ISNUMBER(MATCH(tbl_working_daily[[#This Row],[LookupKey]],tbl_working_sleep[LookupKey],0))</f>
        <v>0</v>
      </c>
    </row>
    <row r="258" spans="1:24" x14ac:dyDescent="0.3">
      <c r="A258">
        <v>4445114986</v>
      </c>
      <c r="B258" s="1">
        <v>42465</v>
      </c>
      <c r="C258">
        <v>4239</v>
      </c>
      <c r="D258">
        <v>2.8399999141693102</v>
      </c>
      <c r="E258">
        <v>2.8399999141693102</v>
      </c>
      <c r="F258">
        <v>0</v>
      </c>
      <c r="G258">
        <v>5.9999998658895499E-2</v>
      </c>
      <c r="H258">
        <v>0.239999994635582</v>
      </c>
      <c r="I258">
        <v>2.5299999713897701</v>
      </c>
      <c r="J258">
        <v>0</v>
      </c>
      <c r="K258">
        <v>1</v>
      </c>
      <c r="L258">
        <v>6</v>
      </c>
      <c r="M258">
        <v>235</v>
      </c>
      <c r="N258">
        <v>702</v>
      </c>
      <c r="O258">
        <v>2217</v>
      </c>
      <c r="P258" t="str">
        <f>TEXT(tbl_working_daily[[#This Row],[ActivityDate]],"dddd")</f>
        <v>Tuesday</v>
      </c>
      <c r="Q258" t="str">
        <f>TEXT(tbl_working_daily[[#This Row],[ActivityDate]],"mmmm")</f>
        <v>April</v>
      </c>
      <c r="R258">
        <f t="shared" ref="R258:R321" si="8">K258+L258+M258</f>
        <v>242</v>
      </c>
      <c r="S258">
        <f t="shared" ref="S258:S321" si="9">R258+N258</f>
        <v>944</v>
      </c>
      <c r="T258">
        <f>ROUND(tbl_working_daily[[#This Row],[SedentaryMinutes]]/60,2)</f>
        <v>11.7</v>
      </c>
      <c r="U258" t="str" cm="1">
        <f t="array" ref="U25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58" t="str" cm="1">
        <f t="array" ref="V258">_xlfn.IFS(tbl_working_daily[[#This Row],[VeryActiveMinutes]]&gt;=30,"Very Active",tbl_working_daily[[#This Row],[VeryActiveMinutes]]&gt;=15,"Moderately Active",tbl_working_daily[[#This Row],[VeryActiveMinutes]]&gt;=1,"Lightly Active",tbl_working_daily[[#This Row],[VeryActiveMinutes]]=0,"Sedentary")</f>
        <v>Lightly Active</v>
      </c>
      <c r="W258" t="str">
        <f>tbl_working_daily[[#This Row],[Id]]&amp;"|"&amp;TEXT(tbl_working_daily[[#This Row],[ActivityDate]],"yyyy-mm-dd")</f>
        <v>4445114986|2016-04-05</v>
      </c>
      <c r="X258" t="b">
        <f>ISNUMBER(MATCH(tbl_working_daily[[#This Row],[LookupKey]],tbl_working_sleep[LookupKey],0))</f>
        <v>0</v>
      </c>
    </row>
    <row r="259" spans="1:24" x14ac:dyDescent="0.3">
      <c r="A259">
        <v>4445114986</v>
      </c>
      <c r="B259" s="1">
        <v>42466</v>
      </c>
      <c r="C259">
        <v>6911</v>
      </c>
      <c r="D259">
        <v>4.7800002098083496</v>
      </c>
      <c r="E259">
        <v>4.7800002098083496</v>
      </c>
      <c r="F259">
        <v>0</v>
      </c>
      <c r="G259">
        <v>2.3199999332428001</v>
      </c>
      <c r="H259">
        <v>0.10000000149011599</v>
      </c>
      <c r="I259">
        <v>2.3599998950958301</v>
      </c>
      <c r="J259">
        <v>0</v>
      </c>
      <c r="K259">
        <v>28</v>
      </c>
      <c r="L259">
        <v>2</v>
      </c>
      <c r="M259">
        <v>215</v>
      </c>
      <c r="N259">
        <v>745</v>
      </c>
      <c r="O259">
        <v>2374</v>
      </c>
      <c r="P259" t="str">
        <f>TEXT(tbl_working_daily[[#This Row],[ActivityDate]],"dddd")</f>
        <v>Wednesday</v>
      </c>
      <c r="Q259" t="str">
        <f>TEXT(tbl_working_daily[[#This Row],[ActivityDate]],"mmmm")</f>
        <v>April</v>
      </c>
      <c r="R259">
        <f t="shared" si="8"/>
        <v>245</v>
      </c>
      <c r="S259">
        <f t="shared" si="9"/>
        <v>990</v>
      </c>
      <c r="T259">
        <f>ROUND(tbl_working_daily[[#This Row],[SedentaryMinutes]]/60,2)</f>
        <v>12.42</v>
      </c>
      <c r="U259" t="str" cm="1">
        <f t="array" ref="U25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59" t="str" cm="1">
        <f t="array" ref="V259">_xlfn.IFS(tbl_working_daily[[#This Row],[VeryActiveMinutes]]&gt;=30,"Very Active",tbl_working_daily[[#This Row],[VeryActiveMinutes]]&gt;=15,"Moderately Active",tbl_working_daily[[#This Row],[VeryActiveMinutes]]&gt;=1,"Lightly Active",tbl_working_daily[[#This Row],[VeryActiveMinutes]]=0,"Sedentary")</f>
        <v>Moderately Active</v>
      </c>
      <c r="W259" t="str">
        <f>tbl_working_daily[[#This Row],[Id]]&amp;"|"&amp;TEXT(tbl_working_daily[[#This Row],[ActivityDate]],"yyyy-mm-dd")</f>
        <v>4445114986|2016-04-06</v>
      </c>
      <c r="X259" t="b">
        <f>ISNUMBER(MATCH(tbl_working_daily[[#This Row],[LookupKey]],tbl_working_sleep[LookupKey],0))</f>
        <v>0</v>
      </c>
    </row>
    <row r="260" spans="1:24" x14ac:dyDescent="0.3">
      <c r="A260">
        <v>4445114986</v>
      </c>
      <c r="B260" s="1">
        <v>42467</v>
      </c>
      <c r="C260">
        <v>6667</v>
      </c>
      <c r="D260">
        <v>4.6100001335143999</v>
      </c>
      <c r="E260">
        <v>4.6100001335143999</v>
      </c>
      <c r="F260">
        <v>0</v>
      </c>
      <c r="G260">
        <v>2.0199999809265101</v>
      </c>
      <c r="H260">
        <v>5.0000000745058101E-2</v>
      </c>
      <c r="I260">
        <v>2.5499999523162802</v>
      </c>
      <c r="J260">
        <v>0</v>
      </c>
      <c r="K260">
        <v>24</v>
      </c>
      <c r="L260">
        <v>1</v>
      </c>
      <c r="M260">
        <v>208</v>
      </c>
      <c r="N260">
        <v>939</v>
      </c>
      <c r="O260">
        <v>2335</v>
      </c>
      <c r="P260" t="str">
        <f>TEXT(tbl_working_daily[[#This Row],[ActivityDate]],"dddd")</f>
        <v>Thursday</v>
      </c>
      <c r="Q260" t="str">
        <f>TEXT(tbl_working_daily[[#This Row],[ActivityDate]],"mmmm")</f>
        <v>April</v>
      </c>
      <c r="R260">
        <f t="shared" si="8"/>
        <v>233</v>
      </c>
      <c r="S260">
        <f t="shared" si="9"/>
        <v>1172</v>
      </c>
      <c r="T260">
        <f>ROUND(tbl_working_daily[[#This Row],[SedentaryMinutes]]/60,2)</f>
        <v>15.65</v>
      </c>
      <c r="U260" t="str" cm="1">
        <f t="array" ref="U26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60" t="str" cm="1">
        <f t="array" ref="V260">_xlfn.IFS(tbl_working_daily[[#This Row],[VeryActiveMinutes]]&gt;=30,"Very Active",tbl_working_daily[[#This Row],[VeryActiveMinutes]]&gt;=15,"Moderately Active",tbl_working_daily[[#This Row],[VeryActiveMinutes]]&gt;=1,"Lightly Active",tbl_working_daily[[#This Row],[VeryActiveMinutes]]=0,"Sedentary")</f>
        <v>Moderately Active</v>
      </c>
      <c r="W260" t="str">
        <f>tbl_working_daily[[#This Row],[Id]]&amp;"|"&amp;TEXT(tbl_working_daily[[#This Row],[ActivityDate]],"yyyy-mm-dd")</f>
        <v>4445114986|2016-04-07</v>
      </c>
      <c r="X260" t="b">
        <f>ISNUMBER(MATCH(tbl_working_daily[[#This Row],[LookupKey]],tbl_working_sleep[LookupKey],0))</f>
        <v>0</v>
      </c>
    </row>
    <row r="261" spans="1:24" x14ac:dyDescent="0.3">
      <c r="A261">
        <v>4445114986</v>
      </c>
      <c r="B261" s="1">
        <v>42468</v>
      </c>
      <c r="C261">
        <v>5543</v>
      </c>
      <c r="D261">
        <v>3.7200000286102299</v>
      </c>
      <c r="E261">
        <v>3.7200000286102299</v>
      </c>
      <c r="F261">
        <v>0</v>
      </c>
      <c r="G261">
        <v>0</v>
      </c>
      <c r="H261">
        <v>0</v>
      </c>
      <c r="I261">
        <v>3.7200000286102299</v>
      </c>
      <c r="J261">
        <v>0</v>
      </c>
      <c r="K261">
        <v>0</v>
      </c>
      <c r="L261">
        <v>0</v>
      </c>
      <c r="M261">
        <v>266</v>
      </c>
      <c r="N261">
        <v>941</v>
      </c>
      <c r="O261">
        <v>2303</v>
      </c>
      <c r="P261" t="str">
        <f>TEXT(tbl_working_daily[[#This Row],[ActivityDate]],"dddd")</f>
        <v>Friday</v>
      </c>
      <c r="Q261" t="str">
        <f>TEXT(tbl_working_daily[[#This Row],[ActivityDate]],"mmmm")</f>
        <v>April</v>
      </c>
      <c r="R261">
        <f t="shared" si="8"/>
        <v>266</v>
      </c>
      <c r="S261">
        <f t="shared" si="9"/>
        <v>1207</v>
      </c>
      <c r="T261">
        <f>ROUND(tbl_working_daily[[#This Row],[SedentaryMinutes]]/60,2)</f>
        <v>15.68</v>
      </c>
      <c r="U261" t="str" cm="1">
        <f t="array" ref="U26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61" t="str" cm="1">
        <f t="array" ref="V261">_xlfn.IFS(tbl_working_daily[[#This Row],[VeryActiveMinutes]]&gt;=30,"Very Active",tbl_working_daily[[#This Row],[VeryActiveMinutes]]&gt;=15,"Moderately Active",tbl_working_daily[[#This Row],[VeryActiveMinutes]]&gt;=1,"Lightly Active",tbl_working_daily[[#This Row],[VeryActiveMinutes]]=0,"Sedentary")</f>
        <v>Sedentary</v>
      </c>
      <c r="W261" t="str">
        <f>tbl_working_daily[[#This Row],[Id]]&amp;"|"&amp;TEXT(tbl_working_daily[[#This Row],[ActivityDate]],"yyyy-mm-dd")</f>
        <v>4445114986|2016-04-08</v>
      </c>
      <c r="X261" t="b">
        <f>ISNUMBER(MATCH(tbl_working_daily[[#This Row],[LookupKey]],tbl_working_sleep[LookupKey],0))</f>
        <v>0</v>
      </c>
    </row>
    <row r="262" spans="1:24" x14ac:dyDescent="0.3">
      <c r="A262">
        <v>4445114986</v>
      </c>
      <c r="B262" s="1">
        <v>42469</v>
      </c>
      <c r="C262">
        <v>4195</v>
      </c>
      <c r="D262">
        <v>2.8099999427795401</v>
      </c>
      <c r="E262">
        <v>2.8099999427795401</v>
      </c>
      <c r="F262">
        <v>0</v>
      </c>
      <c r="G262">
        <v>0</v>
      </c>
      <c r="H262">
        <v>0</v>
      </c>
      <c r="I262">
        <v>2.8099999427795401</v>
      </c>
      <c r="J262">
        <v>0</v>
      </c>
      <c r="K262">
        <v>0</v>
      </c>
      <c r="L262">
        <v>0</v>
      </c>
      <c r="M262">
        <v>239</v>
      </c>
      <c r="N262">
        <v>758</v>
      </c>
      <c r="O262">
        <v>2210</v>
      </c>
      <c r="P262" t="str">
        <f>TEXT(tbl_working_daily[[#This Row],[ActivityDate]],"dddd")</f>
        <v>Saturday</v>
      </c>
      <c r="Q262" t="str">
        <f>TEXT(tbl_working_daily[[#This Row],[ActivityDate]],"mmmm")</f>
        <v>April</v>
      </c>
      <c r="R262">
        <f t="shared" si="8"/>
        <v>239</v>
      </c>
      <c r="S262">
        <f t="shared" si="9"/>
        <v>997</v>
      </c>
      <c r="T262">
        <f>ROUND(tbl_working_daily[[#This Row],[SedentaryMinutes]]/60,2)</f>
        <v>12.63</v>
      </c>
      <c r="U262" t="str" cm="1">
        <f t="array" ref="U26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62" t="str" cm="1">
        <f t="array" ref="V262">_xlfn.IFS(tbl_working_daily[[#This Row],[VeryActiveMinutes]]&gt;=30,"Very Active",tbl_working_daily[[#This Row],[VeryActiveMinutes]]&gt;=15,"Moderately Active",tbl_working_daily[[#This Row],[VeryActiveMinutes]]&gt;=1,"Lightly Active",tbl_working_daily[[#This Row],[VeryActiveMinutes]]=0,"Sedentary")</f>
        <v>Sedentary</v>
      </c>
      <c r="W262" t="str">
        <f>tbl_working_daily[[#This Row],[Id]]&amp;"|"&amp;TEXT(tbl_working_daily[[#This Row],[ActivityDate]],"yyyy-mm-dd")</f>
        <v>4445114986|2016-04-09</v>
      </c>
      <c r="X262" t="b">
        <f>ISNUMBER(MATCH(tbl_working_daily[[#This Row],[LookupKey]],tbl_working_sleep[LookupKey],0))</f>
        <v>0</v>
      </c>
    </row>
    <row r="263" spans="1:24" x14ac:dyDescent="0.3">
      <c r="A263">
        <v>4445114986</v>
      </c>
      <c r="B263" s="1">
        <v>42470</v>
      </c>
      <c r="C263">
        <v>6625</v>
      </c>
      <c r="D263">
        <v>4.4499998092651403</v>
      </c>
      <c r="E263">
        <v>4.4499998092651403</v>
      </c>
      <c r="F263">
        <v>0</v>
      </c>
      <c r="G263">
        <v>0</v>
      </c>
      <c r="H263">
        <v>0</v>
      </c>
      <c r="I263">
        <v>4.4499998092651403</v>
      </c>
      <c r="J263">
        <v>0</v>
      </c>
      <c r="K263">
        <v>0</v>
      </c>
      <c r="L263">
        <v>0</v>
      </c>
      <c r="M263">
        <v>316</v>
      </c>
      <c r="N263">
        <v>755</v>
      </c>
      <c r="O263">
        <v>2424</v>
      </c>
      <c r="P263" t="str">
        <f>TEXT(tbl_working_daily[[#This Row],[ActivityDate]],"dddd")</f>
        <v>Sunday</v>
      </c>
      <c r="Q263" t="str">
        <f>TEXT(tbl_working_daily[[#This Row],[ActivityDate]],"mmmm")</f>
        <v>April</v>
      </c>
      <c r="R263">
        <f t="shared" si="8"/>
        <v>316</v>
      </c>
      <c r="S263">
        <f t="shared" si="9"/>
        <v>1071</v>
      </c>
      <c r="T263">
        <f>ROUND(tbl_working_daily[[#This Row],[SedentaryMinutes]]/60,2)</f>
        <v>12.58</v>
      </c>
      <c r="U263" t="str" cm="1">
        <f t="array" ref="U26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63" t="str" cm="1">
        <f t="array" ref="V263">_xlfn.IFS(tbl_working_daily[[#This Row],[VeryActiveMinutes]]&gt;=30,"Very Active",tbl_working_daily[[#This Row],[VeryActiveMinutes]]&gt;=15,"Moderately Active",tbl_working_daily[[#This Row],[VeryActiveMinutes]]&gt;=1,"Lightly Active",tbl_working_daily[[#This Row],[VeryActiveMinutes]]=0,"Sedentary")</f>
        <v>Sedentary</v>
      </c>
      <c r="W263" t="str">
        <f>tbl_working_daily[[#This Row],[Id]]&amp;"|"&amp;TEXT(tbl_working_daily[[#This Row],[ActivityDate]],"yyyy-mm-dd")</f>
        <v>4445114986|2016-04-10</v>
      </c>
      <c r="X263" t="b">
        <f>ISNUMBER(MATCH(tbl_working_daily[[#This Row],[LookupKey]],tbl_working_sleep[LookupKey],0))</f>
        <v>0</v>
      </c>
    </row>
    <row r="264" spans="1:24" x14ac:dyDescent="0.3">
      <c r="A264">
        <v>4445114986</v>
      </c>
      <c r="B264" s="1">
        <v>42471</v>
      </c>
      <c r="C264">
        <v>5986</v>
      </c>
      <c r="D264">
        <v>4.1300001144409197</v>
      </c>
      <c r="E264">
        <v>4.1300001144409197</v>
      </c>
      <c r="F264">
        <v>0</v>
      </c>
      <c r="G264">
        <v>1.95000004768372</v>
      </c>
      <c r="H264">
        <v>0.230000004172325</v>
      </c>
      <c r="I264">
        <v>1.95000004768372</v>
      </c>
      <c r="J264">
        <v>0</v>
      </c>
      <c r="K264">
        <v>23</v>
      </c>
      <c r="L264">
        <v>5</v>
      </c>
      <c r="M264">
        <v>195</v>
      </c>
      <c r="N264">
        <v>789</v>
      </c>
      <c r="O264">
        <v>2297</v>
      </c>
      <c r="P264" t="str">
        <f>TEXT(tbl_working_daily[[#This Row],[ActivityDate]],"dddd")</f>
        <v>Monday</v>
      </c>
      <c r="Q264" t="str">
        <f>TEXT(tbl_working_daily[[#This Row],[ActivityDate]],"mmmm")</f>
        <v>April</v>
      </c>
      <c r="R264">
        <f t="shared" si="8"/>
        <v>223</v>
      </c>
      <c r="S264">
        <f t="shared" si="9"/>
        <v>1012</v>
      </c>
      <c r="T264">
        <f>ROUND(tbl_working_daily[[#This Row],[SedentaryMinutes]]/60,2)</f>
        <v>13.15</v>
      </c>
      <c r="U264" t="str" cm="1">
        <f t="array" ref="U26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64" t="str" cm="1">
        <f t="array" ref="V264">_xlfn.IFS(tbl_working_daily[[#This Row],[VeryActiveMinutes]]&gt;=30,"Very Active",tbl_working_daily[[#This Row],[VeryActiveMinutes]]&gt;=15,"Moderately Active",tbl_working_daily[[#This Row],[VeryActiveMinutes]]&gt;=1,"Lightly Active",tbl_working_daily[[#This Row],[VeryActiveMinutes]]=0,"Sedentary")</f>
        <v>Moderately Active</v>
      </c>
      <c r="W264" t="str">
        <f>tbl_working_daily[[#This Row],[Id]]&amp;"|"&amp;TEXT(tbl_working_daily[[#This Row],[ActivityDate]],"yyyy-mm-dd")</f>
        <v>4445114986|2016-04-11</v>
      </c>
      <c r="X264" t="b">
        <f>ISNUMBER(MATCH(tbl_working_daily[[#This Row],[LookupKey]],tbl_working_sleep[LookupKey],0))</f>
        <v>0</v>
      </c>
    </row>
    <row r="265" spans="1:24" x14ac:dyDescent="0.3">
      <c r="A265">
        <v>4445114986</v>
      </c>
      <c r="B265" s="1">
        <v>42472</v>
      </c>
      <c r="C265">
        <v>278</v>
      </c>
      <c r="D265">
        <v>0.18999999761581399</v>
      </c>
      <c r="E265">
        <v>0.18999999761581399</v>
      </c>
      <c r="F265">
        <v>0</v>
      </c>
      <c r="G265">
        <v>0</v>
      </c>
      <c r="H265">
        <v>0</v>
      </c>
      <c r="I265">
        <v>0.18999999761581399</v>
      </c>
      <c r="J265">
        <v>0</v>
      </c>
      <c r="K265">
        <v>0</v>
      </c>
      <c r="L265">
        <v>0</v>
      </c>
      <c r="M265">
        <v>20</v>
      </c>
      <c r="N265">
        <v>253</v>
      </c>
      <c r="O265">
        <v>745</v>
      </c>
      <c r="P265" t="str">
        <f>TEXT(tbl_working_daily[[#This Row],[ActivityDate]],"dddd")</f>
        <v>Tuesday</v>
      </c>
      <c r="Q265" t="str">
        <f>TEXT(tbl_working_daily[[#This Row],[ActivityDate]],"mmmm")</f>
        <v>April</v>
      </c>
      <c r="R265">
        <f t="shared" si="8"/>
        <v>20</v>
      </c>
      <c r="S265">
        <f t="shared" si="9"/>
        <v>273</v>
      </c>
      <c r="T265">
        <f>ROUND(tbl_working_daily[[#This Row],[SedentaryMinutes]]/60,2)</f>
        <v>4.22</v>
      </c>
      <c r="U265" t="str" cm="1">
        <f t="array" ref="U26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65" t="str" cm="1">
        <f t="array" ref="V265">_xlfn.IFS(tbl_working_daily[[#This Row],[VeryActiveMinutes]]&gt;=30,"Very Active",tbl_working_daily[[#This Row],[VeryActiveMinutes]]&gt;=15,"Moderately Active",tbl_working_daily[[#This Row],[VeryActiveMinutes]]&gt;=1,"Lightly Active",tbl_working_daily[[#This Row],[VeryActiveMinutes]]=0,"Sedentary")</f>
        <v>Sedentary</v>
      </c>
      <c r="W265" t="str">
        <f>tbl_working_daily[[#This Row],[Id]]&amp;"|"&amp;TEXT(tbl_working_daily[[#This Row],[ActivityDate]],"yyyy-mm-dd")</f>
        <v>4445114986|2016-04-12</v>
      </c>
      <c r="X265" t="b">
        <f>ISNUMBER(MATCH(tbl_working_daily[[#This Row],[LookupKey]],tbl_working_sleep[LookupKey],0))</f>
        <v>1</v>
      </c>
    </row>
    <row r="266" spans="1:24" x14ac:dyDescent="0.3">
      <c r="A266">
        <v>4558609924</v>
      </c>
      <c r="B266" s="1">
        <v>42461</v>
      </c>
      <c r="C266">
        <v>5336</v>
      </c>
      <c r="D266">
        <v>3.5299999713897701</v>
      </c>
      <c r="E266">
        <v>3.5299999713897701</v>
      </c>
      <c r="F266">
        <v>0</v>
      </c>
      <c r="G266">
        <v>0</v>
      </c>
      <c r="H266">
        <v>0</v>
      </c>
      <c r="I266">
        <v>3.5299999713897701</v>
      </c>
      <c r="J266">
        <v>0</v>
      </c>
      <c r="K266">
        <v>0</v>
      </c>
      <c r="L266">
        <v>0</v>
      </c>
      <c r="M266">
        <v>258</v>
      </c>
      <c r="N266">
        <v>1182</v>
      </c>
      <c r="O266">
        <v>1902</v>
      </c>
      <c r="P266" t="str">
        <f>TEXT(tbl_working_daily[[#This Row],[ActivityDate]],"dddd")</f>
        <v>Friday</v>
      </c>
      <c r="Q266" t="str">
        <f>TEXT(tbl_working_daily[[#This Row],[ActivityDate]],"mmmm")</f>
        <v>April</v>
      </c>
      <c r="R266">
        <f t="shared" si="8"/>
        <v>258</v>
      </c>
      <c r="S266">
        <f t="shared" si="9"/>
        <v>1440</v>
      </c>
      <c r="T266">
        <f>ROUND(tbl_working_daily[[#This Row],[SedentaryMinutes]]/60,2)</f>
        <v>19.7</v>
      </c>
      <c r="U266" t="str" cm="1">
        <f t="array" ref="U26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66" t="str" cm="1">
        <f t="array" ref="V266">_xlfn.IFS(tbl_working_daily[[#This Row],[VeryActiveMinutes]]&gt;=30,"Very Active",tbl_working_daily[[#This Row],[VeryActiveMinutes]]&gt;=15,"Moderately Active",tbl_working_daily[[#This Row],[VeryActiveMinutes]]&gt;=1,"Lightly Active",tbl_working_daily[[#This Row],[VeryActiveMinutes]]=0,"Sedentary")</f>
        <v>Sedentary</v>
      </c>
      <c r="W266" t="str">
        <f>tbl_working_daily[[#This Row],[Id]]&amp;"|"&amp;TEXT(tbl_working_daily[[#This Row],[ActivityDate]],"yyyy-mm-dd")</f>
        <v>4558609924|2016-04-01</v>
      </c>
      <c r="X266" t="b">
        <f>ISNUMBER(MATCH(tbl_working_daily[[#This Row],[LookupKey]],tbl_working_sleep[LookupKey],0))</f>
        <v>0</v>
      </c>
    </row>
    <row r="267" spans="1:24" x14ac:dyDescent="0.3">
      <c r="A267">
        <v>4558609924</v>
      </c>
      <c r="B267" s="1">
        <v>42462</v>
      </c>
      <c r="C267">
        <v>3183</v>
      </c>
      <c r="D267">
        <v>2.0999999046325701</v>
      </c>
      <c r="E267">
        <v>2.0999999046325701</v>
      </c>
      <c r="F267">
        <v>0</v>
      </c>
      <c r="G267">
        <v>0</v>
      </c>
      <c r="H267">
        <v>0</v>
      </c>
      <c r="I267">
        <v>2.0999999046325701</v>
      </c>
      <c r="J267">
        <v>0</v>
      </c>
      <c r="K267">
        <v>0</v>
      </c>
      <c r="L267">
        <v>0</v>
      </c>
      <c r="M267">
        <v>173</v>
      </c>
      <c r="N267">
        <v>1180</v>
      </c>
      <c r="O267">
        <v>1680</v>
      </c>
      <c r="P267" t="str">
        <f>TEXT(tbl_working_daily[[#This Row],[ActivityDate]],"dddd")</f>
        <v>Saturday</v>
      </c>
      <c r="Q267" t="str">
        <f>TEXT(tbl_working_daily[[#This Row],[ActivityDate]],"mmmm")</f>
        <v>April</v>
      </c>
      <c r="R267">
        <f t="shared" si="8"/>
        <v>173</v>
      </c>
      <c r="S267">
        <f t="shared" si="9"/>
        <v>1353</v>
      </c>
      <c r="T267">
        <f>ROUND(tbl_working_daily[[#This Row],[SedentaryMinutes]]/60,2)</f>
        <v>19.670000000000002</v>
      </c>
      <c r="U267" t="str" cm="1">
        <f t="array" ref="U26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67" t="str" cm="1">
        <f t="array" ref="V267">_xlfn.IFS(tbl_working_daily[[#This Row],[VeryActiveMinutes]]&gt;=30,"Very Active",tbl_working_daily[[#This Row],[VeryActiveMinutes]]&gt;=15,"Moderately Active",tbl_working_daily[[#This Row],[VeryActiveMinutes]]&gt;=1,"Lightly Active",tbl_working_daily[[#This Row],[VeryActiveMinutes]]=0,"Sedentary")</f>
        <v>Sedentary</v>
      </c>
      <c r="W267" t="str">
        <f>tbl_working_daily[[#This Row],[Id]]&amp;"|"&amp;TEXT(tbl_working_daily[[#This Row],[ActivityDate]],"yyyy-mm-dd")</f>
        <v>4558609924|2016-04-02</v>
      </c>
      <c r="X267" t="b">
        <f>ISNUMBER(MATCH(tbl_working_daily[[#This Row],[LookupKey]],tbl_working_sleep[LookupKey],0))</f>
        <v>0</v>
      </c>
    </row>
    <row r="268" spans="1:24" x14ac:dyDescent="0.3">
      <c r="A268">
        <v>4558609924</v>
      </c>
      <c r="B268" s="1">
        <v>42463</v>
      </c>
      <c r="C268">
        <v>6176</v>
      </c>
      <c r="D268">
        <v>4.0799999237060502</v>
      </c>
      <c r="E268">
        <v>4.0799999237060502</v>
      </c>
      <c r="F268">
        <v>0</v>
      </c>
      <c r="G268">
        <v>7.0000000298023196E-2</v>
      </c>
      <c r="H268">
        <v>0.259999990463257</v>
      </c>
      <c r="I268">
        <v>3.75</v>
      </c>
      <c r="J268">
        <v>0</v>
      </c>
      <c r="K268">
        <v>1</v>
      </c>
      <c r="L268">
        <v>7</v>
      </c>
      <c r="M268">
        <v>269</v>
      </c>
      <c r="N268">
        <v>886</v>
      </c>
      <c r="O268">
        <v>1901</v>
      </c>
      <c r="P268" t="str">
        <f>TEXT(tbl_working_daily[[#This Row],[ActivityDate]],"dddd")</f>
        <v>Sunday</v>
      </c>
      <c r="Q268" t="str">
        <f>TEXT(tbl_working_daily[[#This Row],[ActivityDate]],"mmmm")</f>
        <v>April</v>
      </c>
      <c r="R268">
        <f t="shared" si="8"/>
        <v>277</v>
      </c>
      <c r="S268">
        <f t="shared" si="9"/>
        <v>1163</v>
      </c>
      <c r="T268">
        <f>ROUND(tbl_working_daily[[#This Row],[SedentaryMinutes]]/60,2)</f>
        <v>14.77</v>
      </c>
      <c r="U268" t="str" cm="1">
        <f t="array" ref="U26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68" t="str" cm="1">
        <f t="array" ref="V268">_xlfn.IFS(tbl_working_daily[[#This Row],[VeryActiveMinutes]]&gt;=30,"Very Active",tbl_working_daily[[#This Row],[VeryActiveMinutes]]&gt;=15,"Moderately Active",tbl_working_daily[[#This Row],[VeryActiveMinutes]]&gt;=1,"Lightly Active",tbl_working_daily[[#This Row],[VeryActiveMinutes]]=0,"Sedentary")</f>
        <v>Lightly Active</v>
      </c>
      <c r="W268" t="str">
        <f>tbl_working_daily[[#This Row],[Id]]&amp;"|"&amp;TEXT(tbl_working_daily[[#This Row],[ActivityDate]],"yyyy-mm-dd")</f>
        <v>4558609924|2016-04-03</v>
      </c>
      <c r="X268" t="b">
        <f>ISNUMBER(MATCH(tbl_working_daily[[#This Row],[LookupKey]],tbl_working_sleep[LookupKey],0))</f>
        <v>0</v>
      </c>
    </row>
    <row r="269" spans="1:24" x14ac:dyDescent="0.3">
      <c r="A269">
        <v>4558609924</v>
      </c>
      <c r="B269" s="1">
        <v>42464</v>
      </c>
      <c r="C269">
        <v>8205</v>
      </c>
      <c r="D269">
        <v>5.4200000762939498</v>
      </c>
      <c r="E269">
        <v>5.4200000762939498</v>
      </c>
      <c r="F269">
        <v>0</v>
      </c>
      <c r="G269">
        <v>0</v>
      </c>
      <c r="H269">
        <v>0</v>
      </c>
      <c r="I269">
        <v>5.4200000762939498</v>
      </c>
      <c r="J269">
        <v>0</v>
      </c>
      <c r="K269">
        <v>0</v>
      </c>
      <c r="L269">
        <v>0</v>
      </c>
      <c r="M269">
        <v>367</v>
      </c>
      <c r="N269">
        <v>1073</v>
      </c>
      <c r="O269">
        <v>2078</v>
      </c>
      <c r="P269" t="str">
        <f>TEXT(tbl_working_daily[[#This Row],[ActivityDate]],"dddd")</f>
        <v>Monday</v>
      </c>
      <c r="Q269" t="str">
        <f>TEXT(tbl_working_daily[[#This Row],[ActivityDate]],"mmmm")</f>
        <v>April</v>
      </c>
      <c r="R269">
        <f t="shared" si="8"/>
        <v>367</v>
      </c>
      <c r="S269">
        <f t="shared" si="9"/>
        <v>1440</v>
      </c>
      <c r="T269">
        <f>ROUND(tbl_working_daily[[#This Row],[SedentaryMinutes]]/60,2)</f>
        <v>17.88</v>
      </c>
      <c r="U269" t="str" cm="1">
        <f t="array" ref="U26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69" t="str" cm="1">
        <f t="array" ref="V269">_xlfn.IFS(tbl_working_daily[[#This Row],[VeryActiveMinutes]]&gt;=30,"Very Active",tbl_working_daily[[#This Row],[VeryActiveMinutes]]&gt;=15,"Moderately Active",tbl_working_daily[[#This Row],[VeryActiveMinutes]]&gt;=1,"Lightly Active",tbl_working_daily[[#This Row],[VeryActiveMinutes]]=0,"Sedentary")</f>
        <v>Sedentary</v>
      </c>
      <c r="W269" t="str">
        <f>tbl_working_daily[[#This Row],[Id]]&amp;"|"&amp;TEXT(tbl_working_daily[[#This Row],[ActivityDate]],"yyyy-mm-dd")</f>
        <v>4558609924|2016-04-04</v>
      </c>
      <c r="X269" t="b">
        <f>ISNUMBER(MATCH(tbl_working_daily[[#This Row],[LookupKey]],tbl_working_sleep[LookupKey],0))</f>
        <v>0</v>
      </c>
    </row>
    <row r="270" spans="1:24" x14ac:dyDescent="0.3">
      <c r="A270">
        <v>4558609924</v>
      </c>
      <c r="B270" s="1">
        <v>42465</v>
      </c>
      <c r="C270">
        <v>6799</v>
      </c>
      <c r="D270">
        <v>4.4899997711181596</v>
      </c>
      <c r="E270">
        <v>4.4899997711181596</v>
      </c>
      <c r="F270">
        <v>0</v>
      </c>
      <c r="G270">
        <v>1.5900000333786</v>
      </c>
      <c r="H270">
        <v>0.86000001430511497</v>
      </c>
      <c r="I270">
        <v>2.03999996185303</v>
      </c>
      <c r="J270">
        <v>0</v>
      </c>
      <c r="K270">
        <v>24</v>
      </c>
      <c r="L270">
        <v>14</v>
      </c>
      <c r="M270">
        <v>185</v>
      </c>
      <c r="N270">
        <v>1217</v>
      </c>
      <c r="O270">
        <v>1876</v>
      </c>
      <c r="P270" t="str">
        <f>TEXT(tbl_working_daily[[#This Row],[ActivityDate]],"dddd")</f>
        <v>Tuesday</v>
      </c>
      <c r="Q270" t="str">
        <f>TEXT(tbl_working_daily[[#This Row],[ActivityDate]],"mmmm")</f>
        <v>April</v>
      </c>
      <c r="R270">
        <f t="shared" si="8"/>
        <v>223</v>
      </c>
      <c r="S270">
        <f t="shared" si="9"/>
        <v>1440</v>
      </c>
      <c r="T270">
        <f>ROUND(tbl_working_daily[[#This Row],[SedentaryMinutes]]/60,2)</f>
        <v>20.28</v>
      </c>
      <c r="U270" t="str" cm="1">
        <f t="array" ref="U27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70" t="str" cm="1">
        <f t="array" ref="V270">_xlfn.IFS(tbl_working_daily[[#This Row],[VeryActiveMinutes]]&gt;=30,"Very Active",tbl_working_daily[[#This Row],[VeryActiveMinutes]]&gt;=15,"Moderately Active",tbl_working_daily[[#This Row],[VeryActiveMinutes]]&gt;=1,"Lightly Active",tbl_working_daily[[#This Row],[VeryActiveMinutes]]=0,"Sedentary")</f>
        <v>Moderately Active</v>
      </c>
      <c r="W270" t="str">
        <f>tbl_working_daily[[#This Row],[Id]]&amp;"|"&amp;TEXT(tbl_working_daily[[#This Row],[ActivityDate]],"yyyy-mm-dd")</f>
        <v>4558609924|2016-04-05</v>
      </c>
      <c r="X270" t="b">
        <f>ISNUMBER(MATCH(tbl_working_daily[[#This Row],[LookupKey]],tbl_working_sleep[LookupKey],0))</f>
        <v>0</v>
      </c>
    </row>
    <row r="271" spans="1:24" x14ac:dyDescent="0.3">
      <c r="A271">
        <v>4558609924</v>
      </c>
      <c r="B271" s="1">
        <v>42466</v>
      </c>
      <c r="C271">
        <v>5668</v>
      </c>
      <c r="D271">
        <v>3.75</v>
      </c>
      <c r="E271">
        <v>3.75</v>
      </c>
      <c r="F271">
        <v>0</v>
      </c>
      <c r="G271">
        <v>0</v>
      </c>
      <c r="H271">
        <v>0</v>
      </c>
      <c r="I271">
        <v>3.75</v>
      </c>
      <c r="J271">
        <v>0</v>
      </c>
      <c r="K271">
        <v>0</v>
      </c>
      <c r="L271">
        <v>0</v>
      </c>
      <c r="M271">
        <v>259</v>
      </c>
      <c r="N271">
        <v>1181</v>
      </c>
      <c r="O271">
        <v>1853</v>
      </c>
      <c r="P271" t="str">
        <f>TEXT(tbl_working_daily[[#This Row],[ActivityDate]],"dddd")</f>
        <v>Wednesday</v>
      </c>
      <c r="Q271" t="str">
        <f>TEXT(tbl_working_daily[[#This Row],[ActivityDate]],"mmmm")</f>
        <v>April</v>
      </c>
      <c r="R271">
        <f t="shared" si="8"/>
        <v>259</v>
      </c>
      <c r="S271">
        <f t="shared" si="9"/>
        <v>1440</v>
      </c>
      <c r="T271">
        <f>ROUND(tbl_working_daily[[#This Row],[SedentaryMinutes]]/60,2)</f>
        <v>19.68</v>
      </c>
      <c r="U271" t="str" cm="1">
        <f t="array" ref="U27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71" t="str" cm="1">
        <f t="array" ref="V271">_xlfn.IFS(tbl_working_daily[[#This Row],[VeryActiveMinutes]]&gt;=30,"Very Active",tbl_working_daily[[#This Row],[VeryActiveMinutes]]&gt;=15,"Moderately Active",tbl_working_daily[[#This Row],[VeryActiveMinutes]]&gt;=1,"Lightly Active",tbl_working_daily[[#This Row],[VeryActiveMinutes]]=0,"Sedentary")</f>
        <v>Sedentary</v>
      </c>
      <c r="W271" t="str">
        <f>tbl_working_daily[[#This Row],[Id]]&amp;"|"&amp;TEXT(tbl_working_daily[[#This Row],[ActivityDate]],"yyyy-mm-dd")</f>
        <v>4558609924|2016-04-06</v>
      </c>
      <c r="X271" t="b">
        <f>ISNUMBER(MATCH(tbl_working_daily[[#This Row],[LookupKey]],tbl_working_sleep[LookupKey],0))</f>
        <v>0</v>
      </c>
    </row>
    <row r="272" spans="1:24" x14ac:dyDescent="0.3">
      <c r="A272">
        <v>4558609924</v>
      </c>
      <c r="B272" s="1">
        <v>42467</v>
      </c>
      <c r="C272">
        <v>7998</v>
      </c>
      <c r="D272">
        <v>5.28999996185303</v>
      </c>
      <c r="E272">
        <v>5.28999996185303</v>
      </c>
      <c r="F272">
        <v>0</v>
      </c>
      <c r="G272">
        <v>0.50999999046325695</v>
      </c>
      <c r="H272">
        <v>0.25</v>
      </c>
      <c r="I272">
        <v>4.5300002098083496</v>
      </c>
      <c r="J272">
        <v>0</v>
      </c>
      <c r="K272">
        <v>27</v>
      </c>
      <c r="L272">
        <v>12</v>
      </c>
      <c r="M272">
        <v>296</v>
      </c>
      <c r="N272">
        <v>1105</v>
      </c>
      <c r="O272">
        <v>2235</v>
      </c>
      <c r="P272" t="str">
        <f>TEXT(tbl_working_daily[[#This Row],[ActivityDate]],"dddd")</f>
        <v>Thursday</v>
      </c>
      <c r="Q272" t="str">
        <f>TEXT(tbl_working_daily[[#This Row],[ActivityDate]],"mmmm")</f>
        <v>April</v>
      </c>
      <c r="R272">
        <f t="shared" si="8"/>
        <v>335</v>
      </c>
      <c r="S272">
        <f t="shared" si="9"/>
        <v>1440</v>
      </c>
      <c r="T272">
        <f>ROUND(tbl_working_daily[[#This Row],[SedentaryMinutes]]/60,2)</f>
        <v>18.420000000000002</v>
      </c>
      <c r="U272" t="str" cm="1">
        <f t="array" ref="U27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72" t="str" cm="1">
        <f t="array" ref="V272">_xlfn.IFS(tbl_working_daily[[#This Row],[VeryActiveMinutes]]&gt;=30,"Very Active",tbl_working_daily[[#This Row],[VeryActiveMinutes]]&gt;=15,"Moderately Active",tbl_working_daily[[#This Row],[VeryActiveMinutes]]&gt;=1,"Lightly Active",tbl_working_daily[[#This Row],[VeryActiveMinutes]]=0,"Sedentary")</f>
        <v>Moderately Active</v>
      </c>
      <c r="W272" t="str">
        <f>tbl_working_daily[[#This Row],[Id]]&amp;"|"&amp;TEXT(tbl_working_daily[[#This Row],[ActivityDate]],"yyyy-mm-dd")</f>
        <v>4558609924|2016-04-07</v>
      </c>
      <c r="X272" t="b">
        <f>ISNUMBER(MATCH(tbl_working_daily[[#This Row],[LookupKey]],tbl_working_sleep[LookupKey],0))</f>
        <v>0</v>
      </c>
    </row>
    <row r="273" spans="1:24" x14ac:dyDescent="0.3">
      <c r="A273">
        <v>4558609924</v>
      </c>
      <c r="B273" s="1">
        <v>42468</v>
      </c>
      <c r="C273">
        <v>4195</v>
      </c>
      <c r="D273">
        <v>2.7699999809265101</v>
      </c>
      <c r="E273">
        <v>2.7699999809265101</v>
      </c>
      <c r="F273">
        <v>0</v>
      </c>
      <c r="G273">
        <v>0</v>
      </c>
      <c r="H273">
        <v>0</v>
      </c>
      <c r="I273">
        <v>2.7699999809265101</v>
      </c>
      <c r="J273">
        <v>0</v>
      </c>
      <c r="K273">
        <v>0</v>
      </c>
      <c r="L273">
        <v>0</v>
      </c>
      <c r="M273">
        <v>241</v>
      </c>
      <c r="N273">
        <v>1199</v>
      </c>
      <c r="O273">
        <v>1778</v>
      </c>
      <c r="P273" t="str">
        <f>TEXT(tbl_working_daily[[#This Row],[ActivityDate]],"dddd")</f>
        <v>Friday</v>
      </c>
      <c r="Q273" t="str">
        <f>TEXT(tbl_working_daily[[#This Row],[ActivityDate]],"mmmm")</f>
        <v>April</v>
      </c>
      <c r="R273">
        <f t="shared" si="8"/>
        <v>241</v>
      </c>
      <c r="S273">
        <f t="shared" si="9"/>
        <v>1440</v>
      </c>
      <c r="T273">
        <f>ROUND(tbl_working_daily[[#This Row],[SedentaryMinutes]]/60,2)</f>
        <v>19.98</v>
      </c>
      <c r="U273" t="str" cm="1">
        <f t="array" ref="U27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73" t="str" cm="1">
        <f t="array" ref="V273">_xlfn.IFS(tbl_working_daily[[#This Row],[VeryActiveMinutes]]&gt;=30,"Very Active",tbl_working_daily[[#This Row],[VeryActiveMinutes]]&gt;=15,"Moderately Active",tbl_working_daily[[#This Row],[VeryActiveMinutes]]&gt;=1,"Lightly Active",tbl_working_daily[[#This Row],[VeryActiveMinutes]]=0,"Sedentary")</f>
        <v>Sedentary</v>
      </c>
      <c r="W273" t="str">
        <f>tbl_working_daily[[#This Row],[Id]]&amp;"|"&amp;TEXT(tbl_working_daily[[#This Row],[ActivityDate]],"yyyy-mm-dd")</f>
        <v>4558609924|2016-04-08</v>
      </c>
      <c r="X273" t="b">
        <f>ISNUMBER(MATCH(tbl_working_daily[[#This Row],[LookupKey]],tbl_working_sleep[LookupKey],0))</f>
        <v>0</v>
      </c>
    </row>
    <row r="274" spans="1:24" x14ac:dyDescent="0.3">
      <c r="A274">
        <v>4558609924</v>
      </c>
      <c r="B274" s="1">
        <v>42469</v>
      </c>
      <c r="C274">
        <v>5512</v>
      </c>
      <c r="D274">
        <v>3.6400001049041699</v>
      </c>
      <c r="E274">
        <v>3.6400001049041699</v>
      </c>
      <c r="F274">
        <v>0</v>
      </c>
      <c r="G274">
        <v>0</v>
      </c>
      <c r="H274">
        <v>0</v>
      </c>
      <c r="I274">
        <v>3.6400001049041699</v>
      </c>
      <c r="J274">
        <v>0</v>
      </c>
      <c r="K274">
        <v>0</v>
      </c>
      <c r="L274">
        <v>0</v>
      </c>
      <c r="M274">
        <v>276</v>
      </c>
      <c r="N274">
        <v>1164</v>
      </c>
      <c r="O274">
        <v>1882</v>
      </c>
      <c r="P274" t="str">
        <f>TEXT(tbl_working_daily[[#This Row],[ActivityDate]],"dddd")</f>
        <v>Saturday</v>
      </c>
      <c r="Q274" t="str">
        <f>TEXT(tbl_working_daily[[#This Row],[ActivityDate]],"mmmm")</f>
        <v>April</v>
      </c>
      <c r="R274">
        <f t="shared" si="8"/>
        <v>276</v>
      </c>
      <c r="S274">
        <f t="shared" si="9"/>
        <v>1440</v>
      </c>
      <c r="T274">
        <f>ROUND(tbl_working_daily[[#This Row],[SedentaryMinutes]]/60,2)</f>
        <v>19.399999999999999</v>
      </c>
      <c r="U274" t="str" cm="1">
        <f t="array" ref="U27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74" t="str" cm="1">
        <f t="array" ref="V274">_xlfn.IFS(tbl_working_daily[[#This Row],[VeryActiveMinutes]]&gt;=30,"Very Active",tbl_working_daily[[#This Row],[VeryActiveMinutes]]&gt;=15,"Moderately Active",tbl_working_daily[[#This Row],[VeryActiveMinutes]]&gt;=1,"Lightly Active",tbl_working_daily[[#This Row],[VeryActiveMinutes]]=0,"Sedentary")</f>
        <v>Sedentary</v>
      </c>
      <c r="W274" t="str">
        <f>tbl_working_daily[[#This Row],[Id]]&amp;"|"&amp;TEXT(tbl_working_daily[[#This Row],[ActivityDate]],"yyyy-mm-dd")</f>
        <v>4558609924|2016-04-09</v>
      </c>
      <c r="X274" t="b">
        <f>ISNUMBER(MATCH(tbl_working_daily[[#This Row],[LookupKey]],tbl_working_sleep[LookupKey],0))</f>
        <v>0</v>
      </c>
    </row>
    <row r="275" spans="1:24" x14ac:dyDescent="0.3">
      <c r="A275">
        <v>4558609924</v>
      </c>
      <c r="B275" s="1">
        <v>42470</v>
      </c>
      <c r="C275">
        <v>6263</v>
      </c>
      <c r="D275">
        <v>4.1399998664856001</v>
      </c>
      <c r="E275">
        <v>4.1399998664856001</v>
      </c>
      <c r="F275">
        <v>0</v>
      </c>
      <c r="G275">
        <v>0</v>
      </c>
      <c r="H275">
        <v>0</v>
      </c>
      <c r="I275">
        <v>4.1300001144409197</v>
      </c>
      <c r="J275">
        <v>0</v>
      </c>
      <c r="K275">
        <v>0</v>
      </c>
      <c r="L275">
        <v>0</v>
      </c>
      <c r="M275">
        <v>290</v>
      </c>
      <c r="N275">
        <v>1150</v>
      </c>
      <c r="O275">
        <v>1906</v>
      </c>
      <c r="P275" t="str">
        <f>TEXT(tbl_working_daily[[#This Row],[ActivityDate]],"dddd")</f>
        <v>Sunday</v>
      </c>
      <c r="Q275" t="str">
        <f>TEXT(tbl_working_daily[[#This Row],[ActivityDate]],"mmmm")</f>
        <v>April</v>
      </c>
      <c r="R275">
        <f t="shared" si="8"/>
        <v>290</v>
      </c>
      <c r="S275">
        <f t="shared" si="9"/>
        <v>1440</v>
      </c>
      <c r="T275">
        <f>ROUND(tbl_working_daily[[#This Row],[SedentaryMinutes]]/60,2)</f>
        <v>19.170000000000002</v>
      </c>
      <c r="U275" t="str" cm="1">
        <f t="array" ref="U27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75" t="str" cm="1">
        <f t="array" ref="V275">_xlfn.IFS(tbl_working_daily[[#This Row],[VeryActiveMinutes]]&gt;=30,"Very Active",tbl_working_daily[[#This Row],[VeryActiveMinutes]]&gt;=15,"Moderately Active",tbl_working_daily[[#This Row],[VeryActiveMinutes]]&gt;=1,"Lightly Active",tbl_working_daily[[#This Row],[VeryActiveMinutes]]=0,"Sedentary")</f>
        <v>Sedentary</v>
      </c>
      <c r="W275" t="str">
        <f>tbl_working_daily[[#This Row],[Id]]&amp;"|"&amp;TEXT(tbl_working_daily[[#This Row],[ActivityDate]],"yyyy-mm-dd")</f>
        <v>4558609924|2016-04-10</v>
      </c>
      <c r="X275" t="b">
        <f>ISNUMBER(MATCH(tbl_working_daily[[#This Row],[LookupKey]],tbl_working_sleep[LookupKey],0))</f>
        <v>0</v>
      </c>
    </row>
    <row r="276" spans="1:24" x14ac:dyDescent="0.3">
      <c r="A276">
        <v>4558609924</v>
      </c>
      <c r="B276" s="1">
        <v>42471</v>
      </c>
      <c r="C276">
        <v>8828</v>
      </c>
      <c r="D276">
        <v>5.8400001525878897</v>
      </c>
      <c r="E276">
        <v>5.8400001525878897</v>
      </c>
      <c r="F276">
        <v>0</v>
      </c>
      <c r="G276">
        <v>0</v>
      </c>
      <c r="H276">
        <v>0</v>
      </c>
      <c r="I276">
        <v>5.8400001525878897</v>
      </c>
      <c r="J276">
        <v>0</v>
      </c>
      <c r="K276">
        <v>0</v>
      </c>
      <c r="L276">
        <v>0</v>
      </c>
      <c r="M276">
        <v>308</v>
      </c>
      <c r="N276">
        <v>1132</v>
      </c>
      <c r="O276">
        <v>2149</v>
      </c>
      <c r="P276" t="str">
        <f>TEXT(tbl_working_daily[[#This Row],[ActivityDate]],"dddd")</f>
        <v>Monday</v>
      </c>
      <c r="Q276" t="str">
        <f>TEXT(tbl_working_daily[[#This Row],[ActivityDate]],"mmmm")</f>
        <v>April</v>
      </c>
      <c r="R276">
        <f t="shared" si="8"/>
        <v>308</v>
      </c>
      <c r="S276">
        <f t="shared" si="9"/>
        <v>1440</v>
      </c>
      <c r="T276">
        <f>ROUND(tbl_working_daily[[#This Row],[SedentaryMinutes]]/60,2)</f>
        <v>18.87</v>
      </c>
      <c r="U276" t="str" cm="1">
        <f t="array" ref="U27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76" t="str" cm="1">
        <f t="array" ref="V276">_xlfn.IFS(tbl_working_daily[[#This Row],[VeryActiveMinutes]]&gt;=30,"Very Active",tbl_working_daily[[#This Row],[VeryActiveMinutes]]&gt;=15,"Moderately Active",tbl_working_daily[[#This Row],[VeryActiveMinutes]]&gt;=1,"Lightly Active",tbl_working_daily[[#This Row],[VeryActiveMinutes]]=0,"Sedentary")</f>
        <v>Sedentary</v>
      </c>
      <c r="W276" t="str">
        <f>tbl_working_daily[[#This Row],[Id]]&amp;"|"&amp;TEXT(tbl_working_daily[[#This Row],[ActivityDate]],"yyyy-mm-dd")</f>
        <v>4558609924|2016-04-11</v>
      </c>
      <c r="X276" t="b">
        <f>ISNUMBER(MATCH(tbl_working_daily[[#This Row],[LookupKey]],tbl_working_sleep[LookupKey],0))</f>
        <v>0</v>
      </c>
    </row>
    <row r="277" spans="1:24" x14ac:dyDescent="0.3">
      <c r="A277">
        <v>4558609924</v>
      </c>
      <c r="B277" s="1">
        <v>42472</v>
      </c>
      <c r="C277">
        <v>1260</v>
      </c>
      <c r="D277">
        <v>0.82999998331069902</v>
      </c>
      <c r="E277">
        <v>0.82999998331069902</v>
      </c>
      <c r="F277">
        <v>0</v>
      </c>
      <c r="G277">
        <v>0</v>
      </c>
      <c r="H277">
        <v>0</v>
      </c>
      <c r="I277">
        <v>0.81999999284744296</v>
      </c>
      <c r="J277">
        <v>0</v>
      </c>
      <c r="K277">
        <v>0</v>
      </c>
      <c r="L277">
        <v>0</v>
      </c>
      <c r="M277">
        <v>76</v>
      </c>
      <c r="N277">
        <v>555</v>
      </c>
      <c r="O277">
        <v>722</v>
      </c>
      <c r="P277" t="str">
        <f>TEXT(tbl_working_daily[[#This Row],[ActivityDate]],"dddd")</f>
        <v>Tuesday</v>
      </c>
      <c r="Q277" t="str">
        <f>TEXT(tbl_working_daily[[#This Row],[ActivityDate]],"mmmm")</f>
        <v>April</v>
      </c>
      <c r="R277">
        <f t="shared" si="8"/>
        <v>76</v>
      </c>
      <c r="S277">
        <f t="shared" si="9"/>
        <v>631</v>
      </c>
      <c r="T277">
        <f>ROUND(tbl_working_daily[[#This Row],[SedentaryMinutes]]/60,2)</f>
        <v>9.25</v>
      </c>
      <c r="U277" t="str" cm="1">
        <f t="array" ref="U27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77" t="str" cm="1">
        <f t="array" ref="V277">_xlfn.IFS(tbl_working_daily[[#This Row],[VeryActiveMinutes]]&gt;=30,"Very Active",tbl_working_daily[[#This Row],[VeryActiveMinutes]]&gt;=15,"Moderately Active",tbl_working_daily[[#This Row],[VeryActiveMinutes]]&gt;=1,"Lightly Active",tbl_working_daily[[#This Row],[VeryActiveMinutes]]=0,"Sedentary")</f>
        <v>Sedentary</v>
      </c>
      <c r="W277" t="str">
        <f>tbl_working_daily[[#This Row],[Id]]&amp;"|"&amp;TEXT(tbl_working_daily[[#This Row],[ActivityDate]],"yyyy-mm-dd")</f>
        <v>4558609924|2016-04-12</v>
      </c>
      <c r="X277" t="b">
        <f>ISNUMBER(MATCH(tbl_working_daily[[#This Row],[LookupKey]],tbl_working_sleep[LookupKey],0))</f>
        <v>0</v>
      </c>
    </row>
    <row r="278" spans="1:24" x14ac:dyDescent="0.3">
      <c r="A278">
        <v>4702921684</v>
      </c>
      <c r="B278" s="1">
        <v>42458</v>
      </c>
      <c r="C278">
        <v>6506</v>
      </c>
      <c r="D278">
        <v>5.2800002098083496</v>
      </c>
      <c r="E278">
        <v>5.2800002098083496</v>
      </c>
      <c r="F278">
        <v>0</v>
      </c>
      <c r="G278">
        <v>0.33000001311302202</v>
      </c>
      <c r="H278">
        <v>0.270000010728836</v>
      </c>
      <c r="I278">
        <v>4.6700000762939498</v>
      </c>
      <c r="J278">
        <v>0</v>
      </c>
      <c r="K278">
        <v>4</v>
      </c>
      <c r="L278">
        <v>5</v>
      </c>
      <c r="M278">
        <v>241</v>
      </c>
      <c r="N278">
        <v>760</v>
      </c>
      <c r="O278">
        <v>2886</v>
      </c>
      <c r="P278" t="str">
        <f>TEXT(tbl_working_daily[[#This Row],[ActivityDate]],"dddd")</f>
        <v>Tuesday</v>
      </c>
      <c r="Q278" t="str">
        <f>TEXT(tbl_working_daily[[#This Row],[ActivityDate]],"mmmm")</f>
        <v>March</v>
      </c>
      <c r="R278">
        <f t="shared" si="8"/>
        <v>250</v>
      </c>
      <c r="S278">
        <f t="shared" si="9"/>
        <v>1010</v>
      </c>
      <c r="T278">
        <f>ROUND(tbl_working_daily[[#This Row],[SedentaryMinutes]]/60,2)</f>
        <v>12.67</v>
      </c>
      <c r="U278" t="str" cm="1">
        <f t="array" ref="U27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78" t="str" cm="1">
        <f t="array" ref="V278">_xlfn.IFS(tbl_working_daily[[#This Row],[VeryActiveMinutes]]&gt;=30,"Very Active",tbl_working_daily[[#This Row],[VeryActiveMinutes]]&gt;=15,"Moderately Active",tbl_working_daily[[#This Row],[VeryActiveMinutes]]&gt;=1,"Lightly Active",tbl_working_daily[[#This Row],[VeryActiveMinutes]]=0,"Sedentary")</f>
        <v>Lightly Active</v>
      </c>
      <c r="W278" t="str">
        <f>tbl_working_daily[[#This Row],[Id]]&amp;"|"&amp;TEXT(tbl_working_daily[[#This Row],[ActivityDate]],"yyyy-mm-dd")</f>
        <v>4702921684|2016-03-29</v>
      </c>
      <c r="X278" t="b">
        <f>ISNUMBER(MATCH(tbl_working_daily[[#This Row],[LookupKey]],tbl_working_sleep[LookupKey],0))</f>
        <v>0</v>
      </c>
    </row>
    <row r="279" spans="1:24" x14ac:dyDescent="0.3">
      <c r="A279">
        <v>4702921684</v>
      </c>
      <c r="B279" s="1">
        <v>42459</v>
      </c>
      <c r="C279">
        <v>7583</v>
      </c>
      <c r="D279">
        <v>6.1500000953674299</v>
      </c>
      <c r="E279">
        <v>6.1500000953674299</v>
      </c>
      <c r="F279">
        <v>0</v>
      </c>
      <c r="G279">
        <v>0.25</v>
      </c>
      <c r="H279">
        <v>0.55000001192092896</v>
      </c>
      <c r="I279">
        <v>5.3499999046325701</v>
      </c>
      <c r="J279">
        <v>0</v>
      </c>
      <c r="K279">
        <v>3</v>
      </c>
      <c r="L279">
        <v>13</v>
      </c>
      <c r="M279">
        <v>227</v>
      </c>
      <c r="N279">
        <v>742</v>
      </c>
      <c r="O279">
        <v>2915</v>
      </c>
      <c r="P279" t="str">
        <f>TEXT(tbl_working_daily[[#This Row],[ActivityDate]],"dddd")</f>
        <v>Wednesday</v>
      </c>
      <c r="Q279" t="str">
        <f>TEXT(tbl_working_daily[[#This Row],[ActivityDate]],"mmmm")</f>
        <v>March</v>
      </c>
      <c r="R279">
        <f t="shared" si="8"/>
        <v>243</v>
      </c>
      <c r="S279">
        <f t="shared" si="9"/>
        <v>985</v>
      </c>
      <c r="T279">
        <f>ROUND(tbl_working_daily[[#This Row],[SedentaryMinutes]]/60,2)</f>
        <v>12.37</v>
      </c>
      <c r="U279" t="str" cm="1">
        <f t="array" ref="U27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79" t="str" cm="1">
        <f t="array" ref="V279">_xlfn.IFS(tbl_working_daily[[#This Row],[VeryActiveMinutes]]&gt;=30,"Very Active",tbl_working_daily[[#This Row],[VeryActiveMinutes]]&gt;=15,"Moderately Active",tbl_working_daily[[#This Row],[VeryActiveMinutes]]&gt;=1,"Lightly Active",tbl_working_daily[[#This Row],[VeryActiveMinutes]]=0,"Sedentary")</f>
        <v>Lightly Active</v>
      </c>
      <c r="W279" t="str">
        <f>tbl_working_daily[[#This Row],[Id]]&amp;"|"&amp;TEXT(tbl_working_daily[[#This Row],[ActivityDate]],"yyyy-mm-dd")</f>
        <v>4702921684|2016-03-30</v>
      </c>
      <c r="X279" t="b">
        <f>ISNUMBER(MATCH(tbl_working_daily[[#This Row],[LookupKey]],tbl_working_sleep[LookupKey],0))</f>
        <v>0</v>
      </c>
    </row>
    <row r="280" spans="1:24" x14ac:dyDescent="0.3">
      <c r="A280">
        <v>4702921684</v>
      </c>
      <c r="B280" s="1">
        <v>42460</v>
      </c>
      <c r="C280">
        <v>6963</v>
      </c>
      <c r="D280">
        <v>5.6500000953674299</v>
      </c>
      <c r="E280">
        <v>5.6500000953674299</v>
      </c>
      <c r="F280">
        <v>0</v>
      </c>
      <c r="G280">
        <v>0</v>
      </c>
      <c r="H280">
        <v>0</v>
      </c>
      <c r="I280">
        <v>5.6500000953674299</v>
      </c>
      <c r="J280">
        <v>0</v>
      </c>
      <c r="K280">
        <v>0</v>
      </c>
      <c r="L280">
        <v>0</v>
      </c>
      <c r="M280">
        <v>256</v>
      </c>
      <c r="N280">
        <v>759</v>
      </c>
      <c r="O280">
        <v>2895</v>
      </c>
      <c r="P280" t="str">
        <f>TEXT(tbl_working_daily[[#This Row],[ActivityDate]],"dddd")</f>
        <v>Thursday</v>
      </c>
      <c r="Q280" t="str">
        <f>TEXT(tbl_working_daily[[#This Row],[ActivityDate]],"mmmm")</f>
        <v>March</v>
      </c>
      <c r="R280">
        <f t="shared" si="8"/>
        <v>256</v>
      </c>
      <c r="S280">
        <f t="shared" si="9"/>
        <v>1015</v>
      </c>
      <c r="T280">
        <f>ROUND(tbl_working_daily[[#This Row],[SedentaryMinutes]]/60,2)</f>
        <v>12.65</v>
      </c>
      <c r="U280" t="str" cm="1">
        <f t="array" ref="U28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80" t="str" cm="1">
        <f t="array" ref="V280">_xlfn.IFS(tbl_working_daily[[#This Row],[VeryActiveMinutes]]&gt;=30,"Very Active",tbl_working_daily[[#This Row],[VeryActiveMinutes]]&gt;=15,"Moderately Active",tbl_working_daily[[#This Row],[VeryActiveMinutes]]&gt;=1,"Lightly Active",tbl_working_daily[[#This Row],[VeryActiveMinutes]]=0,"Sedentary")</f>
        <v>Sedentary</v>
      </c>
      <c r="W280" t="str">
        <f>tbl_working_daily[[#This Row],[Id]]&amp;"|"&amp;TEXT(tbl_working_daily[[#This Row],[ActivityDate]],"yyyy-mm-dd")</f>
        <v>4702921684|2016-03-31</v>
      </c>
      <c r="X280" t="b">
        <f>ISNUMBER(MATCH(tbl_working_daily[[#This Row],[LookupKey]],tbl_working_sleep[LookupKey],0))</f>
        <v>0</v>
      </c>
    </row>
    <row r="281" spans="1:24" x14ac:dyDescent="0.3">
      <c r="A281">
        <v>4702921684</v>
      </c>
      <c r="B281" s="1">
        <v>42461</v>
      </c>
      <c r="C281">
        <v>7165</v>
      </c>
      <c r="D281">
        <v>5.8099999427795401</v>
      </c>
      <c r="E281">
        <v>5.8099999427795401</v>
      </c>
      <c r="F281">
        <v>0</v>
      </c>
      <c r="G281">
        <v>0</v>
      </c>
      <c r="H281">
        <v>0.37000000476837203</v>
      </c>
      <c r="I281">
        <v>5.4400000572204599</v>
      </c>
      <c r="J281">
        <v>0</v>
      </c>
      <c r="K281">
        <v>0</v>
      </c>
      <c r="L281">
        <v>9</v>
      </c>
      <c r="M281">
        <v>248</v>
      </c>
      <c r="N281">
        <v>708</v>
      </c>
      <c r="O281">
        <v>2923</v>
      </c>
      <c r="P281" t="str">
        <f>TEXT(tbl_working_daily[[#This Row],[ActivityDate]],"dddd")</f>
        <v>Friday</v>
      </c>
      <c r="Q281" t="str">
        <f>TEXT(tbl_working_daily[[#This Row],[ActivityDate]],"mmmm")</f>
        <v>April</v>
      </c>
      <c r="R281">
        <f t="shared" si="8"/>
        <v>257</v>
      </c>
      <c r="S281">
        <f t="shared" si="9"/>
        <v>965</v>
      </c>
      <c r="T281">
        <f>ROUND(tbl_working_daily[[#This Row],[SedentaryMinutes]]/60,2)</f>
        <v>11.8</v>
      </c>
      <c r="U281" t="str" cm="1">
        <f t="array" ref="U28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81" t="str" cm="1">
        <f t="array" ref="V281">_xlfn.IFS(tbl_working_daily[[#This Row],[VeryActiveMinutes]]&gt;=30,"Very Active",tbl_working_daily[[#This Row],[VeryActiveMinutes]]&gt;=15,"Moderately Active",tbl_working_daily[[#This Row],[VeryActiveMinutes]]&gt;=1,"Lightly Active",tbl_working_daily[[#This Row],[VeryActiveMinutes]]=0,"Sedentary")</f>
        <v>Sedentary</v>
      </c>
      <c r="W281" t="str">
        <f>tbl_working_daily[[#This Row],[Id]]&amp;"|"&amp;TEXT(tbl_working_daily[[#This Row],[ActivityDate]],"yyyy-mm-dd")</f>
        <v>4702921684|2016-04-01</v>
      </c>
      <c r="X281" t="b">
        <f>ISNUMBER(MATCH(tbl_working_daily[[#This Row],[LookupKey]],tbl_working_sleep[LookupKey],0))</f>
        <v>0</v>
      </c>
    </row>
    <row r="282" spans="1:24" x14ac:dyDescent="0.3">
      <c r="A282">
        <v>4702921684</v>
      </c>
      <c r="B282" s="1">
        <v>42462</v>
      </c>
      <c r="C282">
        <v>10328</v>
      </c>
      <c r="D282">
        <v>8.3800001144409197</v>
      </c>
      <c r="E282">
        <v>8.3800001144409197</v>
      </c>
      <c r="F282">
        <v>0</v>
      </c>
      <c r="G282">
        <v>0</v>
      </c>
      <c r="H282">
        <v>1.46000003814697</v>
      </c>
      <c r="I282">
        <v>6.9200000762939498</v>
      </c>
      <c r="J282">
        <v>0</v>
      </c>
      <c r="K282">
        <v>0</v>
      </c>
      <c r="L282">
        <v>32</v>
      </c>
      <c r="M282">
        <v>367</v>
      </c>
      <c r="N282">
        <v>475</v>
      </c>
      <c r="O282">
        <v>3323</v>
      </c>
      <c r="P282" t="str">
        <f>TEXT(tbl_working_daily[[#This Row],[ActivityDate]],"dddd")</f>
        <v>Saturday</v>
      </c>
      <c r="Q282" t="str">
        <f>TEXT(tbl_working_daily[[#This Row],[ActivityDate]],"mmmm")</f>
        <v>April</v>
      </c>
      <c r="R282">
        <f t="shared" si="8"/>
        <v>399</v>
      </c>
      <c r="S282">
        <f t="shared" si="9"/>
        <v>874</v>
      </c>
      <c r="T282">
        <f>ROUND(tbl_working_daily[[#This Row],[SedentaryMinutes]]/60,2)</f>
        <v>7.92</v>
      </c>
      <c r="U282" t="str" cm="1">
        <f t="array" ref="U28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82" t="str" cm="1">
        <f t="array" ref="V282">_xlfn.IFS(tbl_working_daily[[#This Row],[VeryActiveMinutes]]&gt;=30,"Very Active",tbl_working_daily[[#This Row],[VeryActiveMinutes]]&gt;=15,"Moderately Active",tbl_working_daily[[#This Row],[VeryActiveMinutes]]&gt;=1,"Lightly Active",tbl_working_daily[[#This Row],[VeryActiveMinutes]]=0,"Sedentary")</f>
        <v>Sedentary</v>
      </c>
      <c r="W282" t="str">
        <f>tbl_working_daily[[#This Row],[Id]]&amp;"|"&amp;TEXT(tbl_working_daily[[#This Row],[ActivityDate]],"yyyy-mm-dd")</f>
        <v>4702921684|2016-04-02</v>
      </c>
      <c r="X282" t="b">
        <f>ISNUMBER(MATCH(tbl_working_daily[[#This Row],[LookupKey]],tbl_working_sleep[LookupKey],0))</f>
        <v>0</v>
      </c>
    </row>
    <row r="283" spans="1:24" x14ac:dyDescent="0.3">
      <c r="A283">
        <v>4702921684</v>
      </c>
      <c r="B283" s="1">
        <v>42463</v>
      </c>
      <c r="C283">
        <v>12116</v>
      </c>
      <c r="D283">
        <v>9.8299999237060494</v>
      </c>
      <c r="E283">
        <v>9.8299999237060494</v>
      </c>
      <c r="F283">
        <v>0</v>
      </c>
      <c r="G283">
        <v>0.25</v>
      </c>
      <c r="H283">
        <v>2.8499999046325701</v>
      </c>
      <c r="I283">
        <v>6.7199997901916504</v>
      </c>
      <c r="J283">
        <v>0</v>
      </c>
      <c r="K283">
        <v>3</v>
      </c>
      <c r="L283">
        <v>57</v>
      </c>
      <c r="M283">
        <v>323</v>
      </c>
      <c r="N283">
        <v>471</v>
      </c>
      <c r="O283">
        <v>3357</v>
      </c>
      <c r="P283" t="str">
        <f>TEXT(tbl_working_daily[[#This Row],[ActivityDate]],"dddd")</f>
        <v>Sunday</v>
      </c>
      <c r="Q283" t="str">
        <f>TEXT(tbl_working_daily[[#This Row],[ActivityDate]],"mmmm")</f>
        <v>April</v>
      </c>
      <c r="R283">
        <f t="shared" si="8"/>
        <v>383</v>
      </c>
      <c r="S283">
        <f t="shared" si="9"/>
        <v>854</v>
      </c>
      <c r="T283">
        <f>ROUND(tbl_working_daily[[#This Row],[SedentaryMinutes]]/60,2)</f>
        <v>7.85</v>
      </c>
      <c r="U283" t="str" cm="1">
        <f t="array" ref="U28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83" t="str" cm="1">
        <f t="array" ref="V283">_xlfn.IFS(tbl_working_daily[[#This Row],[VeryActiveMinutes]]&gt;=30,"Very Active",tbl_working_daily[[#This Row],[VeryActiveMinutes]]&gt;=15,"Moderately Active",tbl_working_daily[[#This Row],[VeryActiveMinutes]]&gt;=1,"Lightly Active",tbl_working_daily[[#This Row],[VeryActiveMinutes]]=0,"Sedentary")</f>
        <v>Lightly Active</v>
      </c>
      <c r="W283" t="str">
        <f>tbl_working_daily[[#This Row],[Id]]&amp;"|"&amp;TEXT(tbl_working_daily[[#This Row],[ActivityDate]],"yyyy-mm-dd")</f>
        <v>4702921684|2016-04-03</v>
      </c>
      <c r="X283" t="b">
        <f>ISNUMBER(MATCH(tbl_working_daily[[#This Row],[LookupKey]],tbl_working_sleep[LookupKey],0))</f>
        <v>0</v>
      </c>
    </row>
    <row r="284" spans="1:24" x14ac:dyDescent="0.3">
      <c r="A284">
        <v>4702921684</v>
      </c>
      <c r="B284" s="1">
        <v>42464</v>
      </c>
      <c r="C284">
        <v>7810</v>
      </c>
      <c r="D284">
        <v>6.3600001335143999</v>
      </c>
      <c r="E284">
        <v>6.3600001335143999</v>
      </c>
      <c r="F284">
        <v>0</v>
      </c>
      <c r="G284">
        <v>0.479999989271164</v>
      </c>
      <c r="H284">
        <v>1.20000004768372</v>
      </c>
      <c r="I284">
        <v>4.6799998283386204</v>
      </c>
      <c r="J284">
        <v>0</v>
      </c>
      <c r="K284">
        <v>6</v>
      </c>
      <c r="L284">
        <v>27</v>
      </c>
      <c r="M284">
        <v>216</v>
      </c>
      <c r="N284">
        <v>746</v>
      </c>
      <c r="O284">
        <v>2931</v>
      </c>
      <c r="P284" t="str">
        <f>TEXT(tbl_working_daily[[#This Row],[ActivityDate]],"dddd")</f>
        <v>Monday</v>
      </c>
      <c r="Q284" t="str">
        <f>TEXT(tbl_working_daily[[#This Row],[ActivityDate]],"mmmm")</f>
        <v>April</v>
      </c>
      <c r="R284">
        <f t="shared" si="8"/>
        <v>249</v>
      </c>
      <c r="S284">
        <f t="shared" si="9"/>
        <v>995</v>
      </c>
      <c r="T284">
        <f>ROUND(tbl_working_daily[[#This Row],[SedentaryMinutes]]/60,2)</f>
        <v>12.43</v>
      </c>
      <c r="U284" t="str" cm="1">
        <f t="array" ref="U28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84" t="str" cm="1">
        <f t="array" ref="V284">_xlfn.IFS(tbl_working_daily[[#This Row],[VeryActiveMinutes]]&gt;=30,"Very Active",tbl_working_daily[[#This Row],[VeryActiveMinutes]]&gt;=15,"Moderately Active",tbl_working_daily[[#This Row],[VeryActiveMinutes]]&gt;=1,"Lightly Active",tbl_working_daily[[#This Row],[VeryActiveMinutes]]=0,"Sedentary")</f>
        <v>Lightly Active</v>
      </c>
      <c r="W284" t="str">
        <f>tbl_working_daily[[#This Row],[Id]]&amp;"|"&amp;TEXT(tbl_working_daily[[#This Row],[ActivityDate]],"yyyy-mm-dd")</f>
        <v>4702921684|2016-04-04</v>
      </c>
      <c r="X284" t="b">
        <f>ISNUMBER(MATCH(tbl_working_daily[[#This Row],[LookupKey]],tbl_working_sleep[LookupKey],0))</f>
        <v>0</v>
      </c>
    </row>
    <row r="285" spans="1:24" x14ac:dyDescent="0.3">
      <c r="A285">
        <v>4702921684</v>
      </c>
      <c r="B285" s="1">
        <v>42465</v>
      </c>
      <c r="C285">
        <v>6670</v>
      </c>
      <c r="D285">
        <v>5.4099998474121103</v>
      </c>
      <c r="E285">
        <v>5.4099998474121103</v>
      </c>
      <c r="F285">
        <v>0</v>
      </c>
      <c r="G285">
        <v>1.2400000095367401</v>
      </c>
      <c r="H285">
        <v>0.80000001192092896</v>
      </c>
      <c r="I285">
        <v>3.3699998855590798</v>
      </c>
      <c r="J285">
        <v>0</v>
      </c>
      <c r="K285">
        <v>15</v>
      </c>
      <c r="L285">
        <v>16</v>
      </c>
      <c r="M285">
        <v>199</v>
      </c>
      <c r="N285">
        <v>770</v>
      </c>
      <c r="O285">
        <v>2848</v>
      </c>
      <c r="P285" t="str">
        <f>TEXT(tbl_working_daily[[#This Row],[ActivityDate]],"dddd")</f>
        <v>Tuesday</v>
      </c>
      <c r="Q285" t="str">
        <f>TEXT(tbl_working_daily[[#This Row],[ActivityDate]],"mmmm")</f>
        <v>April</v>
      </c>
      <c r="R285">
        <f t="shared" si="8"/>
        <v>230</v>
      </c>
      <c r="S285">
        <f t="shared" si="9"/>
        <v>1000</v>
      </c>
      <c r="T285">
        <f>ROUND(tbl_working_daily[[#This Row],[SedentaryMinutes]]/60,2)</f>
        <v>12.83</v>
      </c>
      <c r="U285" t="str" cm="1">
        <f t="array" ref="U28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85" t="str" cm="1">
        <f t="array" ref="V285">_xlfn.IFS(tbl_working_daily[[#This Row],[VeryActiveMinutes]]&gt;=30,"Very Active",tbl_working_daily[[#This Row],[VeryActiveMinutes]]&gt;=15,"Moderately Active",tbl_working_daily[[#This Row],[VeryActiveMinutes]]&gt;=1,"Lightly Active",tbl_working_daily[[#This Row],[VeryActiveMinutes]]=0,"Sedentary")</f>
        <v>Moderately Active</v>
      </c>
      <c r="W285" t="str">
        <f>tbl_working_daily[[#This Row],[Id]]&amp;"|"&amp;TEXT(tbl_working_daily[[#This Row],[ActivityDate]],"yyyy-mm-dd")</f>
        <v>4702921684|2016-04-05</v>
      </c>
      <c r="X285" t="b">
        <f>ISNUMBER(MATCH(tbl_working_daily[[#This Row],[LookupKey]],tbl_working_sleep[LookupKey],0))</f>
        <v>0</v>
      </c>
    </row>
    <row r="286" spans="1:24" x14ac:dyDescent="0.3">
      <c r="A286">
        <v>4702921684</v>
      </c>
      <c r="B286" s="1">
        <v>42466</v>
      </c>
      <c r="C286">
        <v>7605</v>
      </c>
      <c r="D286">
        <v>6.1799998283386204</v>
      </c>
      <c r="E286">
        <v>6.1799998283386204</v>
      </c>
      <c r="F286">
        <v>0</v>
      </c>
      <c r="G286">
        <v>0.33000001311302202</v>
      </c>
      <c r="H286">
        <v>0.20999999344348899</v>
      </c>
      <c r="I286">
        <v>5.6300001144409197</v>
      </c>
      <c r="J286">
        <v>0</v>
      </c>
      <c r="K286">
        <v>4</v>
      </c>
      <c r="L286">
        <v>4</v>
      </c>
      <c r="M286">
        <v>248</v>
      </c>
      <c r="N286">
        <v>708</v>
      </c>
      <c r="O286">
        <v>2943</v>
      </c>
      <c r="P286" t="str">
        <f>TEXT(tbl_working_daily[[#This Row],[ActivityDate]],"dddd")</f>
        <v>Wednesday</v>
      </c>
      <c r="Q286" t="str">
        <f>TEXT(tbl_working_daily[[#This Row],[ActivityDate]],"mmmm")</f>
        <v>April</v>
      </c>
      <c r="R286">
        <f t="shared" si="8"/>
        <v>256</v>
      </c>
      <c r="S286">
        <f t="shared" si="9"/>
        <v>964</v>
      </c>
      <c r="T286">
        <f>ROUND(tbl_working_daily[[#This Row],[SedentaryMinutes]]/60,2)</f>
        <v>11.8</v>
      </c>
      <c r="U286" t="str" cm="1">
        <f t="array" ref="U28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86" t="str" cm="1">
        <f t="array" ref="V286">_xlfn.IFS(tbl_working_daily[[#This Row],[VeryActiveMinutes]]&gt;=30,"Very Active",tbl_working_daily[[#This Row],[VeryActiveMinutes]]&gt;=15,"Moderately Active",tbl_working_daily[[#This Row],[VeryActiveMinutes]]&gt;=1,"Lightly Active",tbl_working_daily[[#This Row],[VeryActiveMinutes]]=0,"Sedentary")</f>
        <v>Lightly Active</v>
      </c>
      <c r="W286" t="str">
        <f>tbl_working_daily[[#This Row],[Id]]&amp;"|"&amp;TEXT(tbl_working_daily[[#This Row],[ActivityDate]],"yyyy-mm-dd")</f>
        <v>4702921684|2016-04-06</v>
      </c>
      <c r="X286" t="b">
        <f>ISNUMBER(MATCH(tbl_working_daily[[#This Row],[LookupKey]],tbl_working_sleep[LookupKey],0))</f>
        <v>0</v>
      </c>
    </row>
    <row r="287" spans="1:24" x14ac:dyDescent="0.3">
      <c r="A287">
        <v>4702921684</v>
      </c>
      <c r="B287" s="1">
        <v>42467</v>
      </c>
      <c r="C287">
        <v>6585</v>
      </c>
      <c r="D287">
        <v>5.3400001525878897</v>
      </c>
      <c r="E287">
        <v>5.3400001525878897</v>
      </c>
      <c r="F287">
        <v>0</v>
      </c>
      <c r="G287">
        <v>0</v>
      </c>
      <c r="H287">
        <v>0</v>
      </c>
      <c r="I287">
        <v>5.3400001525878897</v>
      </c>
      <c r="J287">
        <v>0</v>
      </c>
      <c r="K287">
        <v>0</v>
      </c>
      <c r="L287">
        <v>0</v>
      </c>
      <c r="M287">
        <v>210</v>
      </c>
      <c r="N287">
        <v>770</v>
      </c>
      <c r="O287">
        <v>2822</v>
      </c>
      <c r="P287" t="str">
        <f>TEXT(tbl_working_daily[[#This Row],[ActivityDate]],"dddd")</f>
        <v>Thursday</v>
      </c>
      <c r="Q287" t="str">
        <f>TEXT(tbl_working_daily[[#This Row],[ActivityDate]],"mmmm")</f>
        <v>April</v>
      </c>
      <c r="R287">
        <f t="shared" si="8"/>
        <v>210</v>
      </c>
      <c r="S287">
        <f t="shared" si="9"/>
        <v>980</v>
      </c>
      <c r="T287">
        <f>ROUND(tbl_working_daily[[#This Row],[SedentaryMinutes]]/60,2)</f>
        <v>12.83</v>
      </c>
      <c r="U287" t="str" cm="1">
        <f t="array" ref="U28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87" t="str" cm="1">
        <f t="array" ref="V287">_xlfn.IFS(tbl_working_daily[[#This Row],[VeryActiveMinutes]]&gt;=30,"Very Active",tbl_working_daily[[#This Row],[VeryActiveMinutes]]&gt;=15,"Moderately Active",tbl_working_daily[[#This Row],[VeryActiveMinutes]]&gt;=1,"Lightly Active",tbl_working_daily[[#This Row],[VeryActiveMinutes]]=0,"Sedentary")</f>
        <v>Sedentary</v>
      </c>
      <c r="W287" t="str">
        <f>tbl_working_daily[[#This Row],[Id]]&amp;"|"&amp;TEXT(tbl_working_daily[[#This Row],[ActivityDate]],"yyyy-mm-dd")</f>
        <v>4702921684|2016-04-07</v>
      </c>
      <c r="X287" t="b">
        <f>ISNUMBER(MATCH(tbl_working_daily[[#This Row],[LookupKey]],tbl_working_sleep[LookupKey],0))</f>
        <v>0</v>
      </c>
    </row>
    <row r="288" spans="1:24" x14ac:dyDescent="0.3">
      <c r="A288">
        <v>4702921684</v>
      </c>
      <c r="B288" s="1">
        <v>42468</v>
      </c>
      <c r="C288">
        <v>8184</v>
      </c>
      <c r="D288">
        <v>6.6399998664856001</v>
      </c>
      <c r="E288">
        <v>6.6399998664856001</v>
      </c>
      <c r="F288">
        <v>0</v>
      </c>
      <c r="G288">
        <v>0</v>
      </c>
      <c r="H288">
        <v>0.62000000476837203</v>
      </c>
      <c r="I288">
        <v>5.9499998092651403</v>
      </c>
      <c r="J288">
        <v>0</v>
      </c>
      <c r="K288">
        <v>0</v>
      </c>
      <c r="L288">
        <v>15</v>
      </c>
      <c r="M288">
        <v>247</v>
      </c>
      <c r="N288">
        <v>808</v>
      </c>
      <c r="O288">
        <v>2981</v>
      </c>
      <c r="P288" t="str">
        <f>TEXT(tbl_working_daily[[#This Row],[ActivityDate]],"dddd")</f>
        <v>Friday</v>
      </c>
      <c r="Q288" t="str">
        <f>TEXT(tbl_working_daily[[#This Row],[ActivityDate]],"mmmm")</f>
        <v>April</v>
      </c>
      <c r="R288">
        <f t="shared" si="8"/>
        <v>262</v>
      </c>
      <c r="S288">
        <f t="shared" si="9"/>
        <v>1070</v>
      </c>
      <c r="T288">
        <f>ROUND(tbl_working_daily[[#This Row],[SedentaryMinutes]]/60,2)</f>
        <v>13.47</v>
      </c>
      <c r="U288" t="str" cm="1">
        <f t="array" ref="U28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88" t="str" cm="1">
        <f t="array" ref="V288">_xlfn.IFS(tbl_working_daily[[#This Row],[VeryActiveMinutes]]&gt;=30,"Very Active",tbl_working_daily[[#This Row],[VeryActiveMinutes]]&gt;=15,"Moderately Active",tbl_working_daily[[#This Row],[VeryActiveMinutes]]&gt;=1,"Lightly Active",tbl_working_daily[[#This Row],[VeryActiveMinutes]]=0,"Sedentary")</f>
        <v>Sedentary</v>
      </c>
      <c r="W288" t="str">
        <f>tbl_working_daily[[#This Row],[Id]]&amp;"|"&amp;TEXT(tbl_working_daily[[#This Row],[ActivityDate]],"yyyy-mm-dd")</f>
        <v>4702921684|2016-04-08</v>
      </c>
      <c r="X288" t="b">
        <f>ISNUMBER(MATCH(tbl_working_daily[[#This Row],[LookupKey]],tbl_working_sleep[LookupKey],0))</f>
        <v>0</v>
      </c>
    </row>
    <row r="289" spans="1:24" x14ac:dyDescent="0.3">
      <c r="A289">
        <v>4702921684</v>
      </c>
      <c r="B289" s="1">
        <v>42469</v>
      </c>
      <c r="C289">
        <v>14002</v>
      </c>
      <c r="D289">
        <v>11.3599996566772</v>
      </c>
      <c r="E289">
        <v>11.3599996566772</v>
      </c>
      <c r="F289">
        <v>0</v>
      </c>
      <c r="G289">
        <v>0.61000001430511497</v>
      </c>
      <c r="H289">
        <v>2.6800000667571999</v>
      </c>
      <c r="I289">
        <v>8.0600004196166992</v>
      </c>
      <c r="J289">
        <v>0</v>
      </c>
      <c r="K289">
        <v>8</v>
      </c>
      <c r="L289">
        <v>56</v>
      </c>
      <c r="M289">
        <v>381</v>
      </c>
      <c r="N289">
        <v>407</v>
      </c>
      <c r="O289">
        <v>3597</v>
      </c>
      <c r="P289" t="str">
        <f>TEXT(tbl_working_daily[[#This Row],[ActivityDate]],"dddd")</f>
        <v>Saturday</v>
      </c>
      <c r="Q289" t="str">
        <f>TEXT(tbl_working_daily[[#This Row],[ActivityDate]],"mmmm")</f>
        <v>April</v>
      </c>
      <c r="R289">
        <f t="shared" si="8"/>
        <v>445</v>
      </c>
      <c r="S289">
        <f t="shared" si="9"/>
        <v>852</v>
      </c>
      <c r="T289">
        <f>ROUND(tbl_working_daily[[#This Row],[SedentaryMinutes]]/60,2)</f>
        <v>6.78</v>
      </c>
      <c r="U289" t="str" cm="1">
        <f t="array" ref="U28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289" t="str" cm="1">
        <f t="array" ref="V289">_xlfn.IFS(tbl_working_daily[[#This Row],[VeryActiveMinutes]]&gt;=30,"Very Active",tbl_working_daily[[#This Row],[VeryActiveMinutes]]&gt;=15,"Moderately Active",tbl_working_daily[[#This Row],[VeryActiveMinutes]]&gt;=1,"Lightly Active",tbl_working_daily[[#This Row],[VeryActiveMinutes]]=0,"Sedentary")</f>
        <v>Lightly Active</v>
      </c>
      <c r="W289" t="str">
        <f>tbl_working_daily[[#This Row],[Id]]&amp;"|"&amp;TEXT(tbl_working_daily[[#This Row],[ActivityDate]],"yyyy-mm-dd")</f>
        <v>4702921684|2016-04-09</v>
      </c>
      <c r="X289" t="b">
        <f>ISNUMBER(MATCH(tbl_working_daily[[#This Row],[LookupKey]],tbl_working_sleep[LookupKey],0))</f>
        <v>0</v>
      </c>
    </row>
    <row r="290" spans="1:24" x14ac:dyDescent="0.3">
      <c r="A290">
        <v>4702921684</v>
      </c>
      <c r="B290" s="1">
        <v>42470</v>
      </c>
      <c r="C290">
        <v>11135</v>
      </c>
      <c r="D290">
        <v>9.0299997329711896</v>
      </c>
      <c r="E290">
        <v>9.0299997329711896</v>
      </c>
      <c r="F290">
        <v>0</v>
      </c>
      <c r="G290">
        <v>7.9999998211860698E-2</v>
      </c>
      <c r="H290">
        <v>1.1599999666214</v>
      </c>
      <c r="I290">
        <v>7.78999996185303</v>
      </c>
      <c r="J290">
        <v>0</v>
      </c>
      <c r="K290">
        <v>1</v>
      </c>
      <c r="L290">
        <v>25</v>
      </c>
      <c r="M290">
        <v>331</v>
      </c>
      <c r="N290">
        <v>528</v>
      </c>
      <c r="O290">
        <v>3224</v>
      </c>
      <c r="P290" t="str">
        <f>TEXT(tbl_working_daily[[#This Row],[ActivityDate]],"dddd")</f>
        <v>Sunday</v>
      </c>
      <c r="Q290" t="str">
        <f>TEXT(tbl_working_daily[[#This Row],[ActivityDate]],"mmmm")</f>
        <v>April</v>
      </c>
      <c r="R290">
        <f t="shared" si="8"/>
        <v>357</v>
      </c>
      <c r="S290">
        <f t="shared" si="9"/>
        <v>885</v>
      </c>
      <c r="T290">
        <f>ROUND(tbl_working_daily[[#This Row],[SedentaryMinutes]]/60,2)</f>
        <v>8.8000000000000007</v>
      </c>
      <c r="U290" t="str" cm="1">
        <f t="array" ref="U29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90" t="str" cm="1">
        <f t="array" ref="V290">_xlfn.IFS(tbl_working_daily[[#This Row],[VeryActiveMinutes]]&gt;=30,"Very Active",tbl_working_daily[[#This Row],[VeryActiveMinutes]]&gt;=15,"Moderately Active",tbl_working_daily[[#This Row],[VeryActiveMinutes]]&gt;=1,"Lightly Active",tbl_working_daily[[#This Row],[VeryActiveMinutes]]=0,"Sedentary")</f>
        <v>Lightly Active</v>
      </c>
      <c r="W290" t="str">
        <f>tbl_working_daily[[#This Row],[Id]]&amp;"|"&amp;TEXT(tbl_working_daily[[#This Row],[ActivityDate]],"yyyy-mm-dd")</f>
        <v>4702921684|2016-04-10</v>
      </c>
      <c r="X290" t="b">
        <f>ISNUMBER(MATCH(tbl_working_daily[[#This Row],[LookupKey]],tbl_working_sleep[LookupKey],0))</f>
        <v>0</v>
      </c>
    </row>
    <row r="291" spans="1:24" x14ac:dyDescent="0.3">
      <c r="A291">
        <v>4702921684</v>
      </c>
      <c r="B291" s="1">
        <v>42471</v>
      </c>
      <c r="C291">
        <v>6499</v>
      </c>
      <c r="D291">
        <v>5.2699999809265101</v>
      </c>
      <c r="E291">
        <v>5.2699999809265101</v>
      </c>
      <c r="F291">
        <v>0</v>
      </c>
      <c r="G291">
        <v>0</v>
      </c>
      <c r="H291">
        <v>0</v>
      </c>
      <c r="I291">
        <v>5.2699999809265101</v>
      </c>
      <c r="J291">
        <v>0</v>
      </c>
      <c r="K291">
        <v>0</v>
      </c>
      <c r="L291">
        <v>0</v>
      </c>
      <c r="M291">
        <v>207</v>
      </c>
      <c r="N291">
        <v>809</v>
      </c>
      <c r="O291">
        <v>2677</v>
      </c>
      <c r="P291" t="str">
        <f>TEXT(tbl_working_daily[[#This Row],[ActivityDate]],"dddd")</f>
        <v>Monday</v>
      </c>
      <c r="Q291" t="str">
        <f>TEXT(tbl_working_daily[[#This Row],[ActivityDate]],"mmmm")</f>
        <v>April</v>
      </c>
      <c r="R291">
        <f t="shared" si="8"/>
        <v>207</v>
      </c>
      <c r="S291">
        <f t="shared" si="9"/>
        <v>1016</v>
      </c>
      <c r="T291">
        <f>ROUND(tbl_working_daily[[#This Row],[SedentaryMinutes]]/60,2)</f>
        <v>13.48</v>
      </c>
      <c r="U291" t="str" cm="1">
        <f t="array" ref="U29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291" t="str" cm="1">
        <f t="array" ref="V291">_xlfn.IFS(tbl_working_daily[[#This Row],[VeryActiveMinutes]]&gt;=30,"Very Active",tbl_working_daily[[#This Row],[VeryActiveMinutes]]&gt;=15,"Moderately Active",tbl_working_daily[[#This Row],[VeryActiveMinutes]]&gt;=1,"Lightly Active",tbl_working_daily[[#This Row],[VeryActiveMinutes]]=0,"Sedentary")</f>
        <v>Sedentary</v>
      </c>
      <c r="W291" t="str">
        <f>tbl_working_daily[[#This Row],[Id]]&amp;"|"&amp;TEXT(tbl_working_daily[[#This Row],[ActivityDate]],"yyyy-mm-dd")</f>
        <v>4702921684|2016-04-11</v>
      </c>
      <c r="X291" t="b">
        <f>ISNUMBER(MATCH(tbl_working_daily[[#This Row],[LookupKey]],tbl_working_sleep[LookupKey],0))</f>
        <v>0</v>
      </c>
    </row>
    <row r="292" spans="1:24" x14ac:dyDescent="0.3">
      <c r="A292">
        <v>4702921684</v>
      </c>
      <c r="B292" s="1">
        <v>42472</v>
      </c>
      <c r="C292">
        <v>0</v>
      </c>
      <c r="D292">
        <v>0</v>
      </c>
      <c r="E292">
        <v>0</v>
      </c>
      <c r="F292">
        <v>0</v>
      </c>
      <c r="G292">
        <v>0</v>
      </c>
      <c r="H292">
        <v>0</v>
      </c>
      <c r="I292">
        <v>0</v>
      </c>
      <c r="J292">
        <v>0</v>
      </c>
      <c r="K292">
        <v>0</v>
      </c>
      <c r="L292">
        <v>0</v>
      </c>
      <c r="M292">
        <v>0</v>
      </c>
      <c r="N292">
        <v>1440</v>
      </c>
      <c r="O292">
        <v>0</v>
      </c>
      <c r="P292" t="str">
        <f>TEXT(tbl_working_daily[[#This Row],[ActivityDate]],"dddd")</f>
        <v>Tuesday</v>
      </c>
      <c r="Q292" t="str">
        <f>TEXT(tbl_working_daily[[#This Row],[ActivityDate]],"mmmm")</f>
        <v>April</v>
      </c>
      <c r="R292">
        <f t="shared" si="8"/>
        <v>0</v>
      </c>
      <c r="S292">
        <f t="shared" si="9"/>
        <v>1440</v>
      </c>
      <c r="T292">
        <f>ROUND(tbl_working_daily[[#This Row],[SedentaryMinutes]]/60,2)</f>
        <v>24</v>
      </c>
      <c r="U292" t="str" cm="1">
        <f t="array" ref="U29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92" t="str" cm="1">
        <f t="array" ref="V292">_xlfn.IFS(tbl_working_daily[[#This Row],[VeryActiveMinutes]]&gt;=30,"Very Active",tbl_working_daily[[#This Row],[VeryActiveMinutes]]&gt;=15,"Moderately Active",tbl_working_daily[[#This Row],[VeryActiveMinutes]]&gt;=1,"Lightly Active",tbl_working_daily[[#This Row],[VeryActiveMinutes]]=0,"Sedentary")</f>
        <v>Sedentary</v>
      </c>
      <c r="W292" t="str">
        <f>tbl_working_daily[[#This Row],[Id]]&amp;"|"&amp;TEXT(tbl_working_daily[[#This Row],[ActivityDate]],"yyyy-mm-dd")</f>
        <v>4702921684|2016-04-12</v>
      </c>
      <c r="X292" t="b">
        <f>ISNUMBER(MATCH(tbl_working_daily[[#This Row],[LookupKey]],tbl_working_sleep[LookupKey],0))</f>
        <v>1</v>
      </c>
    </row>
    <row r="293" spans="1:24" x14ac:dyDescent="0.3">
      <c r="A293">
        <v>5553957443</v>
      </c>
      <c r="B293" s="1">
        <v>42461</v>
      </c>
      <c r="C293">
        <v>12409</v>
      </c>
      <c r="D293">
        <v>8.1000003814697301</v>
      </c>
      <c r="E293">
        <v>8.1000003814697301</v>
      </c>
      <c r="F293">
        <v>0</v>
      </c>
      <c r="G293">
        <v>2.9000000953674299</v>
      </c>
      <c r="H293">
        <v>0.62999999523162797</v>
      </c>
      <c r="I293">
        <v>4.5799999237060502</v>
      </c>
      <c r="J293">
        <v>0</v>
      </c>
      <c r="K293">
        <v>51</v>
      </c>
      <c r="L293">
        <v>12</v>
      </c>
      <c r="M293">
        <v>235</v>
      </c>
      <c r="N293">
        <v>782</v>
      </c>
      <c r="O293">
        <v>2142</v>
      </c>
      <c r="P293" t="str">
        <f>TEXT(tbl_working_daily[[#This Row],[ActivityDate]],"dddd")</f>
        <v>Friday</v>
      </c>
      <c r="Q293" t="str">
        <f>TEXT(tbl_working_daily[[#This Row],[ActivityDate]],"mmmm")</f>
        <v>April</v>
      </c>
      <c r="R293">
        <f t="shared" si="8"/>
        <v>298</v>
      </c>
      <c r="S293">
        <f t="shared" si="9"/>
        <v>1080</v>
      </c>
      <c r="T293">
        <f>ROUND(tbl_working_daily[[#This Row],[SedentaryMinutes]]/60,2)</f>
        <v>13.03</v>
      </c>
      <c r="U293" t="str" cm="1">
        <f t="array" ref="U29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93" t="str" cm="1">
        <f t="array" ref="V293">_xlfn.IFS(tbl_working_daily[[#This Row],[VeryActiveMinutes]]&gt;=30,"Very Active",tbl_working_daily[[#This Row],[VeryActiveMinutes]]&gt;=15,"Moderately Active",tbl_working_daily[[#This Row],[VeryActiveMinutes]]&gt;=1,"Lightly Active",tbl_working_daily[[#This Row],[VeryActiveMinutes]]=0,"Sedentary")</f>
        <v>Very Active</v>
      </c>
      <c r="W293" t="str">
        <f>tbl_working_daily[[#This Row],[Id]]&amp;"|"&amp;TEXT(tbl_working_daily[[#This Row],[ActivityDate]],"yyyy-mm-dd")</f>
        <v>5553957443|2016-04-01</v>
      </c>
      <c r="X293" t="b">
        <f>ISNUMBER(MATCH(tbl_working_daily[[#This Row],[LookupKey]],tbl_working_sleep[LookupKey],0))</f>
        <v>0</v>
      </c>
    </row>
    <row r="294" spans="1:24" x14ac:dyDescent="0.3">
      <c r="A294">
        <v>5553957443</v>
      </c>
      <c r="B294" s="1">
        <v>42462</v>
      </c>
      <c r="C294">
        <v>2937</v>
      </c>
      <c r="D294">
        <v>1.91999995708466</v>
      </c>
      <c r="E294">
        <v>1.91999995708466</v>
      </c>
      <c r="F294">
        <v>0</v>
      </c>
      <c r="G294">
        <v>0</v>
      </c>
      <c r="H294">
        <v>0</v>
      </c>
      <c r="I294">
        <v>1.9099999666214</v>
      </c>
      <c r="J294">
        <v>0</v>
      </c>
      <c r="K294">
        <v>0</v>
      </c>
      <c r="L294">
        <v>0</v>
      </c>
      <c r="M294">
        <v>181</v>
      </c>
      <c r="N294">
        <v>356</v>
      </c>
      <c r="O294">
        <v>1615</v>
      </c>
      <c r="P294" t="str">
        <f>TEXT(tbl_working_daily[[#This Row],[ActivityDate]],"dddd")</f>
        <v>Saturday</v>
      </c>
      <c r="Q294" t="str">
        <f>TEXT(tbl_working_daily[[#This Row],[ActivityDate]],"mmmm")</f>
        <v>April</v>
      </c>
      <c r="R294">
        <f t="shared" si="8"/>
        <v>181</v>
      </c>
      <c r="S294">
        <f t="shared" si="9"/>
        <v>537</v>
      </c>
      <c r="T294">
        <f>ROUND(tbl_working_daily[[#This Row],[SedentaryMinutes]]/60,2)</f>
        <v>5.93</v>
      </c>
      <c r="U294" t="str" cm="1">
        <f t="array" ref="U29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94" t="str" cm="1">
        <f t="array" ref="V294">_xlfn.IFS(tbl_working_daily[[#This Row],[VeryActiveMinutes]]&gt;=30,"Very Active",tbl_working_daily[[#This Row],[VeryActiveMinutes]]&gt;=15,"Moderately Active",tbl_working_daily[[#This Row],[VeryActiveMinutes]]&gt;=1,"Lightly Active",tbl_working_daily[[#This Row],[VeryActiveMinutes]]=0,"Sedentary")</f>
        <v>Sedentary</v>
      </c>
      <c r="W294" t="str">
        <f>tbl_working_daily[[#This Row],[Id]]&amp;"|"&amp;TEXT(tbl_working_daily[[#This Row],[ActivityDate]],"yyyy-mm-dd")</f>
        <v>5553957443|2016-04-02</v>
      </c>
      <c r="X294" t="b">
        <f>ISNUMBER(MATCH(tbl_working_daily[[#This Row],[LookupKey]],tbl_working_sleep[LookupKey],0))</f>
        <v>0</v>
      </c>
    </row>
    <row r="295" spans="1:24" x14ac:dyDescent="0.3">
      <c r="A295">
        <v>5553957443</v>
      </c>
      <c r="B295" s="1">
        <v>42463</v>
      </c>
      <c r="C295">
        <v>1515</v>
      </c>
      <c r="D295">
        <v>0.99000000953674305</v>
      </c>
      <c r="E295">
        <v>0.99000000953674305</v>
      </c>
      <c r="F295">
        <v>0</v>
      </c>
      <c r="G295">
        <v>0</v>
      </c>
      <c r="H295">
        <v>0</v>
      </c>
      <c r="I295">
        <v>0.99000000953674305</v>
      </c>
      <c r="J295">
        <v>0</v>
      </c>
      <c r="K295">
        <v>0</v>
      </c>
      <c r="L295">
        <v>0</v>
      </c>
      <c r="M295">
        <v>93</v>
      </c>
      <c r="N295">
        <v>507</v>
      </c>
      <c r="O295">
        <v>1481</v>
      </c>
      <c r="P295" t="str">
        <f>TEXT(tbl_working_daily[[#This Row],[ActivityDate]],"dddd")</f>
        <v>Sunday</v>
      </c>
      <c r="Q295" t="str">
        <f>TEXT(tbl_working_daily[[#This Row],[ActivityDate]],"mmmm")</f>
        <v>April</v>
      </c>
      <c r="R295">
        <f t="shared" si="8"/>
        <v>93</v>
      </c>
      <c r="S295">
        <f t="shared" si="9"/>
        <v>600</v>
      </c>
      <c r="T295">
        <f>ROUND(tbl_working_daily[[#This Row],[SedentaryMinutes]]/60,2)</f>
        <v>8.4499999999999993</v>
      </c>
      <c r="U295" t="str" cm="1">
        <f t="array" ref="U29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295" t="str" cm="1">
        <f t="array" ref="V295">_xlfn.IFS(tbl_working_daily[[#This Row],[VeryActiveMinutes]]&gt;=30,"Very Active",tbl_working_daily[[#This Row],[VeryActiveMinutes]]&gt;=15,"Moderately Active",tbl_working_daily[[#This Row],[VeryActiveMinutes]]&gt;=1,"Lightly Active",tbl_working_daily[[#This Row],[VeryActiveMinutes]]=0,"Sedentary")</f>
        <v>Sedentary</v>
      </c>
      <c r="W295" t="str">
        <f>tbl_working_daily[[#This Row],[Id]]&amp;"|"&amp;TEXT(tbl_working_daily[[#This Row],[ActivityDate]],"yyyy-mm-dd")</f>
        <v>5553957443|2016-04-03</v>
      </c>
      <c r="X295" t="b">
        <f>ISNUMBER(MATCH(tbl_working_daily[[#This Row],[LookupKey]],tbl_working_sleep[LookupKey],0))</f>
        <v>0</v>
      </c>
    </row>
    <row r="296" spans="1:24" x14ac:dyDescent="0.3">
      <c r="A296">
        <v>5553957443</v>
      </c>
      <c r="B296" s="1">
        <v>42464</v>
      </c>
      <c r="C296">
        <v>8921</v>
      </c>
      <c r="D296">
        <v>5.8800001144409197</v>
      </c>
      <c r="E296">
        <v>5.8800001144409197</v>
      </c>
      <c r="F296">
        <v>0</v>
      </c>
      <c r="G296">
        <v>2.0699999332428001</v>
      </c>
      <c r="H296">
        <v>0.43999999761581399</v>
      </c>
      <c r="I296">
        <v>3.3599998950958301</v>
      </c>
      <c r="J296">
        <v>0</v>
      </c>
      <c r="K296">
        <v>27</v>
      </c>
      <c r="L296">
        <v>8</v>
      </c>
      <c r="M296">
        <v>198</v>
      </c>
      <c r="N296">
        <v>754</v>
      </c>
      <c r="O296">
        <v>1892</v>
      </c>
      <c r="P296" t="str">
        <f>TEXT(tbl_working_daily[[#This Row],[ActivityDate]],"dddd")</f>
        <v>Monday</v>
      </c>
      <c r="Q296" t="str">
        <f>TEXT(tbl_working_daily[[#This Row],[ActivityDate]],"mmmm")</f>
        <v>April</v>
      </c>
      <c r="R296">
        <f t="shared" si="8"/>
        <v>233</v>
      </c>
      <c r="S296">
        <f t="shared" si="9"/>
        <v>987</v>
      </c>
      <c r="T296">
        <f>ROUND(tbl_working_daily[[#This Row],[SedentaryMinutes]]/60,2)</f>
        <v>12.57</v>
      </c>
      <c r="U296" t="str" cm="1">
        <f t="array" ref="U29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296" t="str" cm="1">
        <f t="array" ref="V296">_xlfn.IFS(tbl_working_daily[[#This Row],[VeryActiveMinutes]]&gt;=30,"Very Active",tbl_working_daily[[#This Row],[VeryActiveMinutes]]&gt;=15,"Moderately Active",tbl_working_daily[[#This Row],[VeryActiveMinutes]]&gt;=1,"Lightly Active",tbl_working_daily[[#This Row],[VeryActiveMinutes]]=0,"Sedentary")</f>
        <v>Moderately Active</v>
      </c>
      <c r="W296" t="str">
        <f>tbl_working_daily[[#This Row],[Id]]&amp;"|"&amp;TEXT(tbl_working_daily[[#This Row],[ActivityDate]],"yyyy-mm-dd")</f>
        <v>5553957443|2016-04-04</v>
      </c>
      <c r="X296" t="b">
        <f>ISNUMBER(MATCH(tbl_working_daily[[#This Row],[LookupKey]],tbl_working_sleep[LookupKey],0))</f>
        <v>0</v>
      </c>
    </row>
    <row r="297" spans="1:24" x14ac:dyDescent="0.3">
      <c r="A297">
        <v>5553957443</v>
      </c>
      <c r="B297" s="1">
        <v>42465</v>
      </c>
      <c r="C297">
        <v>11306</v>
      </c>
      <c r="D297">
        <v>7.3800001144409197</v>
      </c>
      <c r="E297">
        <v>7.3800001144409197</v>
      </c>
      <c r="F297">
        <v>0</v>
      </c>
      <c r="G297">
        <v>2.3099999427795401</v>
      </c>
      <c r="H297">
        <v>0.980000019073486</v>
      </c>
      <c r="I297">
        <v>4.0900001525878897</v>
      </c>
      <c r="J297">
        <v>0</v>
      </c>
      <c r="K297">
        <v>40</v>
      </c>
      <c r="L297">
        <v>26</v>
      </c>
      <c r="M297">
        <v>218</v>
      </c>
      <c r="N297">
        <v>772</v>
      </c>
      <c r="O297">
        <v>2086</v>
      </c>
      <c r="P297" t="str">
        <f>TEXT(tbl_working_daily[[#This Row],[ActivityDate]],"dddd")</f>
        <v>Tuesday</v>
      </c>
      <c r="Q297" t="str">
        <f>TEXT(tbl_working_daily[[#This Row],[ActivityDate]],"mmmm")</f>
        <v>April</v>
      </c>
      <c r="R297">
        <f t="shared" si="8"/>
        <v>284</v>
      </c>
      <c r="S297">
        <f t="shared" si="9"/>
        <v>1056</v>
      </c>
      <c r="T297">
        <f>ROUND(tbl_working_daily[[#This Row],[SedentaryMinutes]]/60,2)</f>
        <v>12.87</v>
      </c>
      <c r="U297" t="str" cm="1">
        <f t="array" ref="U29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97" t="str" cm="1">
        <f t="array" ref="V297">_xlfn.IFS(tbl_working_daily[[#This Row],[VeryActiveMinutes]]&gt;=30,"Very Active",tbl_working_daily[[#This Row],[VeryActiveMinutes]]&gt;=15,"Moderately Active",tbl_working_daily[[#This Row],[VeryActiveMinutes]]&gt;=1,"Lightly Active",tbl_working_daily[[#This Row],[VeryActiveMinutes]]=0,"Sedentary")</f>
        <v>Very Active</v>
      </c>
      <c r="W297" t="str">
        <f>tbl_working_daily[[#This Row],[Id]]&amp;"|"&amp;TEXT(tbl_working_daily[[#This Row],[ActivityDate]],"yyyy-mm-dd")</f>
        <v>5553957443|2016-04-05</v>
      </c>
      <c r="X297" t="b">
        <f>ISNUMBER(MATCH(tbl_working_daily[[#This Row],[LookupKey]],tbl_working_sleep[LookupKey],0))</f>
        <v>0</v>
      </c>
    </row>
    <row r="298" spans="1:24" x14ac:dyDescent="0.3">
      <c r="A298">
        <v>5553957443</v>
      </c>
      <c r="B298" s="1">
        <v>42466</v>
      </c>
      <c r="C298">
        <v>12252</v>
      </c>
      <c r="D298">
        <v>8</v>
      </c>
      <c r="E298">
        <v>8</v>
      </c>
      <c r="F298">
        <v>0</v>
      </c>
      <c r="G298">
        <v>2.4100000858306898</v>
      </c>
      <c r="H298">
        <v>1.70000004768372</v>
      </c>
      <c r="I298">
        <v>3.8900001049041699</v>
      </c>
      <c r="J298">
        <v>0</v>
      </c>
      <c r="K298">
        <v>33</v>
      </c>
      <c r="L298">
        <v>28</v>
      </c>
      <c r="M298">
        <v>229</v>
      </c>
      <c r="N298">
        <v>745</v>
      </c>
      <c r="O298">
        <v>2044</v>
      </c>
      <c r="P298" t="str">
        <f>TEXT(tbl_working_daily[[#This Row],[ActivityDate]],"dddd")</f>
        <v>Wednesday</v>
      </c>
      <c r="Q298" t="str">
        <f>TEXT(tbl_working_daily[[#This Row],[ActivityDate]],"mmmm")</f>
        <v>April</v>
      </c>
      <c r="R298">
        <f t="shared" si="8"/>
        <v>290</v>
      </c>
      <c r="S298">
        <f t="shared" si="9"/>
        <v>1035</v>
      </c>
      <c r="T298">
        <f>ROUND(tbl_working_daily[[#This Row],[SedentaryMinutes]]/60,2)</f>
        <v>12.42</v>
      </c>
      <c r="U298" t="str" cm="1">
        <f t="array" ref="U29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298" t="str" cm="1">
        <f t="array" ref="V298">_xlfn.IFS(tbl_working_daily[[#This Row],[VeryActiveMinutes]]&gt;=30,"Very Active",tbl_working_daily[[#This Row],[VeryActiveMinutes]]&gt;=15,"Moderately Active",tbl_working_daily[[#This Row],[VeryActiveMinutes]]&gt;=1,"Lightly Active",tbl_working_daily[[#This Row],[VeryActiveMinutes]]=0,"Sedentary")</f>
        <v>Very Active</v>
      </c>
      <c r="W298" t="str">
        <f>tbl_working_daily[[#This Row],[Id]]&amp;"|"&amp;TEXT(tbl_working_daily[[#This Row],[ActivityDate]],"yyyy-mm-dd")</f>
        <v>5553957443|2016-04-06</v>
      </c>
      <c r="X298" t="b">
        <f>ISNUMBER(MATCH(tbl_working_daily[[#This Row],[LookupKey]],tbl_working_sleep[LookupKey],0))</f>
        <v>0</v>
      </c>
    </row>
    <row r="299" spans="1:24" x14ac:dyDescent="0.3">
      <c r="A299">
        <v>5553957443</v>
      </c>
      <c r="B299" s="1">
        <v>42467</v>
      </c>
      <c r="C299">
        <v>15444</v>
      </c>
      <c r="D299">
        <v>10.079999923706101</v>
      </c>
      <c r="E299">
        <v>10.079999923706101</v>
      </c>
      <c r="F299">
        <v>0</v>
      </c>
      <c r="G299">
        <v>3.2699999809265101</v>
      </c>
      <c r="H299">
        <v>1.7300000190734901</v>
      </c>
      <c r="I299">
        <v>5.0799999237060502</v>
      </c>
      <c r="J299">
        <v>0</v>
      </c>
      <c r="K299">
        <v>51</v>
      </c>
      <c r="L299">
        <v>39</v>
      </c>
      <c r="M299">
        <v>243</v>
      </c>
      <c r="N299">
        <v>731</v>
      </c>
      <c r="O299">
        <v>2249</v>
      </c>
      <c r="P299" t="str">
        <f>TEXT(tbl_working_daily[[#This Row],[ActivityDate]],"dddd")</f>
        <v>Thursday</v>
      </c>
      <c r="Q299" t="str">
        <f>TEXT(tbl_working_daily[[#This Row],[ActivityDate]],"mmmm")</f>
        <v>April</v>
      </c>
      <c r="R299">
        <f t="shared" si="8"/>
        <v>333</v>
      </c>
      <c r="S299">
        <f t="shared" si="9"/>
        <v>1064</v>
      </c>
      <c r="T299">
        <f>ROUND(tbl_working_daily[[#This Row],[SedentaryMinutes]]/60,2)</f>
        <v>12.18</v>
      </c>
      <c r="U299" t="str" cm="1">
        <f t="array" ref="U29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299" t="str" cm="1">
        <f t="array" ref="V299">_xlfn.IFS(tbl_working_daily[[#This Row],[VeryActiveMinutes]]&gt;=30,"Very Active",tbl_working_daily[[#This Row],[VeryActiveMinutes]]&gt;=15,"Moderately Active",tbl_working_daily[[#This Row],[VeryActiveMinutes]]&gt;=1,"Lightly Active",tbl_working_daily[[#This Row],[VeryActiveMinutes]]=0,"Sedentary")</f>
        <v>Very Active</v>
      </c>
      <c r="W299" t="str">
        <f>tbl_working_daily[[#This Row],[Id]]&amp;"|"&amp;TEXT(tbl_working_daily[[#This Row],[ActivityDate]],"yyyy-mm-dd")</f>
        <v>5553957443|2016-04-07</v>
      </c>
      <c r="X299" t="b">
        <f>ISNUMBER(MATCH(tbl_working_daily[[#This Row],[LookupKey]],tbl_working_sleep[LookupKey],0))</f>
        <v>0</v>
      </c>
    </row>
    <row r="300" spans="1:24" x14ac:dyDescent="0.3">
      <c r="A300">
        <v>5553957443</v>
      </c>
      <c r="B300" s="1">
        <v>42468</v>
      </c>
      <c r="C300">
        <v>9938</v>
      </c>
      <c r="D300">
        <v>6.4899997711181596</v>
      </c>
      <c r="E300">
        <v>6.4899997711181596</v>
      </c>
      <c r="F300">
        <v>0</v>
      </c>
      <c r="G300">
        <v>2.1400001049041699</v>
      </c>
      <c r="H300">
        <v>1.2799999713897701</v>
      </c>
      <c r="I300">
        <v>3.0799999237060498</v>
      </c>
      <c r="J300">
        <v>0</v>
      </c>
      <c r="K300">
        <v>38</v>
      </c>
      <c r="L300">
        <v>24</v>
      </c>
      <c r="M300">
        <v>193</v>
      </c>
      <c r="N300">
        <v>767</v>
      </c>
      <c r="O300">
        <v>2019</v>
      </c>
      <c r="P300" t="str">
        <f>TEXT(tbl_working_daily[[#This Row],[ActivityDate]],"dddd")</f>
        <v>Friday</v>
      </c>
      <c r="Q300" t="str">
        <f>TEXT(tbl_working_daily[[#This Row],[ActivityDate]],"mmmm")</f>
        <v>April</v>
      </c>
      <c r="R300">
        <f t="shared" si="8"/>
        <v>255</v>
      </c>
      <c r="S300">
        <f t="shared" si="9"/>
        <v>1022</v>
      </c>
      <c r="T300">
        <f>ROUND(tbl_working_daily[[#This Row],[SedentaryMinutes]]/60,2)</f>
        <v>12.78</v>
      </c>
      <c r="U300" t="str" cm="1">
        <f t="array" ref="U30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00" t="str" cm="1">
        <f t="array" ref="V300">_xlfn.IFS(tbl_working_daily[[#This Row],[VeryActiveMinutes]]&gt;=30,"Very Active",tbl_working_daily[[#This Row],[VeryActiveMinutes]]&gt;=15,"Moderately Active",tbl_working_daily[[#This Row],[VeryActiveMinutes]]&gt;=1,"Lightly Active",tbl_working_daily[[#This Row],[VeryActiveMinutes]]=0,"Sedentary")</f>
        <v>Very Active</v>
      </c>
      <c r="W300" t="str">
        <f>tbl_working_daily[[#This Row],[Id]]&amp;"|"&amp;TEXT(tbl_working_daily[[#This Row],[ActivityDate]],"yyyy-mm-dd")</f>
        <v>5553957443|2016-04-08</v>
      </c>
      <c r="X300" t="b">
        <f>ISNUMBER(MATCH(tbl_working_daily[[#This Row],[LookupKey]],tbl_working_sleep[LookupKey],0))</f>
        <v>0</v>
      </c>
    </row>
    <row r="301" spans="1:24" x14ac:dyDescent="0.3">
      <c r="A301">
        <v>5553957443</v>
      </c>
      <c r="B301" s="1">
        <v>42469</v>
      </c>
      <c r="C301">
        <v>4599</v>
      </c>
      <c r="D301">
        <v>3</v>
      </c>
      <c r="E301">
        <v>3</v>
      </c>
      <c r="F301">
        <v>0</v>
      </c>
      <c r="G301">
        <v>0</v>
      </c>
      <c r="H301">
        <v>0</v>
      </c>
      <c r="I301">
        <v>3</v>
      </c>
      <c r="J301">
        <v>0</v>
      </c>
      <c r="K301">
        <v>0</v>
      </c>
      <c r="L301">
        <v>0</v>
      </c>
      <c r="M301">
        <v>176</v>
      </c>
      <c r="N301">
        <v>578</v>
      </c>
      <c r="O301">
        <v>1692</v>
      </c>
      <c r="P301" t="str">
        <f>TEXT(tbl_working_daily[[#This Row],[ActivityDate]],"dddd")</f>
        <v>Saturday</v>
      </c>
      <c r="Q301" t="str">
        <f>TEXT(tbl_working_daily[[#This Row],[ActivityDate]],"mmmm")</f>
        <v>April</v>
      </c>
      <c r="R301">
        <f t="shared" si="8"/>
        <v>176</v>
      </c>
      <c r="S301">
        <f t="shared" si="9"/>
        <v>754</v>
      </c>
      <c r="T301">
        <f>ROUND(tbl_working_daily[[#This Row],[SedentaryMinutes]]/60,2)</f>
        <v>9.6300000000000008</v>
      </c>
      <c r="U301" t="str" cm="1">
        <f t="array" ref="U30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01" t="str" cm="1">
        <f t="array" ref="V301">_xlfn.IFS(tbl_working_daily[[#This Row],[VeryActiveMinutes]]&gt;=30,"Very Active",tbl_working_daily[[#This Row],[VeryActiveMinutes]]&gt;=15,"Moderately Active",tbl_working_daily[[#This Row],[VeryActiveMinutes]]&gt;=1,"Lightly Active",tbl_working_daily[[#This Row],[VeryActiveMinutes]]=0,"Sedentary")</f>
        <v>Sedentary</v>
      </c>
      <c r="W301" t="str">
        <f>tbl_working_daily[[#This Row],[Id]]&amp;"|"&amp;TEXT(tbl_working_daily[[#This Row],[ActivityDate]],"yyyy-mm-dd")</f>
        <v>5553957443|2016-04-09</v>
      </c>
      <c r="X301" t="b">
        <f>ISNUMBER(MATCH(tbl_working_daily[[#This Row],[LookupKey]],tbl_working_sleep[LookupKey],0))</f>
        <v>0</v>
      </c>
    </row>
    <row r="302" spans="1:24" x14ac:dyDescent="0.3">
      <c r="A302">
        <v>5553957443</v>
      </c>
      <c r="B302" s="1">
        <v>42470</v>
      </c>
      <c r="C302">
        <v>5594</v>
      </c>
      <c r="D302">
        <v>3.6500000953674299</v>
      </c>
      <c r="E302">
        <v>3.6500000953674299</v>
      </c>
      <c r="F302">
        <v>0</v>
      </c>
      <c r="G302">
        <v>0.28000000119209301</v>
      </c>
      <c r="H302">
        <v>1.4800000190734901</v>
      </c>
      <c r="I302">
        <v>1.8899999856948899</v>
      </c>
      <c r="J302">
        <v>0</v>
      </c>
      <c r="K302">
        <v>4</v>
      </c>
      <c r="L302">
        <v>25</v>
      </c>
      <c r="M302">
        <v>150</v>
      </c>
      <c r="N302">
        <v>552</v>
      </c>
      <c r="O302">
        <v>1712</v>
      </c>
      <c r="P302" t="str">
        <f>TEXT(tbl_working_daily[[#This Row],[ActivityDate]],"dddd")</f>
        <v>Sunday</v>
      </c>
      <c r="Q302" t="str">
        <f>TEXT(tbl_working_daily[[#This Row],[ActivityDate]],"mmmm")</f>
        <v>April</v>
      </c>
      <c r="R302">
        <f t="shared" si="8"/>
        <v>179</v>
      </c>
      <c r="S302">
        <f t="shared" si="9"/>
        <v>731</v>
      </c>
      <c r="T302">
        <f>ROUND(tbl_working_daily[[#This Row],[SedentaryMinutes]]/60,2)</f>
        <v>9.1999999999999993</v>
      </c>
      <c r="U302" t="str" cm="1">
        <f t="array" ref="U30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02" t="str" cm="1">
        <f t="array" ref="V302">_xlfn.IFS(tbl_working_daily[[#This Row],[VeryActiveMinutes]]&gt;=30,"Very Active",tbl_working_daily[[#This Row],[VeryActiveMinutes]]&gt;=15,"Moderately Active",tbl_working_daily[[#This Row],[VeryActiveMinutes]]&gt;=1,"Lightly Active",tbl_working_daily[[#This Row],[VeryActiveMinutes]]=0,"Sedentary")</f>
        <v>Lightly Active</v>
      </c>
      <c r="W302" t="str">
        <f>tbl_working_daily[[#This Row],[Id]]&amp;"|"&amp;TEXT(tbl_working_daily[[#This Row],[ActivityDate]],"yyyy-mm-dd")</f>
        <v>5553957443|2016-04-10</v>
      </c>
      <c r="X302" t="b">
        <f>ISNUMBER(MATCH(tbl_working_daily[[#This Row],[LookupKey]],tbl_working_sleep[LookupKey],0))</f>
        <v>0</v>
      </c>
    </row>
    <row r="303" spans="1:24" x14ac:dyDescent="0.3">
      <c r="A303">
        <v>5553957443</v>
      </c>
      <c r="B303" s="1">
        <v>42471</v>
      </c>
      <c r="C303">
        <v>11906</v>
      </c>
      <c r="D303">
        <v>7.7699999809265101</v>
      </c>
      <c r="E303">
        <v>7.7699999809265101</v>
      </c>
      <c r="F303">
        <v>0</v>
      </c>
      <c r="G303">
        <v>2.2599999904632599</v>
      </c>
      <c r="H303">
        <v>1.5199999809265099</v>
      </c>
      <c r="I303">
        <v>3.9900000095367401</v>
      </c>
      <c r="J303">
        <v>0</v>
      </c>
      <c r="K303">
        <v>32</v>
      </c>
      <c r="L303">
        <v>27</v>
      </c>
      <c r="M303">
        <v>234</v>
      </c>
      <c r="N303">
        <v>688</v>
      </c>
      <c r="O303">
        <v>2065</v>
      </c>
      <c r="P303" t="str">
        <f>TEXT(tbl_working_daily[[#This Row],[ActivityDate]],"dddd")</f>
        <v>Monday</v>
      </c>
      <c r="Q303" t="str">
        <f>TEXT(tbl_working_daily[[#This Row],[ActivityDate]],"mmmm")</f>
        <v>April</v>
      </c>
      <c r="R303">
        <f t="shared" si="8"/>
        <v>293</v>
      </c>
      <c r="S303">
        <f t="shared" si="9"/>
        <v>981</v>
      </c>
      <c r="T303">
        <f>ROUND(tbl_working_daily[[#This Row],[SedentaryMinutes]]/60,2)</f>
        <v>11.47</v>
      </c>
      <c r="U303" t="str" cm="1">
        <f t="array" ref="U30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03" t="str" cm="1">
        <f t="array" ref="V303">_xlfn.IFS(tbl_working_daily[[#This Row],[VeryActiveMinutes]]&gt;=30,"Very Active",tbl_working_daily[[#This Row],[VeryActiveMinutes]]&gt;=15,"Moderately Active",tbl_working_daily[[#This Row],[VeryActiveMinutes]]&gt;=1,"Lightly Active",tbl_working_daily[[#This Row],[VeryActiveMinutes]]=0,"Sedentary")</f>
        <v>Very Active</v>
      </c>
      <c r="W303" t="str">
        <f>tbl_working_daily[[#This Row],[Id]]&amp;"|"&amp;TEXT(tbl_working_daily[[#This Row],[ActivityDate]],"yyyy-mm-dd")</f>
        <v>5553957443|2016-04-11</v>
      </c>
      <c r="X303" t="b">
        <f>ISNUMBER(MATCH(tbl_working_daily[[#This Row],[LookupKey]],tbl_working_sleep[LookupKey],0))</f>
        <v>0</v>
      </c>
    </row>
    <row r="304" spans="1:24" x14ac:dyDescent="0.3">
      <c r="A304">
        <v>5553957443</v>
      </c>
      <c r="B304" s="1">
        <v>42472</v>
      </c>
      <c r="C304">
        <v>3436</v>
      </c>
      <c r="D304">
        <v>2.2400000095367401</v>
      </c>
      <c r="E304">
        <v>2.2400000095367401</v>
      </c>
      <c r="F304">
        <v>0</v>
      </c>
      <c r="G304">
        <v>0.5</v>
      </c>
      <c r="H304">
        <v>0.67000001668930098</v>
      </c>
      <c r="I304">
        <v>1.04999995231628</v>
      </c>
      <c r="J304">
        <v>0</v>
      </c>
      <c r="K304">
        <v>7</v>
      </c>
      <c r="L304">
        <v>11</v>
      </c>
      <c r="M304">
        <v>50</v>
      </c>
      <c r="N304">
        <v>61</v>
      </c>
      <c r="O304">
        <v>633</v>
      </c>
      <c r="P304" t="str">
        <f>TEXT(tbl_working_daily[[#This Row],[ActivityDate]],"dddd")</f>
        <v>Tuesday</v>
      </c>
      <c r="Q304" t="str">
        <f>TEXT(tbl_working_daily[[#This Row],[ActivityDate]],"mmmm")</f>
        <v>April</v>
      </c>
      <c r="R304">
        <f t="shared" si="8"/>
        <v>68</v>
      </c>
      <c r="S304">
        <f t="shared" si="9"/>
        <v>129</v>
      </c>
      <c r="T304">
        <f>ROUND(tbl_working_daily[[#This Row],[SedentaryMinutes]]/60,2)</f>
        <v>1.02</v>
      </c>
      <c r="U304" t="str" cm="1">
        <f t="array" ref="U3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04" t="str" cm="1">
        <f t="array" ref="V304">_xlfn.IFS(tbl_working_daily[[#This Row],[VeryActiveMinutes]]&gt;=30,"Very Active",tbl_working_daily[[#This Row],[VeryActiveMinutes]]&gt;=15,"Moderately Active",tbl_working_daily[[#This Row],[VeryActiveMinutes]]&gt;=1,"Lightly Active",tbl_working_daily[[#This Row],[VeryActiveMinutes]]=0,"Sedentary")</f>
        <v>Lightly Active</v>
      </c>
      <c r="W304" t="str">
        <f>tbl_working_daily[[#This Row],[Id]]&amp;"|"&amp;TEXT(tbl_working_daily[[#This Row],[ActivityDate]],"yyyy-mm-dd")</f>
        <v>5553957443|2016-04-12</v>
      </c>
      <c r="X304" t="b">
        <f>ISNUMBER(MATCH(tbl_working_daily[[#This Row],[LookupKey]],tbl_working_sleep[LookupKey],0))</f>
        <v>1</v>
      </c>
    </row>
    <row r="305" spans="1:24" x14ac:dyDescent="0.3">
      <c r="A305">
        <v>5577150313</v>
      </c>
      <c r="B305" s="1">
        <v>42461</v>
      </c>
      <c r="C305">
        <v>10461</v>
      </c>
      <c r="D305">
        <v>7.8699998855590803</v>
      </c>
      <c r="E305">
        <v>7.8699998855590803</v>
      </c>
      <c r="F305">
        <v>0</v>
      </c>
      <c r="G305">
        <v>4.7600002288818404</v>
      </c>
      <c r="H305">
        <v>0.85000002384185802</v>
      </c>
      <c r="I305">
        <v>2.25</v>
      </c>
      <c r="J305">
        <v>0</v>
      </c>
      <c r="K305">
        <v>99</v>
      </c>
      <c r="L305">
        <v>31</v>
      </c>
      <c r="M305">
        <v>142</v>
      </c>
      <c r="N305">
        <v>721</v>
      </c>
      <c r="O305">
        <v>3625</v>
      </c>
      <c r="P305" t="str">
        <f>TEXT(tbl_working_daily[[#This Row],[ActivityDate]],"dddd")</f>
        <v>Friday</v>
      </c>
      <c r="Q305" t="str">
        <f>TEXT(tbl_working_daily[[#This Row],[ActivityDate]],"mmmm")</f>
        <v>April</v>
      </c>
      <c r="R305">
        <f t="shared" si="8"/>
        <v>272</v>
      </c>
      <c r="S305">
        <f t="shared" si="9"/>
        <v>993</v>
      </c>
      <c r="T305">
        <f>ROUND(tbl_working_daily[[#This Row],[SedentaryMinutes]]/60,2)</f>
        <v>12.02</v>
      </c>
      <c r="U305" t="str" cm="1">
        <f t="array" ref="U30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05" t="str" cm="1">
        <f t="array" ref="V305">_xlfn.IFS(tbl_working_daily[[#This Row],[VeryActiveMinutes]]&gt;=30,"Very Active",tbl_working_daily[[#This Row],[VeryActiveMinutes]]&gt;=15,"Moderately Active",tbl_working_daily[[#This Row],[VeryActiveMinutes]]&gt;=1,"Lightly Active",tbl_working_daily[[#This Row],[VeryActiveMinutes]]=0,"Sedentary")</f>
        <v>Very Active</v>
      </c>
      <c r="W305" t="str">
        <f>tbl_working_daily[[#This Row],[Id]]&amp;"|"&amp;TEXT(tbl_working_daily[[#This Row],[ActivityDate]],"yyyy-mm-dd")</f>
        <v>5577150313|2016-04-01</v>
      </c>
      <c r="X305" t="b">
        <f>ISNUMBER(MATCH(tbl_working_daily[[#This Row],[LookupKey]],tbl_working_sleep[LookupKey],0))</f>
        <v>0</v>
      </c>
    </row>
    <row r="306" spans="1:24" x14ac:dyDescent="0.3">
      <c r="A306">
        <v>5577150313</v>
      </c>
      <c r="B306" s="1">
        <v>42462</v>
      </c>
      <c r="C306">
        <v>14873</v>
      </c>
      <c r="D306">
        <v>11.1099996566772</v>
      </c>
      <c r="E306">
        <v>11.1099996566772</v>
      </c>
      <c r="F306">
        <v>0</v>
      </c>
      <c r="G306">
        <v>8.1899995803833008</v>
      </c>
      <c r="H306">
        <v>0.60000002384185802</v>
      </c>
      <c r="I306">
        <v>2.3099999427795401</v>
      </c>
      <c r="J306">
        <v>0</v>
      </c>
      <c r="K306">
        <v>202</v>
      </c>
      <c r="L306">
        <v>36</v>
      </c>
      <c r="M306">
        <v>153</v>
      </c>
      <c r="N306">
        <v>663</v>
      </c>
      <c r="O306">
        <v>4430</v>
      </c>
      <c r="P306" t="str">
        <f>TEXT(tbl_working_daily[[#This Row],[ActivityDate]],"dddd")</f>
        <v>Saturday</v>
      </c>
      <c r="Q306" t="str">
        <f>TEXT(tbl_working_daily[[#This Row],[ActivityDate]],"mmmm")</f>
        <v>April</v>
      </c>
      <c r="R306">
        <f t="shared" si="8"/>
        <v>391</v>
      </c>
      <c r="S306">
        <f t="shared" si="9"/>
        <v>1054</v>
      </c>
      <c r="T306">
        <f>ROUND(tbl_working_daily[[#This Row],[SedentaryMinutes]]/60,2)</f>
        <v>11.05</v>
      </c>
      <c r="U306" t="str" cm="1">
        <f t="array" ref="U30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06" t="str" cm="1">
        <f t="array" ref="V306">_xlfn.IFS(tbl_working_daily[[#This Row],[VeryActiveMinutes]]&gt;=30,"Very Active",tbl_working_daily[[#This Row],[VeryActiveMinutes]]&gt;=15,"Moderately Active",tbl_working_daily[[#This Row],[VeryActiveMinutes]]&gt;=1,"Lightly Active",tbl_working_daily[[#This Row],[VeryActiveMinutes]]=0,"Sedentary")</f>
        <v>Very Active</v>
      </c>
      <c r="W306" t="str">
        <f>tbl_working_daily[[#This Row],[Id]]&amp;"|"&amp;TEXT(tbl_working_daily[[#This Row],[ActivityDate]],"yyyy-mm-dd")</f>
        <v>5577150313|2016-04-02</v>
      </c>
      <c r="X306" t="b">
        <f>ISNUMBER(MATCH(tbl_working_daily[[#This Row],[LookupKey]],tbl_working_sleep[LookupKey],0))</f>
        <v>0</v>
      </c>
    </row>
    <row r="307" spans="1:24" x14ac:dyDescent="0.3">
      <c r="A307">
        <v>5577150313</v>
      </c>
      <c r="B307" s="1">
        <v>42463</v>
      </c>
      <c r="C307">
        <v>9917</v>
      </c>
      <c r="D307">
        <v>7.4099998474121103</v>
      </c>
      <c r="E307">
        <v>7.4099998474121103</v>
      </c>
      <c r="F307">
        <v>0</v>
      </c>
      <c r="G307">
        <v>1.9900000095367401</v>
      </c>
      <c r="H307">
        <v>0.97000002861022905</v>
      </c>
      <c r="I307">
        <v>4.4400000572204599</v>
      </c>
      <c r="J307">
        <v>0</v>
      </c>
      <c r="K307">
        <v>58</v>
      </c>
      <c r="L307">
        <v>27</v>
      </c>
      <c r="M307">
        <v>240</v>
      </c>
      <c r="N307">
        <v>700</v>
      </c>
      <c r="O307">
        <v>3427</v>
      </c>
      <c r="P307" t="str">
        <f>TEXT(tbl_working_daily[[#This Row],[ActivityDate]],"dddd")</f>
        <v>Sunday</v>
      </c>
      <c r="Q307" t="str">
        <f>TEXT(tbl_working_daily[[#This Row],[ActivityDate]],"mmmm")</f>
        <v>April</v>
      </c>
      <c r="R307">
        <f t="shared" si="8"/>
        <v>325</v>
      </c>
      <c r="S307">
        <f t="shared" si="9"/>
        <v>1025</v>
      </c>
      <c r="T307">
        <f>ROUND(tbl_working_daily[[#This Row],[SedentaryMinutes]]/60,2)</f>
        <v>11.67</v>
      </c>
      <c r="U307" t="str" cm="1">
        <f t="array" ref="U30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07" t="str" cm="1">
        <f t="array" ref="V307">_xlfn.IFS(tbl_working_daily[[#This Row],[VeryActiveMinutes]]&gt;=30,"Very Active",tbl_working_daily[[#This Row],[VeryActiveMinutes]]&gt;=15,"Moderately Active",tbl_working_daily[[#This Row],[VeryActiveMinutes]]&gt;=1,"Lightly Active",tbl_working_daily[[#This Row],[VeryActiveMinutes]]=0,"Sedentary")</f>
        <v>Very Active</v>
      </c>
      <c r="W307" t="str">
        <f>tbl_working_daily[[#This Row],[Id]]&amp;"|"&amp;TEXT(tbl_working_daily[[#This Row],[ActivityDate]],"yyyy-mm-dd")</f>
        <v>5577150313|2016-04-03</v>
      </c>
      <c r="X307" t="b">
        <f>ISNUMBER(MATCH(tbl_working_daily[[#This Row],[LookupKey]],tbl_working_sleep[LookupKey],0))</f>
        <v>0</v>
      </c>
    </row>
    <row r="308" spans="1:24" x14ac:dyDescent="0.3">
      <c r="A308">
        <v>5577150313</v>
      </c>
      <c r="B308" s="1">
        <v>42464</v>
      </c>
      <c r="C308">
        <v>7401</v>
      </c>
      <c r="D308">
        <v>5.5599999427795401</v>
      </c>
      <c r="E308">
        <v>5.5599999427795401</v>
      </c>
      <c r="F308">
        <v>0</v>
      </c>
      <c r="G308">
        <v>2.3199999332428001</v>
      </c>
      <c r="H308">
        <v>0.36000001430511502</v>
      </c>
      <c r="I308">
        <v>2.8800001144409202</v>
      </c>
      <c r="J308">
        <v>0</v>
      </c>
      <c r="K308">
        <v>70</v>
      </c>
      <c r="L308">
        <v>19</v>
      </c>
      <c r="M308">
        <v>204</v>
      </c>
      <c r="N308">
        <v>689</v>
      </c>
      <c r="O308">
        <v>3492</v>
      </c>
      <c r="P308" t="str">
        <f>TEXT(tbl_working_daily[[#This Row],[ActivityDate]],"dddd")</f>
        <v>Monday</v>
      </c>
      <c r="Q308" t="str">
        <f>TEXT(tbl_working_daily[[#This Row],[ActivityDate]],"mmmm")</f>
        <v>April</v>
      </c>
      <c r="R308">
        <f t="shared" si="8"/>
        <v>293</v>
      </c>
      <c r="S308">
        <f t="shared" si="9"/>
        <v>982</v>
      </c>
      <c r="T308">
        <f>ROUND(tbl_working_daily[[#This Row],[SedentaryMinutes]]/60,2)</f>
        <v>11.48</v>
      </c>
      <c r="U308" t="str" cm="1">
        <f t="array" ref="U30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08" t="str" cm="1">
        <f t="array" ref="V308">_xlfn.IFS(tbl_working_daily[[#This Row],[VeryActiveMinutes]]&gt;=30,"Very Active",tbl_working_daily[[#This Row],[VeryActiveMinutes]]&gt;=15,"Moderately Active",tbl_working_daily[[#This Row],[VeryActiveMinutes]]&gt;=1,"Lightly Active",tbl_working_daily[[#This Row],[VeryActiveMinutes]]=0,"Sedentary")</f>
        <v>Very Active</v>
      </c>
      <c r="W308" t="str">
        <f>tbl_working_daily[[#This Row],[Id]]&amp;"|"&amp;TEXT(tbl_working_daily[[#This Row],[ActivityDate]],"yyyy-mm-dd")</f>
        <v>5577150313|2016-04-04</v>
      </c>
      <c r="X308" t="b">
        <f>ISNUMBER(MATCH(tbl_working_daily[[#This Row],[LookupKey]],tbl_working_sleep[LookupKey],0))</f>
        <v>0</v>
      </c>
    </row>
    <row r="309" spans="1:24" x14ac:dyDescent="0.3">
      <c r="A309">
        <v>5577150313</v>
      </c>
      <c r="B309" s="1">
        <v>42465</v>
      </c>
      <c r="C309">
        <v>8964</v>
      </c>
      <c r="D309">
        <v>6.6999998092651403</v>
      </c>
      <c r="E309">
        <v>6.6999998092651403</v>
      </c>
      <c r="F309">
        <v>0</v>
      </c>
      <c r="G309">
        <v>3.9700000286102299</v>
      </c>
      <c r="H309">
        <v>0.18999999761581399</v>
      </c>
      <c r="I309">
        <v>2.5299999713897701</v>
      </c>
      <c r="J309">
        <v>0</v>
      </c>
      <c r="K309">
        <v>107</v>
      </c>
      <c r="L309">
        <v>18</v>
      </c>
      <c r="M309">
        <v>145</v>
      </c>
      <c r="N309">
        <v>756</v>
      </c>
      <c r="O309">
        <v>3597</v>
      </c>
      <c r="P309" t="str">
        <f>TEXT(tbl_working_daily[[#This Row],[ActivityDate]],"dddd")</f>
        <v>Tuesday</v>
      </c>
      <c r="Q309" t="str">
        <f>TEXT(tbl_working_daily[[#This Row],[ActivityDate]],"mmmm")</f>
        <v>April</v>
      </c>
      <c r="R309">
        <f t="shared" si="8"/>
        <v>270</v>
      </c>
      <c r="S309">
        <f t="shared" si="9"/>
        <v>1026</v>
      </c>
      <c r="T309">
        <f>ROUND(tbl_working_daily[[#This Row],[SedentaryMinutes]]/60,2)</f>
        <v>12.6</v>
      </c>
      <c r="U309" t="str" cm="1">
        <f t="array" ref="U30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09" t="str" cm="1">
        <f t="array" ref="V309">_xlfn.IFS(tbl_working_daily[[#This Row],[VeryActiveMinutes]]&gt;=30,"Very Active",tbl_working_daily[[#This Row],[VeryActiveMinutes]]&gt;=15,"Moderately Active",tbl_working_daily[[#This Row],[VeryActiveMinutes]]&gt;=1,"Lightly Active",tbl_working_daily[[#This Row],[VeryActiveMinutes]]=0,"Sedentary")</f>
        <v>Very Active</v>
      </c>
      <c r="W309" t="str">
        <f>tbl_working_daily[[#This Row],[Id]]&amp;"|"&amp;TEXT(tbl_working_daily[[#This Row],[ActivityDate]],"yyyy-mm-dd")</f>
        <v>5577150313|2016-04-05</v>
      </c>
      <c r="X309" t="b">
        <f>ISNUMBER(MATCH(tbl_working_daily[[#This Row],[LookupKey]],tbl_working_sleep[LookupKey],0))</f>
        <v>0</v>
      </c>
    </row>
    <row r="310" spans="1:24" x14ac:dyDescent="0.3">
      <c r="A310">
        <v>5577150313</v>
      </c>
      <c r="B310" s="1">
        <v>42466</v>
      </c>
      <c r="C310">
        <v>11080</v>
      </c>
      <c r="D310">
        <v>8.3000001907348597</v>
      </c>
      <c r="E310">
        <v>8.3000001907348597</v>
      </c>
      <c r="F310">
        <v>0</v>
      </c>
      <c r="G310">
        <v>3.1300001144409202</v>
      </c>
      <c r="H310">
        <v>1.37000000476837</v>
      </c>
      <c r="I310">
        <v>3.8099999427795401</v>
      </c>
      <c r="J310">
        <v>0</v>
      </c>
      <c r="K310">
        <v>83</v>
      </c>
      <c r="L310">
        <v>52</v>
      </c>
      <c r="M310">
        <v>190</v>
      </c>
      <c r="N310">
        <v>695</v>
      </c>
      <c r="O310">
        <v>3765</v>
      </c>
      <c r="P310" t="str">
        <f>TEXT(tbl_working_daily[[#This Row],[ActivityDate]],"dddd")</f>
        <v>Wednesday</v>
      </c>
      <c r="Q310" t="str">
        <f>TEXT(tbl_working_daily[[#This Row],[ActivityDate]],"mmmm")</f>
        <v>April</v>
      </c>
      <c r="R310">
        <f t="shared" si="8"/>
        <v>325</v>
      </c>
      <c r="S310">
        <f t="shared" si="9"/>
        <v>1020</v>
      </c>
      <c r="T310">
        <f>ROUND(tbl_working_daily[[#This Row],[SedentaryMinutes]]/60,2)</f>
        <v>11.58</v>
      </c>
      <c r="U310" t="str" cm="1">
        <f t="array" ref="U31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10" t="str" cm="1">
        <f t="array" ref="V310">_xlfn.IFS(tbl_working_daily[[#This Row],[VeryActiveMinutes]]&gt;=30,"Very Active",tbl_working_daily[[#This Row],[VeryActiveMinutes]]&gt;=15,"Moderately Active",tbl_working_daily[[#This Row],[VeryActiveMinutes]]&gt;=1,"Lightly Active",tbl_working_daily[[#This Row],[VeryActiveMinutes]]=0,"Sedentary")</f>
        <v>Very Active</v>
      </c>
      <c r="W310" t="str">
        <f>tbl_working_daily[[#This Row],[Id]]&amp;"|"&amp;TEXT(tbl_working_daily[[#This Row],[ActivityDate]],"yyyy-mm-dd")</f>
        <v>5577150313|2016-04-06</v>
      </c>
      <c r="X310" t="b">
        <f>ISNUMBER(MATCH(tbl_working_daily[[#This Row],[LookupKey]],tbl_working_sleep[LookupKey],0))</f>
        <v>0</v>
      </c>
    </row>
    <row r="311" spans="1:24" x14ac:dyDescent="0.3">
      <c r="A311">
        <v>5577150313</v>
      </c>
      <c r="B311" s="1">
        <v>42467</v>
      </c>
      <c r="C311">
        <v>4499</v>
      </c>
      <c r="D311">
        <v>3.3599998950958301</v>
      </c>
      <c r="E311">
        <v>3.3599998950958301</v>
      </c>
      <c r="F311">
        <v>0</v>
      </c>
      <c r="G311">
        <v>0.88999998569488503</v>
      </c>
      <c r="H311">
        <v>0.259999990463257</v>
      </c>
      <c r="I311">
        <v>2.21000003814697</v>
      </c>
      <c r="J311">
        <v>0</v>
      </c>
      <c r="K311">
        <v>31</v>
      </c>
      <c r="L311">
        <v>11</v>
      </c>
      <c r="M311">
        <v>146</v>
      </c>
      <c r="N311">
        <v>756</v>
      </c>
      <c r="O311">
        <v>2775</v>
      </c>
      <c r="P311" t="str">
        <f>TEXT(tbl_working_daily[[#This Row],[ActivityDate]],"dddd")</f>
        <v>Thursday</v>
      </c>
      <c r="Q311" t="str">
        <f>TEXT(tbl_working_daily[[#This Row],[ActivityDate]],"mmmm")</f>
        <v>April</v>
      </c>
      <c r="R311">
        <f t="shared" si="8"/>
        <v>188</v>
      </c>
      <c r="S311">
        <f t="shared" si="9"/>
        <v>944</v>
      </c>
      <c r="T311">
        <f>ROUND(tbl_working_daily[[#This Row],[SedentaryMinutes]]/60,2)</f>
        <v>12.6</v>
      </c>
      <c r="U311" t="str" cm="1">
        <f t="array" ref="U31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11" t="str" cm="1">
        <f t="array" ref="V311">_xlfn.IFS(tbl_working_daily[[#This Row],[VeryActiveMinutes]]&gt;=30,"Very Active",tbl_working_daily[[#This Row],[VeryActiveMinutes]]&gt;=15,"Moderately Active",tbl_working_daily[[#This Row],[VeryActiveMinutes]]&gt;=1,"Lightly Active",tbl_working_daily[[#This Row],[VeryActiveMinutes]]=0,"Sedentary")</f>
        <v>Very Active</v>
      </c>
      <c r="W311" t="str">
        <f>tbl_working_daily[[#This Row],[Id]]&amp;"|"&amp;TEXT(tbl_working_daily[[#This Row],[ActivityDate]],"yyyy-mm-dd")</f>
        <v>5577150313|2016-04-07</v>
      </c>
      <c r="X311" t="b">
        <f>ISNUMBER(MATCH(tbl_working_daily[[#This Row],[LookupKey]],tbl_working_sleep[LookupKey],0))</f>
        <v>0</v>
      </c>
    </row>
    <row r="312" spans="1:24" x14ac:dyDescent="0.3">
      <c r="A312">
        <v>5577150313</v>
      </c>
      <c r="B312" s="1">
        <v>42468</v>
      </c>
      <c r="C312">
        <v>4363</v>
      </c>
      <c r="D312">
        <v>3.2599999904632599</v>
      </c>
      <c r="E312">
        <v>3.2599999904632599</v>
      </c>
      <c r="F312">
        <v>0</v>
      </c>
      <c r="G312">
        <v>0.129999995231628</v>
      </c>
      <c r="H312">
        <v>5.9999998658895499E-2</v>
      </c>
      <c r="I312">
        <v>3.0799999237060498</v>
      </c>
      <c r="J312">
        <v>0</v>
      </c>
      <c r="K312">
        <v>8</v>
      </c>
      <c r="L312">
        <v>2</v>
      </c>
      <c r="M312">
        <v>156</v>
      </c>
      <c r="N312">
        <v>813</v>
      </c>
      <c r="O312">
        <v>2486</v>
      </c>
      <c r="P312" t="str">
        <f>TEXT(tbl_working_daily[[#This Row],[ActivityDate]],"dddd")</f>
        <v>Friday</v>
      </c>
      <c r="Q312" t="str">
        <f>TEXT(tbl_working_daily[[#This Row],[ActivityDate]],"mmmm")</f>
        <v>April</v>
      </c>
      <c r="R312">
        <f t="shared" si="8"/>
        <v>166</v>
      </c>
      <c r="S312">
        <f t="shared" si="9"/>
        <v>979</v>
      </c>
      <c r="T312">
        <f>ROUND(tbl_working_daily[[#This Row],[SedentaryMinutes]]/60,2)</f>
        <v>13.55</v>
      </c>
      <c r="U312" t="str" cm="1">
        <f t="array" ref="U3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12" t="str" cm="1">
        <f t="array" ref="V312">_xlfn.IFS(tbl_working_daily[[#This Row],[VeryActiveMinutes]]&gt;=30,"Very Active",tbl_working_daily[[#This Row],[VeryActiveMinutes]]&gt;=15,"Moderately Active",tbl_working_daily[[#This Row],[VeryActiveMinutes]]&gt;=1,"Lightly Active",tbl_working_daily[[#This Row],[VeryActiveMinutes]]=0,"Sedentary")</f>
        <v>Lightly Active</v>
      </c>
      <c r="W312" t="str">
        <f>tbl_working_daily[[#This Row],[Id]]&amp;"|"&amp;TEXT(tbl_working_daily[[#This Row],[ActivityDate]],"yyyy-mm-dd")</f>
        <v>5577150313|2016-04-08</v>
      </c>
      <c r="X312" t="b">
        <f>ISNUMBER(MATCH(tbl_working_daily[[#This Row],[LookupKey]],tbl_working_sleep[LookupKey],0))</f>
        <v>0</v>
      </c>
    </row>
    <row r="313" spans="1:24" x14ac:dyDescent="0.3">
      <c r="A313">
        <v>5577150313</v>
      </c>
      <c r="B313" s="1">
        <v>42469</v>
      </c>
      <c r="C313">
        <v>10494</v>
      </c>
      <c r="D313">
        <v>7.8400001525878897</v>
      </c>
      <c r="E313">
        <v>7.8400001525878897</v>
      </c>
      <c r="F313">
        <v>0</v>
      </c>
      <c r="G313">
        <v>4.9099998474121103</v>
      </c>
      <c r="H313">
        <v>0.77999997138977095</v>
      </c>
      <c r="I313">
        <v>2.1500000953674299</v>
      </c>
      <c r="J313">
        <v>0</v>
      </c>
      <c r="K313">
        <v>123</v>
      </c>
      <c r="L313">
        <v>62</v>
      </c>
      <c r="M313">
        <v>138</v>
      </c>
      <c r="N313">
        <v>601</v>
      </c>
      <c r="O313">
        <v>3817</v>
      </c>
      <c r="P313" t="str">
        <f>TEXT(tbl_working_daily[[#This Row],[ActivityDate]],"dddd")</f>
        <v>Saturday</v>
      </c>
      <c r="Q313" t="str">
        <f>TEXT(tbl_working_daily[[#This Row],[ActivityDate]],"mmmm")</f>
        <v>April</v>
      </c>
      <c r="R313">
        <f t="shared" si="8"/>
        <v>323</v>
      </c>
      <c r="S313">
        <f t="shared" si="9"/>
        <v>924</v>
      </c>
      <c r="T313">
        <f>ROUND(tbl_working_daily[[#This Row],[SedentaryMinutes]]/60,2)</f>
        <v>10.02</v>
      </c>
      <c r="U313" t="str" cm="1">
        <f t="array" ref="U31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13" t="str" cm="1">
        <f t="array" ref="V313">_xlfn.IFS(tbl_working_daily[[#This Row],[VeryActiveMinutes]]&gt;=30,"Very Active",tbl_working_daily[[#This Row],[VeryActiveMinutes]]&gt;=15,"Moderately Active",tbl_working_daily[[#This Row],[VeryActiveMinutes]]&gt;=1,"Lightly Active",tbl_working_daily[[#This Row],[VeryActiveMinutes]]=0,"Sedentary")</f>
        <v>Very Active</v>
      </c>
      <c r="W313" t="str">
        <f>tbl_working_daily[[#This Row],[Id]]&amp;"|"&amp;TEXT(tbl_working_daily[[#This Row],[ActivityDate]],"yyyy-mm-dd")</f>
        <v>5577150313|2016-04-09</v>
      </c>
      <c r="X313" t="b">
        <f>ISNUMBER(MATCH(tbl_working_daily[[#This Row],[LookupKey]],tbl_working_sleep[LookupKey],0))</f>
        <v>0</v>
      </c>
    </row>
    <row r="314" spans="1:24" x14ac:dyDescent="0.3">
      <c r="A314">
        <v>5577150313</v>
      </c>
      <c r="B314" s="1">
        <v>42470</v>
      </c>
      <c r="C314">
        <v>9776</v>
      </c>
      <c r="D314">
        <v>7.3800001144409197</v>
      </c>
      <c r="E314">
        <v>7.3800001144409197</v>
      </c>
      <c r="F314">
        <v>0</v>
      </c>
      <c r="G314">
        <v>2.9300000667571999</v>
      </c>
      <c r="H314">
        <v>1.4299999475479099</v>
      </c>
      <c r="I314">
        <v>3.0199999809265101</v>
      </c>
      <c r="J314">
        <v>0</v>
      </c>
      <c r="K314">
        <v>80</v>
      </c>
      <c r="L314">
        <v>35</v>
      </c>
      <c r="M314">
        <v>162</v>
      </c>
      <c r="N314">
        <v>721</v>
      </c>
      <c r="O314">
        <v>3378</v>
      </c>
      <c r="P314" t="str">
        <f>TEXT(tbl_working_daily[[#This Row],[ActivityDate]],"dddd")</f>
        <v>Sunday</v>
      </c>
      <c r="Q314" t="str">
        <f>TEXT(tbl_working_daily[[#This Row],[ActivityDate]],"mmmm")</f>
        <v>April</v>
      </c>
      <c r="R314">
        <f t="shared" si="8"/>
        <v>277</v>
      </c>
      <c r="S314">
        <f t="shared" si="9"/>
        <v>998</v>
      </c>
      <c r="T314">
        <f>ROUND(tbl_working_daily[[#This Row],[SedentaryMinutes]]/60,2)</f>
        <v>12.02</v>
      </c>
      <c r="U314" t="str" cm="1">
        <f t="array" ref="U31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14" t="str" cm="1">
        <f t="array" ref="V314">_xlfn.IFS(tbl_working_daily[[#This Row],[VeryActiveMinutes]]&gt;=30,"Very Active",tbl_working_daily[[#This Row],[VeryActiveMinutes]]&gt;=15,"Moderately Active",tbl_working_daily[[#This Row],[VeryActiveMinutes]]&gt;=1,"Lightly Active",tbl_working_daily[[#This Row],[VeryActiveMinutes]]=0,"Sedentary")</f>
        <v>Very Active</v>
      </c>
      <c r="W314" t="str">
        <f>tbl_working_daily[[#This Row],[Id]]&amp;"|"&amp;TEXT(tbl_working_daily[[#This Row],[ActivityDate]],"yyyy-mm-dd")</f>
        <v>5577150313|2016-04-10</v>
      </c>
      <c r="X314" t="b">
        <f>ISNUMBER(MATCH(tbl_working_daily[[#This Row],[LookupKey]],tbl_working_sleep[LookupKey],0))</f>
        <v>0</v>
      </c>
    </row>
    <row r="315" spans="1:24" x14ac:dyDescent="0.3">
      <c r="A315">
        <v>5577150313</v>
      </c>
      <c r="B315" s="1">
        <v>42471</v>
      </c>
      <c r="C315">
        <v>2862</v>
      </c>
      <c r="D315">
        <v>2.1400001049041699</v>
      </c>
      <c r="E315">
        <v>2.1400001049041699</v>
      </c>
      <c r="F315">
        <v>0</v>
      </c>
      <c r="G315">
        <v>1.03999996185303</v>
      </c>
      <c r="H315">
        <v>0.25</v>
      </c>
      <c r="I315">
        <v>0.83999997377395597</v>
      </c>
      <c r="J315">
        <v>0</v>
      </c>
      <c r="K315">
        <v>39</v>
      </c>
      <c r="L315">
        <v>17</v>
      </c>
      <c r="M315">
        <v>54</v>
      </c>
      <c r="N315">
        <v>209</v>
      </c>
      <c r="O315">
        <v>1511</v>
      </c>
      <c r="P315" t="str">
        <f>TEXT(tbl_working_daily[[#This Row],[ActivityDate]],"dddd")</f>
        <v>Monday</v>
      </c>
      <c r="Q315" t="str">
        <f>TEXT(tbl_working_daily[[#This Row],[ActivityDate]],"mmmm")</f>
        <v>April</v>
      </c>
      <c r="R315">
        <f t="shared" si="8"/>
        <v>110</v>
      </c>
      <c r="S315">
        <f t="shared" si="9"/>
        <v>319</v>
      </c>
      <c r="T315">
        <f>ROUND(tbl_working_daily[[#This Row],[SedentaryMinutes]]/60,2)</f>
        <v>3.48</v>
      </c>
      <c r="U315" t="str" cm="1">
        <f t="array" ref="U31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15" t="str" cm="1">
        <f t="array" ref="V315">_xlfn.IFS(tbl_working_daily[[#This Row],[VeryActiveMinutes]]&gt;=30,"Very Active",tbl_working_daily[[#This Row],[VeryActiveMinutes]]&gt;=15,"Moderately Active",tbl_working_daily[[#This Row],[VeryActiveMinutes]]&gt;=1,"Lightly Active",tbl_working_daily[[#This Row],[VeryActiveMinutes]]=0,"Sedentary")</f>
        <v>Very Active</v>
      </c>
      <c r="W315" t="str">
        <f>tbl_working_daily[[#This Row],[Id]]&amp;"|"&amp;TEXT(tbl_working_daily[[#This Row],[ActivityDate]],"yyyy-mm-dd")</f>
        <v>5577150313|2016-04-11</v>
      </c>
      <c r="X315" t="b">
        <f>ISNUMBER(MATCH(tbl_working_daily[[#This Row],[LookupKey]],tbl_working_sleep[LookupKey],0))</f>
        <v>0</v>
      </c>
    </row>
    <row r="316" spans="1:24" x14ac:dyDescent="0.3">
      <c r="A316">
        <v>6117666160</v>
      </c>
      <c r="B316" s="1">
        <v>42461</v>
      </c>
      <c r="C316">
        <v>7444</v>
      </c>
      <c r="D316">
        <v>5.6199998855590803</v>
      </c>
      <c r="E316">
        <v>5.6199998855590803</v>
      </c>
      <c r="F316">
        <v>0</v>
      </c>
      <c r="G316">
        <v>0</v>
      </c>
      <c r="H316">
        <v>0</v>
      </c>
      <c r="I316">
        <v>5.6199998855590803</v>
      </c>
      <c r="J316">
        <v>0</v>
      </c>
      <c r="K316">
        <v>0</v>
      </c>
      <c r="L316">
        <v>0</v>
      </c>
      <c r="M316">
        <v>286</v>
      </c>
      <c r="N316">
        <v>568</v>
      </c>
      <c r="O316">
        <v>2210</v>
      </c>
      <c r="P316" t="str">
        <f>TEXT(tbl_working_daily[[#This Row],[ActivityDate]],"dddd")</f>
        <v>Friday</v>
      </c>
      <c r="Q316" t="str">
        <f>TEXT(tbl_working_daily[[#This Row],[ActivityDate]],"mmmm")</f>
        <v>April</v>
      </c>
      <c r="R316">
        <f t="shared" si="8"/>
        <v>286</v>
      </c>
      <c r="S316">
        <f t="shared" si="9"/>
        <v>854</v>
      </c>
      <c r="T316">
        <f>ROUND(tbl_working_daily[[#This Row],[SedentaryMinutes]]/60,2)</f>
        <v>9.4700000000000006</v>
      </c>
      <c r="U316" t="str" cm="1">
        <f t="array" ref="U31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16" t="str" cm="1">
        <f t="array" ref="V316">_xlfn.IFS(tbl_working_daily[[#This Row],[VeryActiveMinutes]]&gt;=30,"Very Active",tbl_working_daily[[#This Row],[VeryActiveMinutes]]&gt;=15,"Moderately Active",tbl_working_daily[[#This Row],[VeryActiveMinutes]]&gt;=1,"Lightly Active",tbl_working_daily[[#This Row],[VeryActiveMinutes]]=0,"Sedentary")</f>
        <v>Sedentary</v>
      </c>
      <c r="W316" t="str">
        <f>tbl_working_daily[[#This Row],[Id]]&amp;"|"&amp;TEXT(tbl_working_daily[[#This Row],[ActivityDate]],"yyyy-mm-dd")</f>
        <v>6117666160|2016-04-01</v>
      </c>
      <c r="X316" t="b">
        <f>ISNUMBER(MATCH(tbl_working_daily[[#This Row],[LookupKey]],tbl_working_sleep[LookupKey],0))</f>
        <v>0</v>
      </c>
    </row>
    <row r="317" spans="1:24" x14ac:dyDescent="0.3">
      <c r="A317">
        <v>6117666160</v>
      </c>
      <c r="B317" s="1">
        <v>42462</v>
      </c>
      <c r="C317">
        <v>19658</v>
      </c>
      <c r="D317">
        <v>14.8400001525879</v>
      </c>
      <c r="E317">
        <v>14.8400001525879</v>
      </c>
      <c r="F317">
        <v>0</v>
      </c>
      <c r="G317">
        <v>0.239999994635582</v>
      </c>
      <c r="H317">
        <v>2.0899999141693102</v>
      </c>
      <c r="I317">
        <v>12.5100002288818</v>
      </c>
      <c r="J317">
        <v>0</v>
      </c>
      <c r="K317">
        <v>3</v>
      </c>
      <c r="L317">
        <v>30</v>
      </c>
      <c r="M317">
        <v>475</v>
      </c>
      <c r="N317">
        <v>466</v>
      </c>
      <c r="O317">
        <v>2884</v>
      </c>
      <c r="P317" t="str">
        <f>TEXT(tbl_working_daily[[#This Row],[ActivityDate]],"dddd")</f>
        <v>Saturday</v>
      </c>
      <c r="Q317" t="str">
        <f>TEXT(tbl_working_daily[[#This Row],[ActivityDate]],"mmmm")</f>
        <v>April</v>
      </c>
      <c r="R317">
        <f t="shared" si="8"/>
        <v>508</v>
      </c>
      <c r="S317">
        <f t="shared" si="9"/>
        <v>974</v>
      </c>
      <c r="T317">
        <f>ROUND(tbl_working_daily[[#This Row],[SedentaryMinutes]]/60,2)</f>
        <v>7.77</v>
      </c>
      <c r="U317" t="str" cm="1">
        <f t="array" ref="U31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17" t="str" cm="1">
        <f t="array" ref="V317">_xlfn.IFS(tbl_working_daily[[#This Row],[VeryActiveMinutes]]&gt;=30,"Very Active",tbl_working_daily[[#This Row],[VeryActiveMinutes]]&gt;=15,"Moderately Active",tbl_working_daily[[#This Row],[VeryActiveMinutes]]&gt;=1,"Lightly Active",tbl_working_daily[[#This Row],[VeryActiveMinutes]]=0,"Sedentary")</f>
        <v>Lightly Active</v>
      </c>
      <c r="W317" t="str">
        <f>tbl_working_daily[[#This Row],[Id]]&amp;"|"&amp;TEXT(tbl_working_daily[[#This Row],[ActivityDate]],"yyyy-mm-dd")</f>
        <v>6117666160|2016-04-02</v>
      </c>
      <c r="X317" t="b">
        <f>ISNUMBER(MATCH(tbl_working_daily[[#This Row],[LookupKey]],tbl_working_sleep[LookupKey],0))</f>
        <v>0</v>
      </c>
    </row>
    <row r="318" spans="1:24" x14ac:dyDescent="0.3">
      <c r="A318">
        <v>6117666160</v>
      </c>
      <c r="B318" s="1">
        <v>42463</v>
      </c>
      <c r="C318">
        <v>0</v>
      </c>
      <c r="D318">
        <v>0</v>
      </c>
      <c r="E318">
        <v>0</v>
      </c>
      <c r="F318">
        <v>0</v>
      </c>
      <c r="G318">
        <v>0</v>
      </c>
      <c r="H318">
        <v>0</v>
      </c>
      <c r="I318">
        <v>0</v>
      </c>
      <c r="J318">
        <v>0</v>
      </c>
      <c r="K318">
        <v>0</v>
      </c>
      <c r="L318">
        <v>0</v>
      </c>
      <c r="M318">
        <v>0</v>
      </c>
      <c r="N318">
        <v>1440</v>
      </c>
      <c r="O318">
        <v>1496</v>
      </c>
      <c r="P318" t="str">
        <f>TEXT(tbl_working_daily[[#This Row],[ActivityDate]],"dddd")</f>
        <v>Sunday</v>
      </c>
      <c r="Q318" t="str">
        <f>TEXT(tbl_working_daily[[#This Row],[ActivityDate]],"mmmm")</f>
        <v>April</v>
      </c>
      <c r="R318">
        <f t="shared" si="8"/>
        <v>0</v>
      </c>
      <c r="S318">
        <f t="shared" si="9"/>
        <v>1440</v>
      </c>
      <c r="T318">
        <f>ROUND(tbl_working_daily[[#This Row],[SedentaryMinutes]]/60,2)</f>
        <v>24</v>
      </c>
      <c r="U318" t="str" cm="1">
        <f t="array" ref="U31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18" t="str" cm="1">
        <f t="array" ref="V318">_xlfn.IFS(tbl_working_daily[[#This Row],[VeryActiveMinutes]]&gt;=30,"Very Active",tbl_working_daily[[#This Row],[VeryActiveMinutes]]&gt;=15,"Moderately Active",tbl_working_daily[[#This Row],[VeryActiveMinutes]]&gt;=1,"Lightly Active",tbl_working_daily[[#This Row],[VeryActiveMinutes]]=0,"Sedentary")</f>
        <v>Sedentary</v>
      </c>
      <c r="W318" t="str">
        <f>tbl_working_daily[[#This Row],[Id]]&amp;"|"&amp;TEXT(tbl_working_daily[[#This Row],[ActivityDate]],"yyyy-mm-dd")</f>
        <v>6117666160|2016-04-03</v>
      </c>
      <c r="X318" t="b">
        <f>ISNUMBER(MATCH(tbl_working_daily[[#This Row],[LookupKey]],tbl_working_sleep[LookupKey],0))</f>
        <v>0</v>
      </c>
    </row>
    <row r="319" spans="1:24" x14ac:dyDescent="0.3">
      <c r="A319">
        <v>6117666160</v>
      </c>
      <c r="B319" s="1">
        <v>42464</v>
      </c>
      <c r="C319">
        <v>8468</v>
      </c>
      <c r="D319">
        <v>6.3899998664856001</v>
      </c>
      <c r="E319">
        <v>6.3899998664856001</v>
      </c>
      <c r="F319">
        <v>0</v>
      </c>
      <c r="G319">
        <v>0.18000000715255701</v>
      </c>
      <c r="H319">
        <v>0.63999998569488503</v>
      </c>
      <c r="I319">
        <v>5.5700001716613796</v>
      </c>
      <c r="J319">
        <v>0</v>
      </c>
      <c r="K319">
        <v>2</v>
      </c>
      <c r="L319">
        <v>11</v>
      </c>
      <c r="M319">
        <v>279</v>
      </c>
      <c r="N319">
        <v>1148</v>
      </c>
      <c r="O319">
        <v>2262</v>
      </c>
      <c r="P319" t="str">
        <f>TEXT(tbl_working_daily[[#This Row],[ActivityDate]],"dddd")</f>
        <v>Monday</v>
      </c>
      <c r="Q319" t="str">
        <f>TEXT(tbl_working_daily[[#This Row],[ActivityDate]],"mmmm")</f>
        <v>April</v>
      </c>
      <c r="R319">
        <f t="shared" si="8"/>
        <v>292</v>
      </c>
      <c r="S319">
        <f t="shared" si="9"/>
        <v>1440</v>
      </c>
      <c r="T319">
        <f>ROUND(tbl_working_daily[[#This Row],[SedentaryMinutes]]/60,2)</f>
        <v>19.13</v>
      </c>
      <c r="U319" t="str" cm="1">
        <f t="array" ref="U31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19" t="str" cm="1">
        <f t="array" ref="V319">_xlfn.IFS(tbl_working_daily[[#This Row],[VeryActiveMinutes]]&gt;=30,"Very Active",tbl_working_daily[[#This Row],[VeryActiveMinutes]]&gt;=15,"Moderately Active",tbl_working_daily[[#This Row],[VeryActiveMinutes]]&gt;=1,"Lightly Active",tbl_working_daily[[#This Row],[VeryActiveMinutes]]=0,"Sedentary")</f>
        <v>Lightly Active</v>
      </c>
      <c r="W319" t="str">
        <f>tbl_working_daily[[#This Row],[Id]]&amp;"|"&amp;TEXT(tbl_working_daily[[#This Row],[ActivityDate]],"yyyy-mm-dd")</f>
        <v>6117666160|2016-04-04</v>
      </c>
      <c r="X319" t="b">
        <f>ISNUMBER(MATCH(tbl_working_daily[[#This Row],[LookupKey]],tbl_working_sleep[LookupKey],0))</f>
        <v>0</v>
      </c>
    </row>
    <row r="320" spans="1:24" x14ac:dyDescent="0.3">
      <c r="A320">
        <v>6117666160</v>
      </c>
      <c r="B320" s="1">
        <v>42465</v>
      </c>
      <c r="C320">
        <v>9910</v>
      </c>
      <c r="D320">
        <v>7.4800000190734899</v>
      </c>
      <c r="E320">
        <v>7.4800000190734899</v>
      </c>
      <c r="F320">
        <v>0</v>
      </c>
      <c r="G320">
        <v>0</v>
      </c>
      <c r="H320">
        <v>0</v>
      </c>
      <c r="I320">
        <v>7.4800000190734899</v>
      </c>
      <c r="J320">
        <v>0</v>
      </c>
      <c r="K320">
        <v>0</v>
      </c>
      <c r="L320">
        <v>0</v>
      </c>
      <c r="M320">
        <v>384</v>
      </c>
      <c r="N320">
        <v>990</v>
      </c>
      <c r="O320">
        <v>2445</v>
      </c>
      <c r="P320" t="str">
        <f>TEXT(tbl_working_daily[[#This Row],[ActivityDate]],"dddd")</f>
        <v>Tuesday</v>
      </c>
      <c r="Q320" t="str">
        <f>TEXT(tbl_working_daily[[#This Row],[ActivityDate]],"mmmm")</f>
        <v>April</v>
      </c>
      <c r="R320">
        <f t="shared" si="8"/>
        <v>384</v>
      </c>
      <c r="S320">
        <f t="shared" si="9"/>
        <v>1374</v>
      </c>
      <c r="T320">
        <f>ROUND(tbl_working_daily[[#This Row],[SedentaryMinutes]]/60,2)</f>
        <v>16.5</v>
      </c>
      <c r="U320" t="str" cm="1">
        <f t="array" ref="U32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20" t="str" cm="1">
        <f t="array" ref="V320">_xlfn.IFS(tbl_working_daily[[#This Row],[VeryActiveMinutes]]&gt;=30,"Very Active",tbl_working_daily[[#This Row],[VeryActiveMinutes]]&gt;=15,"Moderately Active",tbl_working_daily[[#This Row],[VeryActiveMinutes]]&gt;=1,"Lightly Active",tbl_working_daily[[#This Row],[VeryActiveMinutes]]=0,"Sedentary")</f>
        <v>Sedentary</v>
      </c>
      <c r="W320" t="str">
        <f>tbl_working_daily[[#This Row],[Id]]&amp;"|"&amp;TEXT(tbl_working_daily[[#This Row],[ActivityDate]],"yyyy-mm-dd")</f>
        <v>6117666160|2016-04-05</v>
      </c>
      <c r="X320" t="b">
        <f>ISNUMBER(MATCH(tbl_working_daily[[#This Row],[LookupKey]],tbl_working_sleep[LookupKey],0))</f>
        <v>0</v>
      </c>
    </row>
    <row r="321" spans="1:24" x14ac:dyDescent="0.3">
      <c r="A321">
        <v>6117666160</v>
      </c>
      <c r="B321" s="1">
        <v>42466</v>
      </c>
      <c r="C321">
        <v>12409</v>
      </c>
      <c r="D321">
        <v>9.3699998855590803</v>
      </c>
      <c r="E321">
        <v>9.3699998855590803</v>
      </c>
      <c r="F321">
        <v>0</v>
      </c>
      <c r="G321">
        <v>0</v>
      </c>
      <c r="H321">
        <v>0</v>
      </c>
      <c r="I321">
        <v>9.3699998855590803</v>
      </c>
      <c r="J321">
        <v>0</v>
      </c>
      <c r="K321">
        <v>0</v>
      </c>
      <c r="L321">
        <v>0</v>
      </c>
      <c r="M321">
        <v>491</v>
      </c>
      <c r="N321">
        <v>388</v>
      </c>
      <c r="O321">
        <v>2694</v>
      </c>
      <c r="P321" t="str">
        <f>TEXT(tbl_working_daily[[#This Row],[ActivityDate]],"dddd")</f>
        <v>Wednesday</v>
      </c>
      <c r="Q321" t="str">
        <f>TEXT(tbl_working_daily[[#This Row],[ActivityDate]],"mmmm")</f>
        <v>April</v>
      </c>
      <c r="R321">
        <f t="shared" si="8"/>
        <v>491</v>
      </c>
      <c r="S321">
        <f t="shared" si="9"/>
        <v>879</v>
      </c>
      <c r="T321">
        <f>ROUND(tbl_working_daily[[#This Row],[SedentaryMinutes]]/60,2)</f>
        <v>6.47</v>
      </c>
      <c r="U321" t="str" cm="1">
        <f t="array" ref="U32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21" t="str" cm="1">
        <f t="array" ref="V321">_xlfn.IFS(tbl_working_daily[[#This Row],[VeryActiveMinutes]]&gt;=30,"Very Active",tbl_working_daily[[#This Row],[VeryActiveMinutes]]&gt;=15,"Moderately Active",tbl_working_daily[[#This Row],[VeryActiveMinutes]]&gt;=1,"Lightly Active",tbl_working_daily[[#This Row],[VeryActiveMinutes]]=0,"Sedentary")</f>
        <v>Sedentary</v>
      </c>
      <c r="W321" t="str">
        <f>tbl_working_daily[[#This Row],[Id]]&amp;"|"&amp;TEXT(tbl_working_daily[[#This Row],[ActivityDate]],"yyyy-mm-dd")</f>
        <v>6117666160|2016-04-06</v>
      </c>
      <c r="X321" t="b">
        <f>ISNUMBER(MATCH(tbl_working_daily[[#This Row],[LookupKey]],tbl_working_sleep[LookupKey],0))</f>
        <v>0</v>
      </c>
    </row>
    <row r="322" spans="1:24" x14ac:dyDescent="0.3">
      <c r="A322">
        <v>6117666160</v>
      </c>
      <c r="B322" s="1">
        <v>42467</v>
      </c>
      <c r="C322">
        <v>4853</v>
      </c>
      <c r="D322">
        <v>3.6600000858306898</v>
      </c>
      <c r="E322">
        <v>3.6600000858306898</v>
      </c>
      <c r="F322">
        <v>0</v>
      </c>
      <c r="G322">
        <v>0</v>
      </c>
      <c r="H322">
        <v>0</v>
      </c>
      <c r="I322">
        <v>3.6600000858306898</v>
      </c>
      <c r="J322">
        <v>0</v>
      </c>
      <c r="K322">
        <v>0</v>
      </c>
      <c r="L322">
        <v>0</v>
      </c>
      <c r="M322">
        <v>156</v>
      </c>
      <c r="N322">
        <v>770</v>
      </c>
      <c r="O322">
        <v>1903</v>
      </c>
      <c r="P322" t="str">
        <f>TEXT(tbl_working_daily[[#This Row],[ActivityDate]],"dddd")</f>
        <v>Thursday</v>
      </c>
      <c r="Q322" t="str">
        <f>TEXT(tbl_working_daily[[#This Row],[ActivityDate]],"mmmm")</f>
        <v>April</v>
      </c>
      <c r="R322">
        <f t="shared" ref="R322:R385" si="10">K322+L322+M322</f>
        <v>156</v>
      </c>
      <c r="S322">
        <f t="shared" ref="S322:S385" si="11">R322+N322</f>
        <v>926</v>
      </c>
      <c r="T322">
        <f>ROUND(tbl_working_daily[[#This Row],[SedentaryMinutes]]/60,2)</f>
        <v>12.83</v>
      </c>
      <c r="U322" t="str" cm="1">
        <f t="array" ref="U32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22" t="str" cm="1">
        <f t="array" ref="V322">_xlfn.IFS(tbl_working_daily[[#This Row],[VeryActiveMinutes]]&gt;=30,"Very Active",tbl_working_daily[[#This Row],[VeryActiveMinutes]]&gt;=15,"Moderately Active",tbl_working_daily[[#This Row],[VeryActiveMinutes]]&gt;=1,"Lightly Active",tbl_working_daily[[#This Row],[VeryActiveMinutes]]=0,"Sedentary")</f>
        <v>Sedentary</v>
      </c>
      <c r="W322" t="str">
        <f>tbl_working_daily[[#This Row],[Id]]&amp;"|"&amp;TEXT(tbl_working_daily[[#This Row],[ActivityDate]],"yyyy-mm-dd")</f>
        <v>6117666160|2016-04-07</v>
      </c>
      <c r="X322" t="b">
        <f>ISNUMBER(MATCH(tbl_working_daily[[#This Row],[LookupKey]],tbl_working_sleep[LookupKey],0))</f>
        <v>0</v>
      </c>
    </row>
    <row r="323" spans="1:24" x14ac:dyDescent="0.3">
      <c r="A323">
        <v>6117666160</v>
      </c>
      <c r="B323" s="1">
        <v>42468</v>
      </c>
      <c r="C323">
        <v>8955</v>
      </c>
      <c r="D323">
        <v>6.7600002288818404</v>
      </c>
      <c r="E323">
        <v>6.7600002288818404</v>
      </c>
      <c r="F323">
        <v>0</v>
      </c>
      <c r="G323">
        <v>0</v>
      </c>
      <c r="H323">
        <v>0</v>
      </c>
      <c r="I323">
        <v>6.7300000190734899</v>
      </c>
      <c r="J323">
        <v>0</v>
      </c>
      <c r="K323">
        <v>0</v>
      </c>
      <c r="L323">
        <v>0</v>
      </c>
      <c r="M323">
        <v>422</v>
      </c>
      <c r="N323">
        <v>1018</v>
      </c>
      <c r="O323">
        <v>2482</v>
      </c>
      <c r="P323" t="str">
        <f>TEXT(tbl_working_daily[[#This Row],[ActivityDate]],"dddd")</f>
        <v>Friday</v>
      </c>
      <c r="Q323" t="str">
        <f>TEXT(tbl_working_daily[[#This Row],[ActivityDate]],"mmmm")</f>
        <v>April</v>
      </c>
      <c r="R323">
        <f t="shared" si="10"/>
        <v>422</v>
      </c>
      <c r="S323">
        <f t="shared" si="11"/>
        <v>1440</v>
      </c>
      <c r="T323">
        <f>ROUND(tbl_working_daily[[#This Row],[SedentaryMinutes]]/60,2)</f>
        <v>16.97</v>
      </c>
      <c r="U323" t="str" cm="1">
        <f t="array" ref="U32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23" t="str" cm="1">
        <f t="array" ref="V323">_xlfn.IFS(tbl_working_daily[[#This Row],[VeryActiveMinutes]]&gt;=30,"Very Active",tbl_working_daily[[#This Row],[VeryActiveMinutes]]&gt;=15,"Moderately Active",tbl_working_daily[[#This Row],[VeryActiveMinutes]]&gt;=1,"Lightly Active",tbl_working_daily[[#This Row],[VeryActiveMinutes]]=0,"Sedentary")</f>
        <v>Sedentary</v>
      </c>
      <c r="W323" t="str">
        <f>tbl_working_daily[[#This Row],[Id]]&amp;"|"&amp;TEXT(tbl_working_daily[[#This Row],[ActivityDate]],"yyyy-mm-dd")</f>
        <v>6117666160|2016-04-08</v>
      </c>
      <c r="X323" t="b">
        <f>ISNUMBER(MATCH(tbl_working_daily[[#This Row],[LookupKey]],tbl_working_sleep[LookupKey],0))</f>
        <v>0</v>
      </c>
    </row>
    <row r="324" spans="1:24" x14ac:dyDescent="0.3">
      <c r="A324">
        <v>6117666160</v>
      </c>
      <c r="B324" s="1">
        <v>42469</v>
      </c>
      <c r="C324">
        <v>10789</v>
      </c>
      <c r="D324">
        <v>8.1499996185302699</v>
      </c>
      <c r="E324">
        <v>8.1499996185302699</v>
      </c>
      <c r="F324">
        <v>0</v>
      </c>
      <c r="G324">
        <v>0</v>
      </c>
      <c r="H324">
        <v>0</v>
      </c>
      <c r="I324">
        <v>8.1499996185302699</v>
      </c>
      <c r="J324">
        <v>0</v>
      </c>
      <c r="K324">
        <v>0</v>
      </c>
      <c r="L324">
        <v>0</v>
      </c>
      <c r="M324">
        <v>506</v>
      </c>
      <c r="N324">
        <v>413</v>
      </c>
      <c r="O324">
        <v>2617</v>
      </c>
      <c r="P324" t="str">
        <f>TEXT(tbl_working_daily[[#This Row],[ActivityDate]],"dddd")</f>
        <v>Saturday</v>
      </c>
      <c r="Q324" t="str">
        <f>TEXT(tbl_working_daily[[#This Row],[ActivityDate]],"mmmm")</f>
        <v>April</v>
      </c>
      <c r="R324">
        <f t="shared" si="10"/>
        <v>506</v>
      </c>
      <c r="S324">
        <f t="shared" si="11"/>
        <v>919</v>
      </c>
      <c r="T324">
        <f>ROUND(tbl_working_daily[[#This Row],[SedentaryMinutes]]/60,2)</f>
        <v>6.88</v>
      </c>
      <c r="U324" t="str" cm="1">
        <f t="array" ref="U32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24" t="str" cm="1">
        <f t="array" ref="V324">_xlfn.IFS(tbl_working_daily[[#This Row],[VeryActiveMinutes]]&gt;=30,"Very Active",tbl_working_daily[[#This Row],[VeryActiveMinutes]]&gt;=15,"Moderately Active",tbl_working_daily[[#This Row],[VeryActiveMinutes]]&gt;=1,"Lightly Active",tbl_working_daily[[#This Row],[VeryActiveMinutes]]=0,"Sedentary")</f>
        <v>Sedentary</v>
      </c>
      <c r="W324" t="str">
        <f>tbl_working_daily[[#This Row],[Id]]&amp;"|"&amp;TEXT(tbl_working_daily[[#This Row],[ActivityDate]],"yyyy-mm-dd")</f>
        <v>6117666160|2016-04-09</v>
      </c>
      <c r="X324" t="b">
        <f>ISNUMBER(MATCH(tbl_working_daily[[#This Row],[LookupKey]],tbl_working_sleep[LookupKey],0))</f>
        <v>0</v>
      </c>
    </row>
    <row r="325" spans="1:24" x14ac:dyDescent="0.3">
      <c r="A325">
        <v>6117666160</v>
      </c>
      <c r="B325" s="1">
        <v>42470</v>
      </c>
      <c r="C325">
        <v>0</v>
      </c>
      <c r="D325">
        <v>0</v>
      </c>
      <c r="E325">
        <v>0</v>
      </c>
      <c r="F325">
        <v>0</v>
      </c>
      <c r="G325">
        <v>0</v>
      </c>
      <c r="H325">
        <v>0</v>
      </c>
      <c r="I325">
        <v>0</v>
      </c>
      <c r="J325">
        <v>0</v>
      </c>
      <c r="K325">
        <v>0</v>
      </c>
      <c r="L325">
        <v>0</v>
      </c>
      <c r="M325">
        <v>0</v>
      </c>
      <c r="N325">
        <v>1440</v>
      </c>
      <c r="O325">
        <v>0</v>
      </c>
      <c r="P325" t="str">
        <f>TEXT(tbl_working_daily[[#This Row],[ActivityDate]],"dddd")</f>
        <v>Sunday</v>
      </c>
      <c r="Q325" t="str">
        <f>TEXT(tbl_working_daily[[#This Row],[ActivityDate]],"mmmm")</f>
        <v>April</v>
      </c>
      <c r="R325">
        <f t="shared" si="10"/>
        <v>0</v>
      </c>
      <c r="S325">
        <f t="shared" si="11"/>
        <v>1440</v>
      </c>
      <c r="T325">
        <f>ROUND(tbl_working_daily[[#This Row],[SedentaryMinutes]]/60,2)</f>
        <v>24</v>
      </c>
      <c r="U325" t="str" cm="1">
        <f t="array" ref="U32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25" t="str" cm="1">
        <f t="array" ref="V325">_xlfn.IFS(tbl_working_daily[[#This Row],[VeryActiveMinutes]]&gt;=30,"Very Active",tbl_working_daily[[#This Row],[VeryActiveMinutes]]&gt;=15,"Moderately Active",tbl_working_daily[[#This Row],[VeryActiveMinutes]]&gt;=1,"Lightly Active",tbl_working_daily[[#This Row],[VeryActiveMinutes]]=0,"Sedentary")</f>
        <v>Sedentary</v>
      </c>
      <c r="W325" t="str">
        <f>tbl_working_daily[[#This Row],[Id]]&amp;"|"&amp;TEXT(tbl_working_daily[[#This Row],[ActivityDate]],"yyyy-mm-dd")</f>
        <v>6117666160|2016-04-10</v>
      </c>
      <c r="X325" t="b">
        <f>ISNUMBER(MATCH(tbl_working_daily[[#This Row],[LookupKey]],tbl_working_sleep[LookupKey],0))</f>
        <v>0</v>
      </c>
    </row>
    <row r="326" spans="1:24" x14ac:dyDescent="0.3">
      <c r="A326">
        <v>6290855005</v>
      </c>
      <c r="B326" s="1">
        <v>42461</v>
      </c>
      <c r="C326">
        <v>6633</v>
      </c>
      <c r="D326">
        <v>5.0100002288818404</v>
      </c>
      <c r="E326">
        <v>5.0100002288818404</v>
      </c>
      <c r="F326">
        <v>0</v>
      </c>
      <c r="G326">
        <v>0</v>
      </c>
      <c r="H326">
        <v>0</v>
      </c>
      <c r="I326">
        <v>5.0100002288818404</v>
      </c>
      <c r="J326">
        <v>0</v>
      </c>
      <c r="K326">
        <v>0</v>
      </c>
      <c r="L326">
        <v>0</v>
      </c>
      <c r="M326">
        <v>280</v>
      </c>
      <c r="N326">
        <v>1160</v>
      </c>
      <c r="O326">
        <v>2778</v>
      </c>
      <c r="P326" t="str">
        <f>TEXT(tbl_working_daily[[#This Row],[ActivityDate]],"dddd")</f>
        <v>Friday</v>
      </c>
      <c r="Q326" t="str">
        <f>TEXT(tbl_working_daily[[#This Row],[ActivityDate]],"mmmm")</f>
        <v>April</v>
      </c>
      <c r="R326">
        <f t="shared" si="10"/>
        <v>280</v>
      </c>
      <c r="S326">
        <f t="shared" si="11"/>
        <v>1440</v>
      </c>
      <c r="T326">
        <f>ROUND(tbl_working_daily[[#This Row],[SedentaryMinutes]]/60,2)</f>
        <v>19.329999999999998</v>
      </c>
      <c r="U326" t="str" cm="1">
        <f t="array" ref="U32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26" t="str" cm="1">
        <f t="array" ref="V326">_xlfn.IFS(tbl_working_daily[[#This Row],[VeryActiveMinutes]]&gt;=30,"Very Active",tbl_working_daily[[#This Row],[VeryActiveMinutes]]&gt;=15,"Moderately Active",tbl_working_daily[[#This Row],[VeryActiveMinutes]]&gt;=1,"Lightly Active",tbl_working_daily[[#This Row],[VeryActiveMinutes]]=0,"Sedentary")</f>
        <v>Sedentary</v>
      </c>
      <c r="W326" t="str">
        <f>tbl_working_daily[[#This Row],[Id]]&amp;"|"&amp;TEXT(tbl_working_daily[[#This Row],[ActivityDate]],"yyyy-mm-dd")</f>
        <v>6290855005|2016-04-01</v>
      </c>
      <c r="X326" t="b">
        <f>ISNUMBER(MATCH(tbl_working_daily[[#This Row],[LookupKey]],tbl_working_sleep[LookupKey],0))</f>
        <v>0</v>
      </c>
    </row>
    <row r="327" spans="1:24" x14ac:dyDescent="0.3">
      <c r="A327">
        <v>6290855005</v>
      </c>
      <c r="B327" s="1">
        <v>42462</v>
      </c>
      <c r="C327">
        <v>9548</v>
      </c>
      <c r="D327">
        <v>7.2199997901916504</v>
      </c>
      <c r="E327">
        <v>7.2199997901916504</v>
      </c>
      <c r="F327">
        <v>0</v>
      </c>
      <c r="G327">
        <v>2.0199999809265101</v>
      </c>
      <c r="H327">
        <v>3.6800000667571999</v>
      </c>
      <c r="I327">
        <v>1.5199999809265099</v>
      </c>
      <c r="J327">
        <v>0</v>
      </c>
      <c r="K327">
        <v>25</v>
      </c>
      <c r="L327">
        <v>107</v>
      </c>
      <c r="M327">
        <v>113</v>
      </c>
      <c r="N327">
        <v>1195</v>
      </c>
      <c r="O327">
        <v>3119</v>
      </c>
      <c r="P327" t="str">
        <f>TEXT(tbl_working_daily[[#This Row],[ActivityDate]],"dddd")</f>
        <v>Saturday</v>
      </c>
      <c r="Q327" t="str">
        <f>TEXT(tbl_working_daily[[#This Row],[ActivityDate]],"mmmm")</f>
        <v>April</v>
      </c>
      <c r="R327">
        <f t="shared" si="10"/>
        <v>245</v>
      </c>
      <c r="S327">
        <f t="shared" si="11"/>
        <v>1440</v>
      </c>
      <c r="T327">
        <f>ROUND(tbl_working_daily[[#This Row],[SedentaryMinutes]]/60,2)</f>
        <v>19.920000000000002</v>
      </c>
      <c r="U327" t="str" cm="1">
        <f t="array" ref="U32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27" t="str" cm="1">
        <f t="array" ref="V327">_xlfn.IFS(tbl_working_daily[[#This Row],[VeryActiveMinutes]]&gt;=30,"Very Active",tbl_working_daily[[#This Row],[VeryActiveMinutes]]&gt;=15,"Moderately Active",tbl_working_daily[[#This Row],[VeryActiveMinutes]]&gt;=1,"Lightly Active",tbl_working_daily[[#This Row],[VeryActiveMinutes]]=0,"Sedentary")</f>
        <v>Moderately Active</v>
      </c>
      <c r="W327" t="str">
        <f>tbl_working_daily[[#This Row],[Id]]&amp;"|"&amp;TEXT(tbl_working_daily[[#This Row],[ActivityDate]],"yyyy-mm-dd")</f>
        <v>6290855005|2016-04-02</v>
      </c>
      <c r="X327" t="b">
        <f>ISNUMBER(MATCH(tbl_working_daily[[#This Row],[LookupKey]],tbl_working_sleep[LookupKey],0))</f>
        <v>0</v>
      </c>
    </row>
    <row r="328" spans="1:24" x14ac:dyDescent="0.3">
      <c r="A328">
        <v>6290855005</v>
      </c>
      <c r="B328" s="1">
        <v>42463</v>
      </c>
      <c r="C328">
        <v>0</v>
      </c>
      <c r="D328">
        <v>0</v>
      </c>
      <c r="E328">
        <v>0</v>
      </c>
      <c r="F328">
        <v>0</v>
      </c>
      <c r="G328">
        <v>0</v>
      </c>
      <c r="H328">
        <v>0</v>
      </c>
      <c r="I328">
        <v>0</v>
      </c>
      <c r="J328">
        <v>0</v>
      </c>
      <c r="K328">
        <v>33</v>
      </c>
      <c r="L328">
        <v>0</v>
      </c>
      <c r="M328">
        <v>0</v>
      </c>
      <c r="N328">
        <v>1407</v>
      </c>
      <c r="O328">
        <v>2664</v>
      </c>
      <c r="P328" t="str">
        <f>TEXT(tbl_working_daily[[#This Row],[ActivityDate]],"dddd")</f>
        <v>Sunday</v>
      </c>
      <c r="Q328" t="str">
        <f>TEXT(tbl_working_daily[[#This Row],[ActivityDate]],"mmmm")</f>
        <v>April</v>
      </c>
      <c r="R328">
        <f t="shared" si="10"/>
        <v>33</v>
      </c>
      <c r="S328">
        <f t="shared" si="11"/>
        <v>1440</v>
      </c>
      <c r="T328">
        <f>ROUND(tbl_working_daily[[#This Row],[SedentaryMinutes]]/60,2)</f>
        <v>23.45</v>
      </c>
      <c r="U328" t="str" cm="1">
        <f t="array" ref="U32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28" t="str" cm="1">
        <f t="array" ref="V328">_xlfn.IFS(tbl_working_daily[[#This Row],[VeryActiveMinutes]]&gt;=30,"Very Active",tbl_working_daily[[#This Row],[VeryActiveMinutes]]&gt;=15,"Moderately Active",tbl_working_daily[[#This Row],[VeryActiveMinutes]]&gt;=1,"Lightly Active",tbl_working_daily[[#This Row],[VeryActiveMinutes]]=0,"Sedentary")</f>
        <v>Very Active</v>
      </c>
      <c r="W328" t="str">
        <f>tbl_working_daily[[#This Row],[Id]]&amp;"|"&amp;TEXT(tbl_working_daily[[#This Row],[ActivityDate]],"yyyy-mm-dd")</f>
        <v>6290855005|2016-04-03</v>
      </c>
      <c r="X328" t="b">
        <f>ISNUMBER(MATCH(tbl_working_daily[[#This Row],[LookupKey]],tbl_working_sleep[LookupKey],0))</f>
        <v>0</v>
      </c>
    </row>
    <row r="329" spans="1:24" x14ac:dyDescent="0.3">
      <c r="A329">
        <v>6290855005</v>
      </c>
      <c r="B329" s="1">
        <v>42464</v>
      </c>
      <c r="C329">
        <v>0</v>
      </c>
      <c r="D329">
        <v>0</v>
      </c>
      <c r="E329">
        <v>0</v>
      </c>
      <c r="F329">
        <v>0</v>
      </c>
      <c r="G329">
        <v>0</v>
      </c>
      <c r="H329">
        <v>0</v>
      </c>
      <c r="I329">
        <v>0</v>
      </c>
      <c r="J329">
        <v>0</v>
      </c>
      <c r="K329">
        <v>0</v>
      </c>
      <c r="L329">
        <v>0</v>
      </c>
      <c r="M329">
        <v>0</v>
      </c>
      <c r="N329">
        <v>1440</v>
      </c>
      <c r="O329">
        <v>2060</v>
      </c>
      <c r="P329" t="str">
        <f>TEXT(tbl_working_daily[[#This Row],[ActivityDate]],"dddd")</f>
        <v>Monday</v>
      </c>
      <c r="Q329" t="str">
        <f>TEXT(tbl_working_daily[[#This Row],[ActivityDate]],"mmmm")</f>
        <v>April</v>
      </c>
      <c r="R329">
        <f t="shared" si="10"/>
        <v>0</v>
      </c>
      <c r="S329">
        <f t="shared" si="11"/>
        <v>1440</v>
      </c>
      <c r="T329">
        <f>ROUND(tbl_working_daily[[#This Row],[SedentaryMinutes]]/60,2)</f>
        <v>24</v>
      </c>
      <c r="U329" t="str" cm="1">
        <f t="array" ref="U32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29" t="str" cm="1">
        <f t="array" ref="V329">_xlfn.IFS(tbl_working_daily[[#This Row],[VeryActiveMinutes]]&gt;=30,"Very Active",tbl_working_daily[[#This Row],[VeryActiveMinutes]]&gt;=15,"Moderately Active",tbl_working_daily[[#This Row],[VeryActiveMinutes]]&gt;=1,"Lightly Active",tbl_working_daily[[#This Row],[VeryActiveMinutes]]=0,"Sedentary")</f>
        <v>Sedentary</v>
      </c>
      <c r="W329" t="str">
        <f>tbl_working_daily[[#This Row],[Id]]&amp;"|"&amp;TEXT(tbl_working_daily[[#This Row],[ActivityDate]],"yyyy-mm-dd")</f>
        <v>6290855005|2016-04-04</v>
      </c>
      <c r="X329" t="b">
        <f>ISNUMBER(MATCH(tbl_working_daily[[#This Row],[LookupKey]],tbl_working_sleep[LookupKey],0))</f>
        <v>0</v>
      </c>
    </row>
    <row r="330" spans="1:24" x14ac:dyDescent="0.3">
      <c r="A330">
        <v>6290855005</v>
      </c>
      <c r="B330" s="1">
        <v>42465</v>
      </c>
      <c r="C330">
        <v>0</v>
      </c>
      <c r="D330">
        <v>0</v>
      </c>
      <c r="E330">
        <v>0</v>
      </c>
      <c r="F330">
        <v>0</v>
      </c>
      <c r="G330">
        <v>0</v>
      </c>
      <c r="H330">
        <v>0</v>
      </c>
      <c r="I330">
        <v>0</v>
      </c>
      <c r="J330">
        <v>0</v>
      </c>
      <c r="K330">
        <v>0</v>
      </c>
      <c r="L330">
        <v>0</v>
      </c>
      <c r="M330">
        <v>0</v>
      </c>
      <c r="N330">
        <v>1440</v>
      </c>
      <c r="O330">
        <v>2060</v>
      </c>
      <c r="P330" t="str">
        <f>TEXT(tbl_working_daily[[#This Row],[ActivityDate]],"dddd")</f>
        <v>Tuesday</v>
      </c>
      <c r="Q330" t="str">
        <f>TEXT(tbl_working_daily[[#This Row],[ActivityDate]],"mmmm")</f>
        <v>April</v>
      </c>
      <c r="R330">
        <f t="shared" si="10"/>
        <v>0</v>
      </c>
      <c r="S330">
        <f t="shared" si="11"/>
        <v>1440</v>
      </c>
      <c r="T330">
        <f>ROUND(tbl_working_daily[[#This Row],[SedentaryMinutes]]/60,2)</f>
        <v>24</v>
      </c>
      <c r="U330" t="str" cm="1">
        <f t="array" ref="U33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0" t="str" cm="1">
        <f t="array" ref="V330">_xlfn.IFS(tbl_working_daily[[#This Row],[VeryActiveMinutes]]&gt;=30,"Very Active",tbl_working_daily[[#This Row],[VeryActiveMinutes]]&gt;=15,"Moderately Active",tbl_working_daily[[#This Row],[VeryActiveMinutes]]&gt;=1,"Lightly Active",tbl_working_daily[[#This Row],[VeryActiveMinutes]]=0,"Sedentary")</f>
        <v>Sedentary</v>
      </c>
      <c r="W330" t="str">
        <f>tbl_working_daily[[#This Row],[Id]]&amp;"|"&amp;TEXT(tbl_working_daily[[#This Row],[ActivityDate]],"yyyy-mm-dd")</f>
        <v>6290855005|2016-04-05</v>
      </c>
      <c r="X330" t="b">
        <f>ISNUMBER(MATCH(tbl_working_daily[[#This Row],[LookupKey]],tbl_working_sleep[LookupKey],0))</f>
        <v>0</v>
      </c>
    </row>
    <row r="331" spans="1:24" x14ac:dyDescent="0.3">
      <c r="A331">
        <v>6290855005</v>
      </c>
      <c r="B331" s="1">
        <v>42466</v>
      </c>
      <c r="C331">
        <v>0</v>
      </c>
      <c r="D331">
        <v>0</v>
      </c>
      <c r="E331">
        <v>0</v>
      </c>
      <c r="F331">
        <v>0</v>
      </c>
      <c r="G331">
        <v>0</v>
      </c>
      <c r="H331">
        <v>0</v>
      </c>
      <c r="I331">
        <v>0</v>
      </c>
      <c r="J331">
        <v>0</v>
      </c>
      <c r="K331">
        <v>0</v>
      </c>
      <c r="L331">
        <v>0</v>
      </c>
      <c r="M331">
        <v>0</v>
      </c>
      <c r="N331">
        <v>1440</v>
      </c>
      <c r="O331">
        <v>2060</v>
      </c>
      <c r="P331" t="str">
        <f>TEXT(tbl_working_daily[[#This Row],[ActivityDate]],"dddd")</f>
        <v>Wednesday</v>
      </c>
      <c r="Q331" t="str">
        <f>TEXT(tbl_working_daily[[#This Row],[ActivityDate]],"mmmm")</f>
        <v>April</v>
      </c>
      <c r="R331">
        <f t="shared" si="10"/>
        <v>0</v>
      </c>
      <c r="S331">
        <f t="shared" si="11"/>
        <v>1440</v>
      </c>
      <c r="T331">
        <f>ROUND(tbl_working_daily[[#This Row],[SedentaryMinutes]]/60,2)</f>
        <v>24</v>
      </c>
      <c r="U331" t="str" cm="1">
        <f t="array" ref="U33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1" t="str" cm="1">
        <f t="array" ref="V331">_xlfn.IFS(tbl_working_daily[[#This Row],[VeryActiveMinutes]]&gt;=30,"Very Active",tbl_working_daily[[#This Row],[VeryActiveMinutes]]&gt;=15,"Moderately Active",tbl_working_daily[[#This Row],[VeryActiveMinutes]]&gt;=1,"Lightly Active",tbl_working_daily[[#This Row],[VeryActiveMinutes]]=0,"Sedentary")</f>
        <v>Sedentary</v>
      </c>
      <c r="W331" t="str">
        <f>tbl_working_daily[[#This Row],[Id]]&amp;"|"&amp;TEXT(tbl_working_daily[[#This Row],[ActivityDate]],"yyyy-mm-dd")</f>
        <v>6290855005|2016-04-06</v>
      </c>
      <c r="X331" t="b">
        <f>ISNUMBER(MATCH(tbl_working_daily[[#This Row],[LookupKey]],tbl_working_sleep[LookupKey],0))</f>
        <v>0</v>
      </c>
    </row>
    <row r="332" spans="1:24" x14ac:dyDescent="0.3">
      <c r="A332">
        <v>6290855005</v>
      </c>
      <c r="B332" s="1">
        <v>42467</v>
      </c>
      <c r="C332">
        <v>0</v>
      </c>
      <c r="D332">
        <v>0</v>
      </c>
      <c r="E332">
        <v>0</v>
      </c>
      <c r="F332">
        <v>0</v>
      </c>
      <c r="G332">
        <v>0</v>
      </c>
      <c r="H332">
        <v>0</v>
      </c>
      <c r="I332">
        <v>0</v>
      </c>
      <c r="J332">
        <v>0</v>
      </c>
      <c r="K332">
        <v>0</v>
      </c>
      <c r="L332">
        <v>0</v>
      </c>
      <c r="M332">
        <v>0</v>
      </c>
      <c r="N332">
        <v>1440</v>
      </c>
      <c r="O332">
        <v>2060</v>
      </c>
      <c r="P332" t="str">
        <f>TEXT(tbl_working_daily[[#This Row],[ActivityDate]],"dddd")</f>
        <v>Thursday</v>
      </c>
      <c r="Q332" t="str">
        <f>TEXT(tbl_working_daily[[#This Row],[ActivityDate]],"mmmm")</f>
        <v>April</v>
      </c>
      <c r="R332">
        <f t="shared" si="10"/>
        <v>0</v>
      </c>
      <c r="S332">
        <f t="shared" si="11"/>
        <v>1440</v>
      </c>
      <c r="T332">
        <f>ROUND(tbl_working_daily[[#This Row],[SedentaryMinutes]]/60,2)</f>
        <v>24</v>
      </c>
      <c r="U332" t="str" cm="1">
        <f t="array" ref="U33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2" t="str" cm="1">
        <f t="array" ref="V332">_xlfn.IFS(tbl_working_daily[[#This Row],[VeryActiveMinutes]]&gt;=30,"Very Active",tbl_working_daily[[#This Row],[VeryActiveMinutes]]&gt;=15,"Moderately Active",tbl_working_daily[[#This Row],[VeryActiveMinutes]]&gt;=1,"Lightly Active",tbl_working_daily[[#This Row],[VeryActiveMinutes]]=0,"Sedentary")</f>
        <v>Sedentary</v>
      </c>
      <c r="W332" t="str">
        <f>tbl_working_daily[[#This Row],[Id]]&amp;"|"&amp;TEXT(tbl_working_daily[[#This Row],[ActivityDate]],"yyyy-mm-dd")</f>
        <v>6290855005|2016-04-07</v>
      </c>
      <c r="X332" t="b">
        <f>ISNUMBER(MATCH(tbl_working_daily[[#This Row],[LookupKey]],tbl_working_sleep[LookupKey],0))</f>
        <v>0</v>
      </c>
    </row>
    <row r="333" spans="1:24" x14ac:dyDescent="0.3">
      <c r="A333">
        <v>6290855005</v>
      </c>
      <c r="B333" s="1">
        <v>42468</v>
      </c>
      <c r="C333">
        <v>0</v>
      </c>
      <c r="D333">
        <v>0</v>
      </c>
      <c r="E333">
        <v>0</v>
      </c>
      <c r="F333">
        <v>0</v>
      </c>
      <c r="G333">
        <v>0</v>
      </c>
      <c r="H333">
        <v>0</v>
      </c>
      <c r="I333">
        <v>0</v>
      </c>
      <c r="J333">
        <v>0</v>
      </c>
      <c r="K333">
        <v>0</v>
      </c>
      <c r="L333">
        <v>0</v>
      </c>
      <c r="M333">
        <v>0</v>
      </c>
      <c r="N333">
        <v>1440</v>
      </c>
      <c r="O333">
        <v>2060</v>
      </c>
      <c r="P333" t="str">
        <f>TEXT(tbl_working_daily[[#This Row],[ActivityDate]],"dddd")</f>
        <v>Friday</v>
      </c>
      <c r="Q333" t="str">
        <f>TEXT(tbl_working_daily[[#This Row],[ActivityDate]],"mmmm")</f>
        <v>April</v>
      </c>
      <c r="R333">
        <f t="shared" si="10"/>
        <v>0</v>
      </c>
      <c r="S333">
        <f t="shared" si="11"/>
        <v>1440</v>
      </c>
      <c r="T333">
        <f>ROUND(tbl_working_daily[[#This Row],[SedentaryMinutes]]/60,2)</f>
        <v>24</v>
      </c>
      <c r="U333" t="str" cm="1">
        <f t="array" ref="U33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3" t="str" cm="1">
        <f t="array" ref="V333">_xlfn.IFS(tbl_working_daily[[#This Row],[VeryActiveMinutes]]&gt;=30,"Very Active",tbl_working_daily[[#This Row],[VeryActiveMinutes]]&gt;=15,"Moderately Active",tbl_working_daily[[#This Row],[VeryActiveMinutes]]&gt;=1,"Lightly Active",tbl_working_daily[[#This Row],[VeryActiveMinutes]]=0,"Sedentary")</f>
        <v>Sedentary</v>
      </c>
      <c r="W333" t="str">
        <f>tbl_working_daily[[#This Row],[Id]]&amp;"|"&amp;TEXT(tbl_working_daily[[#This Row],[ActivityDate]],"yyyy-mm-dd")</f>
        <v>6290855005|2016-04-08</v>
      </c>
      <c r="X333" t="b">
        <f>ISNUMBER(MATCH(tbl_working_daily[[#This Row],[LookupKey]],tbl_working_sleep[LookupKey],0))</f>
        <v>0</v>
      </c>
    </row>
    <row r="334" spans="1:24" x14ac:dyDescent="0.3">
      <c r="A334">
        <v>6290855005</v>
      </c>
      <c r="B334" s="1">
        <v>42469</v>
      </c>
      <c r="C334">
        <v>0</v>
      </c>
      <c r="D334">
        <v>0</v>
      </c>
      <c r="E334">
        <v>0</v>
      </c>
      <c r="F334">
        <v>0</v>
      </c>
      <c r="G334">
        <v>0</v>
      </c>
      <c r="H334">
        <v>0</v>
      </c>
      <c r="I334">
        <v>0</v>
      </c>
      <c r="J334">
        <v>0</v>
      </c>
      <c r="K334">
        <v>0</v>
      </c>
      <c r="L334">
        <v>0</v>
      </c>
      <c r="M334">
        <v>0</v>
      </c>
      <c r="N334">
        <v>1440</v>
      </c>
      <c r="O334">
        <v>2060</v>
      </c>
      <c r="P334" t="str">
        <f>TEXT(tbl_working_daily[[#This Row],[ActivityDate]],"dddd")</f>
        <v>Saturday</v>
      </c>
      <c r="Q334" t="str">
        <f>TEXT(tbl_working_daily[[#This Row],[ActivityDate]],"mmmm")</f>
        <v>April</v>
      </c>
      <c r="R334">
        <f t="shared" si="10"/>
        <v>0</v>
      </c>
      <c r="S334">
        <f t="shared" si="11"/>
        <v>1440</v>
      </c>
      <c r="T334">
        <f>ROUND(tbl_working_daily[[#This Row],[SedentaryMinutes]]/60,2)</f>
        <v>24</v>
      </c>
      <c r="U334" t="str" cm="1">
        <f t="array" ref="U3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4" t="str" cm="1">
        <f t="array" ref="V334">_xlfn.IFS(tbl_working_daily[[#This Row],[VeryActiveMinutes]]&gt;=30,"Very Active",tbl_working_daily[[#This Row],[VeryActiveMinutes]]&gt;=15,"Moderately Active",tbl_working_daily[[#This Row],[VeryActiveMinutes]]&gt;=1,"Lightly Active",tbl_working_daily[[#This Row],[VeryActiveMinutes]]=0,"Sedentary")</f>
        <v>Sedentary</v>
      </c>
      <c r="W334" t="str">
        <f>tbl_working_daily[[#This Row],[Id]]&amp;"|"&amp;TEXT(tbl_working_daily[[#This Row],[ActivityDate]],"yyyy-mm-dd")</f>
        <v>6290855005|2016-04-09</v>
      </c>
      <c r="X334" t="b">
        <f>ISNUMBER(MATCH(tbl_working_daily[[#This Row],[LookupKey]],tbl_working_sleep[LookupKey],0))</f>
        <v>0</v>
      </c>
    </row>
    <row r="335" spans="1:24" x14ac:dyDescent="0.3">
      <c r="A335">
        <v>6290855005</v>
      </c>
      <c r="B335" s="1">
        <v>42470</v>
      </c>
      <c r="C335">
        <v>0</v>
      </c>
      <c r="D335">
        <v>0</v>
      </c>
      <c r="E335">
        <v>0</v>
      </c>
      <c r="F335">
        <v>0</v>
      </c>
      <c r="G335">
        <v>0</v>
      </c>
      <c r="H335">
        <v>0</v>
      </c>
      <c r="I335">
        <v>0</v>
      </c>
      <c r="J335">
        <v>0</v>
      </c>
      <c r="K335">
        <v>20</v>
      </c>
      <c r="L335">
        <v>0</v>
      </c>
      <c r="M335">
        <v>0</v>
      </c>
      <c r="N335">
        <v>494</v>
      </c>
      <c r="O335">
        <v>735</v>
      </c>
      <c r="P335" t="str">
        <f>TEXT(tbl_working_daily[[#This Row],[ActivityDate]],"dddd")</f>
        <v>Sunday</v>
      </c>
      <c r="Q335" t="str">
        <f>TEXT(tbl_working_daily[[#This Row],[ActivityDate]],"mmmm")</f>
        <v>April</v>
      </c>
      <c r="R335">
        <f t="shared" si="10"/>
        <v>20</v>
      </c>
      <c r="S335">
        <f t="shared" si="11"/>
        <v>514</v>
      </c>
      <c r="T335">
        <f>ROUND(tbl_working_daily[[#This Row],[SedentaryMinutes]]/60,2)</f>
        <v>8.23</v>
      </c>
      <c r="U335" t="str" cm="1">
        <f t="array" ref="U33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5" t="str" cm="1">
        <f t="array" ref="V335">_xlfn.IFS(tbl_working_daily[[#This Row],[VeryActiveMinutes]]&gt;=30,"Very Active",tbl_working_daily[[#This Row],[VeryActiveMinutes]]&gt;=15,"Moderately Active",tbl_working_daily[[#This Row],[VeryActiveMinutes]]&gt;=1,"Lightly Active",tbl_working_daily[[#This Row],[VeryActiveMinutes]]=0,"Sedentary")</f>
        <v>Moderately Active</v>
      </c>
      <c r="W335" t="str">
        <f>tbl_working_daily[[#This Row],[Id]]&amp;"|"&amp;TEXT(tbl_working_daily[[#This Row],[ActivityDate]],"yyyy-mm-dd")</f>
        <v>6290855005|2016-04-10</v>
      </c>
      <c r="X335" t="b">
        <f>ISNUMBER(MATCH(tbl_working_daily[[#This Row],[LookupKey]],tbl_working_sleep[LookupKey],0))</f>
        <v>0</v>
      </c>
    </row>
    <row r="336" spans="1:24" x14ac:dyDescent="0.3">
      <c r="A336">
        <v>6391747486</v>
      </c>
      <c r="B336" s="1">
        <v>42461</v>
      </c>
      <c r="C336">
        <v>0</v>
      </c>
      <c r="D336">
        <v>0</v>
      </c>
      <c r="E336">
        <v>0</v>
      </c>
      <c r="F336">
        <v>0</v>
      </c>
      <c r="G336">
        <v>0</v>
      </c>
      <c r="H336">
        <v>0</v>
      </c>
      <c r="I336">
        <v>0</v>
      </c>
      <c r="J336">
        <v>0</v>
      </c>
      <c r="K336">
        <v>0</v>
      </c>
      <c r="L336">
        <v>0</v>
      </c>
      <c r="M336">
        <v>0</v>
      </c>
      <c r="N336">
        <v>1440</v>
      </c>
      <c r="O336">
        <v>1820</v>
      </c>
      <c r="P336" t="str">
        <f>TEXT(tbl_working_daily[[#This Row],[ActivityDate]],"dddd")</f>
        <v>Friday</v>
      </c>
      <c r="Q336" t="str">
        <f>TEXT(tbl_working_daily[[#This Row],[ActivityDate]],"mmmm")</f>
        <v>April</v>
      </c>
      <c r="R336">
        <f t="shared" si="10"/>
        <v>0</v>
      </c>
      <c r="S336">
        <f t="shared" si="11"/>
        <v>1440</v>
      </c>
      <c r="T336">
        <f>ROUND(tbl_working_daily[[#This Row],[SedentaryMinutes]]/60,2)</f>
        <v>24</v>
      </c>
      <c r="U336" t="str" cm="1">
        <f t="array" ref="U33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6" t="str" cm="1">
        <f t="array" ref="V336">_xlfn.IFS(tbl_working_daily[[#This Row],[VeryActiveMinutes]]&gt;=30,"Very Active",tbl_working_daily[[#This Row],[VeryActiveMinutes]]&gt;=15,"Moderately Active",tbl_working_daily[[#This Row],[VeryActiveMinutes]]&gt;=1,"Lightly Active",tbl_working_daily[[#This Row],[VeryActiveMinutes]]=0,"Sedentary")</f>
        <v>Sedentary</v>
      </c>
      <c r="W336" t="str">
        <f>tbl_working_daily[[#This Row],[Id]]&amp;"|"&amp;TEXT(tbl_working_daily[[#This Row],[ActivityDate]],"yyyy-mm-dd")</f>
        <v>6391747486|2016-04-01</v>
      </c>
      <c r="X336" t="b">
        <f>ISNUMBER(MATCH(tbl_working_daily[[#This Row],[LookupKey]],tbl_working_sleep[LookupKey],0))</f>
        <v>0</v>
      </c>
    </row>
    <row r="337" spans="1:24" x14ac:dyDescent="0.3">
      <c r="A337">
        <v>6391747486</v>
      </c>
      <c r="B337" s="1">
        <v>42462</v>
      </c>
      <c r="C337">
        <v>2101</v>
      </c>
      <c r="D337">
        <v>2.0299999713897701</v>
      </c>
      <c r="E337">
        <v>0</v>
      </c>
      <c r="F337">
        <v>2.0277729034423801</v>
      </c>
      <c r="G337">
        <v>2.0299999713897701</v>
      </c>
      <c r="H337">
        <v>0</v>
      </c>
      <c r="I337">
        <v>0</v>
      </c>
      <c r="J337">
        <v>0</v>
      </c>
      <c r="K337">
        <v>46</v>
      </c>
      <c r="L337">
        <v>0</v>
      </c>
      <c r="M337">
        <v>0</v>
      </c>
      <c r="N337">
        <v>1394</v>
      </c>
      <c r="O337">
        <v>2224</v>
      </c>
      <c r="P337" t="str">
        <f>TEXT(tbl_working_daily[[#This Row],[ActivityDate]],"dddd")</f>
        <v>Saturday</v>
      </c>
      <c r="Q337" t="str">
        <f>TEXT(tbl_working_daily[[#This Row],[ActivityDate]],"mmmm")</f>
        <v>April</v>
      </c>
      <c r="R337">
        <f t="shared" si="10"/>
        <v>46</v>
      </c>
      <c r="S337">
        <f t="shared" si="11"/>
        <v>1440</v>
      </c>
      <c r="T337">
        <f>ROUND(tbl_working_daily[[#This Row],[SedentaryMinutes]]/60,2)</f>
        <v>23.23</v>
      </c>
      <c r="U337" t="str" cm="1">
        <f t="array" ref="U3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7" t="str" cm="1">
        <f t="array" ref="V337">_xlfn.IFS(tbl_working_daily[[#This Row],[VeryActiveMinutes]]&gt;=30,"Very Active",tbl_working_daily[[#This Row],[VeryActiveMinutes]]&gt;=15,"Moderately Active",tbl_working_daily[[#This Row],[VeryActiveMinutes]]&gt;=1,"Lightly Active",tbl_working_daily[[#This Row],[VeryActiveMinutes]]=0,"Sedentary")</f>
        <v>Very Active</v>
      </c>
      <c r="W337" t="str">
        <f>tbl_working_daily[[#This Row],[Id]]&amp;"|"&amp;TEXT(tbl_working_daily[[#This Row],[ActivityDate]],"yyyy-mm-dd")</f>
        <v>6391747486|2016-04-02</v>
      </c>
      <c r="X337" t="b">
        <f>ISNUMBER(MATCH(tbl_working_daily[[#This Row],[LookupKey]],tbl_working_sleep[LookupKey],0))</f>
        <v>0</v>
      </c>
    </row>
    <row r="338" spans="1:24" x14ac:dyDescent="0.3">
      <c r="A338">
        <v>6391747486</v>
      </c>
      <c r="B338" s="1">
        <v>42463</v>
      </c>
      <c r="C338">
        <v>0</v>
      </c>
      <c r="D338">
        <v>0</v>
      </c>
      <c r="E338">
        <v>0</v>
      </c>
      <c r="F338">
        <v>0</v>
      </c>
      <c r="G338">
        <v>0</v>
      </c>
      <c r="H338">
        <v>0</v>
      </c>
      <c r="I338">
        <v>0</v>
      </c>
      <c r="J338">
        <v>0</v>
      </c>
      <c r="K338">
        <v>0</v>
      </c>
      <c r="L338">
        <v>0</v>
      </c>
      <c r="M338">
        <v>0</v>
      </c>
      <c r="N338">
        <v>1440</v>
      </c>
      <c r="O338">
        <v>1820</v>
      </c>
      <c r="P338" t="str">
        <f>TEXT(tbl_working_daily[[#This Row],[ActivityDate]],"dddd")</f>
        <v>Sunday</v>
      </c>
      <c r="Q338" t="str">
        <f>TEXT(tbl_working_daily[[#This Row],[ActivityDate]],"mmmm")</f>
        <v>April</v>
      </c>
      <c r="R338">
        <f t="shared" si="10"/>
        <v>0</v>
      </c>
      <c r="S338">
        <f t="shared" si="11"/>
        <v>1440</v>
      </c>
      <c r="T338">
        <f>ROUND(tbl_working_daily[[#This Row],[SedentaryMinutes]]/60,2)</f>
        <v>24</v>
      </c>
      <c r="U338" t="str" cm="1">
        <f t="array" ref="U33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8" t="str" cm="1">
        <f t="array" ref="V338">_xlfn.IFS(tbl_working_daily[[#This Row],[VeryActiveMinutes]]&gt;=30,"Very Active",tbl_working_daily[[#This Row],[VeryActiveMinutes]]&gt;=15,"Moderately Active",tbl_working_daily[[#This Row],[VeryActiveMinutes]]&gt;=1,"Lightly Active",tbl_working_daily[[#This Row],[VeryActiveMinutes]]=0,"Sedentary")</f>
        <v>Sedentary</v>
      </c>
      <c r="W338" t="str">
        <f>tbl_working_daily[[#This Row],[Id]]&amp;"|"&amp;TEXT(tbl_working_daily[[#This Row],[ActivityDate]],"yyyy-mm-dd")</f>
        <v>6391747486|2016-04-03</v>
      </c>
      <c r="X338" t="b">
        <f>ISNUMBER(MATCH(tbl_working_daily[[#This Row],[LookupKey]],tbl_working_sleep[LookupKey],0))</f>
        <v>0</v>
      </c>
    </row>
    <row r="339" spans="1:24" x14ac:dyDescent="0.3">
      <c r="A339">
        <v>6391747486</v>
      </c>
      <c r="B339" s="1">
        <v>42464</v>
      </c>
      <c r="C339">
        <v>0</v>
      </c>
      <c r="D339">
        <v>0</v>
      </c>
      <c r="E339">
        <v>0</v>
      </c>
      <c r="F339">
        <v>0</v>
      </c>
      <c r="G339">
        <v>0</v>
      </c>
      <c r="H339">
        <v>0</v>
      </c>
      <c r="I339">
        <v>0</v>
      </c>
      <c r="J339">
        <v>0</v>
      </c>
      <c r="K339">
        <v>0</v>
      </c>
      <c r="L339">
        <v>0</v>
      </c>
      <c r="M339">
        <v>0</v>
      </c>
      <c r="N339">
        <v>1440</v>
      </c>
      <c r="O339">
        <v>1820</v>
      </c>
      <c r="P339" t="str">
        <f>TEXT(tbl_working_daily[[#This Row],[ActivityDate]],"dddd")</f>
        <v>Monday</v>
      </c>
      <c r="Q339" t="str">
        <f>TEXT(tbl_working_daily[[#This Row],[ActivityDate]],"mmmm")</f>
        <v>April</v>
      </c>
      <c r="R339">
        <f t="shared" si="10"/>
        <v>0</v>
      </c>
      <c r="S339">
        <f t="shared" si="11"/>
        <v>1440</v>
      </c>
      <c r="T339">
        <f>ROUND(tbl_working_daily[[#This Row],[SedentaryMinutes]]/60,2)</f>
        <v>24</v>
      </c>
      <c r="U339" t="str" cm="1">
        <f t="array" ref="U3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39" t="str" cm="1">
        <f t="array" ref="V339">_xlfn.IFS(tbl_working_daily[[#This Row],[VeryActiveMinutes]]&gt;=30,"Very Active",tbl_working_daily[[#This Row],[VeryActiveMinutes]]&gt;=15,"Moderately Active",tbl_working_daily[[#This Row],[VeryActiveMinutes]]&gt;=1,"Lightly Active",tbl_working_daily[[#This Row],[VeryActiveMinutes]]=0,"Sedentary")</f>
        <v>Sedentary</v>
      </c>
      <c r="W339" t="str">
        <f>tbl_working_daily[[#This Row],[Id]]&amp;"|"&amp;TEXT(tbl_working_daily[[#This Row],[ActivityDate]],"yyyy-mm-dd")</f>
        <v>6391747486|2016-04-04</v>
      </c>
      <c r="X339" t="b">
        <f>ISNUMBER(MATCH(tbl_working_daily[[#This Row],[LookupKey]],tbl_working_sleep[LookupKey],0))</f>
        <v>0</v>
      </c>
    </row>
    <row r="340" spans="1:24" x14ac:dyDescent="0.3">
      <c r="A340">
        <v>6391747486</v>
      </c>
      <c r="B340" s="1">
        <v>42465</v>
      </c>
      <c r="C340">
        <v>9766</v>
      </c>
      <c r="D340">
        <v>7.5100002288818404</v>
      </c>
      <c r="E340">
        <v>0.77999997138977095</v>
      </c>
      <c r="F340">
        <v>6.7270569801330602</v>
      </c>
      <c r="G340">
        <v>0</v>
      </c>
      <c r="H340">
        <v>5.0000000745058101E-2</v>
      </c>
      <c r="I340">
        <v>7.46000003814697</v>
      </c>
      <c r="J340">
        <v>0</v>
      </c>
      <c r="K340">
        <v>0</v>
      </c>
      <c r="L340">
        <v>6</v>
      </c>
      <c r="M340">
        <v>301</v>
      </c>
      <c r="N340">
        <v>1133</v>
      </c>
      <c r="O340">
        <v>2442</v>
      </c>
      <c r="P340" t="str">
        <f>TEXT(tbl_working_daily[[#This Row],[ActivityDate]],"dddd")</f>
        <v>Tuesday</v>
      </c>
      <c r="Q340" t="str">
        <f>TEXT(tbl_working_daily[[#This Row],[ActivityDate]],"mmmm")</f>
        <v>April</v>
      </c>
      <c r="R340">
        <f t="shared" si="10"/>
        <v>307</v>
      </c>
      <c r="S340">
        <f t="shared" si="11"/>
        <v>1440</v>
      </c>
      <c r="T340">
        <f>ROUND(tbl_working_daily[[#This Row],[SedentaryMinutes]]/60,2)</f>
        <v>18.88</v>
      </c>
      <c r="U340" t="str" cm="1">
        <f t="array" ref="U34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40" t="str" cm="1">
        <f t="array" ref="V340">_xlfn.IFS(tbl_working_daily[[#This Row],[VeryActiveMinutes]]&gt;=30,"Very Active",tbl_working_daily[[#This Row],[VeryActiveMinutes]]&gt;=15,"Moderately Active",tbl_working_daily[[#This Row],[VeryActiveMinutes]]&gt;=1,"Lightly Active",tbl_working_daily[[#This Row],[VeryActiveMinutes]]=0,"Sedentary")</f>
        <v>Sedentary</v>
      </c>
      <c r="W340" t="str">
        <f>tbl_working_daily[[#This Row],[Id]]&amp;"|"&amp;TEXT(tbl_working_daily[[#This Row],[ActivityDate]],"yyyy-mm-dd")</f>
        <v>6391747486|2016-04-05</v>
      </c>
      <c r="X340" t="b">
        <f>ISNUMBER(MATCH(tbl_working_daily[[#This Row],[LookupKey]],tbl_working_sleep[LookupKey],0))</f>
        <v>0</v>
      </c>
    </row>
    <row r="341" spans="1:24" x14ac:dyDescent="0.3">
      <c r="A341">
        <v>6391747486</v>
      </c>
      <c r="B341" s="1">
        <v>42466</v>
      </c>
      <c r="C341">
        <v>165</v>
      </c>
      <c r="D341">
        <v>0.129999995231628</v>
      </c>
      <c r="E341">
        <v>0.129999995231628</v>
      </c>
      <c r="F341">
        <v>0</v>
      </c>
      <c r="G341">
        <v>0</v>
      </c>
      <c r="H341">
        <v>0</v>
      </c>
      <c r="I341">
        <v>0.129999995231628</v>
      </c>
      <c r="J341">
        <v>0</v>
      </c>
      <c r="K341">
        <v>0</v>
      </c>
      <c r="L341">
        <v>0</v>
      </c>
      <c r="M341">
        <v>8</v>
      </c>
      <c r="N341">
        <v>1432</v>
      </c>
      <c r="O341">
        <v>1849</v>
      </c>
      <c r="P341" t="str">
        <f>TEXT(tbl_working_daily[[#This Row],[ActivityDate]],"dddd")</f>
        <v>Wednesday</v>
      </c>
      <c r="Q341" t="str">
        <f>TEXT(tbl_working_daily[[#This Row],[ActivityDate]],"mmmm")</f>
        <v>April</v>
      </c>
      <c r="R341">
        <f t="shared" si="10"/>
        <v>8</v>
      </c>
      <c r="S341">
        <f t="shared" si="11"/>
        <v>1440</v>
      </c>
      <c r="T341">
        <f>ROUND(tbl_working_daily[[#This Row],[SedentaryMinutes]]/60,2)</f>
        <v>23.87</v>
      </c>
      <c r="U341" t="str" cm="1">
        <f t="array" ref="U3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1" t="str" cm="1">
        <f t="array" ref="V341">_xlfn.IFS(tbl_working_daily[[#This Row],[VeryActiveMinutes]]&gt;=30,"Very Active",tbl_working_daily[[#This Row],[VeryActiveMinutes]]&gt;=15,"Moderately Active",tbl_working_daily[[#This Row],[VeryActiveMinutes]]&gt;=1,"Lightly Active",tbl_working_daily[[#This Row],[VeryActiveMinutes]]=0,"Sedentary")</f>
        <v>Sedentary</v>
      </c>
      <c r="W341" t="str">
        <f>tbl_working_daily[[#This Row],[Id]]&amp;"|"&amp;TEXT(tbl_working_daily[[#This Row],[ActivityDate]],"yyyy-mm-dd")</f>
        <v>6391747486|2016-04-06</v>
      </c>
      <c r="X341" t="b">
        <f>ISNUMBER(MATCH(tbl_working_daily[[#This Row],[LookupKey]],tbl_working_sleep[LookupKey],0))</f>
        <v>0</v>
      </c>
    </row>
    <row r="342" spans="1:24" x14ac:dyDescent="0.3">
      <c r="A342">
        <v>6391747486</v>
      </c>
      <c r="B342" s="1">
        <v>42467</v>
      </c>
      <c r="C342">
        <v>0</v>
      </c>
      <c r="D342">
        <v>0</v>
      </c>
      <c r="E342">
        <v>0</v>
      </c>
      <c r="F342">
        <v>0</v>
      </c>
      <c r="G342">
        <v>0</v>
      </c>
      <c r="H342">
        <v>0</v>
      </c>
      <c r="I342">
        <v>0</v>
      </c>
      <c r="J342">
        <v>0</v>
      </c>
      <c r="K342">
        <v>0</v>
      </c>
      <c r="L342">
        <v>0</v>
      </c>
      <c r="M342">
        <v>0</v>
      </c>
      <c r="N342">
        <v>1440</v>
      </c>
      <c r="O342">
        <v>1822</v>
      </c>
      <c r="P342" t="str">
        <f>TEXT(tbl_working_daily[[#This Row],[ActivityDate]],"dddd")</f>
        <v>Thursday</v>
      </c>
      <c r="Q342" t="str">
        <f>TEXT(tbl_working_daily[[#This Row],[ActivityDate]],"mmmm")</f>
        <v>April</v>
      </c>
      <c r="R342">
        <f t="shared" si="10"/>
        <v>0</v>
      </c>
      <c r="S342">
        <f t="shared" si="11"/>
        <v>1440</v>
      </c>
      <c r="T342">
        <f>ROUND(tbl_working_daily[[#This Row],[SedentaryMinutes]]/60,2)</f>
        <v>24</v>
      </c>
      <c r="U342" t="str" cm="1">
        <f t="array" ref="U3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2" t="str" cm="1">
        <f t="array" ref="V342">_xlfn.IFS(tbl_working_daily[[#This Row],[VeryActiveMinutes]]&gt;=30,"Very Active",tbl_working_daily[[#This Row],[VeryActiveMinutes]]&gt;=15,"Moderately Active",tbl_working_daily[[#This Row],[VeryActiveMinutes]]&gt;=1,"Lightly Active",tbl_working_daily[[#This Row],[VeryActiveMinutes]]=0,"Sedentary")</f>
        <v>Sedentary</v>
      </c>
      <c r="W342" t="str">
        <f>tbl_working_daily[[#This Row],[Id]]&amp;"|"&amp;TEXT(tbl_working_daily[[#This Row],[ActivityDate]],"yyyy-mm-dd")</f>
        <v>6391747486|2016-04-07</v>
      </c>
      <c r="X342" t="b">
        <f>ISNUMBER(MATCH(tbl_working_daily[[#This Row],[LookupKey]],tbl_working_sleep[LookupKey],0))</f>
        <v>0</v>
      </c>
    </row>
    <row r="343" spans="1:24" x14ac:dyDescent="0.3">
      <c r="A343">
        <v>6391747486</v>
      </c>
      <c r="B343" s="1">
        <v>42468</v>
      </c>
      <c r="C343">
        <v>0</v>
      </c>
      <c r="D343">
        <v>0</v>
      </c>
      <c r="E343">
        <v>0</v>
      </c>
      <c r="F343">
        <v>0</v>
      </c>
      <c r="G343">
        <v>0</v>
      </c>
      <c r="H343">
        <v>0</v>
      </c>
      <c r="I343">
        <v>0</v>
      </c>
      <c r="J343">
        <v>0</v>
      </c>
      <c r="K343">
        <v>0</v>
      </c>
      <c r="L343">
        <v>0</v>
      </c>
      <c r="M343">
        <v>0</v>
      </c>
      <c r="N343">
        <v>1440</v>
      </c>
      <c r="O343">
        <v>1820</v>
      </c>
      <c r="P343" t="str">
        <f>TEXT(tbl_working_daily[[#This Row],[ActivityDate]],"dddd")</f>
        <v>Friday</v>
      </c>
      <c r="Q343" t="str">
        <f>TEXT(tbl_working_daily[[#This Row],[ActivityDate]],"mmmm")</f>
        <v>April</v>
      </c>
      <c r="R343">
        <f t="shared" si="10"/>
        <v>0</v>
      </c>
      <c r="S343">
        <f t="shared" si="11"/>
        <v>1440</v>
      </c>
      <c r="T343">
        <f>ROUND(tbl_working_daily[[#This Row],[SedentaryMinutes]]/60,2)</f>
        <v>24</v>
      </c>
      <c r="U343" t="str" cm="1">
        <f t="array" ref="U3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3" t="str" cm="1">
        <f t="array" ref="V343">_xlfn.IFS(tbl_working_daily[[#This Row],[VeryActiveMinutes]]&gt;=30,"Very Active",tbl_working_daily[[#This Row],[VeryActiveMinutes]]&gt;=15,"Moderately Active",tbl_working_daily[[#This Row],[VeryActiveMinutes]]&gt;=1,"Lightly Active",tbl_working_daily[[#This Row],[VeryActiveMinutes]]=0,"Sedentary")</f>
        <v>Sedentary</v>
      </c>
      <c r="W343" t="str">
        <f>tbl_working_daily[[#This Row],[Id]]&amp;"|"&amp;TEXT(tbl_working_daily[[#This Row],[ActivityDate]],"yyyy-mm-dd")</f>
        <v>6391747486|2016-04-08</v>
      </c>
      <c r="X343" t="b">
        <f>ISNUMBER(MATCH(tbl_working_daily[[#This Row],[LookupKey]],tbl_working_sleep[LookupKey],0))</f>
        <v>0</v>
      </c>
    </row>
    <row r="344" spans="1:24" x14ac:dyDescent="0.3">
      <c r="A344">
        <v>6391747486</v>
      </c>
      <c r="B344" s="1">
        <v>42469</v>
      </c>
      <c r="C344">
        <v>0</v>
      </c>
      <c r="D344">
        <v>0</v>
      </c>
      <c r="E344">
        <v>0</v>
      </c>
      <c r="F344">
        <v>0</v>
      </c>
      <c r="G344">
        <v>0</v>
      </c>
      <c r="H344">
        <v>0</v>
      </c>
      <c r="I344">
        <v>0</v>
      </c>
      <c r="J344">
        <v>0</v>
      </c>
      <c r="K344">
        <v>0</v>
      </c>
      <c r="L344">
        <v>0</v>
      </c>
      <c r="M344">
        <v>0</v>
      </c>
      <c r="N344">
        <v>198</v>
      </c>
      <c r="O344">
        <v>251</v>
      </c>
      <c r="P344" t="str">
        <f>TEXT(tbl_working_daily[[#This Row],[ActivityDate]],"dddd")</f>
        <v>Saturday</v>
      </c>
      <c r="Q344" t="str">
        <f>TEXT(tbl_working_daily[[#This Row],[ActivityDate]],"mmmm")</f>
        <v>April</v>
      </c>
      <c r="R344">
        <f t="shared" si="10"/>
        <v>0</v>
      </c>
      <c r="S344">
        <f t="shared" si="11"/>
        <v>198</v>
      </c>
      <c r="T344">
        <f>ROUND(tbl_working_daily[[#This Row],[SedentaryMinutes]]/60,2)</f>
        <v>3.3</v>
      </c>
      <c r="U344" t="str" cm="1">
        <f t="array" ref="U3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4" t="str" cm="1">
        <f t="array" ref="V344">_xlfn.IFS(tbl_working_daily[[#This Row],[VeryActiveMinutes]]&gt;=30,"Very Active",tbl_working_daily[[#This Row],[VeryActiveMinutes]]&gt;=15,"Moderately Active",tbl_working_daily[[#This Row],[VeryActiveMinutes]]&gt;=1,"Lightly Active",tbl_working_daily[[#This Row],[VeryActiveMinutes]]=0,"Sedentary")</f>
        <v>Sedentary</v>
      </c>
      <c r="W344" t="str">
        <f>tbl_working_daily[[#This Row],[Id]]&amp;"|"&amp;TEXT(tbl_working_daily[[#This Row],[ActivityDate]],"yyyy-mm-dd")</f>
        <v>6391747486|2016-04-09</v>
      </c>
      <c r="X344" t="b">
        <f>ISNUMBER(MATCH(tbl_working_daily[[#This Row],[LookupKey]],tbl_working_sleep[LookupKey],0))</f>
        <v>0</v>
      </c>
    </row>
    <row r="345" spans="1:24" x14ac:dyDescent="0.3">
      <c r="A345">
        <v>6775888955</v>
      </c>
      <c r="B345" s="1">
        <v>42461</v>
      </c>
      <c r="C345">
        <v>7225</v>
      </c>
      <c r="D345">
        <v>5.1799998283386204</v>
      </c>
      <c r="E345">
        <v>5.1799998283386204</v>
      </c>
      <c r="F345">
        <v>0</v>
      </c>
      <c r="G345">
        <v>1.7300000190734901</v>
      </c>
      <c r="H345">
        <v>1.2699999809265099</v>
      </c>
      <c r="I345">
        <v>2.1800000667571999</v>
      </c>
      <c r="J345">
        <v>0</v>
      </c>
      <c r="K345">
        <v>25</v>
      </c>
      <c r="L345">
        <v>50</v>
      </c>
      <c r="M345">
        <v>163</v>
      </c>
      <c r="N345">
        <v>1189</v>
      </c>
      <c r="O345">
        <v>3065</v>
      </c>
      <c r="P345" t="str">
        <f>TEXT(tbl_working_daily[[#This Row],[ActivityDate]],"dddd")</f>
        <v>Friday</v>
      </c>
      <c r="Q345" t="str">
        <f>TEXT(tbl_working_daily[[#This Row],[ActivityDate]],"mmmm")</f>
        <v>April</v>
      </c>
      <c r="R345">
        <f t="shared" si="10"/>
        <v>238</v>
      </c>
      <c r="S345">
        <f t="shared" si="11"/>
        <v>1427</v>
      </c>
      <c r="T345">
        <f>ROUND(tbl_working_daily[[#This Row],[SedentaryMinutes]]/60,2)</f>
        <v>19.82</v>
      </c>
      <c r="U345" t="str" cm="1">
        <f t="array" ref="U34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45" t="str" cm="1">
        <f t="array" ref="V345">_xlfn.IFS(tbl_working_daily[[#This Row],[VeryActiveMinutes]]&gt;=30,"Very Active",tbl_working_daily[[#This Row],[VeryActiveMinutes]]&gt;=15,"Moderately Active",tbl_working_daily[[#This Row],[VeryActiveMinutes]]&gt;=1,"Lightly Active",tbl_working_daily[[#This Row],[VeryActiveMinutes]]=0,"Sedentary")</f>
        <v>Moderately Active</v>
      </c>
      <c r="W345" t="str">
        <f>tbl_working_daily[[#This Row],[Id]]&amp;"|"&amp;TEXT(tbl_working_daily[[#This Row],[ActivityDate]],"yyyy-mm-dd")</f>
        <v>6775888955|2016-04-01</v>
      </c>
      <c r="X345" t="b">
        <f>ISNUMBER(MATCH(tbl_working_daily[[#This Row],[LookupKey]],tbl_working_sleep[LookupKey],0))</f>
        <v>0</v>
      </c>
    </row>
    <row r="346" spans="1:24" x14ac:dyDescent="0.3">
      <c r="A346">
        <v>6775888955</v>
      </c>
      <c r="B346" s="1">
        <v>42462</v>
      </c>
      <c r="C346">
        <v>1988</v>
      </c>
      <c r="D346">
        <v>1.4299999475479099</v>
      </c>
      <c r="E346">
        <v>1.4299999475479099</v>
      </c>
      <c r="F346">
        <v>0</v>
      </c>
      <c r="G346">
        <v>0</v>
      </c>
      <c r="H346">
        <v>0</v>
      </c>
      <c r="I346">
        <v>1.4299999475479099</v>
      </c>
      <c r="J346">
        <v>0</v>
      </c>
      <c r="K346">
        <v>0</v>
      </c>
      <c r="L346">
        <v>0</v>
      </c>
      <c r="M346">
        <v>79</v>
      </c>
      <c r="N346">
        <v>909</v>
      </c>
      <c r="O346">
        <v>2207</v>
      </c>
      <c r="P346" t="str">
        <f>TEXT(tbl_working_daily[[#This Row],[ActivityDate]],"dddd")</f>
        <v>Saturday</v>
      </c>
      <c r="Q346" t="str">
        <f>TEXT(tbl_working_daily[[#This Row],[ActivityDate]],"mmmm")</f>
        <v>April</v>
      </c>
      <c r="R346">
        <f t="shared" si="10"/>
        <v>79</v>
      </c>
      <c r="S346">
        <f t="shared" si="11"/>
        <v>988</v>
      </c>
      <c r="T346">
        <f>ROUND(tbl_working_daily[[#This Row],[SedentaryMinutes]]/60,2)</f>
        <v>15.15</v>
      </c>
      <c r="U346" t="str" cm="1">
        <f t="array" ref="U34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6" t="str" cm="1">
        <f t="array" ref="V346">_xlfn.IFS(tbl_working_daily[[#This Row],[VeryActiveMinutes]]&gt;=30,"Very Active",tbl_working_daily[[#This Row],[VeryActiveMinutes]]&gt;=15,"Moderately Active",tbl_working_daily[[#This Row],[VeryActiveMinutes]]&gt;=1,"Lightly Active",tbl_working_daily[[#This Row],[VeryActiveMinutes]]=0,"Sedentary")</f>
        <v>Sedentary</v>
      </c>
      <c r="W346" t="str">
        <f>tbl_working_daily[[#This Row],[Id]]&amp;"|"&amp;TEXT(tbl_working_daily[[#This Row],[ActivityDate]],"yyyy-mm-dd")</f>
        <v>6775888955|2016-04-02</v>
      </c>
      <c r="X346" t="b">
        <f>ISNUMBER(MATCH(tbl_working_daily[[#This Row],[LookupKey]],tbl_working_sleep[LookupKey],0))</f>
        <v>0</v>
      </c>
    </row>
    <row r="347" spans="1:24" x14ac:dyDescent="0.3">
      <c r="A347">
        <v>6775888955</v>
      </c>
      <c r="B347" s="1">
        <v>42463</v>
      </c>
      <c r="C347">
        <v>1577</v>
      </c>
      <c r="D347">
        <v>1.12999999523163</v>
      </c>
      <c r="E347">
        <v>1.12999999523163</v>
      </c>
      <c r="F347">
        <v>0</v>
      </c>
      <c r="G347">
        <v>7.0000000298023196E-2</v>
      </c>
      <c r="H347">
        <v>0.88999998569488503</v>
      </c>
      <c r="I347">
        <v>0.17000000178813901</v>
      </c>
      <c r="J347">
        <v>0</v>
      </c>
      <c r="K347">
        <v>1</v>
      </c>
      <c r="L347">
        <v>17</v>
      </c>
      <c r="M347">
        <v>8</v>
      </c>
      <c r="N347">
        <v>1414</v>
      </c>
      <c r="O347">
        <v>1977</v>
      </c>
      <c r="P347" t="str">
        <f>TEXT(tbl_working_daily[[#This Row],[ActivityDate]],"dddd")</f>
        <v>Sunday</v>
      </c>
      <c r="Q347" t="str">
        <f>TEXT(tbl_working_daily[[#This Row],[ActivityDate]],"mmmm")</f>
        <v>April</v>
      </c>
      <c r="R347">
        <f t="shared" si="10"/>
        <v>26</v>
      </c>
      <c r="S347">
        <f t="shared" si="11"/>
        <v>1440</v>
      </c>
      <c r="T347">
        <f>ROUND(tbl_working_daily[[#This Row],[SedentaryMinutes]]/60,2)</f>
        <v>23.57</v>
      </c>
      <c r="U347" t="str" cm="1">
        <f t="array" ref="U34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7" t="str" cm="1">
        <f t="array" ref="V347">_xlfn.IFS(tbl_working_daily[[#This Row],[VeryActiveMinutes]]&gt;=30,"Very Active",tbl_working_daily[[#This Row],[VeryActiveMinutes]]&gt;=15,"Moderately Active",tbl_working_daily[[#This Row],[VeryActiveMinutes]]&gt;=1,"Lightly Active",tbl_working_daily[[#This Row],[VeryActiveMinutes]]=0,"Sedentary")</f>
        <v>Lightly Active</v>
      </c>
      <c r="W347" t="str">
        <f>tbl_working_daily[[#This Row],[Id]]&amp;"|"&amp;TEXT(tbl_working_daily[[#This Row],[ActivityDate]],"yyyy-mm-dd")</f>
        <v>6775888955|2016-04-03</v>
      </c>
      <c r="X347" t="b">
        <f>ISNUMBER(MATCH(tbl_working_daily[[#This Row],[LookupKey]],tbl_working_sleep[LookupKey],0))</f>
        <v>0</v>
      </c>
    </row>
    <row r="348" spans="1:24" x14ac:dyDescent="0.3">
      <c r="A348">
        <v>6775888955</v>
      </c>
      <c r="B348" s="1">
        <v>42464</v>
      </c>
      <c r="C348">
        <v>0</v>
      </c>
      <c r="D348">
        <v>0</v>
      </c>
      <c r="E348">
        <v>0</v>
      </c>
      <c r="F348">
        <v>0</v>
      </c>
      <c r="G348">
        <v>0</v>
      </c>
      <c r="H348">
        <v>0</v>
      </c>
      <c r="I348">
        <v>0</v>
      </c>
      <c r="J348">
        <v>0</v>
      </c>
      <c r="K348">
        <v>0</v>
      </c>
      <c r="L348">
        <v>0</v>
      </c>
      <c r="M348">
        <v>0</v>
      </c>
      <c r="N348">
        <v>1440</v>
      </c>
      <c r="O348">
        <v>1841</v>
      </c>
      <c r="P348" t="str">
        <f>TEXT(tbl_working_daily[[#This Row],[ActivityDate]],"dddd")</f>
        <v>Monday</v>
      </c>
      <c r="Q348" t="str">
        <f>TEXT(tbl_working_daily[[#This Row],[ActivityDate]],"mmmm")</f>
        <v>April</v>
      </c>
      <c r="R348">
        <f t="shared" si="10"/>
        <v>0</v>
      </c>
      <c r="S348">
        <f t="shared" si="11"/>
        <v>1440</v>
      </c>
      <c r="T348">
        <f>ROUND(tbl_working_daily[[#This Row],[SedentaryMinutes]]/60,2)</f>
        <v>24</v>
      </c>
      <c r="U348" t="str" cm="1">
        <f t="array" ref="U34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48" t="str" cm="1">
        <f t="array" ref="V348">_xlfn.IFS(tbl_working_daily[[#This Row],[VeryActiveMinutes]]&gt;=30,"Very Active",tbl_working_daily[[#This Row],[VeryActiveMinutes]]&gt;=15,"Moderately Active",tbl_working_daily[[#This Row],[VeryActiveMinutes]]&gt;=1,"Lightly Active",tbl_working_daily[[#This Row],[VeryActiveMinutes]]=0,"Sedentary")</f>
        <v>Sedentary</v>
      </c>
      <c r="W348" t="str">
        <f>tbl_working_daily[[#This Row],[Id]]&amp;"|"&amp;TEXT(tbl_working_daily[[#This Row],[ActivityDate]],"yyyy-mm-dd")</f>
        <v>6775888955|2016-04-04</v>
      </c>
      <c r="X348" t="b">
        <f>ISNUMBER(MATCH(tbl_working_daily[[#This Row],[LookupKey]],tbl_working_sleep[LookupKey],0))</f>
        <v>0</v>
      </c>
    </row>
    <row r="349" spans="1:24" x14ac:dyDescent="0.3">
      <c r="A349">
        <v>6775888955</v>
      </c>
      <c r="B349" s="1">
        <v>42465</v>
      </c>
      <c r="C349">
        <v>9348</v>
      </c>
      <c r="D349">
        <v>6.6999998092651403</v>
      </c>
      <c r="E349">
        <v>6.6999998092651403</v>
      </c>
      <c r="F349">
        <v>0</v>
      </c>
      <c r="G349">
        <v>1.12999999523163</v>
      </c>
      <c r="H349">
        <v>2.03999996185303</v>
      </c>
      <c r="I349">
        <v>3.1400001049041699</v>
      </c>
      <c r="J349">
        <v>0</v>
      </c>
      <c r="K349">
        <v>56</v>
      </c>
      <c r="L349">
        <v>133</v>
      </c>
      <c r="M349">
        <v>240</v>
      </c>
      <c r="N349">
        <v>1011</v>
      </c>
      <c r="O349">
        <v>4286</v>
      </c>
      <c r="P349" t="str">
        <f>TEXT(tbl_working_daily[[#This Row],[ActivityDate]],"dddd")</f>
        <v>Tuesday</v>
      </c>
      <c r="Q349" t="str">
        <f>TEXT(tbl_working_daily[[#This Row],[ActivityDate]],"mmmm")</f>
        <v>April</v>
      </c>
      <c r="R349">
        <f t="shared" si="10"/>
        <v>429</v>
      </c>
      <c r="S349">
        <f t="shared" si="11"/>
        <v>1440</v>
      </c>
      <c r="T349">
        <f>ROUND(tbl_working_daily[[#This Row],[SedentaryMinutes]]/60,2)</f>
        <v>16.850000000000001</v>
      </c>
      <c r="U349" t="str" cm="1">
        <f t="array" ref="U34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49" t="str" cm="1">
        <f t="array" ref="V349">_xlfn.IFS(tbl_working_daily[[#This Row],[VeryActiveMinutes]]&gt;=30,"Very Active",tbl_working_daily[[#This Row],[VeryActiveMinutes]]&gt;=15,"Moderately Active",tbl_working_daily[[#This Row],[VeryActiveMinutes]]&gt;=1,"Lightly Active",tbl_working_daily[[#This Row],[VeryActiveMinutes]]=0,"Sedentary")</f>
        <v>Very Active</v>
      </c>
      <c r="W349" t="str">
        <f>tbl_working_daily[[#This Row],[Id]]&amp;"|"&amp;TEXT(tbl_working_daily[[#This Row],[ActivityDate]],"yyyy-mm-dd")</f>
        <v>6775888955|2016-04-05</v>
      </c>
      <c r="X349" t="b">
        <f>ISNUMBER(MATCH(tbl_working_daily[[#This Row],[LookupKey]],tbl_working_sleep[LookupKey],0))</f>
        <v>0</v>
      </c>
    </row>
    <row r="350" spans="1:24" x14ac:dyDescent="0.3">
      <c r="A350">
        <v>6775888955</v>
      </c>
      <c r="B350" s="1">
        <v>42466</v>
      </c>
      <c r="C350">
        <v>11761</v>
      </c>
      <c r="D350">
        <v>8.4300003051757795</v>
      </c>
      <c r="E350">
        <v>8.4300003051757795</v>
      </c>
      <c r="F350">
        <v>0</v>
      </c>
      <c r="G350">
        <v>1.3099999427795399</v>
      </c>
      <c r="H350">
        <v>2.4400000572204599</v>
      </c>
      <c r="I350">
        <v>4.6799998283386204</v>
      </c>
      <c r="J350">
        <v>0</v>
      </c>
      <c r="K350">
        <v>24</v>
      </c>
      <c r="L350">
        <v>99</v>
      </c>
      <c r="M350">
        <v>300</v>
      </c>
      <c r="N350">
        <v>550</v>
      </c>
      <c r="O350">
        <v>3920</v>
      </c>
      <c r="P350" t="str">
        <f>TEXT(tbl_working_daily[[#This Row],[ActivityDate]],"dddd")</f>
        <v>Wednesday</v>
      </c>
      <c r="Q350" t="str">
        <f>TEXT(tbl_working_daily[[#This Row],[ActivityDate]],"mmmm")</f>
        <v>April</v>
      </c>
      <c r="R350">
        <f t="shared" si="10"/>
        <v>423</v>
      </c>
      <c r="S350">
        <f t="shared" si="11"/>
        <v>973</v>
      </c>
      <c r="T350">
        <f>ROUND(tbl_working_daily[[#This Row],[SedentaryMinutes]]/60,2)</f>
        <v>9.17</v>
      </c>
      <c r="U350" t="str" cm="1">
        <f t="array" ref="U35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50" t="str" cm="1">
        <f t="array" ref="V350">_xlfn.IFS(tbl_working_daily[[#This Row],[VeryActiveMinutes]]&gt;=30,"Very Active",tbl_working_daily[[#This Row],[VeryActiveMinutes]]&gt;=15,"Moderately Active",tbl_working_daily[[#This Row],[VeryActiveMinutes]]&gt;=1,"Lightly Active",tbl_working_daily[[#This Row],[VeryActiveMinutes]]=0,"Sedentary")</f>
        <v>Moderately Active</v>
      </c>
      <c r="W350" t="str">
        <f>tbl_working_daily[[#This Row],[Id]]&amp;"|"&amp;TEXT(tbl_working_daily[[#This Row],[ActivityDate]],"yyyy-mm-dd")</f>
        <v>6775888955|2016-04-06</v>
      </c>
      <c r="X350" t="b">
        <f>ISNUMBER(MATCH(tbl_working_daily[[#This Row],[LookupKey]],tbl_working_sleep[LookupKey],0))</f>
        <v>0</v>
      </c>
    </row>
    <row r="351" spans="1:24" x14ac:dyDescent="0.3">
      <c r="A351">
        <v>6775888955</v>
      </c>
      <c r="B351" s="1">
        <v>42467</v>
      </c>
      <c r="C351">
        <v>13987</v>
      </c>
      <c r="D351">
        <v>10.0299997329712</v>
      </c>
      <c r="E351">
        <v>10.0299997329712</v>
      </c>
      <c r="F351">
        <v>0</v>
      </c>
      <c r="G351">
        <v>2.8699998855590798</v>
      </c>
      <c r="H351">
        <v>3.3399999141693102</v>
      </c>
      <c r="I351">
        <v>3.8199999332428001</v>
      </c>
      <c r="J351">
        <v>0</v>
      </c>
      <c r="K351">
        <v>46</v>
      </c>
      <c r="L351">
        <v>114</v>
      </c>
      <c r="M351">
        <v>250</v>
      </c>
      <c r="N351">
        <v>739</v>
      </c>
      <c r="O351">
        <v>3856</v>
      </c>
      <c r="P351" t="str">
        <f>TEXT(tbl_working_daily[[#This Row],[ActivityDate]],"dddd")</f>
        <v>Thursday</v>
      </c>
      <c r="Q351" t="str">
        <f>TEXT(tbl_working_daily[[#This Row],[ActivityDate]],"mmmm")</f>
        <v>April</v>
      </c>
      <c r="R351">
        <f t="shared" si="10"/>
        <v>410</v>
      </c>
      <c r="S351">
        <f t="shared" si="11"/>
        <v>1149</v>
      </c>
      <c r="T351">
        <f>ROUND(tbl_working_daily[[#This Row],[SedentaryMinutes]]/60,2)</f>
        <v>12.32</v>
      </c>
      <c r="U351" t="str" cm="1">
        <f t="array" ref="U35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51" t="str" cm="1">
        <f t="array" ref="V351">_xlfn.IFS(tbl_working_daily[[#This Row],[VeryActiveMinutes]]&gt;=30,"Very Active",tbl_working_daily[[#This Row],[VeryActiveMinutes]]&gt;=15,"Moderately Active",tbl_working_daily[[#This Row],[VeryActiveMinutes]]&gt;=1,"Lightly Active",tbl_working_daily[[#This Row],[VeryActiveMinutes]]=0,"Sedentary")</f>
        <v>Very Active</v>
      </c>
      <c r="W351" t="str">
        <f>tbl_working_daily[[#This Row],[Id]]&amp;"|"&amp;TEXT(tbl_working_daily[[#This Row],[ActivityDate]],"yyyy-mm-dd")</f>
        <v>6775888955|2016-04-07</v>
      </c>
      <c r="X351" t="b">
        <f>ISNUMBER(MATCH(tbl_working_daily[[#This Row],[LookupKey]],tbl_working_sleep[LookupKey],0))</f>
        <v>0</v>
      </c>
    </row>
    <row r="352" spans="1:24" x14ac:dyDescent="0.3">
      <c r="A352">
        <v>6775888955</v>
      </c>
      <c r="B352" s="1">
        <v>42468</v>
      </c>
      <c r="C352">
        <v>4131</v>
      </c>
      <c r="D352">
        <v>2.96000003814697</v>
      </c>
      <c r="E352">
        <v>2.96000003814697</v>
      </c>
      <c r="F352">
        <v>0</v>
      </c>
      <c r="G352">
        <v>1.37000000476837</v>
      </c>
      <c r="H352">
        <v>0.61000001430511497</v>
      </c>
      <c r="I352">
        <v>0.980000019073486</v>
      </c>
      <c r="J352">
        <v>0</v>
      </c>
      <c r="K352">
        <v>27</v>
      </c>
      <c r="L352">
        <v>30</v>
      </c>
      <c r="M352">
        <v>75</v>
      </c>
      <c r="N352">
        <v>1308</v>
      </c>
      <c r="O352">
        <v>2584</v>
      </c>
      <c r="P352" t="str">
        <f>TEXT(tbl_working_daily[[#This Row],[ActivityDate]],"dddd")</f>
        <v>Friday</v>
      </c>
      <c r="Q352" t="str">
        <f>TEXT(tbl_working_daily[[#This Row],[ActivityDate]],"mmmm")</f>
        <v>April</v>
      </c>
      <c r="R352">
        <f t="shared" si="10"/>
        <v>132</v>
      </c>
      <c r="S352">
        <f t="shared" si="11"/>
        <v>1440</v>
      </c>
      <c r="T352">
        <f>ROUND(tbl_working_daily[[#This Row],[SedentaryMinutes]]/60,2)</f>
        <v>21.8</v>
      </c>
      <c r="U352" t="str" cm="1">
        <f t="array" ref="U35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52" t="str" cm="1">
        <f t="array" ref="V352">_xlfn.IFS(tbl_working_daily[[#This Row],[VeryActiveMinutes]]&gt;=30,"Very Active",tbl_working_daily[[#This Row],[VeryActiveMinutes]]&gt;=15,"Moderately Active",tbl_working_daily[[#This Row],[VeryActiveMinutes]]&gt;=1,"Lightly Active",tbl_working_daily[[#This Row],[VeryActiveMinutes]]=0,"Sedentary")</f>
        <v>Moderately Active</v>
      </c>
      <c r="W352" t="str">
        <f>tbl_working_daily[[#This Row],[Id]]&amp;"|"&amp;TEXT(tbl_working_daily[[#This Row],[ActivityDate]],"yyyy-mm-dd")</f>
        <v>6775888955|2016-04-08</v>
      </c>
      <c r="X352" t="b">
        <f>ISNUMBER(MATCH(tbl_working_daily[[#This Row],[LookupKey]],tbl_working_sleep[LookupKey],0))</f>
        <v>0</v>
      </c>
    </row>
    <row r="353" spans="1:24" x14ac:dyDescent="0.3">
      <c r="A353">
        <v>6775888955</v>
      </c>
      <c r="B353" s="1">
        <v>42469</v>
      </c>
      <c r="C353">
        <v>14</v>
      </c>
      <c r="D353">
        <v>9.9999997764825804E-3</v>
      </c>
      <c r="E353">
        <v>9.9999997764825804E-3</v>
      </c>
      <c r="F353">
        <v>0</v>
      </c>
      <c r="G353">
        <v>0</v>
      </c>
      <c r="H353">
        <v>0</v>
      </c>
      <c r="I353">
        <v>9.9999997764825804E-3</v>
      </c>
      <c r="J353">
        <v>0</v>
      </c>
      <c r="K353">
        <v>0</v>
      </c>
      <c r="L353">
        <v>0</v>
      </c>
      <c r="M353">
        <v>1</v>
      </c>
      <c r="N353">
        <v>601</v>
      </c>
      <c r="O353">
        <v>787</v>
      </c>
      <c r="P353" t="str">
        <f>TEXT(tbl_working_daily[[#This Row],[ActivityDate]],"dddd")</f>
        <v>Saturday</v>
      </c>
      <c r="Q353" t="str">
        <f>TEXT(tbl_working_daily[[#This Row],[ActivityDate]],"mmmm")</f>
        <v>April</v>
      </c>
      <c r="R353">
        <f t="shared" si="10"/>
        <v>1</v>
      </c>
      <c r="S353">
        <f t="shared" si="11"/>
        <v>602</v>
      </c>
      <c r="T353">
        <f>ROUND(tbl_working_daily[[#This Row],[SedentaryMinutes]]/60,2)</f>
        <v>10.02</v>
      </c>
      <c r="U353" t="str" cm="1">
        <f t="array" ref="U35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53" t="str" cm="1">
        <f t="array" ref="V353">_xlfn.IFS(tbl_working_daily[[#This Row],[VeryActiveMinutes]]&gt;=30,"Very Active",tbl_working_daily[[#This Row],[VeryActiveMinutes]]&gt;=15,"Moderately Active",tbl_working_daily[[#This Row],[VeryActiveMinutes]]&gt;=1,"Lightly Active",tbl_working_daily[[#This Row],[VeryActiveMinutes]]=0,"Sedentary")</f>
        <v>Sedentary</v>
      </c>
      <c r="W353" t="str">
        <f>tbl_working_daily[[#This Row],[Id]]&amp;"|"&amp;TEXT(tbl_working_daily[[#This Row],[ActivityDate]],"yyyy-mm-dd")</f>
        <v>6775888955|2016-04-09</v>
      </c>
      <c r="X353" t="b">
        <f>ISNUMBER(MATCH(tbl_working_daily[[#This Row],[LookupKey]],tbl_working_sleep[LookupKey],0))</f>
        <v>0</v>
      </c>
    </row>
    <row r="354" spans="1:24" x14ac:dyDescent="0.3">
      <c r="A354">
        <v>6962181067</v>
      </c>
      <c r="B354" s="1">
        <v>42459</v>
      </c>
      <c r="C354">
        <v>15491</v>
      </c>
      <c r="D354">
        <v>10.2399997711182</v>
      </c>
      <c r="E354">
        <v>10.2399997711182</v>
      </c>
      <c r="F354">
        <v>0</v>
      </c>
      <c r="G354">
        <v>1.28999996185303</v>
      </c>
      <c r="H354">
        <v>4.4899997711181596</v>
      </c>
      <c r="I354">
        <v>4.46000003814697</v>
      </c>
      <c r="J354">
        <v>0</v>
      </c>
      <c r="K354">
        <v>18</v>
      </c>
      <c r="L354">
        <v>77</v>
      </c>
      <c r="M354">
        <v>272</v>
      </c>
      <c r="N354">
        <v>641</v>
      </c>
      <c r="O354">
        <v>2244</v>
      </c>
      <c r="P354" t="str">
        <f>TEXT(tbl_working_daily[[#This Row],[ActivityDate]],"dddd")</f>
        <v>Wednesday</v>
      </c>
      <c r="Q354" t="str">
        <f>TEXT(tbl_working_daily[[#This Row],[ActivityDate]],"mmmm")</f>
        <v>March</v>
      </c>
      <c r="R354">
        <f t="shared" si="10"/>
        <v>367</v>
      </c>
      <c r="S354">
        <f t="shared" si="11"/>
        <v>1008</v>
      </c>
      <c r="T354">
        <f>ROUND(tbl_working_daily[[#This Row],[SedentaryMinutes]]/60,2)</f>
        <v>10.68</v>
      </c>
      <c r="U354" t="str" cm="1">
        <f t="array" ref="U35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54" t="str" cm="1">
        <f t="array" ref="V354">_xlfn.IFS(tbl_working_daily[[#This Row],[VeryActiveMinutes]]&gt;=30,"Very Active",tbl_working_daily[[#This Row],[VeryActiveMinutes]]&gt;=15,"Moderately Active",tbl_working_daily[[#This Row],[VeryActiveMinutes]]&gt;=1,"Lightly Active",tbl_working_daily[[#This Row],[VeryActiveMinutes]]=0,"Sedentary")</f>
        <v>Moderately Active</v>
      </c>
      <c r="W354" t="str">
        <f>tbl_working_daily[[#This Row],[Id]]&amp;"|"&amp;TEXT(tbl_working_daily[[#This Row],[ActivityDate]],"yyyy-mm-dd")</f>
        <v>6962181067|2016-03-30</v>
      </c>
      <c r="X354" t="b">
        <f>ISNUMBER(MATCH(tbl_working_daily[[#This Row],[LookupKey]],tbl_working_sleep[LookupKey],0))</f>
        <v>0</v>
      </c>
    </row>
    <row r="355" spans="1:24" x14ac:dyDescent="0.3">
      <c r="A355">
        <v>6962181067</v>
      </c>
      <c r="B355" s="1">
        <v>42460</v>
      </c>
      <c r="C355">
        <v>14097</v>
      </c>
      <c r="D355">
        <v>9.3199996948242205</v>
      </c>
      <c r="E355">
        <v>9.3199996948242205</v>
      </c>
      <c r="F355">
        <v>0</v>
      </c>
      <c r="G355">
        <v>3.5</v>
      </c>
      <c r="H355">
        <v>1.91999995708466</v>
      </c>
      <c r="I355">
        <v>3.9000000953674299</v>
      </c>
      <c r="J355">
        <v>0</v>
      </c>
      <c r="K355">
        <v>50</v>
      </c>
      <c r="L355">
        <v>32</v>
      </c>
      <c r="M355">
        <v>234</v>
      </c>
      <c r="N355">
        <v>595</v>
      </c>
      <c r="O355">
        <v>2188</v>
      </c>
      <c r="P355" t="str">
        <f>TEXT(tbl_working_daily[[#This Row],[ActivityDate]],"dddd")</f>
        <v>Thursday</v>
      </c>
      <c r="Q355" t="str">
        <f>TEXT(tbl_working_daily[[#This Row],[ActivityDate]],"mmmm")</f>
        <v>March</v>
      </c>
      <c r="R355">
        <f t="shared" si="10"/>
        <v>316</v>
      </c>
      <c r="S355">
        <f t="shared" si="11"/>
        <v>911</v>
      </c>
      <c r="T355">
        <f>ROUND(tbl_working_daily[[#This Row],[SedentaryMinutes]]/60,2)</f>
        <v>9.92</v>
      </c>
      <c r="U355" t="str" cm="1">
        <f t="array" ref="U35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55" t="str" cm="1">
        <f t="array" ref="V355">_xlfn.IFS(tbl_working_daily[[#This Row],[VeryActiveMinutes]]&gt;=30,"Very Active",tbl_working_daily[[#This Row],[VeryActiveMinutes]]&gt;=15,"Moderately Active",tbl_working_daily[[#This Row],[VeryActiveMinutes]]&gt;=1,"Lightly Active",tbl_working_daily[[#This Row],[VeryActiveMinutes]]=0,"Sedentary")</f>
        <v>Very Active</v>
      </c>
      <c r="W355" t="str">
        <f>tbl_working_daily[[#This Row],[Id]]&amp;"|"&amp;TEXT(tbl_working_daily[[#This Row],[ActivityDate]],"yyyy-mm-dd")</f>
        <v>6962181067|2016-03-31</v>
      </c>
      <c r="X355" t="b">
        <f>ISNUMBER(MATCH(tbl_working_daily[[#This Row],[LookupKey]],tbl_working_sleep[LookupKey],0))</f>
        <v>0</v>
      </c>
    </row>
    <row r="356" spans="1:24" x14ac:dyDescent="0.3">
      <c r="A356">
        <v>6962181067</v>
      </c>
      <c r="B356" s="1">
        <v>42461</v>
      </c>
      <c r="C356">
        <v>10467</v>
      </c>
      <c r="D356">
        <v>6.9800000190734899</v>
      </c>
      <c r="E356">
        <v>6.9800000190734899</v>
      </c>
      <c r="F356">
        <v>0</v>
      </c>
      <c r="G356">
        <v>0.69999998807907104</v>
      </c>
      <c r="H356">
        <v>2.4300000667571999</v>
      </c>
      <c r="I356">
        <v>3.8499999046325701</v>
      </c>
      <c r="J356">
        <v>0</v>
      </c>
      <c r="K356">
        <v>9</v>
      </c>
      <c r="L356">
        <v>45</v>
      </c>
      <c r="M356">
        <v>252</v>
      </c>
      <c r="N356">
        <v>602</v>
      </c>
      <c r="O356">
        <v>2014</v>
      </c>
      <c r="P356" t="str">
        <f>TEXT(tbl_working_daily[[#This Row],[ActivityDate]],"dddd")</f>
        <v>Friday</v>
      </c>
      <c r="Q356" t="str">
        <f>TEXT(tbl_working_daily[[#This Row],[ActivityDate]],"mmmm")</f>
        <v>April</v>
      </c>
      <c r="R356">
        <f t="shared" si="10"/>
        <v>306</v>
      </c>
      <c r="S356">
        <f t="shared" si="11"/>
        <v>908</v>
      </c>
      <c r="T356">
        <f>ROUND(tbl_working_daily[[#This Row],[SedentaryMinutes]]/60,2)</f>
        <v>10.029999999999999</v>
      </c>
      <c r="U356" t="str" cm="1">
        <f t="array" ref="U35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56" t="str" cm="1">
        <f t="array" ref="V356">_xlfn.IFS(tbl_working_daily[[#This Row],[VeryActiveMinutes]]&gt;=30,"Very Active",tbl_working_daily[[#This Row],[VeryActiveMinutes]]&gt;=15,"Moderately Active",tbl_working_daily[[#This Row],[VeryActiveMinutes]]&gt;=1,"Lightly Active",tbl_working_daily[[#This Row],[VeryActiveMinutes]]=0,"Sedentary")</f>
        <v>Lightly Active</v>
      </c>
      <c r="W356" t="str">
        <f>tbl_working_daily[[#This Row],[Id]]&amp;"|"&amp;TEXT(tbl_working_daily[[#This Row],[ActivityDate]],"yyyy-mm-dd")</f>
        <v>6962181067|2016-04-01</v>
      </c>
      <c r="X356" t="b">
        <f>ISNUMBER(MATCH(tbl_working_daily[[#This Row],[LookupKey]],tbl_working_sleep[LookupKey],0))</f>
        <v>0</v>
      </c>
    </row>
    <row r="357" spans="1:24" x14ac:dyDescent="0.3">
      <c r="A357">
        <v>6962181067</v>
      </c>
      <c r="B357" s="1">
        <v>42462</v>
      </c>
      <c r="C357">
        <v>12437</v>
      </c>
      <c r="D357">
        <v>8.3000001907348597</v>
      </c>
      <c r="E357">
        <v>8.3000001907348597</v>
      </c>
      <c r="F357">
        <v>0</v>
      </c>
      <c r="G357">
        <v>3.7599999904632599</v>
      </c>
      <c r="H357">
        <v>1.28999996185303</v>
      </c>
      <c r="I357">
        <v>3.2400000095367401</v>
      </c>
      <c r="J357">
        <v>0</v>
      </c>
      <c r="K357">
        <v>50</v>
      </c>
      <c r="L357">
        <v>24</v>
      </c>
      <c r="M357">
        <v>219</v>
      </c>
      <c r="N357">
        <v>732</v>
      </c>
      <c r="O357">
        <v>2115</v>
      </c>
      <c r="P357" t="str">
        <f>TEXT(tbl_working_daily[[#This Row],[ActivityDate]],"dddd")</f>
        <v>Saturday</v>
      </c>
      <c r="Q357" t="str">
        <f>TEXT(tbl_working_daily[[#This Row],[ActivityDate]],"mmmm")</f>
        <v>April</v>
      </c>
      <c r="R357">
        <f t="shared" si="10"/>
        <v>293</v>
      </c>
      <c r="S357">
        <f t="shared" si="11"/>
        <v>1025</v>
      </c>
      <c r="T357">
        <f>ROUND(tbl_working_daily[[#This Row],[SedentaryMinutes]]/60,2)</f>
        <v>12.2</v>
      </c>
      <c r="U357" t="str" cm="1">
        <f t="array" ref="U35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57" t="str" cm="1">
        <f t="array" ref="V357">_xlfn.IFS(tbl_working_daily[[#This Row],[VeryActiveMinutes]]&gt;=30,"Very Active",tbl_working_daily[[#This Row],[VeryActiveMinutes]]&gt;=15,"Moderately Active",tbl_working_daily[[#This Row],[VeryActiveMinutes]]&gt;=1,"Lightly Active",tbl_working_daily[[#This Row],[VeryActiveMinutes]]=0,"Sedentary")</f>
        <v>Very Active</v>
      </c>
      <c r="W357" t="str">
        <f>tbl_working_daily[[#This Row],[Id]]&amp;"|"&amp;TEXT(tbl_working_daily[[#This Row],[ActivityDate]],"yyyy-mm-dd")</f>
        <v>6962181067|2016-04-02</v>
      </c>
      <c r="X357" t="b">
        <f>ISNUMBER(MATCH(tbl_working_daily[[#This Row],[LookupKey]],tbl_working_sleep[LookupKey],0))</f>
        <v>0</v>
      </c>
    </row>
    <row r="358" spans="1:24" x14ac:dyDescent="0.3">
      <c r="A358">
        <v>6962181067</v>
      </c>
      <c r="B358" s="1">
        <v>42463</v>
      </c>
      <c r="C358">
        <v>12307</v>
      </c>
      <c r="D358">
        <v>8.1400003433227504</v>
      </c>
      <c r="E358">
        <v>8.1400003433227504</v>
      </c>
      <c r="F358">
        <v>0</v>
      </c>
      <c r="G358">
        <v>1.0099999904632599</v>
      </c>
      <c r="H358">
        <v>3.2599999904632599</v>
      </c>
      <c r="I358">
        <v>3.8699998855590798</v>
      </c>
      <c r="J358">
        <v>0</v>
      </c>
      <c r="K358">
        <v>14</v>
      </c>
      <c r="L358">
        <v>51</v>
      </c>
      <c r="M358">
        <v>218</v>
      </c>
      <c r="N358">
        <v>589</v>
      </c>
      <c r="O358">
        <v>2055</v>
      </c>
      <c r="P358" t="str">
        <f>TEXT(tbl_working_daily[[#This Row],[ActivityDate]],"dddd")</f>
        <v>Sunday</v>
      </c>
      <c r="Q358" t="str">
        <f>TEXT(tbl_working_daily[[#This Row],[ActivityDate]],"mmmm")</f>
        <v>April</v>
      </c>
      <c r="R358">
        <f t="shared" si="10"/>
        <v>283</v>
      </c>
      <c r="S358">
        <f t="shared" si="11"/>
        <v>872</v>
      </c>
      <c r="T358">
        <f>ROUND(tbl_working_daily[[#This Row],[SedentaryMinutes]]/60,2)</f>
        <v>9.82</v>
      </c>
      <c r="U358" t="str" cm="1">
        <f t="array" ref="U35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58" t="str" cm="1">
        <f t="array" ref="V358">_xlfn.IFS(tbl_working_daily[[#This Row],[VeryActiveMinutes]]&gt;=30,"Very Active",tbl_working_daily[[#This Row],[VeryActiveMinutes]]&gt;=15,"Moderately Active",tbl_working_daily[[#This Row],[VeryActiveMinutes]]&gt;=1,"Lightly Active",tbl_working_daily[[#This Row],[VeryActiveMinutes]]=0,"Sedentary")</f>
        <v>Lightly Active</v>
      </c>
      <c r="W358" t="str">
        <f>tbl_working_daily[[#This Row],[Id]]&amp;"|"&amp;TEXT(tbl_working_daily[[#This Row],[ActivityDate]],"yyyy-mm-dd")</f>
        <v>6962181067|2016-04-03</v>
      </c>
      <c r="X358" t="b">
        <f>ISNUMBER(MATCH(tbl_working_daily[[#This Row],[LookupKey]],tbl_working_sleep[LookupKey],0))</f>
        <v>0</v>
      </c>
    </row>
    <row r="359" spans="1:24" x14ac:dyDescent="0.3">
      <c r="A359">
        <v>6962181067</v>
      </c>
      <c r="B359" s="1">
        <v>42464</v>
      </c>
      <c r="C359">
        <v>18952</v>
      </c>
      <c r="D359">
        <v>12.800000190734901</v>
      </c>
      <c r="E359">
        <v>12.800000190734901</v>
      </c>
      <c r="F359">
        <v>0</v>
      </c>
      <c r="G359">
        <v>5.9099998474121103</v>
      </c>
      <c r="H359">
        <v>1.2300000190734901</v>
      </c>
      <c r="I359">
        <v>5.6599998474121103</v>
      </c>
      <c r="J359">
        <v>0</v>
      </c>
      <c r="K359">
        <v>73</v>
      </c>
      <c r="L359">
        <v>20</v>
      </c>
      <c r="M359">
        <v>327</v>
      </c>
      <c r="N359">
        <v>570</v>
      </c>
      <c r="O359">
        <v>2437</v>
      </c>
      <c r="P359" t="str">
        <f>TEXT(tbl_working_daily[[#This Row],[ActivityDate]],"dddd")</f>
        <v>Monday</v>
      </c>
      <c r="Q359" t="str">
        <f>TEXT(tbl_working_daily[[#This Row],[ActivityDate]],"mmmm")</f>
        <v>April</v>
      </c>
      <c r="R359">
        <f t="shared" si="10"/>
        <v>420</v>
      </c>
      <c r="S359">
        <f t="shared" si="11"/>
        <v>990</v>
      </c>
      <c r="T359">
        <f>ROUND(tbl_working_daily[[#This Row],[SedentaryMinutes]]/60,2)</f>
        <v>9.5</v>
      </c>
      <c r="U359" t="str" cm="1">
        <f t="array" ref="U35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59" t="str" cm="1">
        <f t="array" ref="V359">_xlfn.IFS(tbl_working_daily[[#This Row],[VeryActiveMinutes]]&gt;=30,"Very Active",tbl_working_daily[[#This Row],[VeryActiveMinutes]]&gt;=15,"Moderately Active",tbl_working_daily[[#This Row],[VeryActiveMinutes]]&gt;=1,"Lightly Active",tbl_working_daily[[#This Row],[VeryActiveMinutes]]=0,"Sedentary")</f>
        <v>Very Active</v>
      </c>
      <c r="W359" t="str">
        <f>tbl_working_daily[[#This Row],[Id]]&amp;"|"&amp;TEXT(tbl_working_daily[[#This Row],[ActivityDate]],"yyyy-mm-dd")</f>
        <v>6962181067|2016-04-04</v>
      </c>
      <c r="X359" t="b">
        <f>ISNUMBER(MATCH(tbl_working_daily[[#This Row],[LookupKey]],tbl_working_sleep[LookupKey],0))</f>
        <v>0</v>
      </c>
    </row>
    <row r="360" spans="1:24" x14ac:dyDescent="0.3">
      <c r="A360">
        <v>6962181067</v>
      </c>
      <c r="B360" s="1">
        <v>42465</v>
      </c>
      <c r="C360">
        <v>12010</v>
      </c>
      <c r="D360">
        <v>7.9400000572204599</v>
      </c>
      <c r="E360">
        <v>7.9400000572204599</v>
      </c>
      <c r="F360">
        <v>0</v>
      </c>
      <c r="G360">
        <v>2.3800001144409202</v>
      </c>
      <c r="H360">
        <v>0.94999998807907104</v>
      </c>
      <c r="I360">
        <v>4.6100001335143999</v>
      </c>
      <c r="J360">
        <v>0</v>
      </c>
      <c r="K360">
        <v>38</v>
      </c>
      <c r="L360">
        <v>17</v>
      </c>
      <c r="M360">
        <v>287</v>
      </c>
      <c r="N360">
        <v>692</v>
      </c>
      <c r="O360">
        <v>2158</v>
      </c>
      <c r="P360" t="str">
        <f>TEXT(tbl_working_daily[[#This Row],[ActivityDate]],"dddd")</f>
        <v>Tuesday</v>
      </c>
      <c r="Q360" t="str">
        <f>TEXT(tbl_working_daily[[#This Row],[ActivityDate]],"mmmm")</f>
        <v>April</v>
      </c>
      <c r="R360">
        <f t="shared" si="10"/>
        <v>342</v>
      </c>
      <c r="S360">
        <f t="shared" si="11"/>
        <v>1034</v>
      </c>
      <c r="T360">
        <f>ROUND(tbl_working_daily[[#This Row],[SedentaryMinutes]]/60,2)</f>
        <v>11.53</v>
      </c>
      <c r="U360" t="str" cm="1">
        <f t="array" ref="U36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0" t="str" cm="1">
        <f t="array" ref="V360">_xlfn.IFS(tbl_working_daily[[#This Row],[VeryActiveMinutes]]&gt;=30,"Very Active",tbl_working_daily[[#This Row],[VeryActiveMinutes]]&gt;=15,"Moderately Active",tbl_working_daily[[#This Row],[VeryActiveMinutes]]&gt;=1,"Lightly Active",tbl_working_daily[[#This Row],[VeryActiveMinutes]]=0,"Sedentary")</f>
        <v>Very Active</v>
      </c>
      <c r="W360" t="str">
        <f>tbl_working_daily[[#This Row],[Id]]&amp;"|"&amp;TEXT(tbl_working_daily[[#This Row],[ActivityDate]],"yyyy-mm-dd")</f>
        <v>6962181067|2016-04-05</v>
      </c>
      <c r="X360" t="b">
        <f>ISNUMBER(MATCH(tbl_working_daily[[#This Row],[LookupKey]],tbl_working_sleep[LookupKey],0))</f>
        <v>0</v>
      </c>
    </row>
    <row r="361" spans="1:24" x14ac:dyDescent="0.3">
      <c r="A361">
        <v>6962181067</v>
      </c>
      <c r="B361" s="1">
        <v>42466</v>
      </c>
      <c r="C361">
        <v>12480</v>
      </c>
      <c r="D361">
        <v>8.8599996566772496</v>
      </c>
      <c r="E361">
        <v>8.25</v>
      </c>
      <c r="F361">
        <v>3.9727950096130402</v>
      </c>
      <c r="G361">
        <v>4.1799998283386204</v>
      </c>
      <c r="H361">
        <v>0.68999999761581399</v>
      </c>
      <c r="I361">
        <v>4</v>
      </c>
      <c r="J361">
        <v>0</v>
      </c>
      <c r="K361">
        <v>55</v>
      </c>
      <c r="L361">
        <v>14</v>
      </c>
      <c r="M361">
        <v>276</v>
      </c>
      <c r="N361">
        <v>593</v>
      </c>
      <c r="O361">
        <v>2170</v>
      </c>
      <c r="P361" t="str">
        <f>TEXT(tbl_working_daily[[#This Row],[ActivityDate]],"dddd")</f>
        <v>Wednesday</v>
      </c>
      <c r="Q361" t="str">
        <f>TEXT(tbl_working_daily[[#This Row],[ActivityDate]],"mmmm")</f>
        <v>April</v>
      </c>
      <c r="R361">
        <f t="shared" si="10"/>
        <v>345</v>
      </c>
      <c r="S361">
        <f t="shared" si="11"/>
        <v>938</v>
      </c>
      <c r="T361">
        <f>ROUND(tbl_working_daily[[#This Row],[SedentaryMinutes]]/60,2)</f>
        <v>9.8800000000000008</v>
      </c>
      <c r="U361" t="str" cm="1">
        <f t="array" ref="U36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1" t="str" cm="1">
        <f t="array" ref="V361">_xlfn.IFS(tbl_working_daily[[#This Row],[VeryActiveMinutes]]&gt;=30,"Very Active",tbl_working_daily[[#This Row],[VeryActiveMinutes]]&gt;=15,"Moderately Active",tbl_working_daily[[#This Row],[VeryActiveMinutes]]&gt;=1,"Lightly Active",tbl_working_daily[[#This Row],[VeryActiveMinutes]]=0,"Sedentary")</f>
        <v>Very Active</v>
      </c>
      <c r="W361" t="str">
        <f>tbl_working_daily[[#This Row],[Id]]&amp;"|"&amp;TEXT(tbl_working_daily[[#This Row],[ActivityDate]],"yyyy-mm-dd")</f>
        <v>6962181067|2016-04-06</v>
      </c>
      <c r="X361" t="b">
        <f>ISNUMBER(MATCH(tbl_working_daily[[#This Row],[LookupKey]],tbl_working_sleep[LookupKey],0))</f>
        <v>0</v>
      </c>
    </row>
    <row r="362" spans="1:24" x14ac:dyDescent="0.3">
      <c r="A362">
        <v>6962181067</v>
      </c>
      <c r="B362" s="1">
        <v>42467</v>
      </c>
      <c r="C362">
        <v>13417</v>
      </c>
      <c r="D362">
        <v>9.6499996185302699</v>
      </c>
      <c r="E362">
        <v>8.8699998855590803</v>
      </c>
      <c r="F362">
        <v>1.92630195617676</v>
      </c>
      <c r="G362">
        <v>3.3900001049041699</v>
      </c>
      <c r="H362">
        <v>1.25</v>
      </c>
      <c r="I362">
        <v>4.9099998474121103</v>
      </c>
      <c r="J362">
        <v>0.10000000149011599</v>
      </c>
      <c r="K362">
        <v>45</v>
      </c>
      <c r="L362">
        <v>16</v>
      </c>
      <c r="M362">
        <v>284</v>
      </c>
      <c r="N362">
        <v>665</v>
      </c>
      <c r="O362">
        <v>2244</v>
      </c>
      <c r="P362" t="str">
        <f>TEXT(tbl_working_daily[[#This Row],[ActivityDate]],"dddd")</f>
        <v>Thursday</v>
      </c>
      <c r="Q362" t="str">
        <f>TEXT(tbl_working_daily[[#This Row],[ActivityDate]],"mmmm")</f>
        <v>April</v>
      </c>
      <c r="R362">
        <f t="shared" si="10"/>
        <v>345</v>
      </c>
      <c r="S362">
        <f t="shared" si="11"/>
        <v>1010</v>
      </c>
      <c r="T362">
        <f>ROUND(tbl_working_daily[[#This Row],[SedentaryMinutes]]/60,2)</f>
        <v>11.08</v>
      </c>
      <c r="U362" t="str" cm="1">
        <f t="array" ref="U36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62" t="str" cm="1">
        <f t="array" ref="V362">_xlfn.IFS(tbl_working_daily[[#This Row],[VeryActiveMinutes]]&gt;=30,"Very Active",tbl_working_daily[[#This Row],[VeryActiveMinutes]]&gt;=15,"Moderately Active",tbl_working_daily[[#This Row],[VeryActiveMinutes]]&gt;=1,"Lightly Active",tbl_working_daily[[#This Row],[VeryActiveMinutes]]=0,"Sedentary")</f>
        <v>Very Active</v>
      </c>
      <c r="W362" t="str">
        <f>tbl_working_daily[[#This Row],[Id]]&amp;"|"&amp;TEXT(tbl_working_daily[[#This Row],[ActivityDate]],"yyyy-mm-dd")</f>
        <v>6962181067|2016-04-07</v>
      </c>
      <c r="X362" t="b">
        <f>ISNUMBER(MATCH(tbl_working_daily[[#This Row],[LookupKey]],tbl_working_sleep[LookupKey],0))</f>
        <v>0</v>
      </c>
    </row>
    <row r="363" spans="1:24" x14ac:dyDescent="0.3">
      <c r="A363">
        <v>6962181067</v>
      </c>
      <c r="B363" s="1">
        <v>42468</v>
      </c>
      <c r="C363">
        <v>14400</v>
      </c>
      <c r="D363">
        <v>10.8800001144409</v>
      </c>
      <c r="E363">
        <v>9.5200004577636701</v>
      </c>
      <c r="F363">
        <v>5.4568638801574698</v>
      </c>
      <c r="G363">
        <v>2.4700000286102299</v>
      </c>
      <c r="H363">
        <v>2.8800001144409202</v>
      </c>
      <c r="I363">
        <v>5.5300002098083496</v>
      </c>
      <c r="J363">
        <v>0</v>
      </c>
      <c r="K363">
        <v>27</v>
      </c>
      <c r="L363">
        <v>37</v>
      </c>
      <c r="M363">
        <v>276</v>
      </c>
      <c r="N363">
        <v>697</v>
      </c>
      <c r="O363">
        <v>2188</v>
      </c>
      <c r="P363" t="str">
        <f>TEXT(tbl_working_daily[[#This Row],[ActivityDate]],"dddd")</f>
        <v>Friday</v>
      </c>
      <c r="Q363" t="str">
        <f>TEXT(tbl_working_daily[[#This Row],[ActivityDate]],"mmmm")</f>
        <v>April</v>
      </c>
      <c r="R363">
        <f t="shared" si="10"/>
        <v>340</v>
      </c>
      <c r="S363">
        <f t="shared" si="11"/>
        <v>1037</v>
      </c>
      <c r="T363">
        <f>ROUND(tbl_working_daily[[#This Row],[SedentaryMinutes]]/60,2)</f>
        <v>11.62</v>
      </c>
      <c r="U363" t="str" cm="1">
        <f t="array" ref="U36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63" t="str" cm="1">
        <f t="array" ref="V363">_xlfn.IFS(tbl_working_daily[[#This Row],[VeryActiveMinutes]]&gt;=30,"Very Active",tbl_working_daily[[#This Row],[VeryActiveMinutes]]&gt;=15,"Moderately Active",tbl_working_daily[[#This Row],[VeryActiveMinutes]]&gt;=1,"Lightly Active",tbl_working_daily[[#This Row],[VeryActiveMinutes]]=0,"Sedentary")</f>
        <v>Moderately Active</v>
      </c>
      <c r="W363" t="str">
        <f>tbl_working_daily[[#This Row],[Id]]&amp;"|"&amp;TEXT(tbl_working_daily[[#This Row],[ActivityDate]],"yyyy-mm-dd")</f>
        <v>6962181067|2016-04-08</v>
      </c>
      <c r="X363" t="b">
        <f>ISNUMBER(MATCH(tbl_working_daily[[#This Row],[LookupKey]],tbl_working_sleep[LookupKey],0))</f>
        <v>0</v>
      </c>
    </row>
    <row r="364" spans="1:24" x14ac:dyDescent="0.3">
      <c r="A364">
        <v>6962181067</v>
      </c>
      <c r="B364" s="1">
        <v>42469</v>
      </c>
      <c r="C364">
        <v>12495</v>
      </c>
      <c r="D364">
        <v>8.2600002288818395</v>
      </c>
      <c r="E364">
        <v>8.2600002288818395</v>
      </c>
      <c r="F364">
        <v>0</v>
      </c>
      <c r="G364">
        <v>2.21000003814697</v>
      </c>
      <c r="H364">
        <v>1.0900000333786</v>
      </c>
      <c r="I364">
        <v>4.96000003814697</v>
      </c>
      <c r="J364">
        <v>0</v>
      </c>
      <c r="K364">
        <v>33</v>
      </c>
      <c r="L364">
        <v>19</v>
      </c>
      <c r="M364">
        <v>324</v>
      </c>
      <c r="N364">
        <v>609</v>
      </c>
      <c r="O364">
        <v>2231</v>
      </c>
      <c r="P364" t="str">
        <f>TEXT(tbl_working_daily[[#This Row],[ActivityDate]],"dddd")</f>
        <v>Saturday</v>
      </c>
      <c r="Q364" t="str">
        <f>TEXT(tbl_working_daily[[#This Row],[ActivityDate]],"mmmm")</f>
        <v>April</v>
      </c>
      <c r="R364">
        <f t="shared" si="10"/>
        <v>376</v>
      </c>
      <c r="S364">
        <f t="shared" si="11"/>
        <v>985</v>
      </c>
      <c r="T364">
        <f>ROUND(tbl_working_daily[[#This Row],[SedentaryMinutes]]/60,2)</f>
        <v>10.15</v>
      </c>
      <c r="U364" t="str" cm="1">
        <f t="array" ref="U36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4" t="str" cm="1">
        <f t="array" ref="V364">_xlfn.IFS(tbl_working_daily[[#This Row],[VeryActiveMinutes]]&gt;=30,"Very Active",tbl_working_daily[[#This Row],[VeryActiveMinutes]]&gt;=15,"Moderately Active",tbl_working_daily[[#This Row],[VeryActiveMinutes]]&gt;=1,"Lightly Active",tbl_working_daily[[#This Row],[VeryActiveMinutes]]=0,"Sedentary")</f>
        <v>Very Active</v>
      </c>
      <c r="W364" t="str">
        <f>tbl_working_daily[[#This Row],[Id]]&amp;"|"&amp;TEXT(tbl_working_daily[[#This Row],[ActivityDate]],"yyyy-mm-dd")</f>
        <v>6962181067|2016-04-09</v>
      </c>
      <c r="X364" t="b">
        <f>ISNUMBER(MATCH(tbl_working_daily[[#This Row],[LookupKey]],tbl_working_sleep[LookupKey],0))</f>
        <v>0</v>
      </c>
    </row>
    <row r="365" spans="1:24" x14ac:dyDescent="0.3">
      <c r="A365">
        <v>6962181067</v>
      </c>
      <c r="B365" s="1">
        <v>42470</v>
      </c>
      <c r="C365">
        <v>10148</v>
      </c>
      <c r="D365">
        <v>6.71000003814697</v>
      </c>
      <c r="E365">
        <v>6.71000003814697</v>
      </c>
      <c r="F365">
        <v>0</v>
      </c>
      <c r="G365">
        <v>1.3600000143051101</v>
      </c>
      <c r="H365">
        <v>0.21999999880790699</v>
      </c>
      <c r="I365">
        <v>5.1300001144409197</v>
      </c>
      <c r="J365">
        <v>0</v>
      </c>
      <c r="K365">
        <v>19</v>
      </c>
      <c r="L365">
        <v>7</v>
      </c>
      <c r="M365">
        <v>306</v>
      </c>
      <c r="N365">
        <v>679</v>
      </c>
      <c r="O365">
        <v>2100</v>
      </c>
      <c r="P365" t="str">
        <f>TEXT(tbl_working_daily[[#This Row],[ActivityDate]],"dddd")</f>
        <v>Sunday</v>
      </c>
      <c r="Q365" t="str">
        <f>TEXT(tbl_working_daily[[#This Row],[ActivityDate]],"mmmm")</f>
        <v>April</v>
      </c>
      <c r="R365">
        <f t="shared" si="10"/>
        <v>332</v>
      </c>
      <c r="S365">
        <f t="shared" si="11"/>
        <v>1011</v>
      </c>
      <c r="T365">
        <f>ROUND(tbl_working_daily[[#This Row],[SedentaryMinutes]]/60,2)</f>
        <v>11.32</v>
      </c>
      <c r="U365" t="str" cm="1">
        <f t="array" ref="U36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5" t="str" cm="1">
        <f t="array" ref="V365">_xlfn.IFS(tbl_working_daily[[#This Row],[VeryActiveMinutes]]&gt;=30,"Very Active",tbl_working_daily[[#This Row],[VeryActiveMinutes]]&gt;=15,"Moderately Active",tbl_working_daily[[#This Row],[VeryActiveMinutes]]&gt;=1,"Lightly Active",tbl_working_daily[[#This Row],[VeryActiveMinutes]]=0,"Sedentary")</f>
        <v>Moderately Active</v>
      </c>
      <c r="W365" t="str">
        <f>tbl_working_daily[[#This Row],[Id]]&amp;"|"&amp;TEXT(tbl_working_daily[[#This Row],[ActivityDate]],"yyyy-mm-dd")</f>
        <v>6962181067|2016-04-10</v>
      </c>
      <c r="X365" t="b">
        <f>ISNUMBER(MATCH(tbl_working_daily[[#This Row],[LookupKey]],tbl_working_sleep[LookupKey],0))</f>
        <v>0</v>
      </c>
    </row>
    <row r="366" spans="1:24" x14ac:dyDescent="0.3">
      <c r="A366">
        <v>6962181067</v>
      </c>
      <c r="B366" s="1">
        <v>42471</v>
      </c>
      <c r="C366">
        <v>12362</v>
      </c>
      <c r="D366">
        <v>9.0900001525878906</v>
      </c>
      <c r="E366">
        <v>8.1700000762939506</v>
      </c>
      <c r="F366">
        <v>2.6964550018310498</v>
      </c>
      <c r="G366">
        <v>1.0900000333786</v>
      </c>
      <c r="H366">
        <v>2.7300000190734899</v>
      </c>
      <c r="I366">
        <v>5.2699999809265101</v>
      </c>
      <c r="J366">
        <v>0</v>
      </c>
      <c r="K366">
        <v>21</v>
      </c>
      <c r="L366">
        <v>38</v>
      </c>
      <c r="M366">
        <v>297</v>
      </c>
      <c r="N366">
        <v>678</v>
      </c>
      <c r="O366">
        <v>2188</v>
      </c>
      <c r="P366" t="str">
        <f>TEXT(tbl_working_daily[[#This Row],[ActivityDate]],"dddd")</f>
        <v>Monday</v>
      </c>
      <c r="Q366" t="str">
        <f>TEXT(tbl_working_daily[[#This Row],[ActivityDate]],"mmmm")</f>
        <v>April</v>
      </c>
      <c r="R366">
        <f t="shared" si="10"/>
        <v>356</v>
      </c>
      <c r="S366">
        <f t="shared" si="11"/>
        <v>1034</v>
      </c>
      <c r="T366">
        <f>ROUND(tbl_working_daily[[#This Row],[SedentaryMinutes]]/60,2)</f>
        <v>11.3</v>
      </c>
      <c r="U366" t="str" cm="1">
        <f t="array" ref="U36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6" t="str" cm="1">
        <f t="array" ref="V366">_xlfn.IFS(tbl_working_daily[[#This Row],[VeryActiveMinutes]]&gt;=30,"Very Active",tbl_working_daily[[#This Row],[VeryActiveMinutes]]&gt;=15,"Moderately Active",tbl_working_daily[[#This Row],[VeryActiveMinutes]]&gt;=1,"Lightly Active",tbl_working_daily[[#This Row],[VeryActiveMinutes]]=0,"Sedentary")</f>
        <v>Moderately Active</v>
      </c>
      <c r="W366" t="str">
        <f>tbl_working_daily[[#This Row],[Id]]&amp;"|"&amp;TEXT(tbl_working_daily[[#This Row],[ActivityDate]],"yyyy-mm-dd")</f>
        <v>6962181067|2016-04-11</v>
      </c>
      <c r="X366" t="b">
        <f>ISNUMBER(MATCH(tbl_working_daily[[#This Row],[LookupKey]],tbl_working_sleep[LookupKey],0))</f>
        <v>0</v>
      </c>
    </row>
    <row r="367" spans="1:24" x14ac:dyDescent="0.3">
      <c r="A367">
        <v>6962181067</v>
      </c>
      <c r="B367" s="1">
        <v>42472</v>
      </c>
      <c r="C367">
        <v>5893</v>
      </c>
      <c r="D367">
        <v>3.9000000953674299</v>
      </c>
      <c r="E367">
        <v>3.9000000953674299</v>
      </c>
      <c r="F367">
        <v>0</v>
      </c>
      <c r="G367">
        <v>2.8800001144409202</v>
      </c>
      <c r="H367">
        <v>0.56000000238418601</v>
      </c>
      <c r="I367">
        <v>0.46000000834464999</v>
      </c>
      <c r="J367">
        <v>0</v>
      </c>
      <c r="K367">
        <v>43</v>
      </c>
      <c r="L367">
        <v>9</v>
      </c>
      <c r="M367">
        <v>48</v>
      </c>
      <c r="N367">
        <v>146</v>
      </c>
      <c r="O367">
        <v>917</v>
      </c>
      <c r="P367" t="str">
        <f>TEXT(tbl_working_daily[[#This Row],[ActivityDate]],"dddd")</f>
        <v>Tuesday</v>
      </c>
      <c r="Q367" t="str">
        <f>TEXT(tbl_working_daily[[#This Row],[ActivityDate]],"mmmm")</f>
        <v>April</v>
      </c>
      <c r="R367">
        <f t="shared" si="10"/>
        <v>100</v>
      </c>
      <c r="S367">
        <f t="shared" si="11"/>
        <v>246</v>
      </c>
      <c r="T367">
        <f>ROUND(tbl_working_daily[[#This Row],[SedentaryMinutes]]/60,2)</f>
        <v>2.4300000000000002</v>
      </c>
      <c r="U367" t="str" cm="1">
        <f t="array" ref="U36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67" t="str" cm="1">
        <f t="array" ref="V367">_xlfn.IFS(tbl_working_daily[[#This Row],[VeryActiveMinutes]]&gt;=30,"Very Active",tbl_working_daily[[#This Row],[VeryActiveMinutes]]&gt;=15,"Moderately Active",tbl_working_daily[[#This Row],[VeryActiveMinutes]]&gt;=1,"Lightly Active",tbl_working_daily[[#This Row],[VeryActiveMinutes]]=0,"Sedentary")</f>
        <v>Very Active</v>
      </c>
      <c r="W367" t="str">
        <f>tbl_working_daily[[#This Row],[Id]]&amp;"|"&amp;TEXT(tbl_working_daily[[#This Row],[ActivityDate]],"yyyy-mm-dd")</f>
        <v>6962181067|2016-04-12</v>
      </c>
      <c r="X367" t="b">
        <f>ISNUMBER(MATCH(tbl_working_daily[[#This Row],[LookupKey]],tbl_working_sleep[LookupKey],0))</f>
        <v>1</v>
      </c>
    </row>
    <row r="368" spans="1:24" x14ac:dyDescent="0.3">
      <c r="A368">
        <v>7007744171</v>
      </c>
      <c r="B368" s="1">
        <v>42461</v>
      </c>
      <c r="C368">
        <v>11680</v>
      </c>
      <c r="D368">
        <v>9.0600004196166992</v>
      </c>
      <c r="E368">
        <v>7.8099999427795401</v>
      </c>
      <c r="F368">
        <v>4.9012827873229998</v>
      </c>
      <c r="G368">
        <v>4.4899997711181596</v>
      </c>
      <c r="H368">
        <v>0.33000001311302202</v>
      </c>
      <c r="I368">
        <v>4.2399997711181596</v>
      </c>
      <c r="J368">
        <v>0</v>
      </c>
      <c r="K368">
        <v>50</v>
      </c>
      <c r="L368">
        <v>7</v>
      </c>
      <c r="M368">
        <v>244</v>
      </c>
      <c r="N368">
        <v>1139</v>
      </c>
      <c r="O368">
        <v>2573</v>
      </c>
      <c r="P368" t="str">
        <f>TEXT(tbl_working_daily[[#This Row],[ActivityDate]],"dddd")</f>
        <v>Friday</v>
      </c>
      <c r="Q368" t="str">
        <f>TEXT(tbl_working_daily[[#This Row],[ActivityDate]],"mmmm")</f>
        <v>April</v>
      </c>
      <c r="R368">
        <f t="shared" si="10"/>
        <v>301</v>
      </c>
      <c r="S368">
        <f t="shared" si="11"/>
        <v>1440</v>
      </c>
      <c r="T368">
        <f>ROUND(tbl_working_daily[[#This Row],[SedentaryMinutes]]/60,2)</f>
        <v>18.98</v>
      </c>
      <c r="U368" t="str" cm="1">
        <f t="array" ref="U36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8" t="str" cm="1">
        <f t="array" ref="V368">_xlfn.IFS(tbl_working_daily[[#This Row],[VeryActiveMinutes]]&gt;=30,"Very Active",tbl_working_daily[[#This Row],[VeryActiveMinutes]]&gt;=15,"Moderately Active",tbl_working_daily[[#This Row],[VeryActiveMinutes]]&gt;=1,"Lightly Active",tbl_working_daily[[#This Row],[VeryActiveMinutes]]=0,"Sedentary")</f>
        <v>Very Active</v>
      </c>
      <c r="W368" t="str">
        <f>tbl_working_daily[[#This Row],[Id]]&amp;"|"&amp;TEXT(tbl_working_daily[[#This Row],[ActivityDate]],"yyyy-mm-dd")</f>
        <v>7007744171|2016-04-01</v>
      </c>
      <c r="X368" t="b">
        <f>ISNUMBER(MATCH(tbl_working_daily[[#This Row],[LookupKey]],tbl_working_sleep[LookupKey],0))</f>
        <v>0</v>
      </c>
    </row>
    <row r="369" spans="1:24" x14ac:dyDescent="0.3">
      <c r="A369">
        <v>7007744171</v>
      </c>
      <c r="B369" s="1">
        <v>42462</v>
      </c>
      <c r="C369">
        <v>10976</v>
      </c>
      <c r="D369">
        <v>7.3400001525878897</v>
      </c>
      <c r="E369">
        <v>7.3400001525878897</v>
      </c>
      <c r="F369">
        <v>0</v>
      </c>
      <c r="G369">
        <v>0.55000001192092896</v>
      </c>
      <c r="H369">
        <v>0.67000001668930098</v>
      </c>
      <c r="I369">
        <v>6.1300001144409197</v>
      </c>
      <c r="J369">
        <v>0</v>
      </c>
      <c r="K369">
        <v>9</v>
      </c>
      <c r="L369">
        <v>16</v>
      </c>
      <c r="M369">
        <v>271</v>
      </c>
      <c r="N369">
        <v>1075</v>
      </c>
      <c r="O369">
        <v>2575</v>
      </c>
      <c r="P369" t="str">
        <f>TEXT(tbl_working_daily[[#This Row],[ActivityDate]],"dddd")</f>
        <v>Saturday</v>
      </c>
      <c r="Q369" t="str">
        <f>TEXT(tbl_working_daily[[#This Row],[ActivityDate]],"mmmm")</f>
        <v>April</v>
      </c>
      <c r="R369">
        <f t="shared" si="10"/>
        <v>296</v>
      </c>
      <c r="S369">
        <f t="shared" si="11"/>
        <v>1371</v>
      </c>
      <c r="T369">
        <f>ROUND(tbl_working_daily[[#This Row],[SedentaryMinutes]]/60,2)</f>
        <v>17.920000000000002</v>
      </c>
      <c r="U369" t="str" cm="1">
        <f t="array" ref="U36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69" t="str" cm="1">
        <f t="array" ref="V369">_xlfn.IFS(tbl_working_daily[[#This Row],[VeryActiveMinutes]]&gt;=30,"Very Active",tbl_working_daily[[#This Row],[VeryActiveMinutes]]&gt;=15,"Moderately Active",tbl_working_daily[[#This Row],[VeryActiveMinutes]]&gt;=1,"Lightly Active",tbl_working_daily[[#This Row],[VeryActiveMinutes]]=0,"Sedentary")</f>
        <v>Lightly Active</v>
      </c>
      <c r="W369" t="str">
        <f>tbl_working_daily[[#This Row],[Id]]&amp;"|"&amp;TEXT(tbl_working_daily[[#This Row],[ActivityDate]],"yyyy-mm-dd")</f>
        <v>7007744171|2016-04-02</v>
      </c>
      <c r="X369" t="b">
        <f>ISNUMBER(MATCH(tbl_working_daily[[#This Row],[LookupKey]],tbl_working_sleep[LookupKey],0))</f>
        <v>0</v>
      </c>
    </row>
    <row r="370" spans="1:24" x14ac:dyDescent="0.3">
      <c r="A370">
        <v>7007744171</v>
      </c>
      <c r="B370" s="1">
        <v>42463</v>
      </c>
      <c r="C370">
        <v>16806</v>
      </c>
      <c r="D370">
        <v>11.2399997711182</v>
      </c>
      <c r="E370">
        <v>11.2399997711182</v>
      </c>
      <c r="F370">
        <v>0</v>
      </c>
      <c r="G370">
        <v>6.4099998474121103</v>
      </c>
      <c r="H370">
        <v>1.37000000476837</v>
      </c>
      <c r="I370">
        <v>3.4700000286102299</v>
      </c>
      <c r="J370">
        <v>0</v>
      </c>
      <c r="K370">
        <v>104</v>
      </c>
      <c r="L370">
        <v>31</v>
      </c>
      <c r="M370">
        <v>230</v>
      </c>
      <c r="N370">
        <v>1002</v>
      </c>
      <c r="O370">
        <v>3086</v>
      </c>
      <c r="P370" t="str">
        <f>TEXT(tbl_working_daily[[#This Row],[ActivityDate]],"dddd")</f>
        <v>Sunday</v>
      </c>
      <c r="Q370" t="str">
        <f>TEXT(tbl_working_daily[[#This Row],[ActivityDate]],"mmmm")</f>
        <v>April</v>
      </c>
      <c r="R370">
        <f t="shared" si="10"/>
        <v>365</v>
      </c>
      <c r="S370">
        <f t="shared" si="11"/>
        <v>1367</v>
      </c>
      <c r="T370">
        <f>ROUND(tbl_working_daily[[#This Row],[SedentaryMinutes]]/60,2)</f>
        <v>16.7</v>
      </c>
      <c r="U370" t="str" cm="1">
        <f t="array" ref="U37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70" t="str" cm="1">
        <f t="array" ref="V370">_xlfn.IFS(tbl_working_daily[[#This Row],[VeryActiveMinutes]]&gt;=30,"Very Active",tbl_working_daily[[#This Row],[VeryActiveMinutes]]&gt;=15,"Moderately Active",tbl_working_daily[[#This Row],[VeryActiveMinutes]]&gt;=1,"Lightly Active",tbl_working_daily[[#This Row],[VeryActiveMinutes]]=0,"Sedentary")</f>
        <v>Very Active</v>
      </c>
      <c r="W370" t="str">
        <f>tbl_working_daily[[#This Row],[Id]]&amp;"|"&amp;TEXT(tbl_working_daily[[#This Row],[ActivityDate]],"yyyy-mm-dd")</f>
        <v>7007744171|2016-04-03</v>
      </c>
      <c r="X370" t="b">
        <f>ISNUMBER(MATCH(tbl_working_daily[[#This Row],[LookupKey]],tbl_working_sleep[LookupKey],0))</f>
        <v>0</v>
      </c>
    </row>
    <row r="371" spans="1:24" x14ac:dyDescent="0.3">
      <c r="A371">
        <v>7007744171</v>
      </c>
      <c r="B371" s="1">
        <v>42464</v>
      </c>
      <c r="C371">
        <v>15266</v>
      </c>
      <c r="D371">
        <v>11.3999996185303</v>
      </c>
      <c r="E371">
        <v>10.210000038146999</v>
      </c>
      <c r="F371">
        <v>5.1898498535156303</v>
      </c>
      <c r="G371">
        <v>5.8000001907348597</v>
      </c>
      <c r="H371">
        <v>0.75999999046325695</v>
      </c>
      <c r="I371">
        <v>4.78999996185303</v>
      </c>
      <c r="J371">
        <v>5.0000000745058101E-2</v>
      </c>
      <c r="K371">
        <v>70</v>
      </c>
      <c r="L371">
        <v>21</v>
      </c>
      <c r="M371">
        <v>292</v>
      </c>
      <c r="N371">
        <v>1057</v>
      </c>
      <c r="O371">
        <v>2886</v>
      </c>
      <c r="P371" t="str">
        <f>TEXT(tbl_working_daily[[#This Row],[ActivityDate]],"dddd")</f>
        <v>Monday</v>
      </c>
      <c r="Q371" t="str">
        <f>TEXT(tbl_working_daily[[#This Row],[ActivityDate]],"mmmm")</f>
        <v>April</v>
      </c>
      <c r="R371">
        <f t="shared" si="10"/>
        <v>383</v>
      </c>
      <c r="S371">
        <f t="shared" si="11"/>
        <v>1440</v>
      </c>
      <c r="T371">
        <f>ROUND(tbl_working_daily[[#This Row],[SedentaryMinutes]]/60,2)</f>
        <v>17.62</v>
      </c>
      <c r="U371" t="str" cm="1">
        <f t="array" ref="U37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71" t="str" cm="1">
        <f t="array" ref="V371">_xlfn.IFS(tbl_working_daily[[#This Row],[VeryActiveMinutes]]&gt;=30,"Very Active",tbl_working_daily[[#This Row],[VeryActiveMinutes]]&gt;=15,"Moderately Active",tbl_working_daily[[#This Row],[VeryActiveMinutes]]&gt;=1,"Lightly Active",tbl_working_daily[[#This Row],[VeryActiveMinutes]]=0,"Sedentary")</f>
        <v>Very Active</v>
      </c>
      <c r="W371" t="str">
        <f>tbl_working_daily[[#This Row],[Id]]&amp;"|"&amp;TEXT(tbl_working_daily[[#This Row],[ActivityDate]],"yyyy-mm-dd")</f>
        <v>7007744171|2016-04-04</v>
      </c>
      <c r="X371" t="b">
        <f>ISNUMBER(MATCH(tbl_working_daily[[#This Row],[LookupKey]],tbl_working_sleep[LookupKey],0))</f>
        <v>0</v>
      </c>
    </row>
    <row r="372" spans="1:24" x14ac:dyDescent="0.3">
      <c r="A372">
        <v>7007744171</v>
      </c>
      <c r="B372" s="1">
        <v>42465</v>
      </c>
      <c r="C372">
        <v>12084</v>
      </c>
      <c r="D372">
        <v>9.1400003433227504</v>
      </c>
      <c r="E372">
        <v>8.0799999237060494</v>
      </c>
      <c r="F372">
        <v>4.8363800048828098</v>
      </c>
      <c r="G372">
        <v>4.3899998664856001</v>
      </c>
      <c r="H372">
        <v>0.46000000834464999</v>
      </c>
      <c r="I372">
        <v>4.28999996185303</v>
      </c>
      <c r="J372">
        <v>0</v>
      </c>
      <c r="K372">
        <v>50</v>
      </c>
      <c r="L372">
        <v>6</v>
      </c>
      <c r="M372">
        <v>284</v>
      </c>
      <c r="N372">
        <v>1030</v>
      </c>
      <c r="O372">
        <v>2676</v>
      </c>
      <c r="P372" t="str">
        <f>TEXT(tbl_working_daily[[#This Row],[ActivityDate]],"dddd")</f>
        <v>Tuesday</v>
      </c>
      <c r="Q372" t="str">
        <f>TEXT(tbl_working_daily[[#This Row],[ActivityDate]],"mmmm")</f>
        <v>April</v>
      </c>
      <c r="R372">
        <f t="shared" si="10"/>
        <v>340</v>
      </c>
      <c r="S372">
        <f t="shared" si="11"/>
        <v>1370</v>
      </c>
      <c r="T372">
        <f>ROUND(tbl_working_daily[[#This Row],[SedentaryMinutes]]/60,2)</f>
        <v>17.170000000000002</v>
      </c>
      <c r="U372" t="str" cm="1">
        <f t="array" ref="U37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72" t="str" cm="1">
        <f t="array" ref="V372">_xlfn.IFS(tbl_working_daily[[#This Row],[VeryActiveMinutes]]&gt;=30,"Very Active",tbl_working_daily[[#This Row],[VeryActiveMinutes]]&gt;=15,"Moderately Active",tbl_working_daily[[#This Row],[VeryActiveMinutes]]&gt;=1,"Lightly Active",tbl_working_daily[[#This Row],[VeryActiveMinutes]]=0,"Sedentary")</f>
        <v>Very Active</v>
      </c>
      <c r="W372" t="str">
        <f>tbl_working_daily[[#This Row],[Id]]&amp;"|"&amp;TEXT(tbl_working_daily[[#This Row],[ActivityDate]],"yyyy-mm-dd")</f>
        <v>7007744171|2016-04-05</v>
      </c>
      <c r="X372" t="b">
        <f>ISNUMBER(MATCH(tbl_working_daily[[#This Row],[LookupKey]],tbl_working_sleep[LookupKey],0))</f>
        <v>0</v>
      </c>
    </row>
    <row r="373" spans="1:24" x14ac:dyDescent="0.3">
      <c r="A373">
        <v>7007744171</v>
      </c>
      <c r="B373" s="1">
        <v>42466</v>
      </c>
      <c r="C373">
        <v>13513</v>
      </c>
      <c r="D373">
        <v>10.25</v>
      </c>
      <c r="E373">
        <v>9.0699996948242205</v>
      </c>
      <c r="F373">
        <v>4.8357200622558603</v>
      </c>
      <c r="G373">
        <v>5.3499999046325701</v>
      </c>
      <c r="H373">
        <v>0.33000001311302202</v>
      </c>
      <c r="I373">
        <v>4.5599999427795401</v>
      </c>
      <c r="J373">
        <v>0</v>
      </c>
      <c r="K373">
        <v>64</v>
      </c>
      <c r="L373">
        <v>8</v>
      </c>
      <c r="M373">
        <v>270</v>
      </c>
      <c r="N373">
        <v>1098</v>
      </c>
      <c r="O373">
        <v>2811</v>
      </c>
      <c r="P373" t="str">
        <f>TEXT(tbl_working_daily[[#This Row],[ActivityDate]],"dddd")</f>
        <v>Wednesday</v>
      </c>
      <c r="Q373" t="str">
        <f>TEXT(tbl_working_daily[[#This Row],[ActivityDate]],"mmmm")</f>
        <v>April</v>
      </c>
      <c r="R373">
        <f t="shared" si="10"/>
        <v>342</v>
      </c>
      <c r="S373">
        <f t="shared" si="11"/>
        <v>1440</v>
      </c>
      <c r="T373">
        <f>ROUND(tbl_working_daily[[#This Row],[SedentaryMinutes]]/60,2)</f>
        <v>18.3</v>
      </c>
      <c r="U373" t="str" cm="1">
        <f t="array" ref="U37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73" t="str" cm="1">
        <f t="array" ref="V373">_xlfn.IFS(tbl_working_daily[[#This Row],[VeryActiveMinutes]]&gt;=30,"Very Active",tbl_working_daily[[#This Row],[VeryActiveMinutes]]&gt;=15,"Moderately Active",tbl_working_daily[[#This Row],[VeryActiveMinutes]]&gt;=1,"Lightly Active",tbl_working_daily[[#This Row],[VeryActiveMinutes]]=0,"Sedentary")</f>
        <v>Very Active</v>
      </c>
      <c r="W373" t="str">
        <f>tbl_working_daily[[#This Row],[Id]]&amp;"|"&amp;TEXT(tbl_working_daily[[#This Row],[ActivityDate]],"yyyy-mm-dd")</f>
        <v>7007744171|2016-04-06</v>
      </c>
      <c r="X373" t="b">
        <f>ISNUMBER(MATCH(tbl_working_daily[[#This Row],[LookupKey]],tbl_working_sleep[LookupKey],0))</f>
        <v>0</v>
      </c>
    </row>
    <row r="374" spans="1:24" x14ac:dyDescent="0.3">
      <c r="A374">
        <v>7007744171</v>
      </c>
      <c r="B374" s="1">
        <v>42467</v>
      </c>
      <c r="C374">
        <v>14100</v>
      </c>
      <c r="D374">
        <v>10.579999923706101</v>
      </c>
      <c r="E374">
        <v>9.4300003051757795</v>
      </c>
      <c r="F374">
        <v>4.8759899139404297</v>
      </c>
      <c r="G374">
        <v>5.0999999046325701</v>
      </c>
      <c r="H374">
        <v>1.1900000572204601</v>
      </c>
      <c r="I374">
        <v>4.2800002098083496</v>
      </c>
      <c r="J374">
        <v>0</v>
      </c>
      <c r="K374">
        <v>61</v>
      </c>
      <c r="L374">
        <v>33</v>
      </c>
      <c r="M374">
        <v>265</v>
      </c>
      <c r="N374">
        <v>1015</v>
      </c>
      <c r="O374">
        <v>2840</v>
      </c>
      <c r="P374" t="str">
        <f>TEXT(tbl_working_daily[[#This Row],[ActivityDate]],"dddd")</f>
        <v>Thursday</v>
      </c>
      <c r="Q374" t="str">
        <f>TEXT(tbl_working_daily[[#This Row],[ActivityDate]],"mmmm")</f>
        <v>April</v>
      </c>
      <c r="R374">
        <f t="shared" si="10"/>
        <v>359</v>
      </c>
      <c r="S374">
        <f t="shared" si="11"/>
        <v>1374</v>
      </c>
      <c r="T374">
        <f>ROUND(tbl_working_daily[[#This Row],[SedentaryMinutes]]/60,2)</f>
        <v>16.920000000000002</v>
      </c>
      <c r="U374" t="str" cm="1">
        <f t="array" ref="U37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74" t="str" cm="1">
        <f t="array" ref="V374">_xlfn.IFS(tbl_working_daily[[#This Row],[VeryActiveMinutes]]&gt;=30,"Very Active",tbl_working_daily[[#This Row],[VeryActiveMinutes]]&gt;=15,"Moderately Active",tbl_working_daily[[#This Row],[VeryActiveMinutes]]&gt;=1,"Lightly Active",tbl_working_daily[[#This Row],[VeryActiveMinutes]]=0,"Sedentary")</f>
        <v>Very Active</v>
      </c>
      <c r="W374" t="str">
        <f>tbl_working_daily[[#This Row],[Id]]&amp;"|"&amp;TEXT(tbl_working_daily[[#This Row],[ActivityDate]],"yyyy-mm-dd")</f>
        <v>7007744171|2016-04-07</v>
      </c>
      <c r="X374" t="b">
        <f>ISNUMBER(MATCH(tbl_working_daily[[#This Row],[LookupKey]],tbl_working_sleep[LookupKey],0))</f>
        <v>0</v>
      </c>
    </row>
    <row r="375" spans="1:24" x14ac:dyDescent="0.3">
      <c r="A375">
        <v>7007744171</v>
      </c>
      <c r="B375" s="1">
        <v>42468</v>
      </c>
      <c r="C375">
        <v>12627</v>
      </c>
      <c r="D375">
        <v>9.6499996185302699</v>
      </c>
      <c r="E375">
        <v>8.4499998092651403</v>
      </c>
      <c r="F375">
        <v>4.8423199653625497</v>
      </c>
      <c r="G375">
        <v>4.6999998092651403</v>
      </c>
      <c r="H375">
        <v>0.74000000953674305</v>
      </c>
      <c r="I375">
        <v>4.21000003814697</v>
      </c>
      <c r="J375">
        <v>0</v>
      </c>
      <c r="K375">
        <v>54</v>
      </c>
      <c r="L375">
        <v>22</v>
      </c>
      <c r="M375">
        <v>301</v>
      </c>
      <c r="N375">
        <v>1063</v>
      </c>
      <c r="O375">
        <v>2871</v>
      </c>
      <c r="P375" t="str">
        <f>TEXT(tbl_working_daily[[#This Row],[ActivityDate]],"dddd")</f>
        <v>Friday</v>
      </c>
      <c r="Q375" t="str">
        <f>TEXT(tbl_working_daily[[#This Row],[ActivityDate]],"mmmm")</f>
        <v>April</v>
      </c>
      <c r="R375">
        <f t="shared" si="10"/>
        <v>377</v>
      </c>
      <c r="S375">
        <f t="shared" si="11"/>
        <v>1440</v>
      </c>
      <c r="T375">
        <f>ROUND(tbl_working_daily[[#This Row],[SedentaryMinutes]]/60,2)</f>
        <v>17.72</v>
      </c>
      <c r="U375" t="str" cm="1">
        <f t="array" ref="U37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75" t="str" cm="1">
        <f t="array" ref="V375">_xlfn.IFS(tbl_working_daily[[#This Row],[VeryActiveMinutes]]&gt;=30,"Very Active",tbl_working_daily[[#This Row],[VeryActiveMinutes]]&gt;=15,"Moderately Active",tbl_working_daily[[#This Row],[VeryActiveMinutes]]&gt;=1,"Lightly Active",tbl_working_daily[[#This Row],[VeryActiveMinutes]]=0,"Sedentary")</f>
        <v>Very Active</v>
      </c>
      <c r="W375" t="str">
        <f>tbl_working_daily[[#This Row],[Id]]&amp;"|"&amp;TEXT(tbl_working_daily[[#This Row],[ActivityDate]],"yyyy-mm-dd")</f>
        <v>7007744171|2016-04-08</v>
      </c>
      <c r="X375" t="b">
        <f>ISNUMBER(MATCH(tbl_working_daily[[#This Row],[LookupKey]],tbl_working_sleep[LookupKey],0))</f>
        <v>0</v>
      </c>
    </row>
    <row r="376" spans="1:24" x14ac:dyDescent="0.3">
      <c r="A376">
        <v>7007744171</v>
      </c>
      <c r="B376" s="1">
        <v>42469</v>
      </c>
      <c r="C376">
        <v>10345</v>
      </c>
      <c r="D376">
        <v>6.9200000762939498</v>
      </c>
      <c r="E376">
        <v>6.9200000762939498</v>
      </c>
      <c r="F376">
        <v>0</v>
      </c>
      <c r="G376">
        <v>7.0000000298023196E-2</v>
      </c>
      <c r="H376">
        <v>0.270000010728836</v>
      </c>
      <c r="I376">
        <v>6.5799999237060502</v>
      </c>
      <c r="J376">
        <v>0</v>
      </c>
      <c r="K376">
        <v>2</v>
      </c>
      <c r="L376">
        <v>6</v>
      </c>
      <c r="M376">
        <v>358</v>
      </c>
      <c r="N376">
        <v>1074</v>
      </c>
      <c r="O376">
        <v>2613</v>
      </c>
      <c r="P376" t="str">
        <f>TEXT(tbl_working_daily[[#This Row],[ActivityDate]],"dddd")</f>
        <v>Saturday</v>
      </c>
      <c r="Q376" t="str">
        <f>TEXT(tbl_working_daily[[#This Row],[ActivityDate]],"mmmm")</f>
        <v>April</v>
      </c>
      <c r="R376">
        <f t="shared" si="10"/>
        <v>366</v>
      </c>
      <c r="S376">
        <f t="shared" si="11"/>
        <v>1440</v>
      </c>
      <c r="T376">
        <f>ROUND(tbl_working_daily[[#This Row],[SedentaryMinutes]]/60,2)</f>
        <v>17.899999999999999</v>
      </c>
      <c r="U376" t="str" cm="1">
        <f t="array" ref="U37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76" t="str" cm="1">
        <f t="array" ref="V376">_xlfn.IFS(tbl_working_daily[[#This Row],[VeryActiveMinutes]]&gt;=30,"Very Active",tbl_working_daily[[#This Row],[VeryActiveMinutes]]&gt;=15,"Moderately Active",tbl_working_daily[[#This Row],[VeryActiveMinutes]]&gt;=1,"Lightly Active",tbl_working_daily[[#This Row],[VeryActiveMinutes]]=0,"Sedentary")</f>
        <v>Lightly Active</v>
      </c>
      <c r="W376" t="str">
        <f>tbl_working_daily[[#This Row],[Id]]&amp;"|"&amp;TEXT(tbl_working_daily[[#This Row],[ActivityDate]],"yyyy-mm-dd")</f>
        <v>7007744171|2016-04-09</v>
      </c>
      <c r="X376" t="b">
        <f>ISNUMBER(MATCH(tbl_working_daily[[#This Row],[LookupKey]],tbl_working_sleep[LookupKey],0))</f>
        <v>0</v>
      </c>
    </row>
    <row r="377" spans="1:24" x14ac:dyDescent="0.3">
      <c r="A377">
        <v>7007744171</v>
      </c>
      <c r="B377" s="1">
        <v>42470</v>
      </c>
      <c r="C377">
        <v>10146</v>
      </c>
      <c r="D377">
        <v>6.78999996185303</v>
      </c>
      <c r="E377">
        <v>6.78999996185303</v>
      </c>
      <c r="F377">
        <v>0</v>
      </c>
      <c r="G377">
        <v>7.0000000298023196E-2</v>
      </c>
      <c r="H377">
        <v>0.61000001430511497</v>
      </c>
      <c r="I377">
        <v>6.1100001335143999</v>
      </c>
      <c r="J377">
        <v>0</v>
      </c>
      <c r="K377">
        <v>1</v>
      </c>
      <c r="L377">
        <v>12</v>
      </c>
      <c r="M377">
        <v>397</v>
      </c>
      <c r="N377">
        <v>1030</v>
      </c>
      <c r="O377">
        <v>2700</v>
      </c>
      <c r="P377" t="str">
        <f>TEXT(tbl_working_daily[[#This Row],[ActivityDate]],"dddd")</f>
        <v>Sunday</v>
      </c>
      <c r="Q377" t="str">
        <f>TEXT(tbl_working_daily[[#This Row],[ActivityDate]],"mmmm")</f>
        <v>April</v>
      </c>
      <c r="R377">
        <f t="shared" si="10"/>
        <v>410</v>
      </c>
      <c r="S377">
        <f t="shared" si="11"/>
        <v>1440</v>
      </c>
      <c r="T377">
        <f>ROUND(tbl_working_daily[[#This Row],[SedentaryMinutes]]/60,2)</f>
        <v>17.170000000000002</v>
      </c>
      <c r="U377" t="str" cm="1">
        <f t="array" ref="U37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77" t="str" cm="1">
        <f t="array" ref="V377">_xlfn.IFS(tbl_working_daily[[#This Row],[VeryActiveMinutes]]&gt;=30,"Very Active",tbl_working_daily[[#This Row],[VeryActiveMinutes]]&gt;=15,"Moderately Active",tbl_working_daily[[#This Row],[VeryActiveMinutes]]&gt;=1,"Lightly Active",tbl_working_daily[[#This Row],[VeryActiveMinutes]]=0,"Sedentary")</f>
        <v>Lightly Active</v>
      </c>
      <c r="W377" t="str">
        <f>tbl_working_daily[[#This Row],[Id]]&amp;"|"&amp;TEXT(tbl_working_daily[[#This Row],[ActivityDate]],"yyyy-mm-dd")</f>
        <v>7007744171|2016-04-10</v>
      </c>
      <c r="X377" t="b">
        <f>ISNUMBER(MATCH(tbl_working_daily[[#This Row],[LookupKey]],tbl_working_sleep[LookupKey],0))</f>
        <v>0</v>
      </c>
    </row>
    <row r="378" spans="1:24" x14ac:dyDescent="0.3">
      <c r="A378">
        <v>7007744171</v>
      </c>
      <c r="B378" s="1">
        <v>42471</v>
      </c>
      <c r="C378">
        <v>12168</v>
      </c>
      <c r="D378">
        <v>8.1400003433227504</v>
      </c>
      <c r="E378">
        <v>8.1400003433227504</v>
      </c>
      <c r="F378">
        <v>0</v>
      </c>
      <c r="G378">
        <v>1.04999995231628</v>
      </c>
      <c r="H378">
        <v>0.79000002145767201</v>
      </c>
      <c r="I378">
        <v>6.28999996185303</v>
      </c>
      <c r="J378">
        <v>0</v>
      </c>
      <c r="K378">
        <v>18</v>
      </c>
      <c r="L378">
        <v>27</v>
      </c>
      <c r="M378">
        <v>375</v>
      </c>
      <c r="N378">
        <v>1020</v>
      </c>
      <c r="O378">
        <v>2871</v>
      </c>
      <c r="P378" t="str">
        <f>TEXT(tbl_working_daily[[#This Row],[ActivityDate]],"dddd")</f>
        <v>Monday</v>
      </c>
      <c r="Q378" t="str">
        <f>TEXT(tbl_working_daily[[#This Row],[ActivityDate]],"mmmm")</f>
        <v>April</v>
      </c>
      <c r="R378">
        <f t="shared" si="10"/>
        <v>420</v>
      </c>
      <c r="S378">
        <f t="shared" si="11"/>
        <v>1440</v>
      </c>
      <c r="T378">
        <f>ROUND(tbl_working_daily[[#This Row],[SedentaryMinutes]]/60,2)</f>
        <v>17</v>
      </c>
      <c r="U378" t="str" cm="1">
        <f t="array" ref="U37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78" t="str" cm="1">
        <f t="array" ref="V378">_xlfn.IFS(tbl_working_daily[[#This Row],[VeryActiveMinutes]]&gt;=30,"Very Active",tbl_working_daily[[#This Row],[VeryActiveMinutes]]&gt;=15,"Moderately Active",tbl_working_daily[[#This Row],[VeryActiveMinutes]]&gt;=1,"Lightly Active",tbl_working_daily[[#This Row],[VeryActiveMinutes]]=0,"Sedentary")</f>
        <v>Moderately Active</v>
      </c>
      <c r="W378" t="str">
        <f>tbl_working_daily[[#This Row],[Id]]&amp;"|"&amp;TEXT(tbl_working_daily[[#This Row],[ActivityDate]],"yyyy-mm-dd")</f>
        <v>7007744171|2016-04-11</v>
      </c>
      <c r="X378" t="b">
        <f>ISNUMBER(MATCH(tbl_working_daily[[#This Row],[LookupKey]],tbl_working_sleep[LookupKey],0))</f>
        <v>0</v>
      </c>
    </row>
    <row r="379" spans="1:24" x14ac:dyDescent="0.3">
      <c r="A379">
        <v>7007744171</v>
      </c>
      <c r="B379" s="1">
        <v>42472</v>
      </c>
      <c r="C379">
        <v>7413</v>
      </c>
      <c r="D379">
        <v>5.7699999809265101</v>
      </c>
      <c r="E379">
        <v>4.96000003814697</v>
      </c>
      <c r="F379">
        <v>4.8697829246520996</v>
      </c>
      <c r="G379">
        <v>4.5</v>
      </c>
      <c r="H379">
        <v>0.34000000357627902</v>
      </c>
      <c r="I379">
        <v>0.93999999761581399</v>
      </c>
      <c r="J379">
        <v>0</v>
      </c>
      <c r="K379">
        <v>53</v>
      </c>
      <c r="L379">
        <v>6</v>
      </c>
      <c r="M379">
        <v>43</v>
      </c>
      <c r="N379">
        <v>405</v>
      </c>
      <c r="O379">
        <v>1023</v>
      </c>
      <c r="P379" t="str">
        <f>TEXT(tbl_working_daily[[#This Row],[ActivityDate]],"dddd")</f>
        <v>Tuesday</v>
      </c>
      <c r="Q379" t="str">
        <f>TEXT(tbl_working_daily[[#This Row],[ActivityDate]],"mmmm")</f>
        <v>April</v>
      </c>
      <c r="R379">
        <f t="shared" si="10"/>
        <v>102</v>
      </c>
      <c r="S379">
        <f t="shared" si="11"/>
        <v>507</v>
      </c>
      <c r="T379">
        <f>ROUND(tbl_working_daily[[#This Row],[SedentaryMinutes]]/60,2)</f>
        <v>6.75</v>
      </c>
      <c r="U379" t="str" cm="1">
        <f t="array" ref="U37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79" t="str" cm="1">
        <f t="array" ref="V379">_xlfn.IFS(tbl_working_daily[[#This Row],[VeryActiveMinutes]]&gt;=30,"Very Active",tbl_working_daily[[#This Row],[VeryActiveMinutes]]&gt;=15,"Moderately Active",tbl_working_daily[[#This Row],[VeryActiveMinutes]]&gt;=1,"Lightly Active",tbl_working_daily[[#This Row],[VeryActiveMinutes]]=0,"Sedentary")</f>
        <v>Very Active</v>
      </c>
      <c r="W379" t="str">
        <f>tbl_working_daily[[#This Row],[Id]]&amp;"|"&amp;TEXT(tbl_working_daily[[#This Row],[ActivityDate]],"yyyy-mm-dd")</f>
        <v>7007744171|2016-04-12</v>
      </c>
      <c r="X379" t="b">
        <f>ISNUMBER(MATCH(tbl_working_daily[[#This Row],[LookupKey]],tbl_working_sleep[LookupKey],0))</f>
        <v>0</v>
      </c>
    </row>
    <row r="380" spans="1:24" x14ac:dyDescent="0.3">
      <c r="A380">
        <v>7086361926</v>
      </c>
      <c r="B380" s="1">
        <v>42461</v>
      </c>
      <c r="C380">
        <v>11463</v>
      </c>
      <c r="D380">
        <v>7.6700000762939498</v>
      </c>
      <c r="E380">
        <v>7.6700000762939498</v>
      </c>
      <c r="F380">
        <v>0</v>
      </c>
      <c r="G380">
        <v>2.8299999237060498</v>
      </c>
      <c r="H380">
        <v>1.8899999856948899</v>
      </c>
      <c r="I380">
        <v>2.9300000667571999</v>
      </c>
      <c r="J380">
        <v>0</v>
      </c>
      <c r="K380">
        <v>38</v>
      </c>
      <c r="L380">
        <v>30</v>
      </c>
      <c r="M380">
        <v>154</v>
      </c>
      <c r="N380">
        <v>777</v>
      </c>
      <c r="O380">
        <v>2496</v>
      </c>
      <c r="P380" t="str">
        <f>TEXT(tbl_working_daily[[#This Row],[ActivityDate]],"dddd")</f>
        <v>Friday</v>
      </c>
      <c r="Q380" t="str">
        <f>TEXT(tbl_working_daily[[#This Row],[ActivityDate]],"mmmm")</f>
        <v>April</v>
      </c>
      <c r="R380">
        <f t="shared" si="10"/>
        <v>222</v>
      </c>
      <c r="S380">
        <f t="shared" si="11"/>
        <v>999</v>
      </c>
      <c r="T380">
        <f>ROUND(tbl_working_daily[[#This Row],[SedentaryMinutes]]/60,2)</f>
        <v>12.95</v>
      </c>
      <c r="U380" t="str" cm="1">
        <f t="array" ref="U38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80" t="str" cm="1">
        <f t="array" ref="V380">_xlfn.IFS(tbl_working_daily[[#This Row],[VeryActiveMinutes]]&gt;=30,"Very Active",tbl_working_daily[[#This Row],[VeryActiveMinutes]]&gt;=15,"Moderately Active",tbl_working_daily[[#This Row],[VeryActiveMinutes]]&gt;=1,"Lightly Active",tbl_working_daily[[#This Row],[VeryActiveMinutes]]=0,"Sedentary")</f>
        <v>Very Active</v>
      </c>
      <c r="W380" t="str">
        <f>tbl_working_daily[[#This Row],[Id]]&amp;"|"&amp;TEXT(tbl_working_daily[[#This Row],[ActivityDate]],"yyyy-mm-dd")</f>
        <v>7086361926|2016-04-01</v>
      </c>
      <c r="X380" t="b">
        <f>ISNUMBER(MATCH(tbl_working_daily[[#This Row],[LookupKey]],tbl_working_sleep[LookupKey],0))</f>
        <v>0</v>
      </c>
    </row>
    <row r="381" spans="1:24" x14ac:dyDescent="0.3">
      <c r="A381">
        <v>7086361926</v>
      </c>
      <c r="B381" s="1">
        <v>42462</v>
      </c>
      <c r="C381">
        <v>87</v>
      </c>
      <c r="D381">
        <v>1.9999999552965199E-2</v>
      </c>
      <c r="E381">
        <v>1.9999999552965199E-2</v>
      </c>
      <c r="F381">
        <v>0</v>
      </c>
      <c r="G381">
        <v>0</v>
      </c>
      <c r="H381">
        <v>0</v>
      </c>
      <c r="I381">
        <v>9.9999997764825804E-3</v>
      </c>
      <c r="J381">
        <v>0</v>
      </c>
      <c r="K381">
        <v>0</v>
      </c>
      <c r="L381">
        <v>0</v>
      </c>
      <c r="M381">
        <v>2</v>
      </c>
      <c r="N381">
        <v>872</v>
      </c>
      <c r="O381">
        <v>1641</v>
      </c>
      <c r="P381" t="str">
        <f>TEXT(tbl_working_daily[[#This Row],[ActivityDate]],"dddd")</f>
        <v>Saturday</v>
      </c>
      <c r="Q381" t="str">
        <f>TEXT(tbl_working_daily[[#This Row],[ActivityDate]],"mmmm")</f>
        <v>April</v>
      </c>
      <c r="R381">
        <f t="shared" si="10"/>
        <v>2</v>
      </c>
      <c r="S381">
        <f t="shared" si="11"/>
        <v>874</v>
      </c>
      <c r="T381">
        <f>ROUND(tbl_working_daily[[#This Row],[SedentaryMinutes]]/60,2)</f>
        <v>14.53</v>
      </c>
      <c r="U381" t="str" cm="1">
        <f t="array" ref="U38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81" t="str" cm="1">
        <f t="array" ref="V381">_xlfn.IFS(tbl_working_daily[[#This Row],[VeryActiveMinutes]]&gt;=30,"Very Active",tbl_working_daily[[#This Row],[VeryActiveMinutes]]&gt;=15,"Moderately Active",tbl_working_daily[[#This Row],[VeryActiveMinutes]]&gt;=1,"Lightly Active",tbl_working_daily[[#This Row],[VeryActiveMinutes]]=0,"Sedentary")</f>
        <v>Sedentary</v>
      </c>
      <c r="W381" t="str">
        <f>tbl_working_daily[[#This Row],[Id]]&amp;"|"&amp;TEXT(tbl_working_daily[[#This Row],[ActivityDate]],"yyyy-mm-dd")</f>
        <v>7086361926|2016-04-02</v>
      </c>
      <c r="X381" t="b">
        <f>ISNUMBER(MATCH(tbl_working_daily[[#This Row],[LookupKey]],tbl_working_sleep[LookupKey],0))</f>
        <v>0</v>
      </c>
    </row>
    <row r="382" spans="1:24" x14ac:dyDescent="0.3">
      <c r="A382">
        <v>7086361926</v>
      </c>
      <c r="B382" s="1">
        <v>42463</v>
      </c>
      <c r="C382">
        <v>1949</v>
      </c>
      <c r="D382">
        <v>1.3099999427795399</v>
      </c>
      <c r="E382">
        <v>1.3099999427795399</v>
      </c>
      <c r="F382">
        <v>0</v>
      </c>
      <c r="G382">
        <v>0.230000004172325</v>
      </c>
      <c r="H382">
        <v>0.34999999403953602</v>
      </c>
      <c r="I382">
        <v>0.730000019073486</v>
      </c>
      <c r="J382">
        <v>0</v>
      </c>
      <c r="K382">
        <v>3</v>
      </c>
      <c r="L382">
        <v>6</v>
      </c>
      <c r="M382">
        <v>27</v>
      </c>
      <c r="N382">
        <v>1404</v>
      </c>
      <c r="O382">
        <v>1794</v>
      </c>
      <c r="P382" t="str">
        <f>TEXT(tbl_working_daily[[#This Row],[ActivityDate]],"dddd")</f>
        <v>Sunday</v>
      </c>
      <c r="Q382" t="str">
        <f>TEXT(tbl_working_daily[[#This Row],[ActivityDate]],"mmmm")</f>
        <v>April</v>
      </c>
      <c r="R382">
        <f t="shared" si="10"/>
        <v>36</v>
      </c>
      <c r="S382">
        <f t="shared" si="11"/>
        <v>1440</v>
      </c>
      <c r="T382">
        <f>ROUND(tbl_working_daily[[#This Row],[SedentaryMinutes]]/60,2)</f>
        <v>23.4</v>
      </c>
      <c r="U382" t="str" cm="1">
        <f t="array" ref="U38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82" t="str" cm="1">
        <f t="array" ref="V382">_xlfn.IFS(tbl_working_daily[[#This Row],[VeryActiveMinutes]]&gt;=30,"Very Active",tbl_working_daily[[#This Row],[VeryActiveMinutes]]&gt;=15,"Moderately Active",tbl_working_daily[[#This Row],[VeryActiveMinutes]]&gt;=1,"Lightly Active",tbl_working_daily[[#This Row],[VeryActiveMinutes]]=0,"Sedentary")</f>
        <v>Lightly Active</v>
      </c>
      <c r="W382" t="str">
        <f>tbl_working_daily[[#This Row],[Id]]&amp;"|"&amp;TEXT(tbl_working_daily[[#This Row],[ActivityDate]],"yyyy-mm-dd")</f>
        <v>7086361926|2016-04-03</v>
      </c>
      <c r="X382" t="b">
        <f>ISNUMBER(MATCH(tbl_working_daily[[#This Row],[LookupKey]],tbl_working_sleep[LookupKey],0))</f>
        <v>0</v>
      </c>
    </row>
    <row r="383" spans="1:24" x14ac:dyDescent="0.3">
      <c r="A383">
        <v>7086361926</v>
      </c>
      <c r="B383" s="1">
        <v>42464</v>
      </c>
      <c r="C383">
        <v>6101</v>
      </c>
      <c r="D383">
        <v>3.8699998855590798</v>
      </c>
      <c r="E383">
        <v>3.8699998855590798</v>
      </c>
      <c r="F383">
        <v>0</v>
      </c>
      <c r="G383">
        <v>0.52999997138977095</v>
      </c>
      <c r="H383">
        <v>0.230000004172325</v>
      </c>
      <c r="I383">
        <v>3.0999999046325701</v>
      </c>
      <c r="J383">
        <v>0</v>
      </c>
      <c r="K383">
        <v>31</v>
      </c>
      <c r="L383">
        <v>24</v>
      </c>
      <c r="M383">
        <v>138</v>
      </c>
      <c r="N383">
        <v>1247</v>
      </c>
      <c r="O383">
        <v>2421</v>
      </c>
      <c r="P383" t="str">
        <f>TEXT(tbl_working_daily[[#This Row],[ActivityDate]],"dddd")</f>
        <v>Monday</v>
      </c>
      <c r="Q383" t="str">
        <f>TEXT(tbl_working_daily[[#This Row],[ActivityDate]],"mmmm")</f>
        <v>April</v>
      </c>
      <c r="R383">
        <f t="shared" si="10"/>
        <v>193</v>
      </c>
      <c r="S383">
        <f t="shared" si="11"/>
        <v>1440</v>
      </c>
      <c r="T383">
        <f>ROUND(tbl_working_daily[[#This Row],[SedentaryMinutes]]/60,2)</f>
        <v>20.78</v>
      </c>
      <c r="U383" t="str" cm="1">
        <f t="array" ref="U38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83" t="str" cm="1">
        <f t="array" ref="V383">_xlfn.IFS(tbl_working_daily[[#This Row],[VeryActiveMinutes]]&gt;=30,"Very Active",tbl_working_daily[[#This Row],[VeryActiveMinutes]]&gt;=15,"Moderately Active",tbl_working_daily[[#This Row],[VeryActiveMinutes]]&gt;=1,"Lightly Active",tbl_working_daily[[#This Row],[VeryActiveMinutes]]=0,"Sedentary")</f>
        <v>Very Active</v>
      </c>
      <c r="W383" t="str">
        <f>tbl_working_daily[[#This Row],[Id]]&amp;"|"&amp;TEXT(tbl_working_daily[[#This Row],[ActivityDate]],"yyyy-mm-dd")</f>
        <v>7086361926|2016-04-04</v>
      </c>
      <c r="X383" t="b">
        <f>ISNUMBER(MATCH(tbl_working_daily[[#This Row],[LookupKey]],tbl_working_sleep[LookupKey],0))</f>
        <v>0</v>
      </c>
    </row>
    <row r="384" spans="1:24" x14ac:dyDescent="0.3">
      <c r="A384">
        <v>7086361926</v>
      </c>
      <c r="B384" s="1">
        <v>42465</v>
      </c>
      <c r="C384">
        <v>7478</v>
      </c>
      <c r="D384">
        <v>4.9899997711181596</v>
      </c>
      <c r="E384">
        <v>4.9899997711181596</v>
      </c>
      <c r="F384">
        <v>0</v>
      </c>
      <c r="G384">
        <v>1.79999995231628</v>
      </c>
      <c r="H384">
        <v>0.52999997138977095</v>
      </c>
      <c r="I384">
        <v>2.6099998950958301</v>
      </c>
      <c r="J384">
        <v>2.9999999329447701E-2</v>
      </c>
      <c r="K384">
        <v>25</v>
      </c>
      <c r="L384">
        <v>33</v>
      </c>
      <c r="M384">
        <v>132</v>
      </c>
      <c r="N384">
        <v>1159</v>
      </c>
      <c r="O384">
        <v>2439</v>
      </c>
      <c r="P384" t="str">
        <f>TEXT(tbl_working_daily[[#This Row],[ActivityDate]],"dddd")</f>
        <v>Tuesday</v>
      </c>
      <c r="Q384" t="str">
        <f>TEXT(tbl_working_daily[[#This Row],[ActivityDate]],"mmmm")</f>
        <v>April</v>
      </c>
      <c r="R384">
        <f t="shared" si="10"/>
        <v>190</v>
      </c>
      <c r="S384">
        <f t="shared" si="11"/>
        <v>1349</v>
      </c>
      <c r="T384">
        <f>ROUND(tbl_working_daily[[#This Row],[SedentaryMinutes]]/60,2)</f>
        <v>19.32</v>
      </c>
      <c r="U384" t="str" cm="1">
        <f t="array" ref="U38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84" t="str" cm="1">
        <f t="array" ref="V384">_xlfn.IFS(tbl_working_daily[[#This Row],[VeryActiveMinutes]]&gt;=30,"Very Active",tbl_working_daily[[#This Row],[VeryActiveMinutes]]&gt;=15,"Moderately Active",tbl_working_daily[[#This Row],[VeryActiveMinutes]]&gt;=1,"Lightly Active",tbl_working_daily[[#This Row],[VeryActiveMinutes]]=0,"Sedentary")</f>
        <v>Moderately Active</v>
      </c>
      <c r="W384" t="str">
        <f>tbl_working_daily[[#This Row],[Id]]&amp;"|"&amp;TEXT(tbl_working_daily[[#This Row],[ActivityDate]],"yyyy-mm-dd")</f>
        <v>7086361926|2016-04-05</v>
      </c>
      <c r="X384" t="b">
        <f>ISNUMBER(MATCH(tbl_working_daily[[#This Row],[LookupKey]],tbl_working_sleep[LookupKey],0))</f>
        <v>0</v>
      </c>
    </row>
    <row r="385" spans="1:24" x14ac:dyDescent="0.3">
      <c r="A385">
        <v>7086361926</v>
      </c>
      <c r="B385" s="1">
        <v>42466</v>
      </c>
      <c r="C385">
        <v>7352</v>
      </c>
      <c r="D385">
        <v>4.7300000190734899</v>
      </c>
      <c r="E385">
        <v>4.7300000190734899</v>
      </c>
      <c r="F385">
        <v>0</v>
      </c>
      <c r="G385">
        <v>1.4099999666214</v>
      </c>
      <c r="H385">
        <v>0.77999997138977095</v>
      </c>
      <c r="I385">
        <v>2.5299999713897701</v>
      </c>
      <c r="J385">
        <v>0</v>
      </c>
      <c r="K385">
        <v>19</v>
      </c>
      <c r="L385">
        <v>14</v>
      </c>
      <c r="M385">
        <v>124</v>
      </c>
      <c r="N385">
        <v>814</v>
      </c>
      <c r="O385">
        <v>2233</v>
      </c>
      <c r="P385" t="str">
        <f>TEXT(tbl_working_daily[[#This Row],[ActivityDate]],"dddd")</f>
        <v>Wednesday</v>
      </c>
      <c r="Q385" t="str">
        <f>TEXT(tbl_working_daily[[#This Row],[ActivityDate]],"mmmm")</f>
        <v>April</v>
      </c>
      <c r="R385">
        <f t="shared" si="10"/>
        <v>157</v>
      </c>
      <c r="S385">
        <f t="shared" si="11"/>
        <v>971</v>
      </c>
      <c r="T385">
        <f>ROUND(tbl_working_daily[[#This Row],[SedentaryMinutes]]/60,2)</f>
        <v>13.57</v>
      </c>
      <c r="U385" t="str" cm="1">
        <f t="array" ref="U38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85" t="str" cm="1">
        <f t="array" ref="V385">_xlfn.IFS(tbl_working_daily[[#This Row],[VeryActiveMinutes]]&gt;=30,"Very Active",tbl_working_daily[[#This Row],[VeryActiveMinutes]]&gt;=15,"Moderately Active",tbl_working_daily[[#This Row],[VeryActiveMinutes]]&gt;=1,"Lightly Active",tbl_working_daily[[#This Row],[VeryActiveMinutes]]=0,"Sedentary")</f>
        <v>Moderately Active</v>
      </c>
      <c r="W385" t="str">
        <f>tbl_working_daily[[#This Row],[Id]]&amp;"|"&amp;TEXT(tbl_working_daily[[#This Row],[ActivityDate]],"yyyy-mm-dd")</f>
        <v>7086361926|2016-04-06</v>
      </c>
      <c r="X385" t="b">
        <f>ISNUMBER(MATCH(tbl_working_daily[[#This Row],[LookupKey]],tbl_working_sleep[LookupKey],0))</f>
        <v>0</v>
      </c>
    </row>
    <row r="386" spans="1:24" x14ac:dyDescent="0.3">
      <c r="A386">
        <v>7086361926</v>
      </c>
      <c r="B386" s="1">
        <v>42467</v>
      </c>
      <c r="C386">
        <v>14604</v>
      </c>
      <c r="D386">
        <v>10.819999694824199</v>
      </c>
      <c r="E386">
        <v>10.819999694824199</v>
      </c>
      <c r="F386">
        <v>0</v>
      </c>
      <c r="G386">
        <v>7.2300000190734899</v>
      </c>
      <c r="H386">
        <v>1.12000000476837</v>
      </c>
      <c r="I386">
        <v>2.4300000667571999</v>
      </c>
      <c r="J386">
        <v>2.9999999329447701E-2</v>
      </c>
      <c r="K386">
        <v>76</v>
      </c>
      <c r="L386">
        <v>30</v>
      </c>
      <c r="M386">
        <v>127</v>
      </c>
      <c r="N386">
        <v>695</v>
      </c>
      <c r="O386">
        <v>2862</v>
      </c>
      <c r="P386" t="str">
        <f>TEXT(tbl_working_daily[[#This Row],[ActivityDate]],"dddd")</f>
        <v>Thursday</v>
      </c>
      <c r="Q386" t="str">
        <f>TEXT(tbl_working_daily[[#This Row],[ActivityDate]],"mmmm")</f>
        <v>April</v>
      </c>
      <c r="R386">
        <f t="shared" ref="R386:R449" si="12">K386+L386+M386</f>
        <v>233</v>
      </c>
      <c r="S386">
        <f t="shared" ref="S386:S449" si="13">R386+N386</f>
        <v>928</v>
      </c>
      <c r="T386">
        <f>ROUND(tbl_working_daily[[#This Row],[SedentaryMinutes]]/60,2)</f>
        <v>11.58</v>
      </c>
      <c r="U386" t="str" cm="1">
        <f t="array" ref="U38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86" t="str" cm="1">
        <f t="array" ref="V386">_xlfn.IFS(tbl_working_daily[[#This Row],[VeryActiveMinutes]]&gt;=30,"Very Active",tbl_working_daily[[#This Row],[VeryActiveMinutes]]&gt;=15,"Moderately Active",tbl_working_daily[[#This Row],[VeryActiveMinutes]]&gt;=1,"Lightly Active",tbl_working_daily[[#This Row],[VeryActiveMinutes]]=0,"Sedentary")</f>
        <v>Very Active</v>
      </c>
      <c r="W386" t="str">
        <f>tbl_working_daily[[#This Row],[Id]]&amp;"|"&amp;TEXT(tbl_working_daily[[#This Row],[ActivityDate]],"yyyy-mm-dd")</f>
        <v>7086361926|2016-04-07</v>
      </c>
      <c r="X386" t="b">
        <f>ISNUMBER(MATCH(tbl_working_daily[[#This Row],[LookupKey]],tbl_working_sleep[LookupKey],0))</f>
        <v>0</v>
      </c>
    </row>
    <row r="387" spans="1:24" x14ac:dyDescent="0.3">
      <c r="A387">
        <v>7086361926</v>
      </c>
      <c r="B387" s="1">
        <v>42468</v>
      </c>
      <c r="C387">
        <v>9634</v>
      </c>
      <c r="D387">
        <v>6.5199999809265101</v>
      </c>
      <c r="E387">
        <v>6.5199999809265101</v>
      </c>
      <c r="F387">
        <v>0</v>
      </c>
      <c r="G387">
        <v>2.5</v>
      </c>
      <c r="H387">
        <v>1.3999999761581401</v>
      </c>
      <c r="I387">
        <v>2.5899999141693102</v>
      </c>
      <c r="J387">
        <v>0</v>
      </c>
      <c r="K387">
        <v>50</v>
      </c>
      <c r="L387">
        <v>48</v>
      </c>
      <c r="M387">
        <v>140</v>
      </c>
      <c r="N387">
        <v>797</v>
      </c>
      <c r="O387">
        <v>2752</v>
      </c>
      <c r="P387" t="str">
        <f>TEXT(tbl_working_daily[[#This Row],[ActivityDate]],"dddd")</f>
        <v>Friday</v>
      </c>
      <c r="Q387" t="str">
        <f>TEXT(tbl_working_daily[[#This Row],[ActivityDate]],"mmmm")</f>
        <v>April</v>
      </c>
      <c r="R387">
        <f t="shared" si="12"/>
        <v>238</v>
      </c>
      <c r="S387">
        <f t="shared" si="13"/>
        <v>1035</v>
      </c>
      <c r="T387">
        <f>ROUND(tbl_working_daily[[#This Row],[SedentaryMinutes]]/60,2)</f>
        <v>13.28</v>
      </c>
      <c r="U387" t="str" cm="1">
        <f t="array" ref="U38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387" t="str" cm="1">
        <f t="array" ref="V387">_xlfn.IFS(tbl_working_daily[[#This Row],[VeryActiveMinutes]]&gt;=30,"Very Active",tbl_working_daily[[#This Row],[VeryActiveMinutes]]&gt;=15,"Moderately Active",tbl_working_daily[[#This Row],[VeryActiveMinutes]]&gt;=1,"Lightly Active",tbl_working_daily[[#This Row],[VeryActiveMinutes]]=0,"Sedentary")</f>
        <v>Very Active</v>
      </c>
      <c r="W387" t="str">
        <f>tbl_working_daily[[#This Row],[Id]]&amp;"|"&amp;TEXT(tbl_working_daily[[#This Row],[ActivityDate]],"yyyy-mm-dd")</f>
        <v>7086361926|2016-04-08</v>
      </c>
      <c r="X387" t="b">
        <f>ISNUMBER(MATCH(tbl_working_daily[[#This Row],[LookupKey]],tbl_working_sleep[LookupKey],0))</f>
        <v>0</v>
      </c>
    </row>
    <row r="388" spans="1:24" x14ac:dyDescent="0.3">
      <c r="A388">
        <v>7086361926</v>
      </c>
      <c r="B388" s="1">
        <v>42469</v>
      </c>
      <c r="C388">
        <v>7338</v>
      </c>
      <c r="D388">
        <v>4.6700000762939498</v>
      </c>
      <c r="E388">
        <v>4.6700000762939498</v>
      </c>
      <c r="F388">
        <v>0</v>
      </c>
      <c r="G388">
        <v>1.08000004291534</v>
      </c>
      <c r="H388">
        <v>0.129999995231628</v>
      </c>
      <c r="I388">
        <v>3.46000003814697</v>
      </c>
      <c r="J388">
        <v>0</v>
      </c>
      <c r="K388">
        <v>27</v>
      </c>
      <c r="L388">
        <v>5</v>
      </c>
      <c r="M388">
        <v>204</v>
      </c>
      <c r="N388">
        <v>717</v>
      </c>
      <c r="O388">
        <v>2519</v>
      </c>
      <c r="P388" t="str">
        <f>TEXT(tbl_working_daily[[#This Row],[ActivityDate]],"dddd")</f>
        <v>Saturday</v>
      </c>
      <c r="Q388" t="str">
        <f>TEXT(tbl_working_daily[[#This Row],[ActivityDate]],"mmmm")</f>
        <v>April</v>
      </c>
      <c r="R388">
        <f t="shared" si="12"/>
        <v>236</v>
      </c>
      <c r="S388">
        <f t="shared" si="13"/>
        <v>953</v>
      </c>
      <c r="T388">
        <f>ROUND(tbl_working_daily[[#This Row],[SedentaryMinutes]]/60,2)</f>
        <v>11.95</v>
      </c>
      <c r="U388" t="str" cm="1">
        <f t="array" ref="U38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88" t="str" cm="1">
        <f t="array" ref="V388">_xlfn.IFS(tbl_working_daily[[#This Row],[VeryActiveMinutes]]&gt;=30,"Very Active",tbl_working_daily[[#This Row],[VeryActiveMinutes]]&gt;=15,"Moderately Active",tbl_working_daily[[#This Row],[VeryActiveMinutes]]&gt;=1,"Lightly Active",tbl_working_daily[[#This Row],[VeryActiveMinutes]]=0,"Sedentary")</f>
        <v>Moderately Active</v>
      </c>
      <c r="W388" t="str">
        <f>tbl_working_daily[[#This Row],[Id]]&amp;"|"&amp;TEXT(tbl_working_daily[[#This Row],[ActivityDate]],"yyyy-mm-dd")</f>
        <v>7086361926|2016-04-09</v>
      </c>
      <c r="X388" t="b">
        <f>ISNUMBER(MATCH(tbl_working_daily[[#This Row],[LookupKey]],tbl_working_sleep[LookupKey],0))</f>
        <v>0</v>
      </c>
    </row>
    <row r="389" spans="1:24" x14ac:dyDescent="0.3">
      <c r="A389">
        <v>7086361926</v>
      </c>
      <c r="B389" s="1">
        <v>42470</v>
      </c>
      <c r="C389">
        <v>569</v>
      </c>
      <c r="D389">
        <v>0.34999999403953602</v>
      </c>
      <c r="E389">
        <v>0.34999999403953602</v>
      </c>
      <c r="F389">
        <v>0</v>
      </c>
      <c r="G389">
        <v>0</v>
      </c>
      <c r="H389">
        <v>0</v>
      </c>
      <c r="I389">
        <v>0.34000000357627902</v>
      </c>
      <c r="J389">
        <v>0</v>
      </c>
      <c r="K389">
        <v>0</v>
      </c>
      <c r="L389">
        <v>0</v>
      </c>
      <c r="M389">
        <v>27</v>
      </c>
      <c r="N389">
        <v>1368</v>
      </c>
      <c r="O389">
        <v>1799</v>
      </c>
      <c r="P389" t="str">
        <f>TEXT(tbl_working_daily[[#This Row],[ActivityDate]],"dddd")</f>
        <v>Sunday</v>
      </c>
      <c r="Q389" t="str">
        <f>TEXT(tbl_working_daily[[#This Row],[ActivityDate]],"mmmm")</f>
        <v>April</v>
      </c>
      <c r="R389">
        <f t="shared" si="12"/>
        <v>27</v>
      </c>
      <c r="S389">
        <f t="shared" si="13"/>
        <v>1395</v>
      </c>
      <c r="T389">
        <f>ROUND(tbl_working_daily[[#This Row],[SedentaryMinutes]]/60,2)</f>
        <v>22.8</v>
      </c>
      <c r="U389" t="str" cm="1">
        <f t="array" ref="U38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89" t="str" cm="1">
        <f t="array" ref="V389">_xlfn.IFS(tbl_working_daily[[#This Row],[VeryActiveMinutes]]&gt;=30,"Very Active",tbl_working_daily[[#This Row],[VeryActiveMinutes]]&gt;=15,"Moderately Active",tbl_working_daily[[#This Row],[VeryActiveMinutes]]&gt;=1,"Lightly Active",tbl_working_daily[[#This Row],[VeryActiveMinutes]]=0,"Sedentary")</f>
        <v>Sedentary</v>
      </c>
      <c r="W389" t="str">
        <f>tbl_working_daily[[#This Row],[Id]]&amp;"|"&amp;TEXT(tbl_working_daily[[#This Row],[ActivityDate]],"yyyy-mm-dd")</f>
        <v>7086361926|2016-04-10</v>
      </c>
      <c r="X389" t="b">
        <f>ISNUMBER(MATCH(tbl_working_daily[[#This Row],[LookupKey]],tbl_working_sleep[LookupKey],0))</f>
        <v>0</v>
      </c>
    </row>
    <row r="390" spans="1:24" x14ac:dyDescent="0.3">
      <c r="A390">
        <v>7086361926</v>
      </c>
      <c r="B390" s="1">
        <v>42471</v>
      </c>
      <c r="C390">
        <v>6242</v>
      </c>
      <c r="D390">
        <v>3.9200000762939502</v>
      </c>
      <c r="E390">
        <v>3.9200000762939502</v>
      </c>
      <c r="F390">
        <v>0</v>
      </c>
      <c r="G390">
        <v>0.74000000953674305</v>
      </c>
      <c r="H390">
        <v>0.230000004172325</v>
      </c>
      <c r="I390">
        <v>2.9300000667571999</v>
      </c>
      <c r="J390">
        <v>0</v>
      </c>
      <c r="K390">
        <v>46</v>
      </c>
      <c r="L390">
        <v>22</v>
      </c>
      <c r="M390">
        <v>126</v>
      </c>
      <c r="N390">
        <v>741</v>
      </c>
      <c r="O390">
        <v>2543</v>
      </c>
      <c r="P390" t="str">
        <f>TEXT(tbl_working_daily[[#This Row],[ActivityDate]],"dddd")</f>
        <v>Monday</v>
      </c>
      <c r="Q390" t="str">
        <f>TEXT(tbl_working_daily[[#This Row],[ActivityDate]],"mmmm")</f>
        <v>April</v>
      </c>
      <c r="R390">
        <f t="shared" si="12"/>
        <v>194</v>
      </c>
      <c r="S390">
        <f t="shared" si="13"/>
        <v>935</v>
      </c>
      <c r="T390">
        <f>ROUND(tbl_working_daily[[#This Row],[SedentaryMinutes]]/60,2)</f>
        <v>12.35</v>
      </c>
      <c r="U390" t="str" cm="1">
        <f t="array" ref="U39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390" t="str" cm="1">
        <f t="array" ref="V390">_xlfn.IFS(tbl_working_daily[[#This Row],[VeryActiveMinutes]]&gt;=30,"Very Active",tbl_working_daily[[#This Row],[VeryActiveMinutes]]&gt;=15,"Moderately Active",tbl_working_daily[[#This Row],[VeryActiveMinutes]]&gt;=1,"Lightly Active",tbl_working_daily[[#This Row],[VeryActiveMinutes]]=0,"Sedentary")</f>
        <v>Very Active</v>
      </c>
      <c r="W390" t="str">
        <f>tbl_working_daily[[#This Row],[Id]]&amp;"|"&amp;TEXT(tbl_working_daily[[#This Row],[ActivityDate]],"yyyy-mm-dd")</f>
        <v>7086361926|2016-04-11</v>
      </c>
      <c r="X390" t="b">
        <f>ISNUMBER(MATCH(tbl_working_daily[[#This Row],[LookupKey]],tbl_working_sleep[LookupKey],0))</f>
        <v>0</v>
      </c>
    </row>
    <row r="391" spans="1:24" x14ac:dyDescent="0.3">
      <c r="A391">
        <v>7086361926</v>
      </c>
      <c r="B391" s="1">
        <v>42472</v>
      </c>
      <c r="C391">
        <v>430</v>
      </c>
      <c r="D391">
        <v>0.259999990463257</v>
      </c>
      <c r="E391">
        <v>0.259999990463257</v>
      </c>
      <c r="F391">
        <v>0</v>
      </c>
      <c r="G391">
        <v>0</v>
      </c>
      <c r="H391">
        <v>0</v>
      </c>
      <c r="I391">
        <v>0.259999990463257</v>
      </c>
      <c r="J391">
        <v>0</v>
      </c>
      <c r="K391">
        <v>0</v>
      </c>
      <c r="L391">
        <v>0</v>
      </c>
      <c r="M391">
        <v>14</v>
      </c>
      <c r="N391">
        <v>75</v>
      </c>
      <c r="O391">
        <v>625</v>
      </c>
      <c r="P391" t="str">
        <f>TEXT(tbl_working_daily[[#This Row],[ActivityDate]],"dddd")</f>
        <v>Tuesday</v>
      </c>
      <c r="Q391" t="str">
        <f>TEXT(tbl_working_daily[[#This Row],[ActivityDate]],"mmmm")</f>
        <v>April</v>
      </c>
      <c r="R391">
        <f t="shared" si="12"/>
        <v>14</v>
      </c>
      <c r="S391">
        <f t="shared" si="13"/>
        <v>89</v>
      </c>
      <c r="T391">
        <f>ROUND(tbl_working_daily[[#This Row],[SedentaryMinutes]]/60,2)</f>
        <v>1.25</v>
      </c>
      <c r="U391" t="str" cm="1">
        <f t="array" ref="U3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391" t="str" cm="1">
        <f t="array" ref="V391">_xlfn.IFS(tbl_working_daily[[#This Row],[VeryActiveMinutes]]&gt;=30,"Very Active",tbl_working_daily[[#This Row],[VeryActiveMinutes]]&gt;=15,"Moderately Active",tbl_working_daily[[#This Row],[VeryActiveMinutes]]&gt;=1,"Lightly Active",tbl_working_daily[[#This Row],[VeryActiveMinutes]]=0,"Sedentary")</f>
        <v>Sedentary</v>
      </c>
      <c r="W391" t="str">
        <f>tbl_working_daily[[#This Row],[Id]]&amp;"|"&amp;TEXT(tbl_working_daily[[#This Row],[ActivityDate]],"yyyy-mm-dd")</f>
        <v>7086361926|2016-04-12</v>
      </c>
      <c r="X391" t="b">
        <f>ISNUMBER(MATCH(tbl_working_daily[[#This Row],[LookupKey]],tbl_working_sleep[LookupKey],0))</f>
        <v>1</v>
      </c>
    </row>
    <row r="392" spans="1:24" x14ac:dyDescent="0.3">
      <c r="A392">
        <v>8053475328</v>
      </c>
      <c r="B392" s="1">
        <v>42462</v>
      </c>
      <c r="C392">
        <v>20188</v>
      </c>
      <c r="D392">
        <v>15.6199998855591</v>
      </c>
      <c r="E392">
        <v>15.6199998855591</v>
      </c>
      <c r="F392">
        <v>0</v>
      </c>
      <c r="G392">
        <v>12.060000419616699</v>
      </c>
      <c r="H392">
        <v>0.85000002384185802</v>
      </c>
      <c r="I392">
        <v>2.71000003814697</v>
      </c>
      <c r="J392">
        <v>0</v>
      </c>
      <c r="K392">
        <v>124</v>
      </c>
      <c r="L392">
        <v>19</v>
      </c>
      <c r="M392">
        <v>172</v>
      </c>
      <c r="N392">
        <v>1125</v>
      </c>
      <c r="O392">
        <v>3377</v>
      </c>
      <c r="P392" t="str">
        <f>TEXT(tbl_working_daily[[#This Row],[ActivityDate]],"dddd")</f>
        <v>Saturday</v>
      </c>
      <c r="Q392" t="str">
        <f>TEXT(tbl_working_daily[[#This Row],[ActivityDate]],"mmmm")</f>
        <v>April</v>
      </c>
      <c r="R392">
        <f t="shared" si="12"/>
        <v>315</v>
      </c>
      <c r="S392">
        <f t="shared" si="13"/>
        <v>1440</v>
      </c>
      <c r="T392">
        <f>ROUND(tbl_working_daily[[#This Row],[SedentaryMinutes]]/60,2)</f>
        <v>18.75</v>
      </c>
      <c r="U392" t="str" cm="1">
        <f t="array" ref="U39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92" t="str" cm="1">
        <f t="array" ref="V392">_xlfn.IFS(tbl_working_daily[[#This Row],[VeryActiveMinutes]]&gt;=30,"Very Active",tbl_working_daily[[#This Row],[VeryActiveMinutes]]&gt;=15,"Moderately Active",tbl_working_daily[[#This Row],[VeryActiveMinutes]]&gt;=1,"Lightly Active",tbl_working_daily[[#This Row],[VeryActiveMinutes]]=0,"Sedentary")</f>
        <v>Very Active</v>
      </c>
      <c r="W392" t="str">
        <f>tbl_working_daily[[#This Row],[Id]]&amp;"|"&amp;TEXT(tbl_working_daily[[#This Row],[ActivityDate]],"yyyy-mm-dd")</f>
        <v>8053475328|2016-04-02</v>
      </c>
      <c r="X392" t="b">
        <f>ISNUMBER(MATCH(tbl_working_daily[[#This Row],[LookupKey]],tbl_working_sleep[LookupKey],0))</f>
        <v>0</v>
      </c>
    </row>
    <row r="393" spans="1:24" x14ac:dyDescent="0.3">
      <c r="A393">
        <v>8053475328</v>
      </c>
      <c r="B393" s="1">
        <v>42463</v>
      </c>
      <c r="C393">
        <v>25701</v>
      </c>
      <c r="D393">
        <v>20.139999389648398</v>
      </c>
      <c r="E393">
        <v>20.139999389648398</v>
      </c>
      <c r="F393">
        <v>0</v>
      </c>
      <c r="G393">
        <v>16.819999694824201</v>
      </c>
      <c r="H393">
        <v>1.62999999523163</v>
      </c>
      <c r="I393">
        <v>1.6900000572204601</v>
      </c>
      <c r="J393">
        <v>0</v>
      </c>
      <c r="K393">
        <v>165</v>
      </c>
      <c r="L393">
        <v>36</v>
      </c>
      <c r="M393">
        <v>97</v>
      </c>
      <c r="N393">
        <v>1142</v>
      </c>
      <c r="O393">
        <v>3697</v>
      </c>
      <c r="P393" t="str">
        <f>TEXT(tbl_working_daily[[#This Row],[ActivityDate]],"dddd")</f>
        <v>Sunday</v>
      </c>
      <c r="Q393" t="str">
        <f>TEXT(tbl_working_daily[[#This Row],[ActivityDate]],"mmmm")</f>
        <v>April</v>
      </c>
      <c r="R393">
        <f t="shared" si="12"/>
        <v>298</v>
      </c>
      <c r="S393">
        <f t="shared" si="13"/>
        <v>1440</v>
      </c>
      <c r="T393">
        <f>ROUND(tbl_working_daily[[#This Row],[SedentaryMinutes]]/60,2)</f>
        <v>19.03</v>
      </c>
      <c r="U393" t="str" cm="1">
        <f t="array" ref="U39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93" t="str" cm="1">
        <f t="array" ref="V393">_xlfn.IFS(tbl_working_daily[[#This Row],[VeryActiveMinutes]]&gt;=30,"Very Active",tbl_working_daily[[#This Row],[VeryActiveMinutes]]&gt;=15,"Moderately Active",tbl_working_daily[[#This Row],[VeryActiveMinutes]]&gt;=1,"Lightly Active",tbl_working_daily[[#This Row],[VeryActiveMinutes]]=0,"Sedentary")</f>
        <v>Very Active</v>
      </c>
      <c r="W393" t="str">
        <f>tbl_working_daily[[#This Row],[Id]]&amp;"|"&amp;TEXT(tbl_working_daily[[#This Row],[ActivityDate]],"yyyy-mm-dd")</f>
        <v>8053475328|2016-04-03</v>
      </c>
      <c r="X393" t="b">
        <f>ISNUMBER(MATCH(tbl_working_daily[[#This Row],[LookupKey]],tbl_working_sleep[LookupKey],0))</f>
        <v>0</v>
      </c>
    </row>
    <row r="394" spans="1:24" x14ac:dyDescent="0.3">
      <c r="A394">
        <v>8053475328</v>
      </c>
      <c r="B394" s="1">
        <v>42464</v>
      </c>
      <c r="C394">
        <v>17395</v>
      </c>
      <c r="D394">
        <v>13.210000038146999</v>
      </c>
      <c r="E394">
        <v>13.210000038146999</v>
      </c>
      <c r="F394">
        <v>0</v>
      </c>
      <c r="G394">
        <v>9.6700000762939506</v>
      </c>
      <c r="H394">
        <v>0.18000000715255701</v>
      </c>
      <c r="I394">
        <v>3.3499999046325701</v>
      </c>
      <c r="J394">
        <v>0</v>
      </c>
      <c r="K394">
        <v>100</v>
      </c>
      <c r="L394">
        <v>4</v>
      </c>
      <c r="M394">
        <v>213</v>
      </c>
      <c r="N394">
        <v>1123</v>
      </c>
      <c r="O394">
        <v>3209</v>
      </c>
      <c r="P394" t="str">
        <f>TEXT(tbl_working_daily[[#This Row],[ActivityDate]],"dddd")</f>
        <v>Monday</v>
      </c>
      <c r="Q394" t="str">
        <f>TEXT(tbl_working_daily[[#This Row],[ActivityDate]],"mmmm")</f>
        <v>April</v>
      </c>
      <c r="R394">
        <f t="shared" si="12"/>
        <v>317</v>
      </c>
      <c r="S394">
        <f t="shared" si="13"/>
        <v>1440</v>
      </c>
      <c r="T394">
        <f>ROUND(tbl_working_daily[[#This Row],[SedentaryMinutes]]/60,2)</f>
        <v>18.72</v>
      </c>
      <c r="U394" t="str" cm="1">
        <f t="array" ref="U39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94" t="str" cm="1">
        <f t="array" ref="V394">_xlfn.IFS(tbl_working_daily[[#This Row],[VeryActiveMinutes]]&gt;=30,"Very Active",tbl_working_daily[[#This Row],[VeryActiveMinutes]]&gt;=15,"Moderately Active",tbl_working_daily[[#This Row],[VeryActiveMinutes]]&gt;=1,"Lightly Active",tbl_working_daily[[#This Row],[VeryActiveMinutes]]=0,"Sedentary")</f>
        <v>Very Active</v>
      </c>
      <c r="W394" t="str">
        <f>tbl_working_daily[[#This Row],[Id]]&amp;"|"&amp;TEXT(tbl_working_daily[[#This Row],[ActivityDate]],"yyyy-mm-dd")</f>
        <v>8053475328|2016-04-04</v>
      </c>
      <c r="X394" t="b">
        <f>ISNUMBER(MATCH(tbl_working_daily[[#This Row],[LookupKey]],tbl_working_sleep[LookupKey],0))</f>
        <v>0</v>
      </c>
    </row>
    <row r="395" spans="1:24" x14ac:dyDescent="0.3">
      <c r="A395">
        <v>8053475328</v>
      </c>
      <c r="B395" s="1">
        <v>42465</v>
      </c>
      <c r="C395">
        <v>17167</v>
      </c>
      <c r="D395">
        <v>13.4099998474121</v>
      </c>
      <c r="E395">
        <v>13.4099998474121</v>
      </c>
      <c r="F395">
        <v>0</v>
      </c>
      <c r="G395">
        <v>9.9600000381469709</v>
      </c>
      <c r="H395">
        <v>0.31000000238418601</v>
      </c>
      <c r="I395">
        <v>3.1400001049041699</v>
      </c>
      <c r="J395">
        <v>0</v>
      </c>
      <c r="K395">
        <v>98</v>
      </c>
      <c r="L395">
        <v>8</v>
      </c>
      <c r="M395">
        <v>184</v>
      </c>
      <c r="N395">
        <v>1150</v>
      </c>
      <c r="O395">
        <v>3167</v>
      </c>
      <c r="P395" t="str">
        <f>TEXT(tbl_working_daily[[#This Row],[ActivityDate]],"dddd")</f>
        <v>Tuesday</v>
      </c>
      <c r="Q395" t="str">
        <f>TEXT(tbl_working_daily[[#This Row],[ActivityDate]],"mmmm")</f>
        <v>April</v>
      </c>
      <c r="R395">
        <f t="shared" si="12"/>
        <v>290</v>
      </c>
      <c r="S395">
        <f t="shared" si="13"/>
        <v>1440</v>
      </c>
      <c r="T395">
        <f>ROUND(tbl_working_daily[[#This Row],[SedentaryMinutes]]/60,2)</f>
        <v>19.170000000000002</v>
      </c>
      <c r="U395" t="str" cm="1">
        <f t="array" ref="U39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95" t="str" cm="1">
        <f t="array" ref="V395">_xlfn.IFS(tbl_working_daily[[#This Row],[VeryActiveMinutes]]&gt;=30,"Very Active",tbl_working_daily[[#This Row],[VeryActiveMinutes]]&gt;=15,"Moderately Active",tbl_working_daily[[#This Row],[VeryActiveMinutes]]&gt;=1,"Lightly Active",tbl_working_daily[[#This Row],[VeryActiveMinutes]]=0,"Sedentary")</f>
        <v>Very Active</v>
      </c>
      <c r="W395" t="str">
        <f>tbl_working_daily[[#This Row],[Id]]&amp;"|"&amp;TEXT(tbl_working_daily[[#This Row],[ActivityDate]],"yyyy-mm-dd")</f>
        <v>8053475328|2016-04-05</v>
      </c>
      <c r="X395" t="b">
        <f>ISNUMBER(MATCH(tbl_working_daily[[#This Row],[LookupKey]],tbl_working_sleep[LookupKey],0))</f>
        <v>0</v>
      </c>
    </row>
    <row r="396" spans="1:24" x14ac:dyDescent="0.3">
      <c r="A396">
        <v>8053475328</v>
      </c>
      <c r="B396" s="1">
        <v>42466</v>
      </c>
      <c r="C396">
        <v>16435</v>
      </c>
      <c r="D396">
        <v>12.420000076293899</v>
      </c>
      <c r="E396">
        <v>12.420000076293899</v>
      </c>
      <c r="F396">
        <v>0</v>
      </c>
      <c r="G396">
        <v>8.9600000381469709</v>
      </c>
      <c r="H396">
        <v>0.55000001192092896</v>
      </c>
      <c r="I396">
        <v>2.9100000858306898</v>
      </c>
      <c r="J396">
        <v>0</v>
      </c>
      <c r="K396">
        <v>100</v>
      </c>
      <c r="L396">
        <v>14</v>
      </c>
      <c r="M396">
        <v>191</v>
      </c>
      <c r="N396">
        <v>1135</v>
      </c>
      <c r="O396">
        <v>3122</v>
      </c>
      <c r="P396" t="str">
        <f>TEXT(tbl_working_daily[[#This Row],[ActivityDate]],"dddd")</f>
        <v>Wednesday</v>
      </c>
      <c r="Q396" t="str">
        <f>TEXT(tbl_working_daily[[#This Row],[ActivityDate]],"mmmm")</f>
        <v>April</v>
      </c>
      <c r="R396">
        <f t="shared" si="12"/>
        <v>305</v>
      </c>
      <c r="S396">
        <f t="shared" si="13"/>
        <v>1440</v>
      </c>
      <c r="T396">
        <f>ROUND(tbl_working_daily[[#This Row],[SedentaryMinutes]]/60,2)</f>
        <v>18.920000000000002</v>
      </c>
      <c r="U396" t="str" cm="1">
        <f t="array" ref="U39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96" t="str" cm="1">
        <f t="array" ref="V396">_xlfn.IFS(tbl_working_daily[[#This Row],[VeryActiveMinutes]]&gt;=30,"Very Active",tbl_working_daily[[#This Row],[VeryActiveMinutes]]&gt;=15,"Moderately Active",tbl_working_daily[[#This Row],[VeryActiveMinutes]]&gt;=1,"Lightly Active",tbl_working_daily[[#This Row],[VeryActiveMinutes]]=0,"Sedentary")</f>
        <v>Very Active</v>
      </c>
      <c r="W396" t="str">
        <f>tbl_working_daily[[#This Row],[Id]]&amp;"|"&amp;TEXT(tbl_working_daily[[#This Row],[ActivityDate]],"yyyy-mm-dd")</f>
        <v>8053475328|2016-04-06</v>
      </c>
      <c r="X396" t="b">
        <f>ISNUMBER(MATCH(tbl_working_daily[[#This Row],[LookupKey]],tbl_working_sleep[LookupKey],0))</f>
        <v>0</v>
      </c>
    </row>
    <row r="397" spans="1:24" x14ac:dyDescent="0.3">
      <c r="A397">
        <v>8053475328</v>
      </c>
      <c r="B397" s="1">
        <v>42467</v>
      </c>
      <c r="C397">
        <v>17078</v>
      </c>
      <c r="D397">
        <v>13.199999809265099</v>
      </c>
      <c r="E397">
        <v>13.199999809265099</v>
      </c>
      <c r="F397">
        <v>0</v>
      </c>
      <c r="G397">
        <v>9.9700002670288104</v>
      </c>
      <c r="H397">
        <v>0.239999994635582</v>
      </c>
      <c r="I397">
        <v>2.9900000095367401</v>
      </c>
      <c r="J397">
        <v>0</v>
      </c>
      <c r="K397">
        <v>101</v>
      </c>
      <c r="L397">
        <v>6</v>
      </c>
      <c r="M397">
        <v>190</v>
      </c>
      <c r="N397">
        <v>1143</v>
      </c>
      <c r="O397">
        <v>3176</v>
      </c>
      <c r="P397" t="str">
        <f>TEXT(tbl_working_daily[[#This Row],[ActivityDate]],"dddd")</f>
        <v>Thursday</v>
      </c>
      <c r="Q397" t="str">
        <f>TEXT(tbl_working_daily[[#This Row],[ActivityDate]],"mmmm")</f>
        <v>April</v>
      </c>
      <c r="R397">
        <f t="shared" si="12"/>
        <v>297</v>
      </c>
      <c r="S397">
        <f t="shared" si="13"/>
        <v>1440</v>
      </c>
      <c r="T397">
        <f>ROUND(tbl_working_daily[[#This Row],[SedentaryMinutes]]/60,2)</f>
        <v>19.05</v>
      </c>
      <c r="U397" t="str" cm="1">
        <f t="array" ref="U39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397" t="str" cm="1">
        <f t="array" ref="V397">_xlfn.IFS(tbl_working_daily[[#This Row],[VeryActiveMinutes]]&gt;=30,"Very Active",tbl_working_daily[[#This Row],[VeryActiveMinutes]]&gt;=15,"Moderately Active",tbl_working_daily[[#This Row],[VeryActiveMinutes]]&gt;=1,"Lightly Active",tbl_working_daily[[#This Row],[VeryActiveMinutes]]=0,"Sedentary")</f>
        <v>Very Active</v>
      </c>
      <c r="W397" t="str">
        <f>tbl_working_daily[[#This Row],[Id]]&amp;"|"&amp;TEXT(tbl_working_daily[[#This Row],[ActivityDate]],"yyyy-mm-dd")</f>
        <v>8053475328|2016-04-07</v>
      </c>
      <c r="X397" t="b">
        <f>ISNUMBER(MATCH(tbl_working_daily[[#This Row],[LookupKey]],tbl_working_sleep[LookupKey],0))</f>
        <v>0</v>
      </c>
    </row>
    <row r="398" spans="1:24" x14ac:dyDescent="0.3">
      <c r="A398">
        <v>8053475328</v>
      </c>
      <c r="B398" s="1">
        <v>42468</v>
      </c>
      <c r="C398">
        <v>11693</v>
      </c>
      <c r="D398">
        <v>9.5399999618530291</v>
      </c>
      <c r="E398">
        <v>9.5399999618530291</v>
      </c>
      <c r="F398">
        <v>0</v>
      </c>
      <c r="G398">
        <v>6.7699999809265101</v>
      </c>
      <c r="H398">
        <v>0.259999990463257</v>
      </c>
      <c r="I398">
        <v>2.5</v>
      </c>
      <c r="J398">
        <v>0</v>
      </c>
      <c r="K398">
        <v>60</v>
      </c>
      <c r="L398">
        <v>6</v>
      </c>
      <c r="M398">
        <v>153</v>
      </c>
      <c r="N398">
        <v>1221</v>
      </c>
      <c r="O398">
        <v>2790</v>
      </c>
      <c r="P398" t="str">
        <f>TEXT(tbl_working_daily[[#This Row],[ActivityDate]],"dddd")</f>
        <v>Friday</v>
      </c>
      <c r="Q398" t="str">
        <f>TEXT(tbl_working_daily[[#This Row],[ActivityDate]],"mmmm")</f>
        <v>April</v>
      </c>
      <c r="R398">
        <f t="shared" si="12"/>
        <v>219</v>
      </c>
      <c r="S398">
        <f t="shared" si="13"/>
        <v>1440</v>
      </c>
      <c r="T398">
        <f>ROUND(tbl_working_daily[[#This Row],[SedentaryMinutes]]/60,2)</f>
        <v>20.350000000000001</v>
      </c>
      <c r="U398" t="str" cm="1">
        <f t="array" ref="U39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98" t="str" cm="1">
        <f t="array" ref="V398">_xlfn.IFS(tbl_working_daily[[#This Row],[VeryActiveMinutes]]&gt;=30,"Very Active",tbl_working_daily[[#This Row],[VeryActiveMinutes]]&gt;=15,"Moderately Active",tbl_working_daily[[#This Row],[VeryActiveMinutes]]&gt;=1,"Lightly Active",tbl_working_daily[[#This Row],[VeryActiveMinutes]]=0,"Sedentary")</f>
        <v>Very Active</v>
      </c>
      <c r="W398" t="str">
        <f>tbl_working_daily[[#This Row],[Id]]&amp;"|"&amp;TEXT(tbl_working_daily[[#This Row],[ActivityDate]],"yyyy-mm-dd")</f>
        <v>8053475328|2016-04-08</v>
      </c>
      <c r="X398" t="b">
        <f>ISNUMBER(MATCH(tbl_working_daily[[#This Row],[LookupKey]],tbl_working_sleep[LookupKey],0))</f>
        <v>0</v>
      </c>
    </row>
    <row r="399" spans="1:24" x14ac:dyDescent="0.3">
      <c r="A399">
        <v>8053475328</v>
      </c>
      <c r="B399" s="1">
        <v>42469</v>
      </c>
      <c r="C399">
        <v>11159</v>
      </c>
      <c r="D399">
        <v>9.1400003433227504</v>
      </c>
      <c r="E399">
        <v>9.1400003433227504</v>
      </c>
      <c r="F399">
        <v>0</v>
      </c>
      <c r="G399">
        <v>6.6900000572204599</v>
      </c>
      <c r="H399">
        <v>0.25</v>
      </c>
      <c r="I399">
        <v>2.1900000572204599</v>
      </c>
      <c r="J399">
        <v>0</v>
      </c>
      <c r="K399">
        <v>59</v>
      </c>
      <c r="L399">
        <v>6</v>
      </c>
      <c r="M399">
        <v>120</v>
      </c>
      <c r="N399">
        <v>1255</v>
      </c>
      <c r="O399">
        <v>2715</v>
      </c>
      <c r="P399" t="str">
        <f>TEXT(tbl_working_daily[[#This Row],[ActivityDate]],"dddd")</f>
        <v>Saturday</v>
      </c>
      <c r="Q399" t="str">
        <f>TEXT(tbl_working_daily[[#This Row],[ActivityDate]],"mmmm")</f>
        <v>April</v>
      </c>
      <c r="R399">
        <f t="shared" si="12"/>
        <v>185</v>
      </c>
      <c r="S399">
        <f t="shared" si="13"/>
        <v>1440</v>
      </c>
      <c r="T399">
        <f>ROUND(tbl_working_daily[[#This Row],[SedentaryMinutes]]/60,2)</f>
        <v>20.92</v>
      </c>
      <c r="U399" t="str" cm="1">
        <f t="array" ref="U39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399" t="str" cm="1">
        <f t="array" ref="V399">_xlfn.IFS(tbl_working_daily[[#This Row],[VeryActiveMinutes]]&gt;=30,"Very Active",tbl_working_daily[[#This Row],[VeryActiveMinutes]]&gt;=15,"Moderately Active",tbl_working_daily[[#This Row],[VeryActiveMinutes]]&gt;=1,"Lightly Active",tbl_working_daily[[#This Row],[VeryActiveMinutes]]=0,"Sedentary")</f>
        <v>Very Active</v>
      </c>
      <c r="W399" t="str">
        <f>tbl_working_daily[[#This Row],[Id]]&amp;"|"&amp;TEXT(tbl_working_daily[[#This Row],[ActivityDate]],"yyyy-mm-dd")</f>
        <v>8053475328|2016-04-09</v>
      </c>
      <c r="X399" t="b">
        <f>ISNUMBER(MATCH(tbl_working_daily[[#This Row],[LookupKey]],tbl_working_sleep[LookupKey],0))</f>
        <v>0</v>
      </c>
    </row>
    <row r="400" spans="1:24" x14ac:dyDescent="0.3">
      <c r="A400">
        <v>8053475328</v>
      </c>
      <c r="B400" s="1">
        <v>42470</v>
      </c>
      <c r="C400">
        <v>10118</v>
      </c>
      <c r="D400">
        <v>7.7300000190734899</v>
      </c>
      <c r="E400">
        <v>7.7300000190734899</v>
      </c>
      <c r="F400">
        <v>0</v>
      </c>
      <c r="G400">
        <v>3.0499999523162802</v>
      </c>
      <c r="H400">
        <v>0.80000001192092896</v>
      </c>
      <c r="I400">
        <v>3.8800001144409202</v>
      </c>
      <c r="J400">
        <v>0</v>
      </c>
      <c r="K400">
        <v>30</v>
      </c>
      <c r="L400">
        <v>18</v>
      </c>
      <c r="M400">
        <v>207</v>
      </c>
      <c r="N400">
        <v>1185</v>
      </c>
      <c r="O400">
        <v>2684</v>
      </c>
      <c r="P400" t="str">
        <f>TEXT(tbl_working_daily[[#This Row],[ActivityDate]],"dddd")</f>
        <v>Sunday</v>
      </c>
      <c r="Q400" t="str">
        <f>TEXT(tbl_working_daily[[#This Row],[ActivityDate]],"mmmm")</f>
        <v>April</v>
      </c>
      <c r="R400">
        <f t="shared" si="12"/>
        <v>255</v>
      </c>
      <c r="S400">
        <f t="shared" si="13"/>
        <v>1440</v>
      </c>
      <c r="T400">
        <f>ROUND(tbl_working_daily[[#This Row],[SedentaryMinutes]]/60,2)</f>
        <v>19.75</v>
      </c>
      <c r="U400" t="str" cm="1">
        <f t="array" ref="U40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00" t="str" cm="1">
        <f t="array" ref="V400">_xlfn.IFS(tbl_working_daily[[#This Row],[VeryActiveMinutes]]&gt;=30,"Very Active",tbl_working_daily[[#This Row],[VeryActiveMinutes]]&gt;=15,"Moderately Active",tbl_working_daily[[#This Row],[VeryActiveMinutes]]&gt;=1,"Lightly Active",tbl_working_daily[[#This Row],[VeryActiveMinutes]]=0,"Sedentary")</f>
        <v>Very Active</v>
      </c>
      <c r="W400" t="str">
        <f>tbl_working_daily[[#This Row],[Id]]&amp;"|"&amp;TEXT(tbl_working_daily[[#This Row],[ActivityDate]],"yyyy-mm-dd")</f>
        <v>8053475328|2016-04-10</v>
      </c>
      <c r="X400" t="b">
        <f>ISNUMBER(MATCH(tbl_working_daily[[#This Row],[LookupKey]],tbl_working_sleep[LookupKey],0))</f>
        <v>0</v>
      </c>
    </row>
    <row r="401" spans="1:24" x14ac:dyDescent="0.3">
      <c r="A401">
        <v>8053475328</v>
      </c>
      <c r="B401" s="1">
        <v>42471</v>
      </c>
      <c r="C401">
        <v>16064</v>
      </c>
      <c r="D401">
        <v>12.7200002670288</v>
      </c>
      <c r="E401">
        <v>12.7200002670288</v>
      </c>
      <c r="F401">
        <v>0</v>
      </c>
      <c r="G401">
        <v>9.9799995422363299</v>
      </c>
      <c r="H401">
        <v>0.36000001430511502</v>
      </c>
      <c r="I401">
        <v>2.3800001144409202</v>
      </c>
      <c r="J401">
        <v>0</v>
      </c>
      <c r="K401">
        <v>96</v>
      </c>
      <c r="L401">
        <v>8</v>
      </c>
      <c r="M401">
        <v>155</v>
      </c>
      <c r="N401">
        <v>1181</v>
      </c>
      <c r="O401">
        <v>3097</v>
      </c>
      <c r="P401" t="str">
        <f>TEXT(tbl_working_daily[[#This Row],[ActivityDate]],"dddd")</f>
        <v>Monday</v>
      </c>
      <c r="Q401" t="str">
        <f>TEXT(tbl_working_daily[[#This Row],[ActivityDate]],"mmmm")</f>
        <v>April</v>
      </c>
      <c r="R401">
        <f t="shared" si="12"/>
        <v>259</v>
      </c>
      <c r="S401">
        <f t="shared" si="13"/>
        <v>1440</v>
      </c>
      <c r="T401">
        <f>ROUND(tbl_working_daily[[#This Row],[SedentaryMinutes]]/60,2)</f>
        <v>19.68</v>
      </c>
      <c r="U401" t="str" cm="1">
        <f t="array" ref="U40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01" t="str" cm="1">
        <f t="array" ref="V401">_xlfn.IFS(tbl_working_daily[[#This Row],[VeryActiveMinutes]]&gt;=30,"Very Active",tbl_working_daily[[#This Row],[VeryActiveMinutes]]&gt;=15,"Moderately Active",tbl_working_daily[[#This Row],[VeryActiveMinutes]]&gt;=1,"Lightly Active",tbl_working_daily[[#This Row],[VeryActiveMinutes]]=0,"Sedentary")</f>
        <v>Very Active</v>
      </c>
      <c r="W401" t="str">
        <f>tbl_working_daily[[#This Row],[Id]]&amp;"|"&amp;TEXT(tbl_working_daily[[#This Row],[ActivityDate]],"yyyy-mm-dd")</f>
        <v>8053475328|2016-04-11</v>
      </c>
      <c r="X401" t="b">
        <f>ISNUMBER(MATCH(tbl_working_daily[[#This Row],[LookupKey]],tbl_working_sleep[LookupKey],0))</f>
        <v>0</v>
      </c>
    </row>
    <row r="402" spans="1:24" x14ac:dyDescent="0.3">
      <c r="A402">
        <v>8053475328</v>
      </c>
      <c r="B402" s="1">
        <v>42472</v>
      </c>
      <c r="C402">
        <v>290</v>
      </c>
      <c r="D402">
        <v>0.20999999344348899</v>
      </c>
      <c r="E402">
        <v>0.20999999344348899</v>
      </c>
      <c r="F402">
        <v>0</v>
      </c>
      <c r="G402">
        <v>0</v>
      </c>
      <c r="H402">
        <v>0</v>
      </c>
      <c r="I402">
        <v>0.20999999344348899</v>
      </c>
      <c r="J402">
        <v>0</v>
      </c>
      <c r="K402">
        <v>0</v>
      </c>
      <c r="L402">
        <v>0</v>
      </c>
      <c r="M402">
        <v>16</v>
      </c>
      <c r="N402">
        <v>599</v>
      </c>
      <c r="O402">
        <v>791</v>
      </c>
      <c r="P402" t="str">
        <f>TEXT(tbl_working_daily[[#This Row],[ActivityDate]],"dddd")</f>
        <v>Tuesday</v>
      </c>
      <c r="Q402" t="str">
        <f>TEXT(tbl_working_daily[[#This Row],[ActivityDate]],"mmmm")</f>
        <v>April</v>
      </c>
      <c r="R402">
        <f t="shared" si="12"/>
        <v>16</v>
      </c>
      <c r="S402">
        <f t="shared" si="13"/>
        <v>615</v>
      </c>
      <c r="T402">
        <f>ROUND(tbl_working_daily[[#This Row],[SedentaryMinutes]]/60,2)</f>
        <v>9.98</v>
      </c>
      <c r="U402" t="str" cm="1">
        <f t="array" ref="U4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2" t="str" cm="1">
        <f t="array" ref="V402">_xlfn.IFS(tbl_working_daily[[#This Row],[VeryActiveMinutes]]&gt;=30,"Very Active",tbl_working_daily[[#This Row],[VeryActiveMinutes]]&gt;=15,"Moderately Active",tbl_working_daily[[#This Row],[VeryActiveMinutes]]&gt;=1,"Lightly Active",tbl_working_daily[[#This Row],[VeryActiveMinutes]]=0,"Sedentary")</f>
        <v>Sedentary</v>
      </c>
      <c r="W402" t="str">
        <f>tbl_working_daily[[#This Row],[Id]]&amp;"|"&amp;TEXT(tbl_working_daily[[#This Row],[ActivityDate]],"yyyy-mm-dd")</f>
        <v>8053475328|2016-04-12</v>
      </c>
      <c r="X402" t="b">
        <f>ISNUMBER(MATCH(tbl_working_daily[[#This Row],[LookupKey]],tbl_working_sleep[LookupKey],0))</f>
        <v>0</v>
      </c>
    </row>
    <row r="403" spans="1:24" x14ac:dyDescent="0.3">
      <c r="A403">
        <v>8253242879</v>
      </c>
      <c r="B403" s="1">
        <v>42461</v>
      </c>
      <c r="C403">
        <v>0</v>
      </c>
      <c r="D403">
        <v>0</v>
      </c>
      <c r="E403">
        <v>0</v>
      </c>
      <c r="F403">
        <v>0</v>
      </c>
      <c r="G403">
        <v>0</v>
      </c>
      <c r="H403">
        <v>0</v>
      </c>
      <c r="I403">
        <v>0</v>
      </c>
      <c r="J403">
        <v>0</v>
      </c>
      <c r="K403">
        <v>0</v>
      </c>
      <c r="L403">
        <v>0</v>
      </c>
      <c r="M403">
        <v>0</v>
      </c>
      <c r="N403">
        <v>1440</v>
      </c>
      <c r="O403">
        <v>1429</v>
      </c>
      <c r="P403" t="str">
        <f>TEXT(tbl_working_daily[[#This Row],[ActivityDate]],"dddd")</f>
        <v>Friday</v>
      </c>
      <c r="Q403" t="str">
        <f>TEXT(tbl_working_daily[[#This Row],[ActivityDate]],"mmmm")</f>
        <v>April</v>
      </c>
      <c r="R403">
        <f t="shared" si="12"/>
        <v>0</v>
      </c>
      <c r="S403">
        <f t="shared" si="13"/>
        <v>1440</v>
      </c>
      <c r="T403">
        <f>ROUND(tbl_working_daily[[#This Row],[SedentaryMinutes]]/60,2)</f>
        <v>24</v>
      </c>
      <c r="U403" t="str" cm="1">
        <f t="array" ref="U40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3" t="str" cm="1">
        <f t="array" ref="V403">_xlfn.IFS(tbl_working_daily[[#This Row],[VeryActiveMinutes]]&gt;=30,"Very Active",tbl_working_daily[[#This Row],[VeryActiveMinutes]]&gt;=15,"Moderately Active",tbl_working_daily[[#This Row],[VeryActiveMinutes]]&gt;=1,"Lightly Active",tbl_working_daily[[#This Row],[VeryActiveMinutes]]=0,"Sedentary")</f>
        <v>Sedentary</v>
      </c>
      <c r="W403" t="str">
        <f>tbl_working_daily[[#This Row],[Id]]&amp;"|"&amp;TEXT(tbl_working_daily[[#This Row],[ActivityDate]],"yyyy-mm-dd")</f>
        <v>8253242879|2016-04-01</v>
      </c>
      <c r="X403" t="b">
        <f>ISNUMBER(MATCH(tbl_working_daily[[#This Row],[LookupKey]],tbl_working_sleep[LookupKey],0))</f>
        <v>0</v>
      </c>
    </row>
    <row r="404" spans="1:24" x14ac:dyDescent="0.3">
      <c r="A404">
        <v>8253242879</v>
      </c>
      <c r="B404" s="1">
        <v>42462</v>
      </c>
      <c r="C404">
        <v>0</v>
      </c>
      <c r="D404">
        <v>0</v>
      </c>
      <c r="E404">
        <v>0</v>
      </c>
      <c r="F404">
        <v>0</v>
      </c>
      <c r="G404">
        <v>0</v>
      </c>
      <c r="H404">
        <v>0</v>
      </c>
      <c r="I404">
        <v>0</v>
      </c>
      <c r="J404">
        <v>0</v>
      </c>
      <c r="K404">
        <v>0</v>
      </c>
      <c r="L404">
        <v>0</v>
      </c>
      <c r="M404">
        <v>0</v>
      </c>
      <c r="N404">
        <v>1440</v>
      </c>
      <c r="O404">
        <v>1429</v>
      </c>
      <c r="P404" t="str">
        <f>TEXT(tbl_working_daily[[#This Row],[ActivityDate]],"dddd")</f>
        <v>Saturday</v>
      </c>
      <c r="Q404" t="str">
        <f>TEXT(tbl_working_daily[[#This Row],[ActivityDate]],"mmmm")</f>
        <v>April</v>
      </c>
      <c r="R404">
        <f t="shared" si="12"/>
        <v>0</v>
      </c>
      <c r="S404">
        <f t="shared" si="13"/>
        <v>1440</v>
      </c>
      <c r="T404">
        <f>ROUND(tbl_working_daily[[#This Row],[SedentaryMinutes]]/60,2)</f>
        <v>24</v>
      </c>
      <c r="U404" t="str" cm="1">
        <f t="array" ref="U4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4" t="str" cm="1">
        <f t="array" ref="V404">_xlfn.IFS(tbl_working_daily[[#This Row],[VeryActiveMinutes]]&gt;=30,"Very Active",tbl_working_daily[[#This Row],[VeryActiveMinutes]]&gt;=15,"Moderately Active",tbl_working_daily[[#This Row],[VeryActiveMinutes]]&gt;=1,"Lightly Active",tbl_working_daily[[#This Row],[VeryActiveMinutes]]=0,"Sedentary")</f>
        <v>Sedentary</v>
      </c>
      <c r="W404" t="str">
        <f>tbl_working_daily[[#This Row],[Id]]&amp;"|"&amp;TEXT(tbl_working_daily[[#This Row],[ActivityDate]],"yyyy-mm-dd")</f>
        <v>8253242879|2016-04-02</v>
      </c>
      <c r="X404" t="b">
        <f>ISNUMBER(MATCH(tbl_working_daily[[#This Row],[LookupKey]],tbl_working_sleep[LookupKey],0))</f>
        <v>0</v>
      </c>
    </row>
    <row r="405" spans="1:24" x14ac:dyDescent="0.3">
      <c r="A405">
        <v>8253242879</v>
      </c>
      <c r="B405" s="1">
        <v>42463</v>
      </c>
      <c r="C405">
        <v>0</v>
      </c>
      <c r="D405">
        <v>0</v>
      </c>
      <c r="E405">
        <v>0</v>
      </c>
      <c r="F405">
        <v>0</v>
      </c>
      <c r="G405">
        <v>0</v>
      </c>
      <c r="H405">
        <v>0</v>
      </c>
      <c r="I405">
        <v>0</v>
      </c>
      <c r="J405">
        <v>0</v>
      </c>
      <c r="K405">
        <v>0</v>
      </c>
      <c r="L405">
        <v>0</v>
      </c>
      <c r="M405">
        <v>0</v>
      </c>
      <c r="N405">
        <v>1440</v>
      </c>
      <c r="O405">
        <v>1429</v>
      </c>
      <c r="P405" t="str">
        <f>TEXT(tbl_working_daily[[#This Row],[ActivityDate]],"dddd")</f>
        <v>Sunday</v>
      </c>
      <c r="Q405" t="str">
        <f>TEXT(tbl_working_daily[[#This Row],[ActivityDate]],"mmmm")</f>
        <v>April</v>
      </c>
      <c r="R405">
        <f t="shared" si="12"/>
        <v>0</v>
      </c>
      <c r="S405">
        <f t="shared" si="13"/>
        <v>1440</v>
      </c>
      <c r="T405">
        <f>ROUND(tbl_working_daily[[#This Row],[SedentaryMinutes]]/60,2)</f>
        <v>24</v>
      </c>
      <c r="U405" t="str" cm="1">
        <f t="array" ref="U4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5" t="str" cm="1">
        <f t="array" ref="V405">_xlfn.IFS(tbl_working_daily[[#This Row],[VeryActiveMinutes]]&gt;=30,"Very Active",tbl_working_daily[[#This Row],[VeryActiveMinutes]]&gt;=15,"Moderately Active",tbl_working_daily[[#This Row],[VeryActiveMinutes]]&gt;=1,"Lightly Active",tbl_working_daily[[#This Row],[VeryActiveMinutes]]=0,"Sedentary")</f>
        <v>Sedentary</v>
      </c>
      <c r="W405" t="str">
        <f>tbl_working_daily[[#This Row],[Id]]&amp;"|"&amp;TEXT(tbl_working_daily[[#This Row],[ActivityDate]],"yyyy-mm-dd")</f>
        <v>8253242879|2016-04-03</v>
      </c>
      <c r="X405" t="b">
        <f>ISNUMBER(MATCH(tbl_working_daily[[#This Row],[LookupKey]],tbl_working_sleep[LookupKey],0))</f>
        <v>0</v>
      </c>
    </row>
    <row r="406" spans="1:24" x14ac:dyDescent="0.3">
      <c r="A406">
        <v>8253242879</v>
      </c>
      <c r="B406" s="1">
        <v>42464</v>
      </c>
      <c r="C406">
        <v>0</v>
      </c>
      <c r="D406">
        <v>0</v>
      </c>
      <c r="E406">
        <v>0</v>
      </c>
      <c r="F406">
        <v>0</v>
      </c>
      <c r="G406">
        <v>0</v>
      </c>
      <c r="H406">
        <v>0</v>
      </c>
      <c r="I406">
        <v>0</v>
      </c>
      <c r="J406">
        <v>0</v>
      </c>
      <c r="K406">
        <v>0</v>
      </c>
      <c r="L406">
        <v>0</v>
      </c>
      <c r="M406">
        <v>0</v>
      </c>
      <c r="N406">
        <v>1440</v>
      </c>
      <c r="O406">
        <v>1429</v>
      </c>
      <c r="P406" t="str">
        <f>TEXT(tbl_working_daily[[#This Row],[ActivityDate]],"dddd")</f>
        <v>Monday</v>
      </c>
      <c r="Q406" t="str">
        <f>TEXT(tbl_working_daily[[#This Row],[ActivityDate]],"mmmm")</f>
        <v>April</v>
      </c>
      <c r="R406">
        <f t="shared" si="12"/>
        <v>0</v>
      </c>
      <c r="S406">
        <f t="shared" si="13"/>
        <v>1440</v>
      </c>
      <c r="T406">
        <f>ROUND(tbl_working_daily[[#This Row],[SedentaryMinutes]]/60,2)</f>
        <v>24</v>
      </c>
      <c r="U406" t="str" cm="1">
        <f t="array" ref="U4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6" t="str" cm="1">
        <f t="array" ref="V406">_xlfn.IFS(tbl_working_daily[[#This Row],[VeryActiveMinutes]]&gt;=30,"Very Active",tbl_working_daily[[#This Row],[VeryActiveMinutes]]&gt;=15,"Moderately Active",tbl_working_daily[[#This Row],[VeryActiveMinutes]]&gt;=1,"Lightly Active",tbl_working_daily[[#This Row],[VeryActiveMinutes]]=0,"Sedentary")</f>
        <v>Sedentary</v>
      </c>
      <c r="W406" t="str">
        <f>tbl_working_daily[[#This Row],[Id]]&amp;"|"&amp;TEXT(tbl_working_daily[[#This Row],[ActivityDate]],"yyyy-mm-dd")</f>
        <v>8253242879|2016-04-04</v>
      </c>
      <c r="X406" t="b">
        <f>ISNUMBER(MATCH(tbl_working_daily[[#This Row],[LookupKey]],tbl_working_sleep[LookupKey],0))</f>
        <v>0</v>
      </c>
    </row>
    <row r="407" spans="1:24" x14ac:dyDescent="0.3">
      <c r="A407">
        <v>8253242879</v>
      </c>
      <c r="B407" s="1">
        <v>42465</v>
      </c>
      <c r="C407">
        <v>0</v>
      </c>
      <c r="D407">
        <v>0</v>
      </c>
      <c r="E407">
        <v>0</v>
      </c>
      <c r="F407">
        <v>0</v>
      </c>
      <c r="G407">
        <v>0</v>
      </c>
      <c r="H407">
        <v>0</v>
      </c>
      <c r="I407">
        <v>0</v>
      </c>
      <c r="J407">
        <v>0</v>
      </c>
      <c r="K407">
        <v>0</v>
      </c>
      <c r="L407">
        <v>0</v>
      </c>
      <c r="M407">
        <v>0</v>
      </c>
      <c r="N407">
        <v>1440</v>
      </c>
      <c r="O407">
        <v>1429</v>
      </c>
      <c r="P407" t="str">
        <f>TEXT(tbl_working_daily[[#This Row],[ActivityDate]],"dddd")</f>
        <v>Tuesday</v>
      </c>
      <c r="Q407" t="str">
        <f>TEXT(tbl_working_daily[[#This Row],[ActivityDate]],"mmmm")</f>
        <v>April</v>
      </c>
      <c r="R407">
        <f t="shared" si="12"/>
        <v>0</v>
      </c>
      <c r="S407">
        <f t="shared" si="13"/>
        <v>1440</v>
      </c>
      <c r="T407">
        <f>ROUND(tbl_working_daily[[#This Row],[SedentaryMinutes]]/60,2)</f>
        <v>24</v>
      </c>
      <c r="U407" t="str" cm="1">
        <f t="array" ref="U4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7" t="str" cm="1">
        <f t="array" ref="V407">_xlfn.IFS(tbl_working_daily[[#This Row],[VeryActiveMinutes]]&gt;=30,"Very Active",tbl_working_daily[[#This Row],[VeryActiveMinutes]]&gt;=15,"Moderately Active",tbl_working_daily[[#This Row],[VeryActiveMinutes]]&gt;=1,"Lightly Active",tbl_working_daily[[#This Row],[VeryActiveMinutes]]=0,"Sedentary")</f>
        <v>Sedentary</v>
      </c>
      <c r="W407" t="str">
        <f>tbl_working_daily[[#This Row],[Id]]&amp;"|"&amp;TEXT(tbl_working_daily[[#This Row],[ActivityDate]],"yyyy-mm-dd")</f>
        <v>8253242879|2016-04-05</v>
      </c>
      <c r="X407" t="b">
        <f>ISNUMBER(MATCH(tbl_working_daily[[#This Row],[LookupKey]],tbl_working_sleep[LookupKey],0))</f>
        <v>0</v>
      </c>
    </row>
    <row r="408" spans="1:24" x14ac:dyDescent="0.3">
      <c r="A408">
        <v>8253242879</v>
      </c>
      <c r="B408" s="1">
        <v>42466</v>
      </c>
      <c r="C408">
        <v>1931</v>
      </c>
      <c r="D408">
        <v>1.2799999713897701</v>
      </c>
      <c r="E408">
        <v>1.2799999713897701</v>
      </c>
      <c r="F408">
        <v>0</v>
      </c>
      <c r="G408">
        <v>0</v>
      </c>
      <c r="H408">
        <v>0</v>
      </c>
      <c r="I408">
        <v>1.2799999713897701</v>
      </c>
      <c r="J408">
        <v>0</v>
      </c>
      <c r="K408">
        <v>0</v>
      </c>
      <c r="L408">
        <v>0</v>
      </c>
      <c r="M408">
        <v>94</v>
      </c>
      <c r="N408">
        <v>1346</v>
      </c>
      <c r="O408">
        <v>1607</v>
      </c>
      <c r="P408" t="str">
        <f>TEXT(tbl_working_daily[[#This Row],[ActivityDate]],"dddd")</f>
        <v>Wednesday</v>
      </c>
      <c r="Q408" t="str">
        <f>TEXT(tbl_working_daily[[#This Row],[ActivityDate]],"mmmm")</f>
        <v>April</v>
      </c>
      <c r="R408">
        <f t="shared" si="12"/>
        <v>94</v>
      </c>
      <c r="S408">
        <f t="shared" si="13"/>
        <v>1440</v>
      </c>
      <c r="T408">
        <f>ROUND(tbl_working_daily[[#This Row],[SedentaryMinutes]]/60,2)</f>
        <v>22.43</v>
      </c>
      <c r="U408" t="str" cm="1">
        <f t="array" ref="U4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08" t="str" cm="1">
        <f t="array" ref="V408">_xlfn.IFS(tbl_working_daily[[#This Row],[VeryActiveMinutes]]&gt;=30,"Very Active",tbl_working_daily[[#This Row],[VeryActiveMinutes]]&gt;=15,"Moderately Active",tbl_working_daily[[#This Row],[VeryActiveMinutes]]&gt;=1,"Lightly Active",tbl_working_daily[[#This Row],[VeryActiveMinutes]]=0,"Sedentary")</f>
        <v>Sedentary</v>
      </c>
      <c r="W408" t="str">
        <f>tbl_working_daily[[#This Row],[Id]]&amp;"|"&amp;TEXT(tbl_working_daily[[#This Row],[ActivityDate]],"yyyy-mm-dd")</f>
        <v>8253242879|2016-04-06</v>
      </c>
      <c r="X408" t="b">
        <f>ISNUMBER(MATCH(tbl_working_daily[[#This Row],[LookupKey]],tbl_working_sleep[LookupKey],0))</f>
        <v>0</v>
      </c>
    </row>
    <row r="409" spans="1:24" x14ac:dyDescent="0.3">
      <c r="A409">
        <v>8253242879</v>
      </c>
      <c r="B409" s="1">
        <v>42467</v>
      </c>
      <c r="C409">
        <v>5181</v>
      </c>
      <c r="D409">
        <v>3.4200000762939502</v>
      </c>
      <c r="E409">
        <v>3.4200000762939502</v>
      </c>
      <c r="F409">
        <v>0</v>
      </c>
      <c r="G409">
        <v>1</v>
      </c>
      <c r="H409">
        <v>0.91000002622604403</v>
      </c>
      <c r="I409">
        <v>1.5099999904632599</v>
      </c>
      <c r="J409">
        <v>9.9999997764825804E-3</v>
      </c>
      <c r="K409">
        <v>15</v>
      </c>
      <c r="L409">
        <v>15</v>
      </c>
      <c r="M409">
        <v>107</v>
      </c>
      <c r="N409">
        <v>1303</v>
      </c>
      <c r="O409">
        <v>1776</v>
      </c>
      <c r="P409" t="str">
        <f>TEXT(tbl_working_daily[[#This Row],[ActivityDate]],"dddd")</f>
        <v>Thursday</v>
      </c>
      <c r="Q409" t="str">
        <f>TEXT(tbl_working_daily[[#This Row],[ActivityDate]],"mmmm")</f>
        <v>April</v>
      </c>
      <c r="R409">
        <f t="shared" si="12"/>
        <v>137</v>
      </c>
      <c r="S409">
        <f t="shared" si="13"/>
        <v>1440</v>
      </c>
      <c r="T409">
        <f>ROUND(tbl_working_daily[[#This Row],[SedentaryMinutes]]/60,2)</f>
        <v>21.72</v>
      </c>
      <c r="U409" t="str" cm="1">
        <f t="array" ref="U40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09" t="str" cm="1">
        <f t="array" ref="V409">_xlfn.IFS(tbl_working_daily[[#This Row],[VeryActiveMinutes]]&gt;=30,"Very Active",tbl_working_daily[[#This Row],[VeryActiveMinutes]]&gt;=15,"Moderately Active",tbl_working_daily[[#This Row],[VeryActiveMinutes]]&gt;=1,"Lightly Active",tbl_working_daily[[#This Row],[VeryActiveMinutes]]=0,"Sedentary")</f>
        <v>Moderately Active</v>
      </c>
      <c r="W409" t="str">
        <f>tbl_working_daily[[#This Row],[Id]]&amp;"|"&amp;TEXT(tbl_working_daily[[#This Row],[ActivityDate]],"yyyy-mm-dd")</f>
        <v>8253242879|2016-04-07</v>
      </c>
      <c r="X409" t="b">
        <f>ISNUMBER(MATCH(tbl_working_daily[[#This Row],[LookupKey]],tbl_working_sleep[LookupKey],0))</f>
        <v>0</v>
      </c>
    </row>
    <row r="410" spans="1:24" x14ac:dyDescent="0.3">
      <c r="A410">
        <v>8253242879</v>
      </c>
      <c r="B410" s="1">
        <v>42468</v>
      </c>
      <c r="C410">
        <v>12026</v>
      </c>
      <c r="D410">
        <v>9.1499996185302699</v>
      </c>
      <c r="E410">
        <v>9.1499996185302699</v>
      </c>
      <c r="F410">
        <v>0</v>
      </c>
      <c r="G410">
        <v>5.6999998092651403</v>
      </c>
      <c r="H410">
        <v>0.93000000715255704</v>
      </c>
      <c r="I410">
        <v>2.5099999904632599</v>
      </c>
      <c r="J410">
        <v>0</v>
      </c>
      <c r="K410">
        <v>47</v>
      </c>
      <c r="L410">
        <v>13</v>
      </c>
      <c r="M410">
        <v>150</v>
      </c>
      <c r="N410">
        <v>1230</v>
      </c>
      <c r="O410">
        <v>2162</v>
      </c>
      <c r="P410" t="str">
        <f>TEXT(tbl_working_daily[[#This Row],[ActivityDate]],"dddd")</f>
        <v>Friday</v>
      </c>
      <c r="Q410" t="str">
        <f>TEXT(tbl_working_daily[[#This Row],[ActivityDate]],"mmmm")</f>
        <v>April</v>
      </c>
      <c r="R410">
        <f t="shared" si="12"/>
        <v>210</v>
      </c>
      <c r="S410">
        <f t="shared" si="13"/>
        <v>1440</v>
      </c>
      <c r="T410">
        <f>ROUND(tbl_working_daily[[#This Row],[SedentaryMinutes]]/60,2)</f>
        <v>20.5</v>
      </c>
      <c r="U410" t="str" cm="1">
        <f t="array" ref="U41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10" t="str" cm="1">
        <f t="array" ref="V410">_xlfn.IFS(tbl_working_daily[[#This Row],[VeryActiveMinutes]]&gt;=30,"Very Active",tbl_working_daily[[#This Row],[VeryActiveMinutes]]&gt;=15,"Moderately Active",tbl_working_daily[[#This Row],[VeryActiveMinutes]]&gt;=1,"Lightly Active",tbl_working_daily[[#This Row],[VeryActiveMinutes]]=0,"Sedentary")</f>
        <v>Very Active</v>
      </c>
      <c r="W410" t="str">
        <f>tbl_working_daily[[#This Row],[Id]]&amp;"|"&amp;TEXT(tbl_working_daily[[#This Row],[ActivityDate]],"yyyy-mm-dd")</f>
        <v>8253242879|2016-04-08</v>
      </c>
      <c r="X410" t="b">
        <f>ISNUMBER(MATCH(tbl_working_daily[[#This Row],[LookupKey]],tbl_working_sleep[LookupKey],0))</f>
        <v>0</v>
      </c>
    </row>
    <row r="411" spans="1:24" x14ac:dyDescent="0.3">
      <c r="A411">
        <v>8253242879</v>
      </c>
      <c r="B411" s="1">
        <v>42469</v>
      </c>
      <c r="C411">
        <v>5360</v>
      </c>
      <c r="D411">
        <v>3.53999996185303</v>
      </c>
      <c r="E411">
        <v>3.53999996185303</v>
      </c>
      <c r="F411">
        <v>0</v>
      </c>
      <c r="G411">
        <v>0.54000002145767201</v>
      </c>
      <c r="H411">
        <v>1.54999995231628</v>
      </c>
      <c r="I411">
        <v>1.46000003814697</v>
      </c>
      <c r="J411">
        <v>0</v>
      </c>
      <c r="K411">
        <v>8</v>
      </c>
      <c r="L411">
        <v>28</v>
      </c>
      <c r="M411">
        <v>148</v>
      </c>
      <c r="N411">
        <v>1256</v>
      </c>
      <c r="O411">
        <v>1832</v>
      </c>
      <c r="P411" t="str">
        <f>TEXT(tbl_working_daily[[#This Row],[ActivityDate]],"dddd")</f>
        <v>Saturday</v>
      </c>
      <c r="Q411" t="str">
        <f>TEXT(tbl_working_daily[[#This Row],[ActivityDate]],"mmmm")</f>
        <v>April</v>
      </c>
      <c r="R411">
        <f t="shared" si="12"/>
        <v>184</v>
      </c>
      <c r="S411">
        <f t="shared" si="13"/>
        <v>1440</v>
      </c>
      <c r="T411">
        <f>ROUND(tbl_working_daily[[#This Row],[SedentaryMinutes]]/60,2)</f>
        <v>20.93</v>
      </c>
      <c r="U411" t="str" cm="1">
        <f t="array" ref="U41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11" t="str" cm="1">
        <f t="array" ref="V411">_xlfn.IFS(tbl_working_daily[[#This Row],[VeryActiveMinutes]]&gt;=30,"Very Active",tbl_working_daily[[#This Row],[VeryActiveMinutes]]&gt;=15,"Moderately Active",tbl_working_daily[[#This Row],[VeryActiveMinutes]]&gt;=1,"Lightly Active",tbl_working_daily[[#This Row],[VeryActiveMinutes]]=0,"Sedentary")</f>
        <v>Lightly Active</v>
      </c>
      <c r="W411" t="str">
        <f>tbl_working_daily[[#This Row],[Id]]&amp;"|"&amp;TEXT(tbl_working_daily[[#This Row],[ActivityDate]],"yyyy-mm-dd")</f>
        <v>8253242879|2016-04-09</v>
      </c>
      <c r="X411" t="b">
        <f>ISNUMBER(MATCH(tbl_working_daily[[#This Row],[LookupKey]],tbl_working_sleep[LookupKey],0))</f>
        <v>0</v>
      </c>
    </row>
    <row r="412" spans="1:24" x14ac:dyDescent="0.3">
      <c r="A412">
        <v>8253242879</v>
      </c>
      <c r="B412" s="1">
        <v>42470</v>
      </c>
      <c r="C412">
        <v>2545</v>
      </c>
      <c r="D412">
        <v>1.6799999475479099</v>
      </c>
      <c r="E412">
        <v>1.6799999475479099</v>
      </c>
      <c r="F412">
        <v>0</v>
      </c>
      <c r="G412">
        <v>0</v>
      </c>
      <c r="H412">
        <v>0</v>
      </c>
      <c r="I412">
        <v>1.66999995708466</v>
      </c>
      <c r="J412">
        <v>1.9999999552965199E-2</v>
      </c>
      <c r="K412">
        <v>0</v>
      </c>
      <c r="L412">
        <v>0</v>
      </c>
      <c r="M412">
        <v>126</v>
      </c>
      <c r="N412">
        <v>1314</v>
      </c>
      <c r="O412">
        <v>1657</v>
      </c>
      <c r="P412" t="str">
        <f>TEXT(tbl_working_daily[[#This Row],[ActivityDate]],"dddd")</f>
        <v>Sunday</v>
      </c>
      <c r="Q412" t="str">
        <f>TEXT(tbl_working_daily[[#This Row],[ActivityDate]],"mmmm")</f>
        <v>April</v>
      </c>
      <c r="R412">
        <f t="shared" si="12"/>
        <v>126</v>
      </c>
      <c r="S412">
        <f t="shared" si="13"/>
        <v>1440</v>
      </c>
      <c r="T412">
        <f>ROUND(tbl_working_daily[[#This Row],[SedentaryMinutes]]/60,2)</f>
        <v>21.9</v>
      </c>
      <c r="U412" t="str" cm="1">
        <f t="array" ref="U4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12" t="str" cm="1">
        <f t="array" ref="V412">_xlfn.IFS(tbl_working_daily[[#This Row],[VeryActiveMinutes]]&gt;=30,"Very Active",tbl_working_daily[[#This Row],[VeryActiveMinutes]]&gt;=15,"Moderately Active",tbl_working_daily[[#This Row],[VeryActiveMinutes]]&gt;=1,"Lightly Active",tbl_working_daily[[#This Row],[VeryActiveMinutes]]=0,"Sedentary")</f>
        <v>Sedentary</v>
      </c>
      <c r="W412" t="str">
        <f>tbl_working_daily[[#This Row],[Id]]&amp;"|"&amp;TEXT(tbl_working_daily[[#This Row],[ActivityDate]],"yyyy-mm-dd")</f>
        <v>8253242879|2016-04-10</v>
      </c>
      <c r="X412" t="b">
        <f>ISNUMBER(MATCH(tbl_working_daily[[#This Row],[LookupKey]],tbl_working_sleep[LookupKey],0))</f>
        <v>0</v>
      </c>
    </row>
    <row r="413" spans="1:24" x14ac:dyDescent="0.3">
      <c r="A413">
        <v>8253242879</v>
      </c>
      <c r="B413" s="1">
        <v>42471</v>
      </c>
      <c r="C413">
        <v>1636</v>
      </c>
      <c r="D413">
        <v>1.08000004291534</v>
      </c>
      <c r="E413">
        <v>1.08000004291534</v>
      </c>
      <c r="F413">
        <v>0</v>
      </c>
      <c r="G413">
        <v>0</v>
      </c>
      <c r="H413">
        <v>0</v>
      </c>
      <c r="I413">
        <v>1.08000004291534</v>
      </c>
      <c r="J413">
        <v>0</v>
      </c>
      <c r="K413">
        <v>0</v>
      </c>
      <c r="L413">
        <v>0</v>
      </c>
      <c r="M413">
        <v>86</v>
      </c>
      <c r="N413">
        <v>1139</v>
      </c>
      <c r="O413">
        <v>1377</v>
      </c>
      <c r="P413" t="str">
        <f>TEXT(tbl_working_daily[[#This Row],[ActivityDate]],"dddd")</f>
        <v>Monday</v>
      </c>
      <c r="Q413" t="str">
        <f>TEXT(tbl_working_daily[[#This Row],[ActivityDate]],"mmmm")</f>
        <v>April</v>
      </c>
      <c r="R413">
        <f t="shared" si="12"/>
        <v>86</v>
      </c>
      <c r="S413">
        <f t="shared" si="13"/>
        <v>1225</v>
      </c>
      <c r="T413">
        <f>ROUND(tbl_working_daily[[#This Row],[SedentaryMinutes]]/60,2)</f>
        <v>18.98</v>
      </c>
      <c r="U413" t="str" cm="1">
        <f t="array" ref="U41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13" t="str" cm="1">
        <f t="array" ref="V413">_xlfn.IFS(tbl_working_daily[[#This Row],[VeryActiveMinutes]]&gt;=30,"Very Active",tbl_working_daily[[#This Row],[VeryActiveMinutes]]&gt;=15,"Moderately Active",tbl_working_daily[[#This Row],[VeryActiveMinutes]]&gt;=1,"Lightly Active",tbl_working_daily[[#This Row],[VeryActiveMinutes]]=0,"Sedentary")</f>
        <v>Sedentary</v>
      </c>
      <c r="W413" t="str">
        <f>tbl_working_daily[[#This Row],[Id]]&amp;"|"&amp;TEXT(tbl_working_daily[[#This Row],[ActivityDate]],"yyyy-mm-dd")</f>
        <v>8253242879|2016-04-11</v>
      </c>
      <c r="X413" t="b">
        <f>ISNUMBER(MATCH(tbl_working_daily[[#This Row],[LookupKey]],tbl_working_sleep[LookupKey],0))</f>
        <v>0</v>
      </c>
    </row>
    <row r="414" spans="1:24" x14ac:dyDescent="0.3">
      <c r="A414">
        <v>8253242879</v>
      </c>
      <c r="B414" s="1">
        <v>42472</v>
      </c>
      <c r="C414">
        <v>0</v>
      </c>
      <c r="D414">
        <v>0</v>
      </c>
      <c r="E414">
        <v>0</v>
      </c>
      <c r="F414">
        <v>0</v>
      </c>
      <c r="G414">
        <v>0</v>
      </c>
      <c r="H414">
        <v>0</v>
      </c>
      <c r="I414">
        <v>0</v>
      </c>
      <c r="J414">
        <v>0</v>
      </c>
      <c r="K414">
        <v>0</v>
      </c>
      <c r="L414">
        <v>0</v>
      </c>
      <c r="M414">
        <v>0</v>
      </c>
      <c r="N414">
        <v>1440</v>
      </c>
      <c r="O414">
        <v>0</v>
      </c>
      <c r="P414" t="str">
        <f>TEXT(tbl_working_daily[[#This Row],[ActivityDate]],"dddd")</f>
        <v>Tuesday</v>
      </c>
      <c r="Q414" t="str">
        <f>TEXT(tbl_working_daily[[#This Row],[ActivityDate]],"mmmm")</f>
        <v>April</v>
      </c>
      <c r="R414">
        <f t="shared" si="12"/>
        <v>0</v>
      </c>
      <c r="S414">
        <f t="shared" si="13"/>
        <v>1440</v>
      </c>
      <c r="T414">
        <f>ROUND(tbl_working_daily[[#This Row],[SedentaryMinutes]]/60,2)</f>
        <v>24</v>
      </c>
      <c r="U414" t="str" cm="1">
        <f t="array" ref="U41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14" t="str" cm="1">
        <f t="array" ref="V414">_xlfn.IFS(tbl_working_daily[[#This Row],[VeryActiveMinutes]]&gt;=30,"Very Active",tbl_working_daily[[#This Row],[VeryActiveMinutes]]&gt;=15,"Moderately Active",tbl_working_daily[[#This Row],[VeryActiveMinutes]]&gt;=1,"Lightly Active",tbl_working_daily[[#This Row],[VeryActiveMinutes]]=0,"Sedentary")</f>
        <v>Sedentary</v>
      </c>
      <c r="W414" t="str">
        <f>tbl_working_daily[[#This Row],[Id]]&amp;"|"&amp;TEXT(tbl_working_daily[[#This Row],[ActivityDate]],"yyyy-mm-dd")</f>
        <v>8253242879|2016-04-12</v>
      </c>
      <c r="X414" t="b">
        <f>ISNUMBER(MATCH(tbl_working_daily[[#This Row],[LookupKey]],tbl_working_sleep[LookupKey],0))</f>
        <v>0</v>
      </c>
    </row>
    <row r="415" spans="1:24" x14ac:dyDescent="0.3">
      <c r="A415">
        <v>8378563200</v>
      </c>
      <c r="B415" s="1">
        <v>42461</v>
      </c>
      <c r="C415">
        <v>14179</v>
      </c>
      <c r="D415">
        <v>11.2399997711182</v>
      </c>
      <c r="E415">
        <v>11.2399997711182</v>
      </c>
      <c r="F415">
        <v>0</v>
      </c>
      <c r="G415">
        <v>6.2300000190734899</v>
      </c>
      <c r="H415">
        <v>1.0599999427795399</v>
      </c>
      <c r="I415">
        <v>3.96000003814697</v>
      </c>
      <c r="J415">
        <v>0</v>
      </c>
      <c r="K415">
        <v>73</v>
      </c>
      <c r="L415">
        <v>21</v>
      </c>
      <c r="M415">
        <v>195</v>
      </c>
      <c r="N415">
        <v>719</v>
      </c>
      <c r="O415">
        <v>3669</v>
      </c>
      <c r="P415" t="str">
        <f>TEXT(tbl_working_daily[[#This Row],[ActivityDate]],"dddd")</f>
        <v>Friday</v>
      </c>
      <c r="Q415" t="str">
        <f>TEXT(tbl_working_daily[[#This Row],[ActivityDate]],"mmmm")</f>
        <v>April</v>
      </c>
      <c r="R415">
        <f t="shared" si="12"/>
        <v>289</v>
      </c>
      <c r="S415">
        <f t="shared" si="13"/>
        <v>1008</v>
      </c>
      <c r="T415">
        <f>ROUND(tbl_working_daily[[#This Row],[SedentaryMinutes]]/60,2)</f>
        <v>11.98</v>
      </c>
      <c r="U415" t="str" cm="1">
        <f t="array" ref="U41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15" t="str" cm="1">
        <f t="array" ref="V415">_xlfn.IFS(tbl_working_daily[[#This Row],[VeryActiveMinutes]]&gt;=30,"Very Active",tbl_working_daily[[#This Row],[VeryActiveMinutes]]&gt;=15,"Moderately Active",tbl_working_daily[[#This Row],[VeryActiveMinutes]]&gt;=1,"Lightly Active",tbl_working_daily[[#This Row],[VeryActiveMinutes]]=0,"Sedentary")</f>
        <v>Very Active</v>
      </c>
      <c r="W415" t="str">
        <f>tbl_working_daily[[#This Row],[Id]]&amp;"|"&amp;TEXT(tbl_working_daily[[#This Row],[ActivityDate]],"yyyy-mm-dd")</f>
        <v>8378563200|2016-04-01</v>
      </c>
      <c r="X415" t="b">
        <f>ISNUMBER(MATCH(tbl_working_daily[[#This Row],[LookupKey]],tbl_working_sleep[LookupKey],0))</f>
        <v>0</v>
      </c>
    </row>
    <row r="416" spans="1:24" x14ac:dyDescent="0.3">
      <c r="A416">
        <v>8378563200</v>
      </c>
      <c r="B416" s="1">
        <v>42462</v>
      </c>
      <c r="C416">
        <v>3358</v>
      </c>
      <c r="D416">
        <v>2.6600000858306898</v>
      </c>
      <c r="E416">
        <v>2.6600000858306898</v>
      </c>
      <c r="F416">
        <v>0</v>
      </c>
      <c r="G416">
        <v>0</v>
      </c>
      <c r="H416">
        <v>0</v>
      </c>
      <c r="I416">
        <v>2.6600000858306898</v>
      </c>
      <c r="J416">
        <v>0</v>
      </c>
      <c r="K416">
        <v>0</v>
      </c>
      <c r="L416">
        <v>0</v>
      </c>
      <c r="M416">
        <v>144</v>
      </c>
      <c r="N416">
        <v>657</v>
      </c>
      <c r="O416">
        <v>2702</v>
      </c>
      <c r="P416" t="str">
        <f>TEXT(tbl_working_daily[[#This Row],[ActivityDate]],"dddd")</f>
        <v>Saturday</v>
      </c>
      <c r="Q416" t="str">
        <f>TEXT(tbl_working_daily[[#This Row],[ActivityDate]],"mmmm")</f>
        <v>April</v>
      </c>
      <c r="R416">
        <f t="shared" si="12"/>
        <v>144</v>
      </c>
      <c r="S416">
        <f t="shared" si="13"/>
        <v>801</v>
      </c>
      <c r="T416">
        <f>ROUND(tbl_working_daily[[#This Row],[SedentaryMinutes]]/60,2)</f>
        <v>10.95</v>
      </c>
      <c r="U416" t="str" cm="1">
        <f t="array" ref="U41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16" t="str" cm="1">
        <f t="array" ref="V416">_xlfn.IFS(tbl_working_daily[[#This Row],[VeryActiveMinutes]]&gt;=30,"Very Active",tbl_working_daily[[#This Row],[VeryActiveMinutes]]&gt;=15,"Moderately Active",tbl_working_daily[[#This Row],[VeryActiveMinutes]]&gt;=1,"Lightly Active",tbl_working_daily[[#This Row],[VeryActiveMinutes]]=0,"Sedentary")</f>
        <v>Sedentary</v>
      </c>
      <c r="W416" t="str">
        <f>tbl_working_daily[[#This Row],[Id]]&amp;"|"&amp;TEXT(tbl_working_daily[[#This Row],[ActivityDate]],"yyyy-mm-dd")</f>
        <v>8378563200|2016-04-02</v>
      </c>
      <c r="X416" t="b">
        <f>ISNUMBER(MATCH(tbl_working_daily[[#This Row],[LookupKey]],tbl_working_sleep[LookupKey],0))</f>
        <v>0</v>
      </c>
    </row>
    <row r="417" spans="1:24" x14ac:dyDescent="0.3">
      <c r="A417">
        <v>8378563200</v>
      </c>
      <c r="B417" s="1">
        <v>42463</v>
      </c>
      <c r="C417">
        <v>9152</v>
      </c>
      <c r="D417">
        <v>7.2600002288818404</v>
      </c>
      <c r="E417">
        <v>7.2600002288818404</v>
      </c>
      <c r="F417">
        <v>0</v>
      </c>
      <c r="G417">
        <v>1.9900000095367401</v>
      </c>
      <c r="H417">
        <v>0.81999999284744296</v>
      </c>
      <c r="I417">
        <v>4.4499998092651403</v>
      </c>
      <c r="J417">
        <v>0</v>
      </c>
      <c r="K417">
        <v>25</v>
      </c>
      <c r="L417">
        <v>13</v>
      </c>
      <c r="M417">
        <v>243</v>
      </c>
      <c r="N417">
        <v>600</v>
      </c>
      <c r="O417">
        <v>3304</v>
      </c>
      <c r="P417" t="str">
        <f>TEXT(tbl_working_daily[[#This Row],[ActivityDate]],"dddd")</f>
        <v>Sunday</v>
      </c>
      <c r="Q417" t="str">
        <f>TEXT(tbl_working_daily[[#This Row],[ActivityDate]],"mmmm")</f>
        <v>April</v>
      </c>
      <c r="R417">
        <f t="shared" si="12"/>
        <v>281</v>
      </c>
      <c r="S417">
        <f t="shared" si="13"/>
        <v>881</v>
      </c>
      <c r="T417">
        <f>ROUND(tbl_working_daily[[#This Row],[SedentaryMinutes]]/60,2)</f>
        <v>10</v>
      </c>
      <c r="U417" t="str" cm="1">
        <f t="array" ref="U41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17" t="str" cm="1">
        <f t="array" ref="V417">_xlfn.IFS(tbl_working_daily[[#This Row],[VeryActiveMinutes]]&gt;=30,"Very Active",tbl_working_daily[[#This Row],[VeryActiveMinutes]]&gt;=15,"Moderately Active",tbl_working_daily[[#This Row],[VeryActiveMinutes]]&gt;=1,"Lightly Active",tbl_working_daily[[#This Row],[VeryActiveMinutes]]=0,"Sedentary")</f>
        <v>Moderately Active</v>
      </c>
      <c r="W417" t="str">
        <f>tbl_working_daily[[#This Row],[Id]]&amp;"|"&amp;TEXT(tbl_working_daily[[#This Row],[ActivityDate]],"yyyy-mm-dd")</f>
        <v>8378563200|2016-04-03</v>
      </c>
      <c r="X417" t="b">
        <f>ISNUMBER(MATCH(tbl_working_daily[[#This Row],[LookupKey]],tbl_working_sleep[LookupKey],0))</f>
        <v>0</v>
      </c>
    </row>
    <row r="418" spans="1:24" x14ac:dyDescent="0.3">
      <c r="A418">
        <v>8378563200</v>
      </c>
      <c r="B418" s="1">
        <v>42464</v>
      </c>
      <c r="C418">
        <v>13935</v>
      </c>
      <c r="D418">
        <v>11.050000190734901</v>
      </c>
      <c r="E418">
        <v>11.050000190734901</v>
      </c>
      <c r="F418">
        <v>2.0921471118927002</v>
      </c>
      <c r="G418">
        <v>4.0900001525878897</v>
      </c>
      <c r="H418">
        <v>0.79000002145767201</v>
      </c>
      <c r="I418">
        <v>6.1700000762939498</v>
      </c>
      <c r="J418">
        <v>0</v>
      </c>
      <c r="K418">
        <v>105</v>
      </c>
      <c r="L418">
        <v>16</v>
      </c>
      <c r="M418">
        <v>220</v>
      </c>
      <c r="N418">
        <v>658</v>
      </c>
      <c r="O418">
        <v>4234</v>
      </c>
      <c r="P418" t="str">
        <f>TEXT(tbl_working_daily[[#This Row],[ActivityDate]],"dddd")</f>
        <v>Monday</v>
      </c>
      <c r="Q418" t="str">
        <f>TEXT(tbl_working_daily[[#This Row],[ActivityDate]],"mmmm")</f>
        <v>April</v>
      </c>
      <c r="R418">
        <f t="shared" si="12"/>
        <v>341</v>
      </c>
      <c r="S418">
        <f t="shared" si="13"/>
        <v>999</v>
      </c>
      <c r="T418">
        <f>ROUND(tbl_working_daily[[#This Row],[SedentaryMinutes]]/60,2)</f>
        <v>10.97</v>
      </c>
      <c r="U418" t="str" cm="1">
        <f t="array" ref="U41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18" t="str" cm="1">
        <f t="array" ref="V418">_xlfn.IFS(tbl_working_daily[[#This Row],[VeryActiveMinutes]]&gt;=30,"Very Active",tbl_working_daily[[#This Row],[VeryActiveMinutes]]&gt;=15,"Moderately Active",tbl_working_daily[[#This Row],[VeryActiveMinutes]]&gt;=1,"Lightly Active",tbl_working_daily[[#This Row],[VeryActiveMinutes]]=0,"Sedentary")</f>
        <v>Very Active</v>
      </c>
      <c r="W418" t="str">
        <f>tbl_working_daily[[#This Row],[Id]]&amp;"|"&amp;TEXT(tbl_working_daily[[#This Row],[ActivityDate]],"yyyy-mm-dd")</f>
        <v>8378563200|2016-04-04</v>
      </c>
      <c r="X418" t="b">
        <f>ISNUMBER(MATCH(tbl_working_daily[[#This Row],[LookupKey]],tbl_working_sleep[LookupKey],0))</f>
        <v>0</v>
      </c>
    </row>
    <row r="419" spans="1:24" x14ac:dyDescent="0.3">
      <c r="A419">
        <v>8378563200</v>
      </c>
      <c r="B419" s="1">
        <v>42465</v>
      </c>
      <c r="C419">
        <v>12846</v>
      </c>
      <c r="D419">
        <v>10.189999580383301</v>
      </c>
      <c r="E419">
        <v>10.189999580383301</v>
      </c>
      <c r="F419">
        <v>2.2530810832977299</v>
      </c>
      <c r="G419">
        <v>5</v>
      </c>
      <c r="H419">
        <v>0.75</v>
      </c>
      <c r="I419">
        <v>4.4400000572204599</v>
      </c>
      <c r="J419">
        <v>0</v>
      </c>
      <c r="K419">
        <v>113</v>
      </c>
      <c r="L419">
        <v>15</v>
      </c>
      <c r="M419">
        <v>189</v>
      </c>
      <c r="N419">
        <v>686</v>
      </c>
      <c r="O419">
        <v>4128</v>
      </c>
      <c r="P419" t="str">
        <f>TEXT(tbl_working_daily[[#This Row],[ActivityDate]],"dddd")</f>
        <v>Tuesday</v>
      </c>
      <c r="Q419" t="str">
        <f>TEXT(tbl_working_daily[[#This Row],[ActivityDate]],"mmmm")</f>
        <v>April</v>
      </c>
      <c r="R419">
        <f t="shared" si="12"/>
        <v>317</v>
      </c>
      <c r="S419">
        <f t="shared" si="13"/>
        <v>1003</v>
      </c>
      <c r="T419">
        <f>ROUND(tbl_working_daily[[#This Row],[SedentaryMinutes]]/60,2)</f>
        <v>11.43</v>
      </c>
      <c r="U419" t="str" cm="1">
        <f t="array" ref="U41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19" t="str" cm="1">
        <f t="array" ref="V419">_xlfn.IFS(tbl_working_daily[[#This Row],[VeryActiveMinutes]]&gt;=30,"Very Active",tbl_working_daily[[#This Row],[VeryActiveMinutes]]&gt;=15,"Moderately Active",tbl_working_daily[[#This Row],[VeryActiveMinutes]]&gt;=1,"Lightly Active",tbl_working_daily[[#This Row],[VeryActiveMinutes]]=0,"Sedentary")</f>
        <v>Very Active</v>
      </c>
      <c r="W419" t="str">
        <f>tbl_working_daily[[#This Row],[Id]]&amp;"|"&amp;TEXT(tbl_working_daily[[#This Row],[ActivityDate]],"yyyy-mm-dd")</f>
        <v>8378563200|2016-04-05</v>
      </c>
      <c r="X419" t="b">
        <f>ISNUMBER(MATCH(tbl_working_daily[[#This Row],[LookupKey]],tbl_working_sleep[LookupKey],0))</f>
        <v>0</v>
      </c>
    </row>
    <row r="420" spans="1:24" x14ac:dyDescent="0.3">
      <c r="A420">
        <v>8378563200</v>
      </c>
      <c r="B420" s="1">
        <v>42466</v>
      </c>
      <c r="C420">
        <v>9124</v>
      </c>
      <c r="D420">
        <v>7.2399997711181596</v>
      </c>
      <c r="E420">
        <v>7.2399997711181596</v>
      </c>
      <c r="F420">
        <v>2.0921471118927002</v>
      </c>
      <c r="G420">
        <v>0</v>
      </c>
      <c r="H420">
        <v>0.25</v>
      </c>
      <c r="I420">
        <v>6.9899997711181596</v>
      </c>
      <c r="J420">
        <v>0</v>
      </c>
      <c r="K420">
        <v>55</v>
      </c>
      <c r="L420">
        <v>6</v>
      </c>
      <c r="M420">
        <v>230</v>
      </c>
      <c r="N420">
        <v>728</v>
      </c>
      <c r="O420">
        <v>3798</v>
      </c>
      <c r="P420" t="str">
        <f>TEXT(tbl_working_daily[[#This Row],[ActivityDate]],"dddd")</f>
        <v>Wednesday</v>
      </c>
      <c r="Q420" t="str">
        <f>TEXT(tbl_working_daily[[#This Row],[ActivityDate]],"mmmm")</f>
        <v>April</v>
      </c>
      <c r="R420">
        <f t="shared" si="12"/>
        <v>291</v>
      </c>
      <c r="S420">
        <f t="shared" si="13"/>
        <v>1019</v>
      </c>
      <c r="T420">
        <f>ROUND(tbl_working_daily[[#This Row],[SedentaryMinutes]]/60,2)</f>
        <v>12.13</v>
      </c>
      <c r="U420" t="str" cm="1">
        <f t="array" ref="U42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20" t="str" cm="1">
        <f t="array" ref="V420">_xlfn.IFS(tbl_working_daily[[#This Row],[VeryActiveMinutes]]&gt;=30,"Very Active",tbl_working_daily[[#This Row],[VeryActiveMinutes]]&gt;=15,"Moderately Active",tbl_working_daily[[#This Row],[VeryActiveMinutes]]&gt;=1,"Lightly Active",tbl_working_daily[[#This Row],[VeryActiveMinutes]]=0,"Sedentary")</f>
        <v>Very Active</v>
      </c>
      <c r="W420" t="str">
        <f>tbl_working_daily[[#This Row],[Id]]&amp;"|"&amp;TEXT(tbl_working_daily[[#This Row],[ActivityDate]],"yyyy-mm-dd")</f>
        <v>8378563200|2016-04-06</v>
      </c>
      <c r="X420" t="b">
        <f>ISNUMBER(MATCH(tbl_working_daily[[#This Row],[LookupKey]],tbl_working_sleep[LookupKey],0))</f>
        <v>0</v>
      </c>
    </row>
    <row r="421" spans="1:24" x14ac:dyDescent="0.3">
      <c r="A421">
        <v>8378563200</v>
      </c>
      <c r="B421" s="1">
        <v>42467</v>
      </c>
      <c r="C421">
        <v>9725</v>
      </c>
      <c r="D421">
        <v>7.71000003814697</v>
      </c>
      <c r="E421">
        <v>7.71000003814697</v>
      </c>
      <c r="F421">
        <v>2.2530810832977299</v>
      </c>
      <c r="G421">
        <v>2.4100000858306898</v>
      </c>
      <c r="H421">
        <v>0.52999997138977095</v>
      </c>
      <c r="I421">
        <v>4.7699999809265101</v>
      </c>
      <c r="J421">
        <v>0</v>
      </c>
      <c r="K421">
        <v>83</v>
      </c>
      <c r="L421">
        <v>11</v>
      </c>
      <c r="M421">
        <v>181</v>
      </c>
      <c r="N421">
        <v>670</v>
      </c>
      <c r="O421">
        <v>3839</v>
      </c>
      <c r="P421" t="str">
        <f>TEXT(tbl_working_daily[[#This Row],[ActivityDate]],"dddd")</f>
        <v>Thursday</v>
      </c>
      <c r="Q421" t="str">
        <f>TEXT(tbl_working_daily[[#This Row],[ActivityDate]],"mmmm")</f>
        <v>April</v>
      </c>
      <c r="R421">
        <f t="shared" si="12"/>
        <v>275</v>
      </c>
      <c r="S421">
        <f t="shared" si="13"/>
        <v>945</v>
      </c>
      <c r="T421">
        <f>ROUND(tbl_working_daily[[#This Row],[SedentaryMinutes]]/60,2)</f>
        <v>11.17</v>
      </c>
      <c r="U421" t="str" cm="1">
        <f t="array" ref="U42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21" t="str" cm="1">
        <f t="array" ref="V421">_xlfn.IFS(tbl_working_daily[[#This Row],[VeryActiveMinutes]]&gt;=30,"Very Active",tbl_working_daily[[#This Row],[VeryActiveMinutes]]&gt;=15,"Moderately Active",tbl_working_daily[[#This Row],[VeryActiveMinutes]]&gt;=1,"Lightly Active",tbl_working_daily[[#This Row],[VeryActiveMinutes]]=0,"Sedentary")</f>
        <v>Very Active</v>
      </c>
      <c r="W421" t="str">
        <f>tbl_working_daily[[#This Row],[Id]]&amp;"|"&amp;TEXT(tbl_working_daily[[#This Row],[ActivityDate]],"yyyy-mm-dd")</f>
        <v>8378563200|2016-04-07</v>
      </c>
      <c r="X421" t="b">
        <f>ISNUMBER(MATCH(tbl_working_daily[[#This Row],[LookupKey]],tbl_working_sleep[LookupKey],0))</f>
        <v>0</v>
      </c>
    </row>
    <row r="422" spans="1:24" x14ac:dyDescent="0.3">
      <c r="A422">
        <v>8378563200</v>
      </c>
      <c r="B422" s="1">
        <v>42468</v>
      </c>
      <c r="C422">
        <v>8350</v>
      </c>
      <c r="D422">
        <v>6.6199998855590803</v>
      </c>
      <c r="E422">
        <v>6.6199998855590803</v>
      </c>
      <c r="F422">
        <v>2.0921471118927002</v>
      </c>
      <c r="G422">
        <v>1.4900000095367401</v>
      </c>
      <c r="H422">
        <v>0.52999997138977095</v>
      </c>
      <c r="I422">
        <v>4.6100001335143999</v>
      </c>
      <c r="J422">
        <v>0</v>
      </c>
      <c r="K422">
        <v>72</v>
      </c>
      <c r="L422">
        <v>10</v>
      </c>
      <c r="M422">
        <v>167</v>
      </c>
      <c r="N422">
        <v>868</v>
      </c>
      <c r="O422">
        <v>3713</v>
      </c>
      <c r="P422" t="str">
        <f>TEXT(tbl_working_daily[[#This Row],[ActivityDate]],"dddd")</f>
        <v>Friday</v>
      </c>
      <c r="Q422" t="str">
        <f>TEXT(tbl_working_daily[[#This Row],[ActivityDate]],"mmmm")</f>
        <v>April</v>
      </c>
      <c r="R422">
        <f t="shared" si="12"/>
        <v>249</v>
      </c>
      <c r="S422">
        <f t="shared" si="13"/>
        <v>1117</v>
      </c>
      <c r="T422">
        <f>ROUND(tbl_working_daily[[#This Row],[SedentaryMinutes]]/60,2)</f>
        <v>14.47</v>
      </c>
      <c r="U422" t="str" cm="1">
        <f t="array" ref="U42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22" t="str" cm="1">
        <f t="array" ref="V422">_xlfn.IFS(tbl_working_daily[[#This Row],[VeryActiveMinutes]]&gt;=30,"Very Active",tbl_working_daily[[#This Row],[VeryActiveMinutes]]&gt;=15,"Moderately Active",tbl_working_daily[[#This Row],[VeryActiveMinutes]]&gt;=1,"Lightly Active",tbl_working_daily[[#This Row],[VeryActiveMinutes]]=0,"Sedentary")</f>
        <v>Very Active</v>
      </c>
      <c r="W422" t="str">
        <f>tbl_working_daily[[#This Row],[Id]]&amp;"|"&amp;TEXT(tbl_working_daily[[#This Row],[ActivityDate]],"yyyy-mm-dd")</f>
        <v>8378563200|2016-04-08</v>
      </c>
      <c r="X422" t="b">
        <f>ISNUMBER(MATCH(tbl_working_daily[[#This Row],[LookupKey]],tbl_working_sleep[LookupKey],0))</f>
        <v>0</v>
      </c>
    </row>
    <row r="423" spans="1:24" x14ac:dyDescent="0.3">
      <c r="A423">
        <v>8378563200</v>
      </c>
      <c r="B423" s="1">
        <v>42469</v>
      </c>
      <c r="C423">
        <v>2240</v>
      </c>
      <c r="D423">
        <v>1.7799999713897701</v>
      </c>
      <c r="E423">
        <v>1.7799999713897701</v>
      </c>
      <c r="F423">
        <v>0</v>
      </c>
      <c r="G423">
        <v>0</v>
      </c>
      <c r="H423">
        <v>0</v>
      </c>
      <c r="I423">
        <v>1.7799999713897701</v>
      </c>
      <c r="J423">
        <v>0</v>
      </c>
      <c r="K423">
        <v>0</v>
      </c>
      <c r="L423">
        <v>0</v>
      </c>
      <c r="M423">
        <v>110</v>
      </c>
      <c r="N423">
        <v>843</v>
      </c>
      <c r="O423">
        <v>2606</v>
      </c>
      <c r="P423" t="str">
        <f>TEXT(tbl_working_daily[[#This Row],[ActivityDate]],"dddd")</f>
        <v>Saturday</v>
      </c>
      <c r="Q423" t="str">
        <f>TEXT(tbl_working_daily[[#This Row],[ActivityDate]],"mmmm")</f>
        <v>April</v>
      </c>
      <c r="R423">
        <f t="shared" si="12"/>
        <v>110</v>
      </c>
      <c r="S423">
        <f t="shared" si="13"/>
        <v>953</v>
      </c>
      <c r="T423">
        <f>ROUND(tbl_working_daily[[#This Row],[SedentaryMinutes]]/60,2)</f>
        <v>14.05</v>
      </c>
      <c r="U423" t="str" cm="1">
        <f t="array" ref="U42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23" t="str" cm="1">
        <f t="array" ref="V423">_xlfn.IFS(tbl_working_daily[[#This Row],[VeryActiveMinutes]]&gt;=30,"Very Active",tbl_working_daily[[#This Row],[VeryActiveMinutes]]&gt;=15,"Moderately Active",tbl_working_daily[[#This Row],[VeryActiveMinutes]]&gt;=1,"Lightly Active",tbl_working_daily[[#This Row],[VeryActiveMinutes]]=0,"Sedentary")</f>
        <v>Sedentary</v>
      </c>
      <c r="W423" t="str">
        <f>tbl_working_daily[[#This Row],[Id]]&amp;"|"&amp;TEXT(tbl_working_daily[[#This Row],[ActivityDate]],"yyyy-mm-dd")</f>
        <v>8378563200|2016-04-09</v>
      </c>
      <c r="X423" t="b">
        <f>ISNUMBER(MATCH(tbl_working_daily[[#This Row],[LookupKey]],tbl_working_sleep[LookupKey],0))</f>
        <v>0</v>
      </c>
    </row>
    <row r="424" spans="1:24" x14ac:dyDescent="0.3">
      <c r="A424">
        <v>8378563200</v>
      </c>
      <c r="B424" s="1">
        <v>42470</v>
      </c>
      <c r="C424">
        <v>2631</v>
      </c>
      <c r="D424">
        <v>2.0899999141693102</v>
      </c>
      <c r="E424">
        <v>2.0899999141693102</v>
      </c>
      <c r="F424">
        <v>0</v>
      </c>
      <c r="G424">
        <v>0</v>
      </c>
      <c r="H424">
        <v>0</v>
      </c>
      <c r="I424">
        <v>2.0899999141693102</v>
      </c>
      <c r="J424">
        <v>0</v>
      </c>
      <c r="K424">
        <v>0</v>
      </c>
      <c r="L424">
        <v>0</v>
      </c>
      <c r="M424">
        <v>117</v>
      </c>
      <c r="N424">
        <v>727</v>
      </c>
      <c r="O424">
        <v>2624</v>
      </c>
      <c r="P424" t="str">
        <f>TEXT(tbl_working_daily[[#This Row],[ActivityDate]],"dddd")</f>
        <v>Sunday</v>
      </c>
      <c r="Q424" t="str">
        <f>TEXT(tbl_working_daily[[#This Row],[ActivityDate]],"mmmm")</f>
        <v>April</v>
      </c>
      <c r="R424">
        <f t="shared" si="12"/>
        <v>117</v>
      </c>
      <c r="S424">
        <f t="shared" si="13"/>
        <v>844</v>
      </c>
      <c r="T424">
        <f>ROUND(tbl_working_daily[[#This Row],[SedentaryMinutes]]/60,2)</f>
        <v>12.12</v>
      </c>
      <c r="U424" t="str" cm="1">
        <f t="array" ref="U4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24" t="str" cm="1">
        <f t="array" ref="V424">_xlfn.IFS(tbl_working_daily[[#This Row],[VeryActiveMinutes]]&gt;=30,"Very Active",tbl_working_daily[[#This Row],[VeryActiveMinutes]]&gt;=15,"Moderately Active",tbl_working_daily[[#This Row],[VeryActiveMinutes]]&gt;=1,"Lightly Active",tbl_working_daily[[#This Row],[VeryActiveMinutes]]=0,"Sedentary")</f>
        <v>Sedentary</v>
      </c>
      <c r="W424" t="str">
        <f>tbl_working_daily[[#This Row],[Id]]&amp;"|"&amp;TEXT(tbl_working_daily[[#This Row],[ActivityDate]],"yyyy-mm-dd")</f>
        <v>8378563200|2016-04-10</v>
      </c>
      <c r="X424" t="b">
        <f>ISNUMBER(MATCH(tbl_working_daily[[#This Row],[LookupKey]],tbl_working_sleep[LookupKey],0))</f>
        <v>0</v>
      </c>
    </row>
    <row r="425" spans="1:24" x14ac:dyDescent="0.3">
      <c r="A425">
        <v>8378563200</v>
      </c>
      <c r="B425" s="1">
        <v>42471</v>
      </c>
      <c r="C425">
        <v>8837</v>
      </c>
      <c r="D425">
        <v>7.0100002288818404</v>
      </c>
      <c r="E425">
        <v>7.0100002288818404</v>
      </c>
      <c r="F425">
        <v>2.0921471118927002</v>
      </c>
      <c r="G425">
        <v>1.53999996185303</v>
      </c>
      <c r="H425">
        <v>0.87999999523162797</v>
      </c>
      <c r="I425">
        <v>4.5900001525878897</v>
      </c>
      <c r="J425">
        <v>0</v>
      </c>
      <c r="K425">
        <v>74</v>
      </c>
      <c r="L425">
        <v>17</v>
      </c>
      <c r="M425">
        <v>182</v>
      </c>
      <c r="N425">
        <v>811</v>
      </c>
      <c r="O425">
        <v>3775</v>
      </c>
      <c r="P425" t="str">
        <f>TEXT(tbl_working_daily[[#This Row],[ActivityDate]],"dddd")</f>
        <v>Monday</v>
      </c>
      <c r="Q425" t="str">
        <f>TEXT(tbl_working_daily[[#This Row],[ActivityDate]],"mmmm")</f>
        <v>April</v>
      </c>
      <c r="R425">
        <f t="shared" si="12"/>
        <v>273</v>
      </c>
      <c r="S425">
        <f t="shared" si="13"/>
        <v>1084</v>
      </c>
      <c r="T425">
        <f>ROUND(tbl_working_daily[[#This Row],[SedentaryMinutes]]/60,2)</f>
        <v>13.52</v>
      </c>
      <c r="U425" t="str" cm="1">
        <f t="array" ref="U42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25" t="str" cm="1">
        <f t="array" ref="V425">_xlfn.IFS(tbl_working_daily[[#This Row],[VeryActiveMinutes]]&gt;=30,"Very Active",tbl_working_daily[[#This Row],[VeryActiveMinutes]]&gt;=15,"Moderately Active",tbl_working_daily[[#This Row],[VeryActiveMinutes]]&gt;=1,"Lightly Active",tbl_working_daily[[#This Row],[VeryActiveMinutes]]=0,"Sedentary")</f>
        <v>Very Active</v>
      </c>
      <c r="W425" t="str">
        <f>tbl_working_daily[[#This Row],[Id]]&amp;"|"&amp;TEXT(tbl_working_daily[[#This Row],[ActivityDate]],"yyyy-mm-dd")</f>
        <v>8378563200|2016-04-11</v>
      </c>
      <c r="X425" t="b">
        <f>ISNUMBER(MATCH(tbl_working_daily[[#This Row],[LookupKey]],tbl_working_sleep[LookupKey],0))</f>
        <v>0</v>
      </c>
    </row>
    <row r="426" spans="1:24" x14ac:dyDescent="0.3">
      <c r="A426">
        <v>8378563200</v>
      </c>
      <c r="B426" s="1">
        <v>42472</v>
      </c>
      <c r="C426">
        <v>3246</v>
      </c>
      <c r="D426">
        <v>2.5699999332428001</v>
      </c>
      <c r="E426">
        <v>2.5699999332428001</v>
      </c>
      <c r="F426">
        <v>2.2530810832977299</v>
      </c>
      <c r="G426">
        <v>0.82999998331069902</v>
      </c>
      <c r="H426">
        <v>0.70999997854232799</v>
      </c>
      <c r="I426">
        <v>1.0299999713897701</v>
      </c>
      <c r="J426">
        <v>0</v>
      </c>
      <c r="K426">
        <v>65</v>
      </c>
      <c r="L426">
        <v>15</v>
      </c>
      <c r="M426">
        <v>49</v>
      </c>
      <c r="N426">
        <v>243</v>
      </c>
      <c r="O426">
        <v>1882</v>
      </c>
      <c r="P426" t="str">
        <f>TEXT(tbl_working_daily[[#This Row],[ActivityDate]],"dddd")</f>
        <v>Tuesday</v>
      </c>
      <c r="Q426" t="str">
        <f>TEXT(tbl_working_daily[[#This Row],[ActivityDate]],"mmmm")</f>
        <v>April</v>
      </c>
      <c r="R426">
        <f t="shared" si="12"/>
        <v>129</v>
      </c>
      <c r="S426">
        <f t="shared" si="13"/>
        <v>372</v>
      </c>
      <c r="T426">
        <f>ROUND(tbl_working_daily[[#This Row],[SedentaryMinutes]]/60,2)</f>
        <v>4.05</v>
      </c>
      <c r="U426" t="str" cm="1">
        <f t="array" ref="U42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26" t="str" cm="1">
        <f t="array" ref="V426">_xlfn.IFS(tbl_working_daily[[#This Row],[VeryActiveMinutes]]&gt;=30,"Very Active",tbl_working_daily[[#This Row],[VeryActiveMinutes]]&gt;=15,"Moderately Active",tbl_working_daily[[#This Row],[VeryActiveMinutes]]&gt;=1,"Lightly Active",tbl_working_daily[[#This Row],[VeryActiveMinutes]]=0,"Sedentary")</f>
        <v>Very Active</v>
      </c>
      <c r="W426" t="str">
        <f>tbl_working_daily[[#This Row],[Id]]&amp;"|"&amp;TEXT(tbl_working_daily[[#This Row],[ActivityDate]],"yyyy-mm-dd")</f>
        <v>8378563200|2016-04-12</v>
      </c>
      <c r="X426" t="b">
        <f>ISNUMBER(MATCH(tbl_working_daily[[#This Row],[LookupKey]],tbl_working_sleep[LookupKey],0))</f>
        <v>1</v>
      </c>
    </row>
    <row r="427" spans="1:24" x14ac:dyDescent="0.3">
      <c r="A427">
        <v>8583815059</v>
      </c>
      <c r="B427" s="1">
        <v>42461</v>
      </c>
      <c r="C427">
        <v>2174</v>
      </c>
      <c r="D427">
        <v>1.70000004768372</v>
      </c>
      <c r="E427">
        <v>1.70000004768372</v>
      </c>
      <c r="F427">
        <v>0</v>
      </c>
      <c r="G427">
        <v>0</v>
      </c>
      <c r="H427">
        <v>0</v>
      </c>
      <c r="I427">
        <v>1.70000004768372</v>
      </c>
      <c r="J427">
        <v>0</v>
      </c>
      <c r="K427">
        <v>0</v>
      </c>
      <c r="L427">
        <v>0</v>
      </c>
      <c r="M427">
        <v>112</v>
      </c>
      <c r="N427">
        <v>1328</v>
      </c>
      <c r="O427">
        <v>2360</v>
      </c>
      <c r="P427" t="str">
        <f>TEXT(tbl_working_daily[[#This Row],[ActivityDate]],"dddd")</f>
        <v>Friday</v>
      </c>
      <c r="Q427" t="str">
        <f>TEXT(tbl_working_daily[[#This Row],[ActivityDate]],"mmmm")</f>
        <v>April</v>
      </c>
      <c r="R427">
        <f t="shared" si="12"/>
        <v>112</v>
      </c>
      <c r="S427">
        <f t="shared" si="13"/>
        <v>1440</v>
      </c>
      <c r="T427">
        <f>ROUND(tbl_working_daily[[#This Row],[SedentaryMinutes]]/60,2)</f>
        <v>22.13</v>
      </c>
      <c r="U427" t="str" cm="1">
        <f t="array" ref="U4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27" t="str" cm="1">
        <f t="array" ref="V427">_xlfn.IFS(tbl_working_daily[[#This Row],[VeryActiveMinutes]]&gt;=30,"Very Active",tbl_working_daily[[#This Row],[VeryActiveMinutes]]&gt;=15,"Moderately Active",tbl_working_daily[[#This Row],[VeryActiveMinutes]]&gt;=1,"Lightly Active",tbl_working_daily[[#This Row],[VeryActiveMinutes]]=0,"Sedentary")</f>
        <v>Sedentary</v>
      </c>
      <c r="W427" t="str">
        <f>tbl_working_daily[[#This Row],[Id]]&amp;"|"&amp;TEXT(tbl_working_daily[[#This Row],[ActivityDate]],"yyyy-mm-dd")</f>
        <v>8583815059|2016-04-01</v>
      </c>
      <c r="X427" t="b">
        <f>ISNUMBER(MATCH(tbl_working_daily[[#This Row],[LookupKey]],tbl_working_sleep[LookupKey],0))</f>
        <v>0</v>
      </c>
    </row>
    <row r="428" spans="1:24" x14ac:dyDescent="0.3">
      <c r="A428">
        <v>8583815059</v>
      </c>
      <c r="B428" s="1">
        <v>42462</v>
      </c>
      <c r="C428">
        <v>3494</v>
      </c>
      <c r="D428">
        <v>2.7300000190734899</v>
      </c>
      <c r="E428">
        <v>2.7300000190734899</v>
      </c>
      <c r="F428">
        <v>0</v>
      </c>
      <c r="G428">
        <v>0</v>
      </c>
      <c r="H428">
        <v>0</v>
      </c>
      <c r="I428">
        <v>2.6900000572204599</v>
      </c>
      <c r="J428">
        <v>0</v>
      </c>
      <c r="K428">
        <v>0</v>
      </c>
      <c r="L428">
        <v>0</v>
      </c>
      <c r="M428">
        <v>166</v>
      </c>
      <c r="N428">
        <v>1274</v>
      </c>
      <c r="O428">
        <v>2517</v>
      </c>
      <c r="P428" t="str">
        <f>TEXT(tbl_working_daily[[#This Row],[ActivityDate]],"dddd")</f>
        <v>Saturday</v>
      </c>
      <c r="Q428" t="str">
        <f>TEXT(tbl_working_daily[[#This Row],[ActivityDate]],"mmmm")</f>
        <v>April</v>
      </c>
      <c r="R428">
        <f t="shared" si="12"/>
        <v>166</v>
      </c>
      <c r="S428">
        <f t="shared" si="13"/>
        <v>1440</v>
      </c>
      <c r="T428">
        <f>ROUND(tbl_working_daily[[#This Row],[SedentaryMinutes]]/60,2)</f>
        <v>21.23</v>
      </c>
      <c r="U428" t="str" cm="1">
        <f t="array" ref="U42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28" t="str" cm="1">
        <f t="array" ref="V428">_xlfn.IFS(tbl_working_daily[[#This Row],[VeryActiveMinutes]]&gt;=30,"Very Active",tbl_working_daily[[#This Row],[VeryActiveMinutes]]&gt;=15,"Moderately Active",tbl_working_daily[[#This Row],[VeryActiveMinutes]]&gt;=1,"Lightly Active",tbl_working_daily[[#This Row],[VeryActiveMinutes]]=0,"Sedentary")</f>
        <v>Sedentary</v>
      </c>
      <c r="W428" t="str">
        <f>tbl_working_daily[[#This Row],[Id]]&amp;"|"&amp;TEXT(tbl_working_daily[[#This Row],[ActivityDate]],"yyyy-mm-dd")</f>
        <v>8583815059|2016-04-02</v>
      </c>
      <c r="X428" t="b">
        <f>ISNUMBER(MATCH(tbl_working_daily[[#This Row],[LookupKey]],tbl_working_sleep[LookupKey],0))</f>
        <v>0</v>
      </c>
    </row>
    <row r="429" spans="1:24" x14ac:dyDescent="0.3">
      <c r="A429">
        <v>8583815059</v>
      </c>
      <c r="B429" s="1">
        <v>42463</v>
      </c>
      <c r="C429">
        <v>2380</v>
      </c>
      <c r="D429">
        <v>1.8600000143051101</v>
      </c>
      <c r="E429">
        <v>1.8600000143051101</v>
      </c>
      <c r="F429">
        <v>0</v>
      </c>
      <c r="G429">
        <v>0</v>
      </c>
      <c r="H429">
        <v>0</v>
      </c>
      <c r="I429">
        <v>1.8600000143051101</v>
      </c>
      <c r="J429">
        <v>0</v>
      </c>
      <c r="K429">
        <v>0</v>
      </c>
      <c r="L429">
        <v>0</v>
      </c>
      <c r="M429">
        <v>131</v>
      </c>
      <c r="N429">
        <v>1309</v>
      </c>
      <c r="O429">
        <v>2400</v>
      </c>
      <c r="P429" t="str">
        <f>TEXT(tbl_working_daily[[#This Row],[ActivityDate]],"dddd")</f>
        <v>Sunday</v>
      </c>
      <c r="Q429" t="str">
        <f>TEXT(tbl_working_daily[[#This Row],[ActivityDate]],"mmmm")</f>
        <v>April</v>
      </c>
      <c r="R429">
        <f t="shared" si="12"/>
        <v>131</v>
      </c>
      <c r="S429">
        <f t="shared" si="13"/>
        <v>1440</v>
      </c>
      <c r="T429">
        <f>ROUND(tbl_working_daily[[#This Row],[SedentaryMinutes]]/60,2)</f>
        <v>21.82</v>
      </c>
      <c r="U429" t="str" cm="1">
        <f t="array" ref="U42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29" t="str" cm="1">
        <f t="array" ref="V429">_xlfn.IFS(tbl_working_daily[[#This Row],[VeryActiveMinutes]]&gt;=30,"Very Active",tbl_working_daily[[#This Row],[VeryActiveMinutes]]&gt;=15,"Moderately Active",tbl_working_daily[[#This Row],[VeryActiveMinutes]]&gt;=1,"Lightly Active",tbl_working_daily[[#This Row],[VeryActiveMinutes]]=0,"Sedentary")</f>
        <v>Sedentary</v>
      </c>
      <c r="W429" t="str">
        <f>tbl_working_daily[[#This Row],[Id]]&amp;"|"&amp;TEXT(tbl_working_daily[[#This Row],[ActivityDate]],"yyyy-mm-dd")</f>
        <v>8583815059|2016-04-03</v>
      </c>
      <c r="X429" t="b">
        <f>ISNUMBER(MATCH(tbl_working_daily[[#This Row],[LookupKey]],tbl_working_sleep[LookupKey],0))</f>
        <v>0</v>
      </c>
    </row>
    <row r="430" spans="1:24" x14ac:dyDescent="0.3">
      <c r="A430">
        <v>8583815059</v>
      </c>
      <c r="B430" s="1">
        <v>42464</v>
      </c>
      <c r="C430">
        <v>3159</v>
      </c>
      <c r="D430">
        <v>2.46000003814697</v>
      </c>
      <c r="E430">
        <v>2.46000003814697</v>
      </c>
      <c r="F430">
        <v>0</v>
      </c>
      <c r="G430">
        <v>0</v>
      </c>
      <c r="H430">
        <v>0</v>
      </c>
      <c r="I430">
        <v>2.46000003814697</v>
      </c>
      <c r="J430">
        <v>0</v>
      </c>
      <c r="K430">
        <v>0</v>
      </c>
      <c r="L430">
        <v>0</v>
      </c>
      <c r="M430">
        <v>147</v>
      </c>
      <c r="N430">
        <v>1293</v>
      </c>
      <c r="O430">
        <v>2462</v>
      </c>
      <c r="P430" t="str">
        <f>TEXT(tbl_working_daily[[#This Row],[ActivityDate]],"dddd")</f>
        <v>Monday</v>
      </c>
      <c r="Q430" t="str">
        <f>TEXT(tbl_working_daily[[#This Row],[ActivityDate]],"mmmm")</f>
        <v>April</v>
      </c>
      <c r="R430">
        <f t="shared" si="12"/>
        <v>147</v>
      </c>
      <c r="S430">
        <f t="shared" si="13"/>
        <v>1440</v>
      </c>
      <c r="T430">
        <f>ROUND(tbl_working_daily[[#This Row],[SedentaryMinutes]]/60,2)</f>
        <v>21.55</v>
      </c>
      <c r="U430" t="str" cm="1">
        <f t="array" ref="U43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0" t="str" cm="1">
        <f t="array" ref="V430">_xlfn.IFS(tbl_working_daily[[#This Row],[VeryActiveMinutes]]&gt;=30,"Very Active",tbl_working_daily[[#This Row],[VeryActiveMinutes]]&gt;=15,"Moderately Active",tbl_working_daily[[#This Row],[VeryActiveMinutes]]&gt;=1,"Lightly Active",tbl_working_daily[[#This Row],[VeryActiveMinutes]]=0,"Sedentary")</f>
        <v>Sedentary</v>
      </c>
      <c r="W430" t="str">
        <f>tbl_working_daily[[#This Row],[Id]]&amp;"|"&amp;TEXT(tbl_working_daily[[#This Row],[ActivityDate]],"yyyy-mm-dd")</f>
        <v>8583815059|2016-04-04</v>
      </c>
      <c r="X430" t="b">
        <f>ISNUMBER(MATCH(tbl_working_daily[[#This Row],[LookupKey]],tbl_working_sleep[LookupKey],0))</f>
        <v>0</v>
      </c>
    </row>
    <row r="431" spans="1:24" x14ac:dyDescent="0.3">
      <c r="A431">
        <v>8583815059</v>
      </c>
      <c r="B431" s="1">
        <v>42465</v>
      </c>
      <c r="C431">
        <v>6835</v>
      </c>
      <c r="D431">
        <v>5.3299999237060502</v>
      </c>
      <c r="E431">
        <v>5.3299999237060502</v>
      </c>
      <c r="F431">
        <v>0</v>
      </c>
      <c r="G431">
        <v>0.37000000476837203</v>
      </c>
      <c r="H431">
        <v>0.730000019073486</v>
      </c>
      <c r="I431">
        <v>4.2399997711181596</v>
      </c>
      <c r="J431">
        <v>0</v>
      </c>
      <c r="K431">
        <v>5</v>
      </c>
      <c r="L431">
        <v>15</v>
      </c>
      <c r="M431">
        <v>212</v>
      </c>
      <c r="N431">
        <v>1208</v>
      </c>
      <c r="O431">
        <v>2786</v>
      </c>
      <c r="P431" t="str">
        <f>TEXT(tbl_working_daily[[#This Row],[ActivityDate]],"dddd")</f>
        <v>Tuesday</v>
      </c>
      <c r="Q431" t="str">
        <f>TEXT(tbl_working_daily[[#This Row],[ActivityDate]],"mmmm")</f>
        <v>April</v>
      </c>
      <c r="R431">
        <f t="shared" si="12"/>
        <v>232</v>
      </c>
      <c r="S431">
        <f t="shared" si="13"/>
        <v>1440</v>
      </c>
      <c r="T431">
        <f>ROUND(tbl_working_daily[[#This Row],[SedentaryMinutes]]/60,2)</f>
        <v>20.13</v>
      </c>
      <c r="U431" t="str" cm="1">
        <f t="array" ref="U43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31" t="str" cm="1">
        <f t="array" ref="V431">_xlfn.IFS(tbl_working_daily[[#This Row],[VeryActiveMinutes]]&gt;=30,"Very Active",tbl_working_daily[[#This Row],[VeryActiveMinutes]]&gt;=15,"Moderately Active",tbl_working_daily[[#This Row],[VeryActiveMinutes]]&gt;=1,"Lightly Active",tbl_working_daily[[#This Row],[VeryActiveMinutes]]=0,"Sedentary")</f>
        <v>Lightly Active</v>
      </c>
      <c r="W431" t="str">
        <f>tbl_working_daily[[#This Row],[Id]]&amp;"|"&amp;TEXT(tbl_working_daily[[#This Row],[ActivityDate]],"yyyy-mm-dd")</f>
        <v>8583815059|2016-04-05</v>
      </c>
      <c r="X431" t="b">
        <f>ISNUMBER(MATCH(tbl_working_daily[[#This Row],[LookupKey]],tbl_working_sleep[LookupKey],0))</f>
        <v>0</v>
      </c>
    </row>
    <row r="432" spans="1:24" x14ac:dyDescent="0.3">
      <c r="A432">
        <v>8583815059</v>
      </c>
      <c r="B432" s="1">
        <v>42466</v>
      </c>
      <c r="C432">
        <v>2098</v>
      </c>
      <c r="D432">
        <v>1.6399999856948899</v>
      </c>
      <c r="E432">
        <v>1.6399999856948899</v>
      </c>
      <c r="F432">
        <v>0</v>
      </c>
      <c r="G432">
        <v>0</v>
      </c>
      <c r="H432">
        <v>0</v>
      </c>
      <c r="I432">
        <v>1.62999999523163</v>
      </c>
      <c r="J432">
        <v>0</v>
      </c>
      <c r="K432">
        <v>0</v>
      </c>
      <c r="L432">
        <v>0</v>
      </c>
      <c r="M432">
        <v>112</v>
      </c>
      <c r="N432">
        <v>1328</v>
      </c>
      <c r="O432">
        <v>2354</v>
      </c>
      <c r="P432" t="str">
        <f>TEXT(tbl_working_daily[[#This Row],[ActivityDate]],"dddd")</f>
        <v>Wednesday</v>
      </c>
      <c r="Q432" t="str">
        <f>TEXT(tbl_working_daily[[#This Row],[ActivityDate]],"mmmm")</f>
        <v>April</v>
      </c>
      <c r="R432">
        <f t="shared" si="12"/>
        <v>112</v>
      </c>
      <c r="S432">
        <f t="shared" si="13"/>
        <v>1440</v>
      </c>
      <c r="T432">
        <f>ROUND(tbl_working_daily[[#This Row],[SedentaryMinutes]]/60,2)</f>
        <v>22.13</v>
      </c>
      <c r="U432" t="str" cm="1">
        <f t="array" ref="U43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2" t="str" cm="1">
        <f t="array" ref="V432">_xlfn.IFS(tbl_working_daily[[#This Row],[VeryActiveMinutes]]&gt;=30,"Very Active",tbl_working_daily[[#This Row],[VeryActiveMinutes]]&gt;=15,"Moderately Active",tbl_working_daily[[#This Row],[VeryActiveMinutes]]&gt;=1,"Lightly Active",tbl_working_daily[[#This Row],[VeryActiveMinutes]]=0,"Sedentary")</f>
        <v>Sedentary</v>
      </c>
      <c r="W432" t="str">
        <f>tbl_working_daily[[#This Row],[Id]]&amp;"|"&amp;TEXT(tbl_working_daily[[#This Row],[ActivityDate]],"yyyy-mm-dd")</f>
        <v>8583815059|2016-04-06</v>
      </c>
      <c r="X432" t="b">
        <f>ISNUMBER(MATCH(tbl_working_daily[[#This Row],[LookupKey]],tbl_working_sleep[LookupKey],0))</f>
        <v>0</v>
      </c>
    </row>
    <row r="433" spans="1:24" x14ac:dyDescent="0.3">
      <c r="A433">
        <v>8583815059</v>
      </c>
      <c r="B433" s="1">
        <v>42467</v>
      </c>
      <c r="C433">
        <v>2816</v>
      </c>
      <c r="D433">
        <v>2.2000000476837198</v>
      </c>
      <c r="E433">
        <v>2.2000000476837198</v>
      </c>
      <c r="F433">
        <v>0</v>
      </c>
      <c r="G433">
        <v>0</v>
      </c>
      <c r="H433">
        <v>0</v>
      </c>
      <c r="I433">
        <v>2.2000000476837198</v>
      </c>
      <c r="J433">
        <v>0</v>
      </c>
      <c r="K433">
        <v>0</v>
      </c>
      <c r="L433">
        <v>0</v>
      </c>
      <c r="M433">
        <v>138</v>
      </c>
      <c r="N433">
        <v>1302</v>
      </c>
      <c r="O433">
        <v>2437</v>
      </c>
      <c r="P433" t="str">
        <f>TEXT(tbl_working_daily[[#This Row],[ActivityDate]],"dddd")</f>
        <v>Thursday</v>
      </c>
      <c r="Q433" t="str">
        <f>TEXT(tbl_working_daily[[#This Row],[ActivityDate]],"mmmm")</f>
        <v>April</v>
      </c>
      <c r="R433">
        <f t="shared" si="12"/>
        <v>138</v>
      </c>
      <c r="S433">
        <f t="shared" si="13"/>
        <v>1440</v>
      </c>
      <c r="T433">
        <f>ROUND(tbl_working_daily[[#This Row],[SedentaryMinutes]]/60,2)</f>
        <v>21.7</v>
      </c>
      <c r="U433" t="str" cm="1">
        <f t="array" ref="U43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3" t="str" cm="1">
        <f t="array" ref="V433">_xlfn.IFS(tbl_working_daily[[#This Row],[VeryActiveMinutes]]&gt;=30,"Very Active",tbl_working_daily[[#This Row],[VeryActiveMinutes]]&gt;=15,"Moderately Active",tbl_working_daily[[#This Row],[VeryActiveMinutes]]&gt;=1,"Lightly Active",tbl_working_daily[[#This Row],[VeryActiveMinutes]]=0,"Sedentary")</f>
        <v>Sedentary</v>
      </c>
      <c r="W433" t="str">
        <f>tbl_working_daily[[#This Row],[Id]]&amp;"|"&amp;TEXT(tbl_working_daily[[#This Row],[ActivityDate]],"yyyy-mm-dd")</f>
        <v>8583815059|2016-04-07</v>
      </c>
      <c r="X433" t="b">
        <f>ISNUMBER(MATCH(tbl_working_daily[[#This Row],[LookupKey]],tbl_working_sleep[LookupKey],0))</f>
        <v>0</v>
      </c>
    </row>
    <row r="434" spans="1:24" x14ac:dyDescent="0.3">
      <c r="A434">
        <v>8583815059</v>
      </c>
      <c r="B434" s="1">
        <v>42468</v>
      </c>
      <c r="C434">
        <v>1408</v>
      </c>
      <c r="D434">
        <v>1.1000000238418599</v>
      </c>
      <c r="E434">
        <v>1.1000000238418599</v>
      </c>
      <c r="F434">
        <v>0</v>
      </c>
      <c r="G434">
        <v>0</v>
      </c>
      <c r="H434">
        <v>0</v>
      </c>
      <c r="I434">
        <v>1.1000000238418599</v>
      </c>
      <c r="J434">
        <v>0</v>
      </c>
      <c r="K434">
        <v>0</v>
      </c>
      <c r="L434">
        <v>0</v>
      </c>
      <c r="M434">
        <v>79</v>
      </c>
      <c r="N434">
        <v>1052</v>
      </c>
      <c r="O434">
        <v>1814</v>
      </c>
      <c r="P434" t="str">
        <f>TEXT(tbl_working_daily[[#This Row],[ActivityDate]],"dddd")</f>
        <v>Friday</v>
      </c>
      <c r="Q434" t="str">
        <f>TEXT(tbl_working_daily[[#This Row],[ActivityDate]],"mmmm")</f>
        <v>April</v>
      </c>
      <c r="R434">
        <f t="shared" si="12"/>
        <v>79</v>
      </c>
      <c r="S434">
        <f t="shared" si="13"/>
        <v>1131</v>
      </c>
      <c r="T434">
        <f>ROUND(tbl_working_daily[[#This Row],[SedentaryMinutes]]/60,2)</f>
        <v>17.53</v>
      </c>
      <c r="U434" t="str" cm="1">
        <f t="array" ref="U4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4" t="str" cm="1">
        <f t="array" ref="V434">_xlfn.IFS(tbl_working_daily[[#This Row],[VeryActiveMinutes]]&gt;=30,"Very Active",tbl_working_daily[[#This Row],[VeryActiveMinutes]]&gt;=15,"Moderately Active",tbl_working_daily[[#This Row],[VeryActiveMinutes]]&gt;=1,"Lightly Active",tbl_working_daily[[#This Row],[VeryActiveMinutes]]=0,"Sedentary")</f>
        <v>Sedentary</v>
      </c>
      <c r="W434" t="str">
        <f>tbl_working_daily[[#This Row],[Id]]&amp;"|"&amp;TEXT(tbl_working_daily[[#This Row],[ActivityDate]],"yyyy-mm-dd")</f>
        <v>8583815059|2016-04-08</v>
      </c>
      <c r="X434" t="b">
        <f>ISNUMBER(MATCH(tbl_working_daily[[#This Row],[LookupKey]],tbl_working_sleep[LookupKey],0))</f>
        <v>0</v>
      </c>
    </row>
    <row r="435" spans="1:24" x14ac:dyDescent="0.3">
      <c r="A435">
        <v>8792009665</v>
      </c>
      <c r="B435" s="1">
        <v>42461</v>
      </c>
      <c r="C435">
        <v>4592</v>
      </c>
      <c r="D435">
        <v>2.9400000572204599</v>
      </c>
      <c r="E435">
        <v>2.9400000572204599</v>
      </c>
      <c r="F435">
        <v>0</v>
      </c>
      <c r="G435">
        <v>0.10000000149011599</v>
      </c>
      <c r="H435">
        <v>0.140000000596046</v>
      </c>
      <c r="I435">
        <v>2.7000000476837198</v>
      </c>
      <c r="J435">
        <v>0</v>
      </c>
      <c r="K435">
        <v>4</v>
      </c>
      <c r="L435">
        <v>8</v>
      </c>
      <c r="M435">
        <v>176</v>
      </c>
      <c r="N435">
        <v>748</v>
      </c>
      <c r="O435">
        <v>2260</v>
      </c>
      <c r="P435" t="str">
        <f>TEXT(tbl_working_daily[[#This Row],[ActivityDate]],"dddd")</f>
        <v>Friday</v>
      </c>
      <c r="Q435" t="str">
        <f>TEXT(tbl_working_daily[[#This Row],[ActivityDate]],"mmmm")</f>
        <v>April</v>
      </c>
      <c r="R435">
        <f t="shared" si="12"/>
        <v>188</v>
      </c>
      <c r="S435">
        <f t="shared" si="13"/>
        <v>936</v>
      </c>
      <c r="T435">
        <f>ROUND(tbl_working_daily[[#This Row],[SedentaryMinutes]]/60,2)</f>
        <v>12.47</v>
      </c>
      <c r="U435" t="str" cm="1">
        <f t="array" ref="U43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5" t="str" cm="1">
        <f t="array" ref="V435">_xlfn.IFS(tbl_working_daily[[#This Row],[VeryActiveMinutes]]&gt;=30,"Very Active",tbl_working_daily[[#This Row],[VeryActiveMinutes]]&gt;=15,"Moderately Active",tbl_working_daily[[#This Row],[VeryActiveMinutes]]&gt;=1,"Lightly Active",tbl_working_daily[[#This Row],[VeryActiveMinutes]]=0,"Sedentary")</f>
        <v>Lightly Active</v>
      </c>
      <c r="W435" t="str">
        <f>tbl_working_daily[[#This Row],[Id]]&amp;"|"&amp;TEXT(tbl_working_daily[[#This Row],[ActivityDate]],"yyyy-mm-dd")</f>
        <v>8792009665|2016-04-01</v>
      </c>
      <c r="X435" t="b">
        <f>ISNUMBER(MATCH(tbl_working_daily[[#This Row],[LookupKey]],tbl_working_sleep[LookupKey],0))</f>
        <v>0</v>
      </c>
    </row>
    <row r="436" spans="1:24" x14ac:dyDescent="0.3">
      <c r="A436">
        <v>8792009665</v>
      </c>
      <c r="B436" s="1">
        <v>42462</v>
      </c>
      <c r="C436">
        <v>8452</v>
      </c>
      <c r="D436">
        <v>5.4099998474121103</v>
      </c>
      <c r="E436">
        <v>5.4099998474121103</v>
      </c>
      <c r="F436">
        <v>0</v>
      </c>
      <c r="G436">
        <v>0.259999990463257</v>
      </c>
      <c r="H436">
        <v>0.38999998569488498</v>
      </c>
      <c r="I436">
        <v>4.7600002288818404</v>
      </c>
      <c r="J436">
        <v>0</v>
      </c>
      <c r="K436">
        <v>9</v>
      </c>
      <c r="L436">
        <v>24</v>
      </c>
      <c r="M436">
        <v>328</v>
      </c>
      <c r="N436">
        <v>1079</v>
      </c>
      <c r="O436">
        <v>3004</v>
      </c>
      <c r="P436" t="str">
        <f>TEXT(tbl_working_daily[[#This Row],[ActivityDate]],"dddd")</f>
        <v>Saturday</v>
      </c>
      <c r="Q436" t="str">
        <f>TEXT(tbl_working_daily[[#This Row],[ActivityDate]],"mmmm")</f>
        <v>April</v>
      </c>
      <c r="R436">
        <f t="shared" si="12"/>
        <v>361</v>
      </c>
      <c r="S436">
        <f t="shared" si="13"/>
        <v>1440</v>
      </c>
      <c r="T436">
        <f>ROUND(tbl_working_daily[[#This Row],[SedentaryMinutes]]/60,2)</f>
        <v>17.98</v>
      </c>
      <c r="U436" t="str" cm="1">
        <f t="array" ref="U43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36" t="str" cm="1">
        <f t="array" ref="V436">_xlfn.IFS(tbl_working_daily[[#This Row],[VeryActiveMinutes]]&gt;=30,"Very Active",tbl_working_daily[[#This Row],[VeryActiveMinutes]]&gt;=15,"Moderately Active",tbl_working_daily[[#This Row],[VeryActiveMinutes]]&gt;=1,"Lightly Active",tbl_working_daily[[#This Row],[VeryActiveMinutes]]=0,"Sedentary")</f>
        <v>Lightly Active</v>
      </c>
      <c r="W436" t="str">
        <f>tbl_working_daily[[#This Row],[Id]]&amp;"|"&amp;TEXT(tbl_working_daily[[#This Row],[ActivityDate]],"yyyy-mm-dd")</f>
        <v>8792009665|2016-04-02</v>
      </c>
      <c r="X436" t="b">
        <f>ISNUMBER(MATCH(tbl_working_daily[[#This Row],[LookupKey]],tbl_working_sleep[LookupKey],0))</f>
        <v>0</v>
      </c>
    </row>
    <row r="437" spans="1:24" x14ac:dyDescent="0.3">
      <c r="A437">
        <v>8792009665</v>
      </c>
      <c r="B437" s="1">
        <v>42463</v>
      </c>
      <c r="C437">
        <v>7238</v>
      </c>
      <c r="D437">
        <v>4.6300001144409197</v>
      </c>
      <c r="E437">
        <v>4.6300001144409197</v>
      </c>
      <c r="F437">
        <v>0</v>
      </c>
      <c r="G437">
        <v>0.109999999403954</v>
      </c>
      <c r="H437">
        <v>0.230000004172325</v>
      </c>
      <c r="I437">
        <v>4.28999996185303</v>
      </c>
      <c r="J437">
        <v>0</v>
      </c>
      <c r="K437">
        <v>2</v>
      </c>
      <c r="L437">
        <v>6</v>
      </c>
      <c r="M437">
        <v>279</v>
      </c>
      <c r="N437">
        <v>636</v>
      </c>
      <c r="O437">
        <v>2667</v>
      </c>
      <c r="P437" t="str">
        <f>TEXT(tbl_working_daily[[#This Row],[ActivityDate]],"dddd")</f>
        <v>Sunday</v>
      </c>
      <c r="Q437" t="str">
        <f>TEXT(tbl_working_daily[[#This Row],[ActivityDate]],"mmmm")</f>
        <v>April</v>
      </c>
      <c r="R437">
        <f t="shared" si="12"/>
        <v>287</v>
      </c>
      <c r="S437">
        <f t="shared" si="13"/>
        <v>923</v>
      </c>
      <c r="T437">
        <f>ROUND(tbl_working_daily[[#This Row],[SedentaryMinutes]]/60,2)</f>
        <v>10.6</v>
      </c>
      <c r="U437" t="str" cm="1">
        <f t="array" ref="U43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37" t="str" cm="1">
        <f t="array" ref="V437">_xlfn.IFS(tbl_working_daily[[#This Row],[VeryActiveMinutes]]&gt;=30,"Very Active",tbl_working_daily[[#This Row],[VeryActiveMinutes]]&gt;=15,"Moderately Active",tbl_working_daily[[#This Row],[VeryActiveMinutes]]&gt;=1,"Lightly Active",tbl_working_daily[[#This Row],[VeryActiveMinutes]]=0,"Sedentary")</f>
        <v>Lightly Active</v>
      </c>
      <c r="W437" t="str">
        <f>tbl_working_daily[[#This Row],[Id]]&amp;"|"&amp;TEXT(tbl_working_daily[[#This Row],[ActivityDate]],"yyyy-mm-dd")</f>
        <v>8792009665|2016-04-03</v>
      </c>
      <c r="X437" t="b">
        <f>ISNUMBER(MATCH(tbl_working_daily[[#This Row],[LookupKey]],tbl_working_sleep[LookupKey],0))</f>
        <v>0</v>
      </c>
    </row>
    <row r="438" spans="1:24" x14ac:dyDescent="0.3">
      <c r="A438">
        <v>8792009665</v>
      </c>
      <c r="B438" s="1">
        <v>42464</v>
      </c>
      <c r="C438">
        <v>3821</v>
      </c>
      <c r="D438">
        <v>2.4500000476837198</v>
      </c>
      <c r="E438">
        <v>2.4500000476837198</v>
      </c>
      <c r="F438">
        <v>0</v>
      </c>
      <c r="G438">
        <v>0</v>
      </c>
      <c r="H438">
        <v>0.21999999880790699</v>
      </c>
      <c r="I438">
        <v>2.2300000190734899</v>
      </c>
      <c r="J438">
        <v>0</v>
      </c>
      <c r="K438">
        <v>0</v>
      </c>
      <c r="L438">
        <v>9</v>
      </c>
      <c r="M438">
        <v>161</v>
      </c>
      <c r="N438">
        <v>675</v>
      </c>
      <c r="O438">
        <v>2229</v>
      </c>
      <c r="P438" t="str">
        <f>TEXT(tbl_working_daily[[#This Row],[ActivityDate]],"dddd")</f>
        <v>Monday</v>
      </c>
      <c r="Q438" t="str">
        <f>TEXT(tbl_working_daily[[#This Row],[ActivityDate]],"mmmm")</f>
        <v>April</v>
      </c>
      <c r="R438">
        <f t="shared" si="12"/>
        <v>170</v>
      </c>
      <c r="S438">
        <f t="shared" si="13"/>
        <v>845</v>
      </c>
      <c r="T438">
        <f>ROUND(tbl_working_daily[[#This Row],[SedentaryMinutes]]/60,2)</f>
        <v>11.25</v>
      </c>
      <c r="U438" t="str" cm="1">
        <f t="array" ref="U43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8" t="str" cm="1">
        <f t="array" ref="V438">_xlfn.IFS(tbl_working_daily[[#This Row],[VeryActiveMinutes]]&gt;=30,"Very Active",tbl_working_daily[[#This Row],[VeryActiveMinutes]]&gt;=15,"Moderately Active",tbl_working_daily[[#This Row],[VeryActiveMinutes]]&gt;=1,"Lightly Active",tbl_working_daily[[#This Row],[VeryActiveMinutes]]=0,"Sedentary")</f>
        <v>Sedentary</v>
      </c>
      <c r="W438" t="str">
        <f>tbl_working_daily[[#This Row],[Id]]&amp;"|"&amp;TEXT(tbl_working_daily[[#This Row],[ActivityDate]],"yyyy-mm-dd")</f>
        <v>8792009665|2016-04-04</v>
      </c>
      <c r="X438" t="b">
        <f>ISNUMBER(MATCH(tbl_working_daily[[#This Row],[LookupKey]],tbl_working_sleep[LookupKey],0))</f>
        <v>0</v>
      </c>
    </row>
    <row r="439" spans="1:24" x14ac:dyDescent="0.3">
      <c r="A439">
        <v>8792009665</v>
      </c>
      <c r="B439" s="1">
        <v>42465</v>
      </c>
      <c r="C439">
        <v>2332</v>
      </c>
      <c r="D439">
        <v>1.4900000095367401</v>
      </c>
      <c r="E439">
        <v>1.4900000095367401</v>
      </c>
      <c r="F439">
        <v>0</v>
      </c>
      <c r="G439">
        <v>9.9999997764825804E-3</v>
      </c>
      <c r="H439">
        <v>0.18000000715255701</v>
      </c>
      <c r="I439">
        <v>1.29999995231628</v>
      </c>
      <c r="J439">
        <v>0</v>
      </c>
      <c r="K439">
        <v>1</v>
      </c>
      <c r="L439">
        <v>10</v>
      </c>
      <c r="M439">
        <v>111</v>
      </c>
      <c r="N439">
        <v>904</v>
      </c>
      <c r="O439">
        <v>2100</v>
      </c>
      <c r="P439" t="str">
        <f>TEXT(tbl_working_daily[[#This Row],[ActivityDate]],"dddd")</f>
        <v>Tuesday</v>
      </c>
      <c r="Q439" t="str">
        <f>TEXT(tbl_working_daily[[#This Row],[ActivityDate]],"mmmm")</f>
        <v>April</v>
      </c>
      <c r="R439">
        <f t="shared" si="12"/>
        <v>122</v>
      </c>
      <c r="S439">
        <f t="shared" si="13"/>
        <v>1026</v>
      </c>
      <c r="T439">
        <f>ROUND(tbl_working_daily[[#This Row],[SedentaryMinutes]]/60,2)</f>
        <v>15.07</v>
      </c>
      <c r="U439" t="str" cm="1">
        <f t="array" ref="U4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39" t="str" cm="1">
        <f t="array" ref="V439">_xlfn.IFS(tbl_working_daily[[#This Row],[VeryActiveMinutes]]&gt;=30,"Very Active",tbl_working_daily[[#This Row],[VeryActiveMinutes]]&gt;=15,"Moderately Active",tbl_working_daily[[#This Row],[VeryActiveMinutes]]&gt;=1,"Lightly Active",tbl_working_daily[[#This Row],[VeryActiveMinutes]]=0,"Sedentary")</f>
        <v>Lightly Active</v>
      </c>
      <c r="W439" t="str">
        <f>tbl_working_daily[[#This Row],[Id]]&amp;"|"&amp;TEXT(tbl_working_daily[[#This Row],[ActivityDate]],"yyyy-mm-dd")</f>
        <v>8792009665|2016-04-05</v>
      </c>
      <c r="X439" t="b">
        <f>ISNUMBER(MATCH(tbl_working_daily[[#This Row],[LookupKey]],tbl_working_sleep[LookupKey],0))</f>
        <v>0</v>
      </c>
    </row>
    <row r="440" spans="1:24" x14ac:dyDescent="0.3">
      <c r="A440">
        <v>8792009665</v>
      </c>
      <c r="B440" s="1">
        <v>42466</v>
      </c>
      <c r="C440">
        <v>2121</v>
      </c>
      <c r="D440">
        <v>1.3600000143051101</v>
      </c>
      <c r="E440">
        <v>1.3600000143051101</v>
      </c>
      <c r="F440">
        <v>0</v>
      </c>
      <c r="G440">
        <v>0</v>
      </c>
      <c r="H440">
        <v>0</v>
      </c>
      <c r="I440">
        <v>1.3600000143051101</v>
      </c>
      <c r="J440">
        <v>0</v>
      </c>
      <c r="K440">
        <v>0</v>
      </c>
      <c r="L440">
        <v>0</v>
      </c>
      <c r="M440">
        <v>122</v>
      </c>
      <c r="N440">
        <v>855</v>
      </c>
      <c r="O440">
        <v>2114</v>
      </c>
      <c r="P440" t="str">
        <f>TEXT(tbl_working_daily[[#This Row],[ActivityDate]],"dddd")</f>
        <v>Wednesday</v>
      </c>
      <c r="Q440" t="str">
        <f>TEXT(tbl_working_daily[[#This Row],[ActivityDate]],"mmmm")</f>
        <v>April</v>
      </c>
      <c r="R440">
        <f t="shared" si="12"/>
        <v>122</v>
      </c>
      <c r="S440">
        <f t="shared" si="13"/>
        <v>977</v>
      </c>
      <c r="T440">
        <f>ROUND(tbl_working_daily[[#This Row],[SedentaryMinutes]]/60,2)</f>
        <v>14.25</v>
      </c>
      <c r="U440" t="str" cm="1">
        <f t="array" ref="U4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0" t="str" cm="1">
        <f t="array" ref="V440">_xlfn.IFS(tbl_working_daily[[#This Row],[VeryActiveMinutes]]&gt;=30,"Very Active",tbl_working_daily[[#This Row],[VeryActiveMinutes]]&gt;=15,"Moderately Active",tbl_working_daily[[#This Row],[VeryActiveMinutes]]&gt;=1,"Lightly Active",tbl_working_daily[[#This Row],[VeryActiveMinutes]]=0,"Sedentary")</f>
        <v>Sedentary</v>
      </c>
      <c r="W440" t="str">
        <f>tbl_working_daily[[#This Row],[Id]]&amp;"|"&amp;TEXT(tbl_working_daily[[#This Row],[ActivityDate]],"yyyy-mm-dd")</f>
        <v>8792009665|2016-04-06</v>
      </c>
      <c r="X440" t="b">
        <f>ISNUMBER(MATCH(tbl_working_daily[[#This Row],[LookupKey]],tbl_working_sleep[LookupKey],0))</f>
        <v>0</v>
      </c>
    </row>
    <row r="441" spans="1:24" x14ac:dyDescent="0.3">
      <c r="A441">
        <v>8792009665</v>
      </c>
      <c r="B441" s="1">
        <v>42467</v>
      </c>
      <c r="C441">
        <v>1291</v>
      </c>
      <c r="D441">
        <v>0.82999998331069902</v>
      </c>
      <c r="E441">
        <v>0.82999998331069902</v>
      </c>
      <c r="F441">
        <v>0</v>
      </c>
      <c r="G441">
        <v>0</v>
      </c>
      <c r="H441">
        <v>0</v>
      </c>
      <c r="I441">
        <v>0.82999998331069902</v>
      </c>
      <c r="J441">
        <v>0</v>
      </c>
      <c r="K441">
        <v>0</v>
      </c>
      <c r="L441">
        <v>0</v>
      </c>
      <c r="M441">
        <v>77</v>
      </c>
      <c r="N441">
        <v>888</v>
      </c>
      <c r="O441">
        <v>1961</v>
      </c>
      <c r="P441" t="str">
        <f>TEXT(tbl_working_daily[[#This Row],[ActivityDate]],"dddd")</f>
        <v>Thursday</v>
      </c>
      <c r="Q441" t="str">
        <f>TEXT(tbl_working_daily[[#This Row],[ActivityDate]],"mmmm")</f>
        <v>April</v>
      </c>
      <c r="R441">
        <f t="shared" si="12"/>
        <v>77</v>
      </c>
      <c r="S441">
        <f t="shared" si="13"/>
        <v>965</v>
      </c>
      <c r="T441">
        <f>ROUND(tbl_working_daily[[#This Row],[SedentaryMinutes]]/60,2)</f>
        <v>14.8</v>
      </c>
      <c r="U441" t="str" cm="1">
        <f t="array" ref="U4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1" t="str" cm="1">
        <f t="array" ref="V441">_xlfn.IFS(tbl_working_daily[[#This Row],[VeryActiveMinutes]]&gt;=30,"Very Active",tbl_working_daily[[#This Row],[VeryActiveMinutes]]&gt;=15,"Moderately Active",tbl_working_daily[[#This Row],[VeryActiveMinutes]]&gt;=1,"Lightly Active",tbl_working_daily[[#This Row],[VeryActiveMinutes]]=0,"Sedentary")</f>
        <v>Sedentary</v>
      </c>
      <c r="W441" t="str">
        <f>tbl_working_daily[[#This Row],[Id]]&amp;"|"&amp;TEXT(tbl_working_daily[[#This Row],[ActivityDate]],"yyyy-mm-dd")</f>
        <v>8792009665|2016-04-07</v>
      </c>
      <c r="X441" t="b">
        <f>ISNUMBER(MATCH(tbl_working_daily[[#This Row],[LookupKey]],tbl_working_sleep[LookupKey],0))</f>
        <v>0</v>
      </c>
    </row>
    <row r="442" spans="1:24" x14ac:dyDescent="0.3">
      <c r="A442">
        <v>8792009665</v>
      </c>
      <c r="B442" s="1">
        <v>42468</v>
      </c>
      <c r="C442">
        <v>1467</v>
      </c>
      <c r="D442">
        <v>0.93999999761581399</v>
      </c>
      <c r="E442">
        <v>0.93999999761581399</v>
      </c>
      <c r="F442">
        <v>0</v>
      </c>
      <c r="G442">
        <v>0.10000000149011599</v>
      </c>
      <c r="H442">
        <v>0.20999999344348899</v>
      </c>
      <c r="I442">
        <v>0.62999999523162797</v>
      </c>
      <c r="J442">
        <v>0</v>
      </c>
      <c r="K442">
        <v>2</v>
      </c>
      <c r="L442">
        <v>8</v>
      </c>
      <c r="M442">
        <v>71</v>
      </c>
      <c r="N442">
        <v>912</v>
      </c>
      <c r="O442">
        <v>1953</v>
      </c>
      <c r="P442" t="str">
        <f>TEXT(tbl_working_daily[[#This Row],[ActivityDate]],"dddd")</f>
        <v>Friday</v>
      </c>
      <c r="Q442" t="str">
        <f>TEXT(tbl_working_daily[[#This Row],[ActivityDate]],"mmmm")</f>
        <v>April</v>
      </c>
      <c r="R442">
        <f t="shared" si="12"/>
        <v>81</v>
      </c>
      <c r="S442">
        <f t="shared" si="13"/>
        <v>993</v>
      </c>
      <c r="T442">
        <f>ROUND(tbl_working_daily[[#This Row],[SedentaryMinutes]]/60,2)</f>
        <v>15.2</v>
      </c>
      <c r="U442" t="str" cm="1">
        <f t="array" ref="U4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2" t="str" cm="1">
        <f t="array" ref="V442">_xlfn.IFS(tbl_working_daily[[#This Row],[VeryActiveMinutes]]&gt;=30,"Very Active",tbl_working_daily[[#This Row],[VeryActiveMinutes]]&gt;=15,"Moderately Active",tbl_working_daily[[#This Row],[VeryActiveMinutes]]&gt;=1,"Lightly Active",tbl_working_daily[[#This Row],[VeryActiveMinutes]]=0,"Sedentary")</f>
        <v>Lightly Active</v>
      </c>
      <c r="W442" t="str">
        <f>tbl_working_daily[[#This Row],[Id]]&amp;"|"&amp;TEXT(tbl_working_daily[[#This Row],[ActivityDate]],"yyyy-mm-dd")</f>
        <v>8792009665|2016-04-08</v>
      </c>
      <c r="X442" t="b">
        <f>ISNUMBER(MATCH(tbl_working_daily[[#This Row],[LookupKey]],tbl_working_sleep[LookupKey],0))</f>
        <v>0</v>
      </c>
    </row>
    <row r="443" spans="1:24" x14ac:dyDescent="0.3">
      <c r="A443">
        <v>8792009665</v>
      </c>
      <c r="B443" s="1">
        <v>42469</v>
      </c>
      <c r="C443">
        <v>1022</v>
      </c>
      <c r="D443">
        <v>0.64999997615814198</v>
      </c>
      <c r="E443">
        <v>0.64999997615814198</v>
      </c>
      <c r="F443">
        <v>0</v>
      </c>
      <c r="G443">
        <v>0</v>
      </c>
      <c r="H443">
        <v>0</v>
      </c>
      <c r="I443">
        <v>0.64999997615814198</v>
      </c>
      <c r="J443">
        <v>0</v>
      </c>
      <c r="K443">
        <v>0</v>
      </c>
      <c r="L443">
        <v>0</v>
      </c>
      <c r="M443">
        <v>63</v>
      </c>
      <c r="N443">
        <v>739</v>
      </c>
      <c r="O443">
        <v>1890</v>
      </c>
      <c r="P443" t="str">
        <f>TEXT(tbl_working_daily[[#This Row],[ActivityDate]],"dddd")</f>
        <v>Saturday</v>
      </c>
      <c r="Q443" t="str">
        <f>TEXT(tbl_working_daily[[#This Row],[ActivityDate]],"mmmm")</f>
        <v>April</v>
      </c>
      <c r="R443">
        <f t="shared" si="12"/>
        <v>63</v>
      </c>
      <c r="S443">
        <f t="shared" si="13"/>
        <v>802</v>
      </c>
      <c r="T443">
        <f>ROUND(tbl_working_daily[[#This Row],[SedentaryMinutes]]/60,2)</f>
        <v>12.32</v>
      </c>
      <c r="U443" t="str" cm="1">
        <f t="array" ref="U4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3" t="str" cm="1">
        <f t="array" ref="V443">_xlfn.IFS(tbl_working_daily[[#This Row],[VeryActiveMinutes]]&gt;=30,"Very Active",tbl_working_daily[[#This Row],[VeryActiveMinutes]]&gt;=15,"Moderately Active",tbl_working_daily[[#This Row],[VeryActiveMinutes]]&gt;=1,"Lightly Active",tbl_working_daily[[#This Row],[VeryActiveMinutes]]=0,"Sedentary")</f>
        <v>Sedentary</v>
      </c>
      <c r="W443" t="str">
        <f>tbl_working_daily[[#This Row],[Id]]&amp;"|"&amp;TEXT(tbl_working_daily[[#This Row],[ActivityDate]],"yyyy-mm-dd")</f>
        <v>8792009665|2016-04-09</v>
      </c>
      <c r="X443" t="b">
        <f>ISNUMBER(MATCH(tbl_working_daily[[#This Row],[LookupKey]],tbl_working_sleep[LookupKey],0))</f>
        <v>0</v>
      </c>
    </row>
    <row r="444" spans="1:24" x14ac:dyDescent="0.3">
      <c r="A444">
        <v>8792009665</v>
      </c>
      <c r="B444" s="1">
        <v>42470</v>
      </c>
      <c r="C444">
        <v>4605</v>
      </c>
      <c r="D444">
        <v>2.9500000476837198</v>
      </c>
      <c r="E444">
        <v>2.9500000476837198</v>
      </c>
      <c r="F444">
        <v>0</v>
      </c>
      <c r="G444">
        <v>0</v>
      </c>
      <c r="H444">
        <v>0</v>
      </c>
      <c r="I444">
        <v>2.9500000476837198</v>
      </c>
      <c r="J444">
        <v>0</v>
      </c>
      <c r="K444">
        <v>0</v>
      </c>
      <c r="L444">
        <v>0</v>
      </c>
      <c r="M444">
        <v>179</v>
      </c>
      <c r="N444">
        <v>1261</v>
      </c>
      <c r="O444">
        <v>2253</v>
      </c>
      <c r="P444" t="str">
        <f>TEXT(tbl_working_daily[[#This Row],[ActivityDate]],"dddd")</f>
        <v>Sunday</v>
      </c>
      <c r="Q444" t="str">
        <f>TEXT(tbl_working_daily[[#This Row],[ActivityDate]],"mmmm")</f>
        <v>April</v>
      </c>
      <c r="R444">
        <f t="shared" si="12"/>
        <v>179</v>
      </c>
      <c r="S444">
        <f t="shared" si="13"/>
        <v>1440</v>
      </c>
      <c r="T444">
        <f>ROUND(tbl_working_daily[[#This Row],[SedentaryMinutes]]/60,2)</f>
        <v>21.02</v>
      </c>
      <c r="U444" t="str" cm="1">
        <f t="array" ref="U4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4" t="str" cm="1">
        <f t="array" ref="V444">_xlfn.IFS(tbl_working_daily[[#This Row],[VeryActiveMinutes]]&gt;=30,"Very Active",tbl_working_daily[[#This Row],[VeryActiveMinutes]]&gt;=15,"Moderately Active",tbl_working_daily[[#This Row],[VeryActiveMinutes]]&gt;=1,"Lightly Active",tbl_working_daily[[#This Row],[VeryActiveMinutes]]=0,"Sedentary")</f>
        <v>Sedentary</v>
      </c>
      <c r="W444" t="str">
        <f>tbl_working_daily[[#This Row],[Id]]&amp;"|"&amp;TEXT(tbl_working_daily[[#This Row],[ActivityDate]],"yyyy-mm-dd")</f>
        <v>8792009665|2016-04-10</v>
      </c>
      <c r="X444" t="b">
        <f>ISNUMBER(MATCH(tbl_working_daily[[#This Row],[LookupKey]],tbl_working_sleep[LookupKey],0))</f>
        <v>0</v>
      </c>
    </row>
    <row r="445" spans="1:24" x14ac:dyDescent="0.3">
      <c r="A445">
        <v>8792009665</v>
      </c>
      <c r="B445" s="1">
        <v>42471</v>
      </c>
      <c r="C445">
        <v>178</v>
      </c>
      <c r="D445">
        <v>0.109999999403954</v>
      </c>
      <c r="E445">
        <v>0.109999999403954</v>
      </c>
      <c r="F445">
        <v>0</v>
      </c>
      <c r="G445">
        <v>0</v>
      </c>
      <c r="H445">
        <v>0</v>
      </c>
      <c r="I445">
        <v>0.109999999403954</v>
      </c>
      <c r="J445">
        <v>0</v>
      </c>
      <c r="K445">
        <v>0</v>
      </c>
      <c r="L445">
        <v>0</v>
      </c>
      <c r="M445">
        <v>12</v>
      </c>
      <c r="N445">
        <v>1428</v>
      </c>
      <c r="O445">
        <v>1725</v>
      </c>
      <c r="P445" t="str">
        <f>TEXT(tbl_working_daily[[#This Row],[ActivityDate]],"dddd")</f>
        <v>Monday</v>
      </c>
      <c r="Q445" t="str">
        <f>TEXT(tbl_working_daily[[#This Row],[ActivityDate]],"mmmm")</f>
        <v>April</v>
      </c>
      <c r="R445">
        <f t="shared" si="12"/>
        <v>12</v>
      </c>
      <c r="S445">
        <f t="shared" si="13"/>
        <v>1440</v>
      </c>
      <c r="T445">
        <f>ROUND(tbl_working_daily[[#This Row],[SedentaryMinutes]]/60,2)</f>
        <v>23.8</v>
      </c>
      <c r="U445" t="str" cm="1">
        <f t="array" ref="U44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5" t="str" cm="1">
        <f t="array" ref="V445">_xlfn.IFS(tbl_working_daily[[#This Row],[VeryActiveMinutes]]&gt;=30,"Very Active",tbl_working_daily[[#This Row],[VeryActiveMinutes]]&gt;=15,"Moderately Active",tbl_working_daily[[#This Row],[VeryActiveMinutes]]&gt;=1,"Lightly Active",tbl_working_daily[[#This Row],[VeryActiveMinutes]]=0,"Sedentary")</f>
        <v>Sedentary</v>
      </c>
      <c r="W445" t="str">
        <f>tbl_working_daily[[#This Row],[Id]]&amp;"|"&amp;TEXT(tbl_working_daily[[#This Row],[ActivityDate]],"yyyy-mm-dd")</f>
        <v>8792009665|2016-04-11</v>
      </c>
      <c r="X445" t="b">
        <f>ISNUMBER(MATCH(tbl_working_daily[[#This Row],[LookupKey]],tbl_working_sleep[LookupKey],0))</f>
        <v>0</v>
      </c>
    </row>
    <row r="446" spans="1:24" x14ac:dyDescent="0.3">
      <c r="A446">
        <v>8792009665</v>
      </c>
      <c r="B446" s="1">
        <v>42472</v>
      </c>
      <c r="C446">
        <v>20</v>
      </c>
      <c r="D446">
        <v>9.9999997764825804E-3</v>
      </c>
      <c r="E446">
        <v>9.9999997764825804E-3</v>
      </c>
      <c r="F446">
        <v>0</v>
      </c>
      <c r="G446">
        <v>0</v>
      </c>
      <c r="H446">
        <v>0</v>
      </c>
      <c r="I446">
        <v>9.9999997764825804E-3</v>
      </c>
      <c r="J446">
        <v>0</v>
      </c>
      <c r="K446">
        <v>0</v>
      </c>
      <c r="L446">
        <v>0</v>
      </c>
      <c r="M446">
        <v>6</v>
      </c>
      <c r="N446">
        <v>598</v>
      </c>
      <c r="O446">
        <v>728</v>
      </c>
      <c r="P446" t="str">
        <f>TEXT(tbl_working_daily[[#This Row],[ActivityDate]],"dddd")</f>
        <v>Tuesday</v>
      </c>
      <c r="Q446" t="str">
        <f>TEXT(tbl_working_daily[[#This Row],[ActivityDate]],"mmmm")</f>
        <v>April</v>
      </c>
      <c r="R446">
        <f t="shared" si="12"/>
        <v>6</v>
      </c>
      <c r="S446">
        <f t="shared" si="13"/>
        <v>604</v>
      </c>
      <c r="T446">
        <f>ROUND(tbl_working_daily[[#This Row],[SedentaryMinutes]]/60,2)</f>
        <v>9.9700000000000006</v>
      </c>
      <c r="U446" t="str" cm="1">
        <f t="array" ref="U44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46" t="str" cm="1">
        <f t="array" ref="V446">_xlfn.IFS(tbl_working_daily[[#This Row],[VeryActiveMinutes]]&gt;=30,"Very Active",tbl_working_daily[[#This Row],[VeryActiveMinutes]]&gt;=15,"Moderately Active",tbl_working_daily[[#This Row],[VeryActiveMinutes]]&gt;=1,"Lightly Active",tbl_working_daily[[#This Row],[VeryActiveMinutes]]=0,"Sedentary")</f>
        <v>Sedentary</v>
      </c>
      <c r="W446" t="str">
        <f>tbl_working_daily[[#This Row],[Id]]&amp;"|"&amp;TEXT(tbl_working_daily[[#This Row],[ActivityDate]],"yyyy-mm-dd")</f>
        <v>8792009665|2016-04-12</v>
      </c>
      <c r="X446" t="b">
        <f>ISNUMBER(MATCH(tbl_working_daily[[#This Row],[LookupKey]],tbl_working_sleep[LookupKey],0))</f>
        <v>1</v>
      </c>
    </row>
    <row r="447" spans="1:24" x14ac:dyDescent="0.3">
      <c r="A447">
        <v>8877689391</v>
      </c>
      <c r="B447" s="1">
        <v>42461</v>
      </c>
      <c r="C447">
        <v>18700</v>
      </c>
      <c r="D447">
        <v>15.819999694824199</v>
      </c>
      <c r="E447">
        <v>15.819999694824199</v>
      </c>
      <c r="F447">
        <v>0</v>
      </c>
      <c r="G447">
        <v>8.6999998092651403</v>
      </c>
      <c r="H447">
        <v>0.15999999642372101</v>
      </c>
      <c r="I447">
        <v>6.9099998474121103</v>
      </c>
      <c r="J447">
        <v>0</v>
      </c>
      <c r="K447">
        <v>67</v>
      </c>
      <c r="L447">
        <v>3</v>
      </c>
      <c r="M447">
        <v>247</v>
      </c>
      <c r="N447">
        <v>1123</v>
      </c>
      <c r="O447">
        <v>3527</v>
      </c>
      <c r="P447" t="str">
        <f>TEXT(tbl_working_daily[[#This Row],[ActivityDate]],"dddd")</f>
        <v>Friday</v>
      </c>
      <c r="Q447" t="str">
        <f>TEXT(tbl_working_daily[[#This Row],[ActivityDate]],"mmmm")</f>
        <v>April</v>
      </c>
      <c r="R447">
        <f t="shared" si="12"/>
        <v>317</v>
      </c>
      <c r="S447">
        <f t="shared" si="13"/>
        <v>1440</v>
      </c>
      <c r="T447">
        <f>ROUND(tbl_working_daily[[#This Row],[SedentaryMinutes]]/60,2)</f>
        <v>18.72</v>
      </c>
      <c r="U447" t="str" cm="1">
        <f t="array" ref="U44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47" t="str" cm="1">
        <f t="array" ref="V447">_xlfn.IFS(tbl_working_daily[[#This Row],[VeryActiveMinutes]]&gt;=30,"Very Active",tbl_working_daily[[#This Row],[VeryActiveMinutes]]&gt;=15,"Moderately Active",tbl_working_daily[[#This Row],[VeryActiveMinutes]]&gt;=1,"Lightly Active",tbl_working_daily[[#This Row],[VeryActiveMinutes]]=0,"Sedentary")</f>
        <v>Very Active</v>
      </c>
      <c r="W447" t="str">
        <f>tbl_working_daily[[#This Row],[Id]]&amp;"|"&amp;TEXT(tbl_working_daily[[#This Row],[ActivityDate]],"yyyy-mm-dd")</f>
        <v>8877689391|2016-04-01</v>
      </c>
      <c r="X447" t="b">
        <f>ISNUMBER(MATCH(tbl_working_daily[[#This Row],[LookupKey]],tbl_working_sleep[LookupKey],0))</f>
        <v>0</v>
      </c>
    </row>
    <row r="448" spans="1:24" x14ac:dyDescent="0.3">
      <c r="A448">
        <v>8877689391</v>
      </c>
      <c r="B448" s="1">
        <v>42462</v>
      </c>
      <c r="C448">
        <v>27572</v>
      </c>
      <c r="D448">
        <v>23.389999389648398</v>
      </c>
      <c r="E448">
        <v>23.389999389648398</v>
      </c>
      <c r="F448">
        <v>0</v>
      </c>
      <c r="G448">
        <v>14.7200002670288</v>
      </c>
      <c r="H448">
        <v>1.21000003814697</v>
      </c>
      <c r="I448">
        <v>7.3400001525878897</v>
      </c>
      <c r="J448">
        <v>9.9999997764825804E-3</v>
      </c>
      <c r="K448">
        <v>116</v>
      </c>
      <c r="L448">
        <v>24</v>
      </c>
      <c r="M448">
        <v>260</v>
      </c>
      <c r="N448">
        <v>1040</v>
      </c>
      <c r="O448">
        <v>4220</v>
      </c>
      <c r="P448" t="str">
        <f>TEXT(tbl_working_daily[[#This Row],[ActivityDate]],"dddd")</f>
        <v>Saturday</v>
      </c>
      <c r="Q448" t="str">
        <f>TEXT(tbl_working_daily[[#This Row],[ActivityDate]],"mmmm")</f>
        <v>April</v>
      </c>
      <c r="R448">
        <f t="shared" si="12"/>
        <v>400</v>
      </c>
      <c r="S448">
        <f t="shared" si="13"/>
        <v>1440</v>
      </c>
      <c r="T448">
        <f>ROUND(tbl_working_daily[[#This Row],[SedentaryMinutes]]/60,2)</f>
        <v>17.329999999999998</v>
      </c>
      <c r="U448" t="str" cm="1">
        <f t="array" ref="U44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48" t="str" cm="1">
        <f t="array" ref="V448">_xlfn.IFS(tbl_working_daily[[#This Row],[VeryActiveMinutes]]&gt;=30,"Very Active",tbl_working_daily[[#This Row],[VeryActiveMinutes]]&gt;=15,"Moderately Active",tbl_working_daily[[#This Row],[VeryActiveMinutes]]&gt;=1,"Lightly Active",tbl_working_daily[[#This Row],[VeryActiveMinutes]]=0,"Sedentary")</f>
        <v>Very Active</v>
      </c>
      <c r="W448" t="str">
        <f>tbl_working_daily[[#This Row],[Id]]&amp;"|"&amp;TEXT(tbl_working_daily[[#This Row],[ActivityDate]],"yyyy-mm-dd")</f>
        <v>8877689391|2016-04-02</v>
      </c>
      <c r="X448" t="b">
        <f>ISNUMBER(MATCH(tbl_working_daily[[#This Row],[LookupKey]],tbl_working_sleep[LookupKey],0))</f>
        <v>0</v>
      </c>
    </row>
    <row r="449" spans="1:24" x14ac:dyDescent="0.3">
      <c r="A449">
        <v>8877689391</v>
      </c>
      <c r="B449" s="1">
        <v>42463</v>
      </c>
      <c r="C449">
        <v>15260</v>
      </c>
      <c r="D449">
        <v>8.1899995803833008</v>
      </c>
      <c r="E449">
        <v>8.1899995803833008</v>
      </c>
      <c r="F449">
        <v>0</v>
      </c>
      <c r="G449">
        <v>1.79999995231628</v>
      </c>
      <c r="H449">
        <v>0.75</v>
      </c>
      <c r="I449">
        <v>5.5700001716613796</v>
      </c>
      <c r="J449">
        <v>0</v>
      </c>
      <c r="K449">
        <v>106</v>
      </c>
      <c r="L449">
        <v>17</v>
      </c>
      <c r="M449">
        <v>259</v>
      </c>
      <c r="N449">
        <v>1058</v>
      </c>
      <c r="O449">
        <v>3864</v>
      </c>
      <c r="P449" t="str">
        <f>TEXT(tbl_working_daily[[#This Row],[ActivityDate]],"dddd")</f>
        <v>Sunday</v>
      </c>
      <c r="Q449" t="str">
        <f>TEXT(tbl_working_daily[[#This Row],[ActivityDate]],"mmmm")</f>
        <v>April</v>
      </c>
      <c r="R449">
        <f t="shared" si="12"/>
        <v>382</v>
      </c>
      <c r="S449">
        <f t="shared" si="13"/>
        <v>1440</v>
      </c>
      <c r="T449">
        <f>ROUND(tbl_working_daily[[#This Row],[SedentaryMinutes]]/60,2)</f>
        <v>17.63</v>
      </c>
      <c r="U449" t="str" cm="1">
        <f t="array" ref="U44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49" t="str" cm="1">
        <f t="array" ref="V449">_xlfn.IFS(tbl_working_daily[[#This Row],[VeryActiveMinutes]]&gt;=30,"Very Active",tbl_working_daily[[#This Row],[VeryActiveMinutes]]&gt;=15,"Moderately Active",tbl_working_daily[[#This Row],[VeryActiveMinutes]]&gt;=1,"Lightly Active",tbl_working_daily[[#This Row],[VeryActiveMinutes]]=0,"Sedentary")</f>
        <v>Very Active</v>
      </c>
      <c r="W449" t="str">
        <f>tbl_working_daily[[#This Row],[Id]]&amp;"|"&amp;TEXT(tbl_working_daily[[#This Row],[ActivityDate]],"yyyy-mm-dd")</f>
        <v>8877689391|2016-04-03</v>
      </c>
      <c r="X449" t="b">
        <f>ISNUMBER(MATCH(tbl_working_daily[[#This Row],[LookupKey]],tbl_working_sleep[LookupKey],0))</f>
        <v>0</v>
      </c>
    </row>
    <row r="450" spans="1:24" x14ac:dyDescent="0.3">
      <c r="A450">
        <v>8877689391</v>
      </c>
      <c r="B450" s="1">
        <v>42464</v>
      </c>
      <c r="C450">
        <v>20779</v>
      </c>
      <c r="D450">
        <v>18.409999847412099</v>
      </c>
      <c r="E450">
        <v>18.409999847412099</v>
      </c>
      <c r="F450">
        <v>0</v>
      </c>
      <c r="G450">
        <v>11.7299995422363</v>
      </c>
      <c r="H450">
        <v>0.64999997615814198</v>
      </c>
      <c r="I450">
        <v>6</v>
      </c>
      <c r="J450">
        <v>0</v>
      </c>
      <c r="K450">
        <v>78</v>
      </c>
      <c r="L450">
        <v>16</v>
      </c>
      <c r="M450">
        <v>208</v>
      </c>
      <c r="N450">
        <v>1138</v>
      </c>
      <c r="O450">
        <v>3662</v>
      </c>
      <c r="P450" t="str">
        <f>TEXT(tbl_working_daily[[#This Row],[ActivityDate]],"dddd")</f>
        <v>Monday</v>
      </c>
      <c r="Q450" t="str">
        <f>TEXT(tbl_working_daily[[#This Row],[ActivityDate]],"mmmm")</f>
        <v>April</v>
      </c>
      <c r="R450">
        <f t="shared" ref="R450:R513" si="14">K450+L450+M450</f>
        <v>302</v>
      </c>
      <c r="S450">
        <f t="shared" ref="S450:S513" si="15">R450+N450</f>
        <v>1440</v>
      </c>
      <c r="T450">
        <f>ROUND(tbl_working_daily[[#This Row],[SedentaryMinutes]]/60,2)</f>
        <v>18.97</v>
      </c>
      <c r="U450" t="str" cm="1">
        <f t="array" ref="U45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50" t="str" cm="1">
        <f t="array" ref="V450">_xlfn.IFS(tbl_working_daily[[#This Row],[VeryActiveMinutes]]&gt;=30,"Very Active",tbl_working_daily[[#This Row],[VeryActiveMinutes]]&gt;=15,"Moderately Active",tbl_working_daily[[#This Row],[VeryActiveMinutes]]&gt;=1,"Lightly Active",tbl_working_daily[[#This Row],[VeryActiveMinutes]]=0,"Sedentary")</f>
        <v>Very Active</v>
      </c>
      <c r="W450" t="str">
        <f>tbl_working_daily[[#This Row],[Id]]&amp;"|"&amp;TEXT(tbl_working_daily[[#This Row],[ActivityDate]],"yyyy-mm-dd")</f>
        <v>8877689391|2016-04-04</v>
      </c>
      <c r="X450" t="b">
        <f>ISNUMBER(MATCH(tbl_working_daily[[#This Row],[LookupKey]],tbl_working_sleep[LookupKey],0))</f>
        <v>0</v>
      </c>
    </row>
    <row r="451" spans="1:24" x14ac:dyDescent="0.3">
      <c r="A451">
        <v>8877689391</v>
      </c>
      <c r="B451" s="1">
        <v>42465</v>
      </c>
      <c r="C451">
        <v>10695</v>
      </c>
      <c r="D451">
        <v>8.1199998855590803</v>
      </c>
      <c r="E451">
        <v>8.1199998855590803</v>
      </c>
      <c r="F451">
        <v>0</v>
      </c>
      <c r="G451">
        <v>0.769999980926514</v>
      </c>
      <c r="H451">
        <v>0.18000000715255701</v>
      </c>
      <c r="I451">
        <v>7.0900001525878897</v>
      </c>
      <c r="J451">
        <v>9.9999997764825804E-3</v>
      </c>
      <c r="K451">
        <v>10</v>
      </c>
      <c r="L451">
        <v>3</v>
      </c>
      <c r="M451">
        <v>246</v>
      </c>
      <c r="N451">
        <v>1181</v>
      </c>
      <c r="O451">
        <v>2834</v>
      </c>
      <c r="P451" t="str">
        <f>TEXT(tbl_working_daily[[#This Row],[ActivityDate]],"dddd")</f>
        <v>Tuesday</v>
      </c>
      <c r="Q451" t="str">
        <f>TEXT(tbl_working_daily[[#This Row],[ActivityDate]],"mmmm")</f>
        <v>April</v>
      </c>
      <c r="R451">
        <f t="shared" si="14"/>
        <v>259</v>
      </c>
      <c r="S451">
        <f t="shared" si="15"/>
        <v>1440</v>
      </c>
      <c r="T451">
        <f>ROUND(tbl_working_daily[[#This Row],[SedentaryMinutes]]/60,2)</f>
        <v>19.68</v>
      </c>
      <c r="U451" t="str" cm="1">
        <f t="array" ref="U45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51" t="str" cm="1">
        <f t="array" ref="V451">_xlfn.IFS(tbl_working_daily[[#This Row],[VeryActiveMinutes]]&gt;=30,"Very Active",tbl_working_daily[[#This Row],[VeryActiveMinutes]]&gt;=15,"Moderately Active",tbl_working_daily[[#This Row],[VeryActiveMinutes]]&gt;=1,"Lightly Active",tbl_working_daily[[#This Row],[VeryActiveMinutes]]=0,"Sedentary")</f>
        <v>Lightly Active</v>
      </c>
      <c r="W451" t="str">
        <f>tbl_working_daily[[#This Row],[Id]]&amp;"|"&amp;TEXT(tbl_working_daily[[#This Row],[ActivityDate]],"yyyy-mm-dd")</f>
        <v>8877689391|2016-04-05</v>
      </c>
      <c r="X451" t="b">
        <f>ISNUMBER(MATCH(tbl_working_daily[[#This Row],[LookupKey]],tbl_working_sleep[LookupKey],0))</f>
        <v>0</v>
      </c>
    </row>
    <row r="452" spans="1:24" x14ac:dyDescent="0.3">
      <c r="A452">
        <v>8877689391</v>
      </c>
      <c r="B452" s="1">
        <v>42466</v>
      </c>
      <c r="C452">
        <v>24136</v>
      </c>
      <c r="D452">
        <v>20.909999847412099</v>
      </c>
      <c r="E452">
        <v>20.909999847412099</v>
      </c>
      <c r="F452">
        <v>0</v>
      </c>
      <c r="G452">
        <v>12.2200002670288</v>
      </c>
      <c r="H452">
        <v>0.54000002145767201</v>
      </c>
      <c r="I452">
        <v>8.0799999237060494</v>
      </c>
      <c r="J452">
        <v>0</v>
      </c>
      <c r="K452">
        <v>87</v>
      </c>
      <c r="L452">
        <v>16</v>
      </c>
      <c r="M452">
        <v>318</v>
      </c>
      <c r="N452">
        <v>1019</v>
      </c>
      <c r="O452">
        <v>4039</v>
      </c>
      <c r="P452" t="str">
        <f>TEXT(tbl_working_daily[[#This Row],[ActivityDate]],"dddd")</f>
        <v>Wednesday</v>
      </c>
      <c r="Q452" t="str">
        <f>TEXT(tbl_working_daily[[#This Row],[ActivityDate]],"mmmm")</f>
        <v>April</v>
      </c>
      <c r="R452">
        <f t="shared" si="14"/>
        <v>421</v>
      </c>
      <c r="S452">
        <f t="shared" si="15"/>
        <v>1440</v>
      </c>
      <c r="T452">
        <f>ROUND(tbl_working_daily[[#This Row],[SedentaryMinutes]]/60,2)</f>
        <v>16.98</v>
      </c>
      <c r="U452" t="str" cm="1">
        <f t="array" ref="U45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52" t="str" cm="1">
        <f t="array" ref="V452">_xlfn.IFS(tbl_working_daily[[#This Row],[VeryActiveMinutes]]&gt;=30,"Very Active",tbl_working_daily[[#This Row],[VeryActiveMinutes]]&gt;=15,"Moderately Active",tbl_working_daily[[#This Row],[VeryActiveMinutes]]&gt;=1,"Lightly Active",tbl_working_daily[[#This Row],[VeryActiveMinutes]]=0,"Sedentary")</f>
        <v>Very Active</v>
      </c>
      <c r="W452" t="str">
        <f>tbl_working_daily[[#This Row],[Id]]&amp;"|"&amp;TEXT(tbl_working_daily[[#This Row],[ActivityDate]],"yyyy-mm-dd")</f>
        <v>8877689391|2016-04-06</v>
      </c>
      <c r="X452" t="b">
        <f>ISNUMBER(MATCH(tbl_working_daily[[#This Row],[LookupKey]],tbl_working_sleep[LookupKey],0))</f>
        <v>0</v>
      </c>
    </row>
    <row r="453" spans="1:24" x14ac:dyDescent="0.3">
      <c r="A453">
        <v>8877689391</v>
      </c>
      <c r="B453" s="1">
        <v>42467</v>
      </c>
      <c r="C453">
        <v>10910</v>
      </c>
      <c r="D453">
        <v>8.4200000762939506</v>
      </c>
      <c r="E453">
        <v>8.4200000762939506</v>
      </c>
      <c r="F453">
        <v>0</v>
      </c>
      <c r="G453">
        <v>2.96000003814697</v>
      </c>
      <c r="H453">
        <v>0.38999998569488498</v>
      </c>
      <c r="I453">
        <v>5.0300002098083496</v>
      </c>
      <c r="J453">
        <v>0</v>
      </c>
      <c r="K453">
        <v>32</v>
      </c>
      <c r="L453">
        <v>11</v>
      </c>
      <c r="M453">
        <v>212</v>
      </c>
      <c r="N453">
        <v>1185</v>
      </c>
      <c r="O453">
        <v>2947</v>
      </c>
      <c r="P453" t="str">
        <f>TEXT(tbl_working_daily[[#This Row],[ActivityDate]],"dddd")</f>
        <v>Thursday</v>
      </c>
      <c r="Q453" t="str">
        <f>TEXT(tbl_working_daily[[#This Row],[ActivityDate]],"mmmm")</f>
        <v>April</v>
      </c>
      <c r="R453">
        <f t="shared" si="14"/>
        <v>255</v>
      </c>
      <c r="S453">
        <f t="shared" si="15"/>
        <v>1440</v>
      </c>
      <c r="T453">
        <f>ROUND(tbl_working_daily[[#This Row],[SedentaryMinutes]]/60,2)</f>
        <v>19.75</v>
      </c>
      <c r="U453" t="str" cm="1">
        <f t="array" ref="U45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53" t="str" cm="1">
        <f t="array" ref="V453">_xlfn.IFS(tbl_working_daily[[#This Row],[VeryActiveMinutes]]&gt;=30,"Very Active",tbl_working_daily[[#This Row],[VeryActiveMinutes]]&gt;=15,"Moderately Active",tbl_working_daily[[#This Row],[VeryActiveMinutes]]&gt;=1,"Lightly Active",tbl_working_daily[[#This Row],[VeryActiveMinutes]]=0,"Sedentary")</f>
        <v>Very Active</v>
      </c>
      <c r="W453" t="str">
        <f>tbl_working_daily[[#This Row],[Id]]&amp;"|"&amp;TEXT(tbl_working_daily[[#This Row],[ActivityDate]],"yyyy-mm-dd")</f>
        <v>8877689391|2016-04-07</v>
      </c>
      <c r="X453" t="b">
        <f>ISNUMBER(MATCH(tbl_working_daily[[#This Row],[LookupKey]],tbl_working_sleep[LookupKey],0))</f>
        <v>0</v>
      </c>
    </row>
    <row r="454" spans="1:24" x14ac:dyDescent="0.3">
      <c r="A454">
        <v>8877689391</v>
      </c>
      <c r="B454" s="1">
        <v>42468</v>
      </c>
      <c r="C454">
        <v>23014</v>
      </c>
      <c r="D454">
        <v>20.389999389648398</v>
      </c>
      <c r="E454">
        <v>20.389999389648398</v>
      </c>
      <c r="F454">
        <v>0</v>
      </c>
      <c r="G454">
        <v>11.1000003814697</v>
      </c>
      <c r="H454">
        <v>0.62999999523162797</v>
      </c>
      <c r="I454">
        <v>8.6199998855590803</v>
      </c>
      <c r="J454">
        <v>0</v>
      </c>
      <c r="K454">
        <v>70</v>
      </c>
      <c r="L454">
        <v>29</v>
      </c>
      <c r="M454">
        <v>359</v>
      </c>
      <c r="N454">
        <v>982</v>
      </c>
      <c r="O454">
        <v>4196</v>
      </c>
      <c r="P454" t="str">
        <f>TEXT(tbl_working_daily[[#This Row],[ActivityDate]],"dddd")</f>
        <v>Friday</v>
      </c>
      <c r="Q454" t="str">
        <f>TEXT(tbl_working_daily[[#This Row],[ActivityDate]],"mmmm")</f>
        <v>April</v>
      </c>
      <c r="R454">
        <f t="shared" si="14"/>
        <v>458</v>
      </c>
      <c r="S454">
        <f t="shared" si="15"/>
        <v>1440</v>
      </c>
      <c r="T454">
        <f>ROUND(tbl_working_daily[[#This Row],[SedentaryMinutes]]/60,2)</f>
        <v>16.37</v>
      </c>
      <c r="U454" t="str" cm="1">
        <f t="array" ref="U45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54" t="str" cm="1">
        <f t="array" ref="V454">_xlfn.IFS(tbl_working_daily[[#This Row],[VeryActiveMinutes]]&gt;=30,"Very Active",tbl_working_daily[[#This Row],[VeryActiveMinutes]]&gt;=15,"Moderately Active",tbl_working_daily[[#This Row],[VeryActiveMinutes]]&gt;=1,"Lightly Active",tbl_working_daily[[#This Row],[VeryActiveMinutes]]=0,"Sedentary")</f>
        <v>Very Active</v>
      </c>
      <c r="W454" t="str">
        <f>tbl_working_daily[[#This Row],[Id]]&amp;"|"&amp;TEXT(tbl_working_daily[[#This Row],[ActivityDate]],"yyyy-mm-dd")</f>
        <v>8877689391|2016-04-08</v>
      </c>
      <c r="X454" t="b">
        <f>ISNUMBER(MATCH(tbl_working_daily[[#This Row],[LookupKey]],tbl_working_sleep[LookupKey],0))</f>
        <v>0</v>
      </c>
    </row>
    <row r="455" spans="1:24" x14ac:dyDescent="0.3">
      <c r="A455">
        <v>8877689391</v>
      </c>
      <c r="B455" s="1">
        <v>42469</v>
      </c>
      <c r="C455">
        <v>16470</v>
      </c>
      <c r="D455">
        <v>8.0699996948242205</v>
      </c>
      <c r="E455">
        <v>8.0699996948242205</v>
      </c>
      <c r="F455">
        <v>0</v>
      </c>
      <c r="G455">
        <v>0</v>
      </c>
      <c r="H455">
        <v>1.9999999552965199E-2</v>
      </c>
      <c r="I455">
        <v>8.0200004577636701</v>
      </c>
      <c r="J455">
        <v>0</v>
      </c>
      <c r="K455">
        <v>90</v>
      </c>
      <c r="L455">
        <v>9</v>
      </c>
      <c r="M455">
        <v>289</v>
      </c>
      <c r="N455">
        <v>1052</v>
      </c>
      <c r="O455">
        <v>3841</v>
      </c>
      <c r="P455" t="str">
        <f>TEXT(tbl_working_daily[[#This Row],[ActivityDate]],"dddd")</f>
        <v>Saturday</v>
      </c>
      <c r="Q455" t="str">
        <f>TEXT(tbl_working_daily[[#This Row],[ActivityDate]],"mmmm")</f>
        <v>April</v>
      </c>
      <c r="R455">
        <f t="shared" si="14"/>
        <v>388</v>
      </c>
      <c r="S455">
        <f t="shared" si="15"/>
        <v>1440</v>
      </c>
      <c r="T455">
        <f>ROUND(tbl_working_daily[[#This Row],[SedentaryMinutes]]/60,2)</f>
        <v>17.53</v>
      </c>
      <c r="U455" t="str" cm="1">
        <f t="array" ref="U45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55" t="str" cm="1">
        <f t="array" ref="V455">_xlfn.IFS(tbl_working_daily[[#This Row],[VeryActiveMinutes]]&gt;=30,"Very Active",tbl_working_daily[[#This Row],[VeryActiveMinutes]]&gt;=15,"Moderately Active",tbl_working_daily[[#This Row],[VeryActiveMinutes]]&gt;=1,"Lightly Active",tbl_working_daily[[#This Row],[VeryActiveMinutes]]=0,"Sedentary")</f>
        <v>Very Active</v>
      </c>
      <c r="W455" t="str">
        <f>tbl_working_daily[[#This Row],[Id]]&amp;"|"&amp;TEXT(tbl_working_daily[[#This Row],[ActivityDate]],"yyyy-mm-dd")</f>
        <v>8877689391|2016-04-09</v>
      </c>
      <c r="X455" t="b">
        <f>ISNUMBER(MATCH(tbl_working_daily[[#This Row],[LookupKey]],tbl_working_sleep[LookupKey],0))</f>
        <v>0</v>
      </c>
    </row>
    <row r="456" spans="1:24" x14ac:dyDescent="0.3">
      <c r="A456">
        <v>8877689391</v>
      </c>
      <c r="B456" s="1">
        <v>42470</v>
      </c>
      <c r="C456">
        <v>28497</v>
      </c>
      <c r="D456">
        <v>27.530000686645501</v>
      </c>
      <c r="E456">
        <v>27.530000686645501</v>
      </c>
      <c r="F456">
        <v>0</v>
      </c>
      <c r="G456">
        <v>21.920000076293899</v>
      </c>
      <c r="H456">
        <v>1.12000000476837</v>
      </c>
      <c r="I456">
        <v>4.46000003814697</v>
      </c>
      <c r="J456">
        <v>0</v>
      </c>
      <c r="K456">
        <v>128</v>
      </c>
      <c r="L456">
        <v>46</v>
      </c>
      <c r="M456">
        <v>211</v>
      </c>
      <c r="N456">
        <v>1055</v>
      </c>
      <c r="O456">
        <v>4526</v>
      </c>
      <c r="P456" t="str">
        <f>TEXT(tbl_working_daily[[#This Row],[ActivityDate]],"dddd")</f>
        <v>Sunday</v>
      </c>
      <c r="Q456" t="str">
        <f>TEXT(tbl_working_daily[[#This Row],[ActivityDate]],"mmmm")</f>
        <v>April</v>
      </c>
      <c r="R456">
        <f t="shared" si="14"/>
        <v>385</v>
      </c>
      <c r="S456">
        <f t="shared" si="15"/>
        <v>1440</v>
      </c>
      <c r="T456">
        <f>ROUND(tbl_working_daily[[#This Row],[SedentaryMinutes]]/60,2)</f>
        <v>17.579999999999998</v>
      </c>
      <c r="U456" t="str" cm="1">
        <f t="array" ref="U45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56" t="str" cm="1">
        <f t="array" ref="V456">_xlfn.IFS(tbl_working_daily[[#This Row],[VeryActiveMinutes]]&gt;=30,"Very Active",tbl_working_daily[[#This Row],[VeryActiveMinutes]]&gt;=15,"Moderately Active",tbl_working_daily[[#This Row],[VeryActiveMinutes]]&gt;=1,"Lightly Active",tbl_working_daily[[#This Row],[VeryActiveMinutes]]=0,"Sedentary")</f>
        <v>Very Active</v>
      </c>
      <c r="W456" t="str">
        <f>tbl_working_daily[[#This Row],[Id]]&amp;"|"&amp;TEXT(tbl_working_daily[[#This Row],[ActivityDate]],"yyyy-mm-dd")</f>
        <v>8877689391|2016-04-10</v>
      </c>
      <c r="X456" t="b">
        <f>ISNUMBER(MATCH(tbl_working_daily[[#This Row],[LookupKey]],tbl_working_sleep[LookupKey],0))</f>
        <v>0</v>
      </c>
    </row>
    <row r="457" spans="1:24" x14ac:dyDescent="0.3">
      <c r="A457">
        <v>8877689391</v>
      </c>
      <c r="B457" s="1">
        <v>42471</v>
      </c>
      <c r="C457">
        <v>10622</v>
      </c>
      <c r="D457">
        <v>8.0600004196166992</v>
      </c>
      <c r="E457">
        <v>8.0600004196166992</v>
      </c>
      <c r="F457">
        <v>0</v>
      </c>
      <c r="G457">
        <v>1.4700000286102299</v>
      </c>
      <c r="H457">
        <v>0.15000000596046401</v>
      </c>
      <c r="I457">
        <v>6.3699998855590803</v>
      </c>
      <c r="J457">
        <v>9.9999997764825804E-3</v>
      </c>
      <c r="K457">
        <v>18</v>
      </c>
      <c r="L457">
        <v>7</v>
      </c>
      <c r="M457">
        <v>225</v>
      </c>
      <c r="N457">
        <v>1190</v>
      </c>
      <c r="O457">
        <v>2820</v>
      </c>
      <c r="P457" t="str">
        <f>TEXT(tbl_working_daily[[#This Row],[ActivityDate]],"dddd")</f>
        <v>Monday</v>
      </c>
      <c r="Q457" t="str">
        <f>TEXT(tbl_working_daily[[#This Row],[ActivityDate]],"mmmm")</f>
        <v>April</v>
      </c>
      <c r="R457">
        <f t="shared" si="14"/>
        <v>250</v>
      </c>
      <c r="S457">
        <f t="shared" si="15"/>
        <v>1440</v>
      </c>
      <c r="T457">
        <f>ROUND(tbl_working_daily[[#This Row],[SedentaryMinutes]]/60,2)</f>
        <v>19.829999999999998</v>
      </c>
      <c r="U457" t="str" cm="1">
        <f t="array" ref="U45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57" t="str" cm="1">
        <f t="array" ref="V457">_xlfn.IFS(tbl_working_daily[[#This Row],[VeryActiveMinutes]]&gt;=30,"Very Active",tbl_working_daily[[#This Row],[VeryActiveMinutes]]&gt;=15,"Moderately Active",tbl_working_daily[[#This Row],[VeryActiveMinutes]]&gt;=1,"Lightly Active",tbl_working_daily[[#This Row],[VeryActiveMinutes]]=0,"Sedentary")</f>
        <v>Moderately Active</v>
      </c>
      <c r="W457" t="str">
        <f>tbl_working_daily[[#This Row],[Id]]&amp;"|"&amp;TEXT(tbl_working_daily[[#This Row],[ActivityDate]],"yyyy-mm-dd")</f>
        <v>8877689391|2016-04-11</v>
      </c>
      <c r="X457" t="b">
        <f>ISNUMBER(MATCH(tbl_working_daily[[#This Row],[LookupKey]],tbl_working_sleep[LookupKey],0))</f>
        <v>0</v>
      </c>
    </row>
    <row r="458" spans="1:24" x14ac:dyDescent="0.3">
      <c r="A458">
        <v>8877689391</v>
      </c>
      <c r="B458" s="1">
        <v>42472</v>
      </c>
      <c r="C458">
        <v>2350</v>
      </c>
      <c r="D458">
        <v>1.7799999713897701</v>
      </c>
      <c r="E458">
        <v>1.7799999713897701</v>
      </c>
      <c r="F458">
        <v>0</v>
      </c>
      <c r="G458">
        <v>0</v>
      </c>
      <c r="H458">
        <v>0</v>
      </c>
      <c r="I458">
        <v>1.7799999713897701</v>
      </c>
      <c r="J458">
        <v>0</v>
      </c>
      <c r="K458">
        <v>0</v>
      </c>
      <c r="L458">
        <v>0</v>
      </c>
      <c r="M458">
        <v>58</v>
      </c>
      <c r="N458">
        <v>531</v>
      </c>
      <c r="O458">
        <v>938</v>
      </c>
      <c r="P458" t="str">
        <f>TEXT(tbl_working_daily[[#This Row],[ActivityDate]],"dddd")</f>
        <v>Tuesday</v>
      </c>
      <c r="Q458" t="str">
        <f>TEXT(tbl_working_daily[[#This Row],[ActivityDate]],"mmmm")</f>
        <v>April</v>
      </c>
      <c r="R458">
        <f t="shared" si="14"/>
        <v>58</v>
      </c>
      <c r="S458">
        <f t="shared" si="15"/>
        <v>589</v>
      </c>
      <c r="T458">
        <f>ROUND(tbl_working_daily[[#This Row],[SedentaryMinutes]]/60,2)</f>
        <v>8.85</v>
      </c>
      <c r="U458" t="str" cm="1">
        <f t="array" ref="U45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58" t="str" cm="1">
        <f t="array" ref="V458">_xlfn.IFS(tbl_working_daily[[#This Row],[VeryActiveMinutes]]&gt;=30,"Very Active",tbl_working_daily[[#This Row],[VeryActiveMinutes]]&gt;=15,"Moderately Active",tbl_working_daily[[#This Row],[VeryActiveMinutes]]&gt;=1,"Lightly Active",tbl_working_daily[[#This Row],[VeryActiveMinutes]]=0,"Sedentary")</f>
        <v>Sedentary</v>
      </c>
      <c r="W458" t="str">
        <f>tbl_working_daily[[#This Row],[Id]]&amp;"|"&amp;TEXT(tbl_working_daily[[#This Row],[ActivityDate]],"yyyy-mm-dd")</f>
        <v>8877689391|2016-04-12</v>
      </c>
      <c r="X458" t="b">
        <f>ISNUMBER(MATCH(tbl_working_daily[[#This Row],[LookupKey]],tbl_working_sleep[LookupKey],0))</f>
        <v>0</v>
      </c>
    </row>
    <row r="459" spans="1:24" x14ac:dyDescent="0.3">
      <c r="A459">
        <v>1503960366</v>
      </c>
      <c r="B459" s="1">
        <v>42473</v>
      </c>
      <c r="C459">
        <v>10735</v>
      </c>
      <c r="D459">
        <v>6.9699997901916504</v>
      </c>
      <c r="E459">
        <v>6.9699997901916504</v>
      </c>
      <c r="F459">
        <v>0</v>
      </c>
      <c r="G459">
        <v>1.5700000524520901</v>
      </c>
      <c r="H459">
        <v>0.68999999761581399</v>
      </c>
      <c r="I459">
        <v>4.71000003814697</v>
      </c>
      <c r="J459">
        <v>0</v>
      </c>
      <c r="K459">
        <v>21</v>
      </c>
      <c r="L459">
        <v>19</v>
      </c>
      <c r="M459">
        <v>217</v>
      </c>
      <c r="N459">
        <v>776</v>
      </c>
      <c r="O459">
        <v>1797</v>
      </c>
      <c r="P459" t="str">
        <f>TEXT(tbl_working_daily[[#This Row],[ActivityDate]],"dddd")</f>
        <v>Wednesday</v>
      </c>
      <c r="Q459" t="str">
        <f>TEXT(tbl_working_daily[[#This Row],[ActivityDate]],"mmmm")</f>
        <v>April</v>
      </c>
      <c r="R459">
        <f t="shared" si="14"/>
        <v>257</v>
      </c>
      <c r="S459">
        <f t="shared" si="15"/>
        <v>1033</v>
      </c>
      <c r="T459">
        <f>ROUND(tbl_working_daily[[#This Row],[SedentaryMinutes]]/60,2)</f>
        <v>12.93</v>
      </c>
      <c r="U459" t="str" cm="1">
        <f t="array" ref="U45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59" t="str" cm="1">
        <f t="array" ref="V459">_xlfn.IFS(tbl_working_daily[[#This Row],[VeryActiveMinutes]]&gt;=30,"Very Active",tbl_working_daily[[#This Row],[VeryActiveMinutes]]&gt;=15,"Moderately Active",tbl_working_daily[[#This Row],[VeryActiveMinutes]]&gt;=1,"Lightly Active",tbl_working_daily[[#This Row],[VeryActiveMinutes]]=0,"Sedentary")</f>
        <v>Moderately Active</v>
      </c>
      <c r="W459" t="str">
        <f>tbl_working_daily[[#This Row],[Id]]&amp;"|"&amp;TEXT(tbl_working_daily[[#This Row],[ActivityDate]],"yyyy-mm-dd")</f>
        <v>1503960366|2016-04-13</v>
      </c>
      <c r="X459" t="b">
        <f>ISNUMBER(MATCH(tbl_working_daily[[#This Row],[LookupKey]],tbl_working_sleep[LookupKey],0))</f>
        <v>1</v>
      </c>
    </row>
    <row r="460" spans="1:24" x14ac:dyDescent="0.3">
      <c r="A460">
        <v>1503960366</v>
      </c>
      <c r="B460" s="1">
        <v>42474</v>
      </c>
      <c r="C460">
        <v>10460</v>
      </c>
      <c r="D460">
        <v>6.7399997711181596</v>
      </c>
      <c r="E460">
        <v>6.7399997711181596</v>
      </c>
      <c r="F460">
        <v>0</v>
      </c>
      <c r="G460">
        <v>2.4400000572204599</v>
      </c>
      <c r="H460">
        <v>0.40000000596046398</v>
      </c>
      <c r="I460">
        <v>3.9100000858306898</v>
      </c>
      <c r="J460">
        <v>0</v>
      </c>
      <c r="K460">
        <v>30</v>
      </c>
      <c r="L460">
        <v>11</v>
      </c>
      <c r="M460">
        <v>181</v>
      </c>
      <c r="N460">
        <v>1218</v>
      </c>
      <c r="O460">
        <v>1776</v>
      </c>
      <c r="P460" t="str">
        <f>TEXT(tbl_working_daily[[#This Row],[ActivityDate]],"dddd")</f>
        <v>Thursday</v>
      </c>
      <c r="Q460" t="str">
        <f>TEXT(tbl_working_daily[[#This Row],[ActivityDate]],"mmmm")</f>
        <v>April</v>
      </c>
      <c r="R460">
        <f t="shared" si="14"/>
        <v>222</v>
      </c>
      <c r="S460">
        <f t="shared" si="15"/>
        <v>1440</v>
      </c>
      <c r="T460">
        <f>ROUND(tbl_working_daily[[#This Row],[SedentaryMinutes]]/60,2)</f>
        <v>20.3</v>
      </c>
      <c r="U460" t="str" cm="1">
        <f t="array" ref="U46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60" t="str" cm="1">
        <f t="array" ref="V460">_xlfn.IFS(tbl_working_daily[[#This Row],[VeryActiveMinutes]]&gt;=30,"Very Active",tbl_working_daily[[#This Row],[VeryActiveMinutes]]&gt;=15,"Moderately Active",tbl_working_daily[[#This Row],[VeryActiveMinutes]]&gt;=1,"Lightly Active",tbl_working_daily[[#This Row],[VeryActiveMinutes]]=0,"Sedentary")</f>
        <v>Very Active</v>
      </c>
      <c r="W460" t="str">
        <f>tbl_working_daily[[#This Row],[Id]]&amp;"|"&amp;TEXT(tbl_working_daily[[#This Row],[ActivityDate]],"yyyy-mm-dd")</f>
        <v>1503960366|2016-04-14</v>
      </c>
      <c r="X460" t="b">
        <f>ISNUMBER(MATCH(tbl_working_daily[[#This Row],[LookupKey]],tbl_working_sleep[LookupKey],0))</f>
        <v>0</v>
      </c>
    </row>
    <row r="461" spans="1:24" x14ac:dyDescent="0.3">
      <c r="A461">
        <v>1503960366</v>
      </c>
      <c r="B461" s="1">
        <v>42475</v>
      </c>
      <c r="C461">
        <v>9762</v>
      </c>
      <c r="D461">
        <v>6.2800002098083496</v>
      </c>
      <c r="E461">
        <v>6.2800002098083496</v>
      </c>
      <c r="F461">
        <v>0</v>
      </c>
      <c r="G461">
        <v>2.1400001049041699</v>
      </c>
      <c r="H461">
        <v>1.2599999904632599</v>
      </c>
      <c r="I461">
        <v>2.8299999237060498</v>
      </c>
      <c r="J461">
        <v>0</v>
      </c>
      <c r="K461">
        <v>29</v>
      </c>
      <c r="L461">
        <v>34</v>
      </c>
      <c r="M461">
        <v>209</v>
      </c>
      <c r="N461">
        <v>726</v>
      </c>
      <c r="O461">
        <v>1745</v>
      </c>
      <c r="P461" t="str">
        <f>TEXT(tbl_working_daily[[#This Row],[ActivityDate]],"dddd")</f>
        <v>Friday</v>
      </c>
      <c r="Q461" t="str">
        <f>TEXT(tbl_working_daily[[#This Row],[ActivityDate]],"mmmm")</f>
        <v>April</v>
      </c>
      <c r="R461">
        <f t="shared" si="14"/>
        <v>272</v>
      </c>
      <c r="S461">
        <f t="shared" si="15"/>
        <v>998</v>
      </c>
      <c r="T461">
        <f>ROUND(tbl_working_daily[[#This Row],[SedentaryMinutes]]/60,2)</f>
        <v>12.1</v>
      </c>
      <c r="U461" t="str" cm="1">
        <f t="array" ref="U46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61" t="str" cm="1">
        <f t="array" ref="V461">_xlfn.IFS(tbl_working_daily[[#This Row],[VeryActiveMinutes]]&gt;=30,"Very Active",tbl_working_daily[[#This Row],[VeryActiveMinutes]]&gt;=15,"Moderately Active",tbl_working_daily[[#This Row],[VeryActiveMinutes]]&gt;=1,"Lightly Active",tbl_working_daily[[#This Row],[VeryActiveMinutes]]=0,"Sedentary")</f>
        <v>Moderately Active</v>
      </c>
      <c r="W461" t="str">
        <f>tbl_working_daily[[#This Row],[Id]]&amp;"|"&amp;TEXT(tbl_working_daily[[#This Row],[ActivityDate]],"yyyy-mm-dd")</f>
        <v>1503960366|2016-04-15</v>
      </c>
      <c r="X461" t="b">
        <f>ISNUMBER(MATCH(tbl_working_daily[[#This Row],[LookupKey]],tbl_working_sleep[LookupKey],0))</f>
        <v>1</v>
      </c>
    </row>
    <row r="462" spans="1:24" x14ac:dyDescent="0.3">
      <c r="A462">
        <v>1503960366</v>
      </c>
      <c r="B462" s="1">
        <v>42476</v>
      </c>
      <c r="C462">
        <v>12669</v>
      </c>
      <c r="D462">
        <v>8.1599998474121094</v>
      </c>
      <c r="E462">
        <v>8.1599998474121094</v>
      </c>
      <c r="F462">
        <v>0</v>
      </c>
      <c r="G462">
        <v>2.71000003814697</v>
      </c>
      <c r="H462">
        <v>0.40999999642372098</v>
      </c>
      <c r="I462">
        <v>5.03999996185303</v>
      </c>
      <c r="J462">
        <v>0</v>
      </c>
      <c r="K462">
        <v>36</v>
      </c>
      <c r="L462">
        <v>10</v>
      </c>
      <c r="M462">
        <v>221</v>
      </c>
      <c r="N462">
        <v>773</v>
      </c>
      <c r="O462">
        <v>1863</v>
      </c>
      <c r="P462" t="str">
        <f>TEXT(tbl_working_daily[[#This Row],[ActivityDate]],"dddd")</f>
        <v>Saturday</v>
      </c>
      <c r="Q462" t="str">
        <f>TEXT(tbl_working_daily[[#This Row],[ActivityDate]],"mmmm")</f>
        <v>April</v>
      </c>
      <c r="R462">
        <f t="shared" si="14"/>
        <v>267</v>
      </c>
      <c r="S462">
        <f t="shared" si="15"/>
        <v>1040</v>
      </c>
      <c r="T462">
        <f>ROUND(tbl_working_daily[[#This Row],[SedentaryMinutes]]/60,2)</f>
        <v>12.88</v>
      </c>
      <c r="U462" t="str" cm="1">
        <f t="array" ref="U46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62" t="str" cm="1">
        <f t="array" ref="V462">_xlfn.IFS(tbl_working_daily[[#This Row],[VeryActiveMinutes]]&gt;=30,"Very Active",tbl_working_daily[[#This Row],[VeryActiveMinutes]]&gt;=15,"Moderately Active",tbl_working_daily[[#This Row],[VeryActiveMinutes]]&gt;=1,"Lightly Active",tbl_working_daily[[#This Row],[VeryActiveMinutes]]=0,"Sedentary")</f>
        <v>Very Active</v>
      </c>
      <c r="W462" t="str">
        <f>tbl_working_daily[[#This Row],[Id]]&amp;"|"&amp;TEXT(tbl_working_daily[[#This Row],[ActivityDate]],"yyyy-mm-dd")</f>
        <v>1503960366|2016-04-16</v>
      </c>
      <c r="X462" t="b">
        <f>ISNUMBER(MATCH(tbl_working_daily[[#This Row],[LookupKey]],tbl_working_sleep[LookupKey],0))</f>
        <v>1</v>
      </c>
    </row>
    <row r="463" spans="1:24" x14ac:dyDescent="0.3">
      <c r="A463">
        <v>1503960366</v>
      </c>
      <c r="B463" s="1">
        <v>42477</v>
      </c>
      <c r="C463">
        <v>9705</v>
      </c>
      <c r="D463">
        <v>6.4800000190734899</v>
      </c>
      <c r="E463">
        <v>6.4800000190734899</v>
      </c>
      <c r="F463">
        <v>0</v>
      </c>
      <c r="G463">
        <v>3.1900000572204599</v>
      </c>
      <c r="H463">
        <v>0.77999997138977095</v>
      </c>
      <c r="I463">
        <v>2.5099999904632599</v>
      </c>
      <c r="J463">
        <v>0</v>
      </c>
      <c r="K463">
        <v>38</v>
      </c>
      <c r="L463">
        <v>20</v>
      </c>
      <c r="M463">
        <v>164</v>
      </c>
      <c r="N463">
        <v>539</v>
      </c>
      <c r="O463">
        <v>1728</v>
      </c>
      <c r="P463" t="str">
        <f>TEXT(tbl_working_daily[[#This Row],[ActivityDate]],"dddd")</f>
        <v>Sunday</v>
      </c>
      <c r="Q463" t="str">
        <f>TEXT(tbl_working_daily[[#This Row],[ActivityDate]],"mmmm")</f>
        <v>April</v>
      </c>
      <c r="R463">
        <f t="shared" si="14"/>
        <v>222</v>
      </c>
      <c r="S463">
        <f t="shared" si="15"/>
        <v>761</v>
      </c>
      <c r="T463">
        <f>ROUND(tbl_working_daily[[#This Row],[SedentaryMinutes]]/60,2)</f>
        <v>8.98</v>
      </c>
      <c r="U463" t="str" cm="1">
        <f t="array" ref="U46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63" t="str" cm="1">
        <f t="array" ref="V463">_xlfn.IFS(tbl_working_daily[[#This Row],[VeryActiveMinutes]]&gt;=30,"Very Active",tbl_working_daily[[#This Row],[VeryActiveMinutes]]&gt;=15,"Moderately Active",tbl_working_daily[[#This Row],[VeryActiveMinutes]]&gt;=1,"Lightly Active",tbl_working_daily[[#This Row],[VeryActiveMinutes]]=0,"Sedentary")</f>
        <v>Very Active</v>
      </c>
      <c r="W463" t="str">
        <f>tbl_working_daily[[#This Row],[Id]]&amp;"|"&amp;TEXT(tbl_working_daily[[#This Row],[ActivityDate]],"yyyy-mm-dd")</f>
        <v>1503960366|2016-04-17</v>
      </c>
      <c r="X463" t="b">
        <f>ISNUMBER(MATCH(tbl_working_daily[[#This Row],[LookupKey]],tbl_working_sleep[LookupKey],0))</f>
        <v>1</v>
      </c>
    </row>
    <row r="464" spans="1:24" x14ac:dyDescent="0.3">
      <c r="A464">
        <v>1503960366</v>
      </c>
      <c r="B464" s="1">
        <v>42478</v>
      </c>
      <c r="C464">
        <v>13019</v>
      </c>
      <c r="D464">
        <v>8.5900001525878906</v>
      </c>
      <c r="E464">
        <v>8.5900001525878906</v>
      </c>
      <c r="F464">
        <v>0</v>
      </c>
      <c r="G464">
        <v>3.25</v>
      </c>
      <c r="H464">
        <v>0.63999998569488503</v>
      </c>
      <c r="I464">
        <v>4.71000003814697</v>
      </c>
      <c r="J464">
        <v>0</v>
      </c>
      <c r="K464">
        <v>42</v>
      </c>
      <c r="L464">
        <v>16</v>
      </c>
      <c r="M464">
        <v>233</v>
      </c>
      <c r="N464">
        <v>1149</v>
      </c>
      <c r="O464">
        <v>1921</v>
      </c>
      <c r="P464" t="str">
        <f>TEXT(tbl_working_daily[[#This Row],[ActivityDate]],"dddd")</f>
        <v>Monday</v>
      </c>
      <c r="Q464" t="str">
        <f>TEXT(tbl_working_daily[[#This Row],[ActivityDate]],"mmmm")</f>
        <v>April</v>
      </c>
      <c r="R464">
        <f t="shared" si="14"/>
        <v>291</v>
      </c>
      <c r="S464">
        <f t="shared" si="15"/>
        <v>1440</v>
      </c>
      <c r="T464">
        <f>ROUND(tbl_working_daily[[#This Row],[SedentaryMinutes]]/60,2)</f>
        <v>19.149999999999999</v>
      </c>
      <c r="U464" t="str" cm="1">
        <f t="array" ref="U46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64" t="str" cm="1">
        <f t="array" ref="V464">_xlfn.IFS(tbl_working_daily[[#This Row],[VeryActiveMinutes]]&gt;=30,"Very Active",tbl_working_daily[[#This Row],[VeryActiveMinutes]]&gt;=15,"Moderately Active",tbl_working_daily[[#This Row],[VeryActiveMinutes]]&gt;=1,"Lightly Active",tbl_working_daily[[#This Row],[VeryActiveMinutes]]=0,"Sedentary")</f>
        <v>Very Active</v>
      </c>
      <c r="W464" t="str">
        <f>tbl_working_daily[[#This Row],[Id]]&amp;"|"&amp;TEXT(tbl_working_daily[[#This Row],[ActivityDate]],"yyyy-mm-dd")</f>
        <v>1503960366|2016-04-18</v>
      </c>
      <c r="X464" t="b">
        <f>ISNUMBER(MATCH(tbl_working_daily[[#This Row],[LookupKey]],tbl_working_sleep[LookupKey],0))</f>
        <v>0</v>
      </c>
    </row>
    <row r="465" spans="1:24" x14ac:dyDescent="0.3">
      <c r="A465">
        <v>1503960366</v>
      </c>
      <c r="B465" s="1">
        <v>42479</v>
      </c>
      <c r="C465">
        <v>15506</v>
      </c>
      <c r="D465">
        <v>9.8800001144409197</v>
      </c>
      <c r="E465">
        <v>9.8800001144409197</v>
      </c>
      <c r="F465">
        <v>0</v>
      </c>
      <c r="G465">
        <v>3.5299999713897701</v>
      </c>
      <c r="H465">
        <v>1.3200000524520901</v>
      </c>
      <c r="I465">
        <v>5.0300002098083496</v>
      </c>
      <c r="J465">
        <v>0</v>
      </c>
      <c r="K465">
        <v>50</v>
      </c>
      <c r="L465">
        <v>31</v>
      </c>
      <c r="M465">
        <v>264</v>
      </c>
      <c r="N465">
        <v>775</v>
      </c>
      <c r="O465">
        <v>2035</v>
      </c>
      <c r="P465" t="str">
        <f>TEXT(tbl_working_daily[[#This Row],[ActivityDate]],"dddd")</f>
        <v>Tuesday</v>
      </c>
      <c r="Q465" t="str">
        <f>TEXT(tbl_working_daily[[#This Row],[ActivityDate]],"mmmm")</f>
        <v>April</v>
      </c>
      <c r="R465">
        <f t="shared" si="14"/>
        <v>345</v>
      </c>
      <c r="S465">
        <f t="shared" si="15"/>
        <v>1120</v>
      </c>
      <c r="T465">
        <f>ROUND(tbl_working_daily[[#This Row],[SedentaryMinutes]]/60,2)</f>
        <v>12.92</v>
      </c>
      <c r="U465" t="str" cm="1">
        <f t="array" ref="U46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65" t="str" cm="1">
        <f t="array" ref="V465">_xlfn.IFS(tbl_working_daily[[#This Row],[VeryActiveMinutes]]&gt;=30,"Very Active",tbl_working_daily[[#This Row],[VeryActiveMinutes]]&gt;=15,"Moderately Active",tbl_working_daily[[#This Row],[VeryActiveMinutes]]&gt;=1,"Lightly Active",tbl_working_daily[[#This Row],[VeryActiveMinutes]]=0,"Sedentary")</f>
        <v>Very Active</v>
      </c>
      <c r="W465" t="str">
        <f>tbl_working_daily[[#This Row],[Id]]&amp;"|"&amp;TEXT(tbl_working_daily[[#This Row],[ActivityDate]],"yyyy-mm-dd")</f>
        <v>1503960366|2016-04-19</v>
      </c>
      <c r="X465" t="b">
        <f>ISNUMBER(MATCH(tbl_working_daily[[#This Row],[LookupKey]],tbl_working_sleep[LookupKey],0))</f>
        <v>1</v>
      </c>
    </row>
    <row r="466" spans="1:24" x14ac:dyDescent="0.3">
      <c r="A466">
        <v>1503960366</v>
      </c>
      <c r="B466" s="1">
        <v>42480</v>
      </c>
      <c r="C466">
        <v>10544</v>
      </c>
      <c r="D466">
        <v>6.6799998283386204</v>
      </c>
      <c r="E466">
        <v>6.6799998283386204</v>
      </c>
      <c r="F466">
        <v>0</v>
      </c>
      <c r="G466">
        <v>1.96000003814697</v>
      </c>
      <c r="H466">
        <v>0.479999989271164</v>
      </c>
      <c r="I466">
        <v>4.2399997711181596</v>
      </c>
      <c r="J466">
        <v>0</v>
      </c>
      <c r="K466">
        <v>28</v>
      </c>
      <c r="L466">
        <v>12</v>
      </c>
      <c r="M466">
        <v>205</v>
      </c>
      <c r="N466">
        <v>818</v>
      </c>
      <c r="O466">
        <v>1786</v>
      </c>
      <c r="P466" t="str">
        <f>TEXT(tbl_working_daily[[#This Row],[ActivityDate]],"dddd")</f>
        <v>Wednesday</v>
      </c>
      <c r="Q466" t="str">
        <f>TEXT(tbl_working_daily[[#This Row],[ActivityDate]],"mmmm")</f>
        <v>April</v>
      </c>
      <c r="R466">
        <f t="shared" si="14"/>
        <v>245</v>
      </c>
      <c r="S466">
        <f t="shared" si="15"/>
        <v>1063</v>
      </c>
      <c r="T466">
        <f>ROUND(tbl_working_daily[[#This Row],[SedentaryMinutes]]/60,2)</f>
        <v>13.63</v>
      </c>
      <c r="U466" t="str" cm="1">
        <f t="array" ref="U46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66" t="str" cm="1">
        <f t="array" ref="V466">_xlfn.IFS(tbl_working_daily[[#This Row],[VeryActiveMinutes]]&gt;=30,"Very Active",tbl_working_daily[[#This Row],[VeryActiveMinutes]]&gt;=15,"Moderately Active",tbl_working_daily[[#This Row],[VeryActiveMinutes]]&gt;=1,"Lightly Active",tbl_working_daily[[#This Row],[VeryActiveMinutes]]=0,"Sedentary")</f>
        <v>Moderately Active</v>
      </c>
      <c r="W466" t="str">
        <f>tbl_working_daily[[#This Row],[Id]]&amp;"|"&amp;TEXT(tbl_working_daily[[#This Row],[ActivityDate]],"yyyy-mm-dd")</f>
        <v>1503960366|2016-04-20</v>
      </c>
      <c r="X466" t="b">
        <f>ISNUMBER(MATCH(tbl_working_daily[[#This Row],[LookupKey]],tbl_working_sleep[LookupKey],0))</f>
        <v>1</v>
      </c>
    </row>
    <row r="467" spans="1:24" x14ac:dyDescent="0.3">
      <c r="A467">
        <v>1503960366</v>
      </c>
      <c r="B467" s="1">
        <v>42481</v>
      </c>
      <c r="C467">
        <v>9819</v>
      </c>
      <c r="D467">
        <v>6.3400001525878897</v>
      </c>
      <c r="E467">
        <v>6.3400001525878897</v>
      </c>
      <c r="F467">
        <v>0</v>
      </c>
      <c r="G467">
        <v>1.3400000333786</v>
      </c>
      <c r="H467">
        <v>0.34999999403953602</v>
      </c>
      <c r="I467">
        <v>4.6500000953674299</v>
      </c>
      <c r="J467">
        <v>0</v>
      </c>
      <c r="K467">
        <v>19</v>
      </c>
      <c r="L467">
        <v>8</v>
      </c>
      <c r="M467">
        <v>211</v>
      </c>
      <c r="N467">
        <v>838</v>
      </c>
      <c r="O467">
        <v>1775</v>
      </c>
      <c r="P467" t="str">
        <f>TEXT(tbl_working_daily[[#This Row],[ActivityDate]],"dddd")</f>
        <v>Thursday</v>
      </c>
      <c r="Q467" t="str">
        <f>TEXT(tbl_working_daily[[#This Row],[ActivityDate]],"mmmm")</f>
        <v>April</v>
      </c>
      <c r="R467">
        <f t="shared" si="14"/>
        <v>238</v>
      </c>
      <c r="S467">
        <f t="shared" si="15"/>
        <v>1076</v>
      </c>
      <c r="T467">
        <f>ROUND(tbl_working_daily[[#This Row],[SedentaryMinutes]]/60,2)</f>
        <v>13.97</v>
      </c>
      <c r="U467" t="str" cm="1">
        <f t="array" ref="U46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67" t="str" cm="1">
        <f t="array" ref="V467">_xlfn.IFS(tbl_working_daily[[#This Row],[VeryActiveMinutes]]&gt;=30,"Very Active",tbl_working_daily[[#This Row],[VeryActiveMinutes]]&gt;=15,"Moderately Active",tbl_working_daily[[#This Row],[VeryActiveMinutes]]&gt;=1,"Lightly Active",tbl_working_daily[[#This Row],[VeryActiveMinutes]]=0,"Sedentary")</f>
        <v>Moderately Active</v>
      </c>
      <c r="W467" t="str">
        <f>tbl_working_daily[[#This Row],[Id]]&amp;"|"&amp;TEXT(tbl_working_daily[[#This Row],[ActivityDate]],"yyyy-mm-dd")</f>
        <v>1503960366|2016-04-21</v>
      </c>
      <c r="X467" t="b">
        <f>ISNUMBER(MATCH(tbl_working_daily[[#This Row],[LookupKey]],tbl_working_sleep[LookupKey],0))</f>
        <v>1</v>
      </c>
    </row>
    <row r="468" spans="1:24" x14ac:dyDescent="0.3">
      <c r="A468">
        <v>1503960366</v>
      </c>
      <c r="B468" s="1">
        <v>42482</v>
      </c>
      <c r="C468">
        <v>12764</v>
      </c>
      <c r="D468">
        <v>8.1300001144409197</v>
      </c>
      <c r="E468">
        <v>8.1300001144409197</v>
      </c>
      <c r="F468">
        <v>0</v>
      </c>
      <c r="G468">
        <v>4.7600002288818404</v>
      </c>
      <c r="H468">
        <v>1.12000000476837</v>
      </c>
      <c r="I468">
        <v>2.2400000095367401</v>
      </c>
      <c r="J468">
        <v>0</v>
      </c>
      <c r="K468">
        <v>66</v>
      </c>
      <c r="L468">
        <v>27</v>
      </c>
      <c r="M468">
        <v>130</v>
      </c>
      <c r="N468">
        <v>1217</v>
      </c>
      <c r="O468">
        <v>1827</v>
      </c>
      <c r="P468" t="str">
        <f>TEXT(tbl_working_daily[[#This Row],[ActivityDate]],"dddd")</f>
        <v>Friday</v>
      </c>
      <c r="Q468" t="str">
        <f>TEXT(tbl_working_daily[[#This Row],[ActivityDate]],"mmmm")</f>
        <v>April</v>
      </c>
      <c r="R468">
        <f t="shared" si="14"/>
        <v>223</v>
      </c>
      <c r="S468">
        <f t="shared" si="15"/>
        <v>1440</v>
      </c>
      <c r="T468">
        <f>ROUND(tbl_working_daily[[#This Row],[SedentaryMinutes]]/60,2)</f>
        <v>20.28</v>
      </c>
      <c r="U468" t="str" cm="1">
        <f t="array" ref="U46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68" t="str" cm="1">
        <f t="array" ref="V468">_xlfn.IFS(tbl_working_daily[[#This Row],[VeryActiveMinutes]]&gt;=30,"Very Active",tbl_working_daily[[#This Row],[VeryActiveMinutes]]&gt;=15,"Moderately Active",tbl_working_daily[[#This Row],[VeryActiveMinutes]]&gt;=1,"Lightly Active",tbl_working_daily[[#This Row],[VeryActiveMinutes]]=0,"Sedentary")</f>
        <v>Very Active</v>
      </c>
      <c r="W468" t="str">
        <f>tbl_working_daily[[#This Row],[Id]]&amp;"|"&amp;TEXT(tbl_working_daily[[#This Row],[ActivityDate]],"yyyy-mm-dd")</f>
        <v>1503960366|2016-04-22</v>
      </c>
      <c r="X468" t="b">
        <f>ISNUMBER(MATCH(tbl_working_daily[[#This Row],[LookupKey]],tbl_working_sleep[LookupKey],0))</f>
        <v>0</v>
      </c>
    </row>
    <row r="469" spans="1:24" x14ac:dyDescent="0.3">
      <c r="A469">
        <v>1503960366</v>
      </c>
      <c r="B469" s="1">
        <v>42483</v>
      </c>
      <c r="C469">
        <v>14371</v>
      </c>
      <c r="D469">
        <v>9.0399999618530291</v>
      </c>
      <c r="E469">
        <v>9.0399999618530291</v>
      </c>
      <c r="F469">
        <v>0</v>
      </c>
      <c r="G469">
        <v>2.8099999427795401</v>
      </c>
      <c r="H469">
        <v>0.87000000476837203</v>
      </c>
      <c r="I469">
        <v>5.3600001335143999</v>
      </c>
      <c r="J469">
        <v>0</v>
      </c>
      <c r="K469">
        <v>41</v>
      </c>
      <c r="L469">
        <v>21</v>
      </c>
      <c r="M469">
        <v>262</v>
      </c>
      <c r="N469">
        <v>732</v>
      </c>
      <c r="O469">
        <v>1949</v>
      </c>
      <c r="P469" t="str">
        <f>TEXT(tbl_working_daily[[#This Row],[ActivityDate]],"dddd")</f>
        <v>Saturday</v>
      </c>
      <c r="Q469" t="str">
        <f>TEXT(tbl_working_daily[[#This Row],[ActivityDate]],"mmmm")</f>
        <v>April</v>
      </c>
      <c r="R469">
        <f t="shared" si="14"/>
        <v>324</v>
      </c>
      <c r="S469">
        <f t="shared" si="15"/>
        <v>1056</v>
      </c>
      <c r="T469">
        <f>ROUND(tbl_working_daily[[#This Row],[SedentaryMinutes]]/60,2)</f>
        <v>12.2</v>
      </c>
      <c r="U469" t="str" cm="1">
        <f t="array" ref="U46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69" t="str" cm="1">
        <f t="array" ref="V469">_xlfn.IFS(tbl_working_daily[[#This Row],[VeryActiveMinutes]]&gt;=30,"Very Active",tbl_working_daily[[#This Row],[VeryActiveMinutes]]&gt;=15,"Moderately Active",tbl_working_daily[[#This Row],[VeryActiveMinutes]]&gt;=1,"Lightly Active",tbl_working_daily[[#This Row],[VeryActiveMinutes]]=0,"Sedentary")</f>
        <v>Very Active</v>
      </c>
      <c r="W469" t="str">
        <f>tbl_working_daily[[#This Row],[Id]]&amp;"|"&amp;TEXT(tbl_working_daily[[#This Row],[ActivityDate]],"yyyy-mm-dd")</f>
        <v>1503960366|2016-04-23</v>
      </c>
      <c r="X469" t="b">
        <f>ISNUMBER(MATCH(tbl_working_daily[[#This Row],[LookupKey]],tbl_working_sleep[LookupKey],0))</f>
        <v>1</v>
      </c>
    </row>
    <row r="470" spans="1:24" x14ac:dyDescent="0.3">
      <c r="A470">
        <v>1503960366</v>
      </c>
      <c r="B470" s="1">
        <v>42484</v>
      </c>
      <c r="C470">
        <v>10039</v>
      </c>
      <c r="D470">
        <v>6.4099998474121103</v>
      </c>
      <c r="E470">
        <v>6.4099998474121103</v>
      </c>
      <c r="F470">
        <v>0</v>
      </c>
      <c r="G470">
        <v>2.9200000762939502</v>
      </c>
      <c r="H470">
        <v>0.20999999344348899</v>
      </c>
      <c r="I470">
        <v>3.2799999713897701</v>
      </c>
      <c r="J470">
        <v>0</v>
      </c>
      <c r="K470">
        <v>39</v>
      </c>
      <c r="L470">
        <v>5</v>
      </c>
      <c r="M470">
        <v>238</v>
      </c>
      <c r="N470">
        <v>709</v>
      </c>
      <c r="O470">
        <v>1788</v>
      </c>
      <c r="P470" t="str">
        <f>TEXT(tbl_working_daily[[#This Row],[ActivityDate]],"dddd")</f>
        <v>Sunday</v>
      </c>
      <c r="Q470" t="str">
        <f>TEXT(tbl_working_daily[[#This Row],[ActivityDate]],"mmmm")</f>
        <v>April</v>
      </c>
      <c r="R470">
        <f t="shared" si="14"/>
        <v>282</v>
      </c>
      <c r="S470">
        <f t="shared" si="15"/>
        <v>991</v>
      </c>
      <c r="T470">
        <f>ROUND(tbl_working_daily[[#This Row],[SedentaryMinutes]]/60,2)</f>
        <v>11.82</v>
      </c>
      <c r="U470" t="str" cm="1">
        <f t="array" ref="U47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70" t="str" cm="1">
        <f t="array" ref="V470">_xlfn.IFS(tbl_working_daily[[#This Row],[VeryActiveMinutes]]&gt;=30,"Very Active",tbl_working_daily[[#This Row],[VeryActiveMinutes]]&gt;=15,"Moderately Active",tbl_working_daily[[#This Row],[VeryActiveMinutes]]&gt;=1,"Lightly Active",tbl_working_daily[[#This Row],[VeryActiveMinutes]]=0,"Sedentary")</f>
        <v>Very Active</v>
      </c>
      <c r="W470" t="str">
        <f>tbl_working_daily[[#This Row],[Id]]&amp;"|"&amp;TEXT(tbl_working_daily[[#This Row],[ActivityDate]],"yyyy-mm-dd")</f>
        <v>1503960366|2016-04-24</v>
      </c>
      <c r="X470" t="b">
        <f>ISNUMBER(MATCH(tbl_working_daily[[#This Row],[LookupKey]],tbl_working_sleep[LookupKey],0))</f>
        <v>1</v>
      </c>
    </row>
    <row r="471" spans="1:24" x14ac:dyDescent="0.3">
      <c r="A471">
        <v>1503960366</v>
      </c>
      <c r="B471" s="1">
        <v>42485</v>
      </c>
      <c r="C471">
        <v>15355</v>
      </c>
      <c r="D471">
        <v>9.8000001907348597</v>
      </c>
      <c r="E471">
        <v>9.8000001907348597</v>
      </c>
      <c r="F471">
        <v>0</v>
      </c>
      <c r="G471">
        <v>5.28999996185303</v>
      </c>
      <c r="H471">
        <v>0.56999999284744296</v>
      </c>
      <c r="I471">
        <v>3.9400000572204599</v>
      </c>
      <c r="J471">
        <v>0</v>
      </c>
      <c r="K471">
        <v>73</v>
      </c>
      <c r="L471">
        <v>14</v>
      </c>
      <c r="M471">
        <v>216</v>
      </c>
      <c r="N471">
        <v>814</v>
      </c>
      <c r="O471">
        <v>2013</v>
      </c>
      <c r="P471" t="str">
        <f>TEXT(tbl_working_daily[[#This Row],[ActivityDate]],"dddd")</f>
        <v>Monday</v>
      </c>
      <c r="Q471" t="str">
        <f>TEXT(tbl_working_daily[[#This Row],[ActivityDate]],"mmmm")</f>
        <v>April</v>
      </c>
      <c r="R471">
        <f t="shared" si="14"/>
        <v>303</v>
      </c>
      <c r="S471">
        <f t="shared" si="15"/>
        <v>1117</v>
      </c>
      <c r="T471">
        <f>ROUND(tbl_working_daily[[#This Row],[SedentaryMinutes]]/60,2)</f>
        <v>13.57</v>
      </c>
      <c r="U471" t="str" cm="1">
        <f t="array" ref="U47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1" t="str" cm="1">
        <f t="array" ref="V471">_xlfn.IFS(tbl_working_daily[[#This Row],[VeryActiveMinutes]]&gt;=30,"Very Active",tbl_working_daily[[#This Row],[VeryActiveMinutes]]&gt;=15,"Moderately Active",tbl_working_daily[[#This Row],[VeryActiveMinutes]]&gt;=1,"Lightly Active",tbl_working_daily[[#This Row],[VeryActiveMinutes]]=0,"Sedentary")</f>
        <v>Very Active</v>
      </c>
      <c r="W471" t="str">
        <f>tbl_working_daily[[#This Row],[Id]]&amp;"|"&amp;TEXT(tbl_working_daily[[#This Row],[ActivityDate]],"yyyy-mm-dd")</f>
        <v>1503960366|2016-04-25</v>
      </c>
      <c r="X471" t="b">
        <f>ISNUMBER(MATCH(tbl_working_daily[[#This Row],[LookupKey]],tbl_working_sleep[LookupKey],0))</f>
        <v>1</v>
      </c>
    </row>
    <row r="472" spans="1:24" x14ac:dyDescent="0.3">
      <c r="A472">
        <v>1503960366</v>
      </c>
      <c r="B472" s="1">
        <v>42486</v>
      </c>
      <c r="C472">
        <v>13755</v>
      </c>
      <c r="D472">
        <v>8.7899999618530291</v>
      </c>
      <c r="E472">
        <v>8.7899999618530291</v>
      </c>
      <c r="F472">
        <v>0</v>
      </c>
      <c r="G472">
        <v>2.3299999237060498</v>
      </c>
      <c r="H472">
        <v>0.92000001668930098</v>
      </c>
      <c r="I472">
        <v>5.53999996185303</v>
      </c>
      <c r="J472">
        <v>0</v>
      </c>
      <c r="K472">
        <v>31</v>
      </c>
      <c r="L472">
        <v>23</v>
      </c>
      <c r="M472">
        <v>279</v>
      </c>
      <c r="N472">
        <v>833</v>
      </c>
      <c r="O472">
        <v>1970</v>
      </c>
      <c r="P472" t="str">
        <f>TEXT(tbl_working_daily[[#This Row],[ActivityDate]],"dddd")</f>
        <v>Tuesday</v>
      </c>
      <c r="Q472" t="str">
        <f>TEXT(tbl_working_daily[[#This Row],[ActivityDate]],"mmmm")</f>
        <v>April</v>
      </c>
      <c r="R472">
        <f t="shared" si="14"/>
        <v>333</v>
      </c>
      <c r="S472">
        <f t="shared" si="15"/>
        <v>1166</v>
      </c>
      <c r="T472">
        <f>ROUND(tbl_working_daily[[#This Row],[SedentaryMinutes]]/60,2)</f>
        <v>13.88</v>
      </c>
      <c r="U472" t="str" cm="1">
        <f t="array" ref="U47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2" t="str" cm="1">
        <f t="array" ref="V472">_xlfn.IFS(tbl_working_daily[[#This Row],[VeryActiveMinutes]]&gt;=30,"Very Active",tbl_working_daily[[#This Row],[VeryActiveMinutes]]&gt;=15,"Moderately Active",tbl_working_daily[[#This Row],[VeryActiveMinutes]]&gt;=1,"Lightly Active",tbl_working_daily[[#This Row],[VeryActiveMinutes]]=0,"Sedentary")</f>
        <v>Very Active</v>
      </c>
      <c r="W472" t="str">
        <f>tbl_working_daily[[#This Row],[Id]]&amp;"|"&amp;TEXT(tbl_working_daily[[#This Row],[ActivityDate]],"yyyy-mm-dd")</f>
        <v>1503960366|2016-04-26</v>
      </c>
      <c r="X472" t="b">
        <f>ISNUMBER(MATCH(tbl_working_daily[[#This Row],[LookupKey]],tbl_working_sleep[LookupKey],0))</f>
        <v>1</v>
      </c>
    </row>
    <row r="473" spans="1:24" x14ac:dyDescent="0.3">
      <c r="A473">
        <v>1503960366</v>
      </c>
      <c r="B473" s="1">
        <v>42487</v>
      </c>
      <c r="C473">
        <v>18134</v>
      </c>
      <c r="D473">
        <v>12.210000038146999</v>
      </c>
      <c r="E473">
        <v>12.210000038146999</v>
      </c>
      <c r="F473">
        <v>0</v>
      </c>
      <c r="G473">
        <v>6.4000000953674299</v>
      </c>
      <c r="H473">
        <v>0.40999999642372098</v>
      </c>
      <c r="I473">
        <v>5.4099998474121103</v>
      </c>
      <c r="J473">
        <v>0</v>
      </c>
      <c r="K473">
        <v>78</v>
      </c>
      <c r="L473">
        <v>11</v>
      </c>
      <c r="M473">
        <v>243</v>
      </c>
      <c r="N473">
        <v>1108</v>
      </c>
      <c r="O473">
        <v>2159</v>
      </c>
      <c r="P473" t="str">
        <f>TEXT(tbl_working_daily[[#This Row],[ActivityDate]],"dddd")</f>
        <v>Wednesday</v>
      </c>
      <c r="Q473" t="str">
        <f>TEXT(tbl_working_daily[[#This Row],[ActivityDate]],"mmmm")</f>
        <v>April</v>
      </c>
      <c r="R473">
        <f t="shared" si="14"/>
        <v>332</v>
      </c>
      <c r="S473">
        <f t="shared" si="15"/>
        <v>1440</v>
      </c>
      <c r="T473">
        <f>ROUND(tbl_working_daily[[#This Row],[SedentaryMinutes]]/60,2)</f>
        <v>18.47</v>
      </c>
      <c r="U473" t="str" cm="1">
        <f t="array" ref="U47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3" t="str" cm="1">
        <f t="array" ref="V473">_xlfn.IFS(tbl_working_daily[[#This Row],[VeryActiveMinutes]]&gt;=30,"Very Active",tbl_working_daily[[#This Row],[VeryActiveMinutes]]&gt;=15,"Moderately Active",tbl_working_daily[[#This Row],[VeryActiveMinutes]]&gt;=1,"Lightly Active",tbl_working_daily[[#This Row],[VeryActiveMinutes]]=0,"Sedentary")</f>
        <v>Very Active</v>
      </c>
      <c r="W473" t="str">
        <f>tbl_working_daily[[#This Row],[Id]]&amp;"|"&amp;TEXT(tbl_working_daily[[#This Row],[ActivityDate]],"yyyy-mm-dd")</f>
        <v>1503960366|2016-04-27</v>
      </c>
      <c r="X473" t="b">
        <f>ISNUMBER(MATCH(tbl_working_daily[[#This Row],[LookupKey]],tbl_working_sleep[LookupKey],0))</f>
        <v>0</v>
      </c>
    </row>
    <row r="474" spans="1:24" x14ac:dyDescent="0.3">
      <c r="A474">
        <v>1503960366</v>
      </c>
      <c r="B474" s="1">
        <v>42488</v>
      </c>
      <c r="C474">
        <v>13154</v>
      </c>
      <c r="D474">
        <v>8.5299997329711896</v>
      </c>
      <c r="E474">
        <v>8.5299997329711896</v>
      </c>
      <c r="F474">
        <v>0</v>
      </c>
      <c r="G474">
        <v>3.53999996185303</v>
      </c>
      <c r="H474">
        <v>1.1599999666214</v>
      </c>
      <c r="I474">
        <v>3.78999996185303</v>
      </c>
      <c r="J474">
        <v>0</v>
      </c>
      <c r="K474">
        <v>48</v>
      </c>
      <c r="L474">
        <v>28</v>
      </c>
      <c r="M474">
        <v>189</v>
      </c>
      <c r="N474">
        <v>782</v>
      </c>
      <c r="O474">
        <v>1898</v>
      </c>
      <c r="P474" t="str">
        <f>TEXT(tbl_working_daily[[#This Row],[ActivityDate]],"dddd")</f>
        <v>Thursday</v>
      </c>
      <c r="Q474" t="str">
        <f>TEXT(tbl_working_daily[[#This Row],[ActivityDate]],"mmmm")</f>
        <v>April</v>
      </c>
      <c r="R474">
        <f t="shared" si="14"/>
        <v>265</v>
      </c>
      <c r="S474">
        <f t="shared" si="15"/>
        <v>1047</v>
      </c>
      <c r="T474">
        <f>ROUND(tbl_working_daily[[#This Row],[SedentaryMinutes]]/60,2)</f>
        <v>13.03</v>
      </c>
      <c r="U474" t="str" cm="1">
        <f t="array" ref="U47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4" t="str" cm="1">
        <f t="array" ref="V474">_xlfn.IFS(tbl_working_daily[[#This Row],[VeryActiveMinutes]]&gt;=30,"Very Active",tbl_working_daily[[#This Row],[VeryActiveMinutes]]&gt;=15,"Moderately Active",tbl_working_daily[[#This Row],[VeryActiveMinutes]]&gt;=1,"Lightly Active",tbl_working_daily[[#This Row],[VeryActiveMinutes]]=0,"Sedentary")</f>
        <v>Very Active</v>
      </c>
      <c r="W474" t="str">
        <f>tbl_working_daily[[#This Row],[Id]]&amp;"|"&amp;TEXT(tbl_working_daily[[#This Row],[ActivityDate]],"yyyy-mm-dd")</f>
        <v>1503960366|2016-04-28</v>
      </c>
      <c r="X474" t="b">
        <f>ISNUMBER(MATCH(tbl_working_daily[[#This Row],[LookupKey]],tbl_working_sleep[LookupKey],0))</f>
        <v>1</v>
      </c>
    </row>
    <row r="475" spans="1:24" x14ac:dyDescent="0.3">
      <c r="A475">
        <v>1503960366</v>
      </c>
      <c r="B475" s="1">
        <v>42489</v>
      </c>
      <c r="C475">
        <v>11181</v>
      </c>
      <c r="D475">
        <v>7.1500000953674299</v>
      </c>
      <c r="E475">
        <v>7.1500000953674299</v>
      </c>
      <c r="F475">
        <v>0</v>
      </c>
      <c r="G475">
        <v>1.0599999427795399</v>
      </c>
      <c r="H475">
        <v>0.5</v>
      </c>
      <c r="I475">
        <v>5.5799999237060502</v>
      </c>
      <c r="J475">
        <v>0</v>
      </c>
      <c r="K475">
        <v>16</v>
      </c>
      <c r="L475">
        <v>12</v>
      </c>
      <c r="M475">
        <v>243</v>
      </c>
      <c r="N475">
        <v>815</v>
      </c>
      <c r="O475">
        <v>1837</v>
      </c>
      <c r="P475" t="str">
        <f>TEXT(tbl_working_daily[[#This Row],[ActivityDate]],"dddd")</f>
        <v>Friday</v>
      </c>
      <c r="Q475" t="str">
        <f>TEXT(tbl_working_daily[[#This Row],[ActivityDate]],"mmmm")</f>
        <v>April</v>
      </c>
      <c r="R475">
        <f t="shared" si="14"/>
        <v>271</v>
      </c>
      <c r="S475">
        <f t="shared" si="15"/>
        <v>1086</v>
      </c>
      <c r="T475">
        <f>ROUND(tbl_working_daily[[#This Row],[SedentaryMinutes]]/60,2)</f>
        <v>13.58</v>
      </c>
      <c r="U475" t="str" cm="1">
        <f t="array" ref="U47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75" t="str" cm="1">
        <f t="array" ref="V475">_xlfn.IFS(tbl_working_daily[[#This Row],[VeryActiveMinutes]]&gt;=30,"Very Active",tbl_working_daily[[#This Row],[VeryActiveMinutes]]&gt;=15,"Moderately Active",tbl_working_daily[[#This Row],[VeryActiveMinutes]]&gt;=1,"Lightly Active",tbl_working_daily[[#This Row],[VeryActiveMinutes]]=0,"Sedentary")</f>
        <v>Moderately Active</v>
      </c>
      <c r="W475" t="str">
        <f>tbl_working_daily[[#This Row],[Id]]&amp;"|"&amp;TEXT(tbl_working_daily[[#This Row],[ActivityDate]],"yyyy-mm-dd")</f>
        <v>1503960366|2016-04-29</v>
      </c>
      <c r="X475" t="b">
        <f>ISNUMBER(MATCH(tbl_working_daily[[#This Row],[LookupKey]],tbl_working_sleep[LookupKey],0))</f>
        <v>1</v>
      </c>
    </row>
    <row r="476" spans="1:24" x14ac:dyDescent="0.3">
      <c r="A476">
        <v>1503960366</v>
      </c>
      <c r="B476" s="1">
        <v>42490</v>
      </c>
      <c r="C476">
        <v>14673</v>
      </c>
      <c r="D476">
        <v>9.25</v>
      </c>
      <c r="E476">
        <v>9.25</v>
      </c>
      <c r="F476">
        <v>0</v>
      </c>
      <c r="G476">
        <v>3.5599999427795401</v>
      </c>
      <c r="H476">
        <v>1.41999995708466</v>
      </c>
      <c r="I476">
        <v>4.2699999809265101</v>
      </c>
      <c r="J476">
        <v>0</v>
      </c>
      <c r="K476">
        <v>52</v>
      </c>
      <c r="L476">
        <v>34</v>
      </c>
      <c r="M476">
        <v>217</v>
      </c>
      <c r="N476">
        <v>712</v>
      </c>
      <c r="O476">
        <v>1947</v>
      </c>
      <c r="P476" t="str">
        <f>TEXT(tbl_working_daily[[#This Row],[ActivityDate]],"dddd")</f>
        <v>Saturday</v>
      </c>
      <c r="Q476" t="str">
        <f>TEXT(tbl_working_daily[[#This Row],[ActivityDate]],"mmmm")</f>
        <v>April</v>
      </c>
      <c r="R476">
        <f t="shared" si="14"/>
        <v>303</v>
      </c>
      <c r="S476">
        <f t="shared" si="15"/>
        <v>1015</v>
      </c>
      <c r="T476">
        <f>ROUND(tbl_working_daily[[#This Row],[SedentaryMinutes]]/60,2)</f>
        <v>11.87</v>
      </c>
      <c r="U476" t="str" cm="1">
        <f t="array" ref="U47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6" t="str" cm="1">
        <f t="array" ref="V476">_xlfn.IFS(tbl_working_daily[[#This Row],[VeryActiveMinutes]]&gt;=30,"Very Active",tbl_working_daily[[#This Row],[VeryActiveMinutes]]&gt;=15,"Moderately Active",tbl_working_daily[[#This Row],[VeryActiveMinutes]]&gt;=1,"Lightly Active",tbl_working_daily[[#This Row],[VeryActiveMinutes]]=0,"Sedentary")</f>
        <v>Very Active</v>
      </c>
      <c r="W476" t="str">
        <f>tbl_working_daily[[#This Row],[Id]]&amp;"|"&amp;TEXT(tbl_working_daily[[#This Row],[ActivityDate]],"yyyy-mm-dd")</f>
        <v>1503960366|2016-04-30</v>
      </c>
      <c r="X476" t="b">
        <f>ISNUMBER(MATCH(tbl_working_daily[[#This Row],[LookupKey]],tbl_working_sleep[LookupKey],0))</f>
        <v>1</v>
      </c>
    </row>
    <row r="477" spans="1:24" x14ac:dyDescent="0.3">
      <c r="A477">
        <v>1503960366</v>
      </c>
      <c r="B477" s="1">
        <v>42491</v>
      </c>
      <c r="C477">
        <v>10602</v>
      </c>
      <c r="D477">
        <v>6.8099999427795401</v>
      </c>
      <c r="E477">
        <v>6.8099999427795401</v>
      </c>
      <c r="F477">
        <v>0</v>
      </c>
      <c r="G477">
        <v>2.28999996185303</v>
      </c>
      <c r="H477">
        <v>1.6000000238418599</v>
      </c>
      <c r="I477">
        <v>2.9200000762939502</v>
      </c>
      <c r="J477">
        <v>0</v>
      </c>
      <c r="K477">
        <v>33</v>
      </c>
      <c r="L477">
        <v>35</v>
      </c>
      <c r="M477">
        <v>246</v>
      </c>
      <c r="N477">
        <v>730</v>
      </c>
      <c r="O477">
        <v>1820</v>
      </c>
      <c r="P477" t="str">
        <f>TEXT(tbl_working_daily[[#This Row],[ActivityDate]],"dddd")</f>
        <v>Sunday</v>
      </c>
      <c r="Q477" t="str">
        <f>TEXT(tbl_working_daily[[#This Row],[ActivityDate]],"mmmm")</f>
        <v>May</v>
      </c>
      <c r="R477">
        <f t="shared" si="14"/>
        <v>314</v>
      </c>
      <c r="S477">
        <f t="shared" si="15"/>
        <v>1044</v>
      </c>
      <c r="T477">
        <f>ROUND(tbl_working_daily[[#This Row],[SedentaryMinutes]]/60,2)</f>
        <v>12.17</v>
      </c>
      <c r="U477" t="str" cm="1">
        <f t="array" ref="U47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77" t="str" cm="1">
        <f t="array" ref="V477">_xlfn.IFS(tbl_working_daily[[#This Row],[VeryActiveMinutes]]&gt;=30,"Very Active",tbl_working_daily[[#This Row],[VeryActiveMinutes]]&gt;=15,"Moderately Active",tbl_working_daily[[#This Row],[VeryActiveMinutes]]&gt;=1,"Lightly Active",tbl_working_daily[[#This Row],[VeryActiveMinutes]]=0,"Sedentary")</f>
        <v>Very Active</v>
      </c>
      <c r="W477" t="str">
        <f>tbl_working_daily[[#This Row],[Id]]&amp;"|"&amp;TEXT(tbl_working_daily[[#This Row],[ActivityDate]],"yyyy-mm-dd")</f>
        <v>1503960366|2016-05-01</v>
      </c>
      <c r="X477" t="b">
        <f>ISNUMBER(MATCH(tbl_working_daily[[#This Row],[LookupKey]],tbl_working_sleep[LookupKey],0))</f>
        <v>1</v>
      </c>
    </row>
    <row r="478" spans="1:24" x14ac:dyDescent="0.3">
      <c r="A478">
        <v>1503960366</v>
      </c>
      <c r="B478" s="1">
        <v>42492</v>
      </c>
      <c r="C478">
        <v>14727</v>
      </c>
      <c r="D478">
        <v>9.7100000381469709</v>
      </c>
      <c r="E478">
        <v>9.7100000381469709</v>
      </c>
      <c r="F478">
        <v>0</v>
      </c>
      <c r="G478">
        <v>3.21000003814697</v>
      </c>
      <c r="H478">
        <v>0.56999999284744296</v>
      </c>
      <c r="I478">
        <v>5.9200000762939498</v>
      </c>
      <c r="J478">
        <v>0</v>
      </c>
      <c r="K478">
        <v>41</v>
      </c>
      <c r="L478">
        <v>15</v>
      </c>
      <c r="M478">
        <v>277</v>
      </c>
      <c r="N478">
        <v>798</v>
      </c>
      <c r="O478">
        <v>2004</v>
      </c>
      <c r="P478" t="str">
        <f>TEXT(tbl_working_daily[[#This Row],[ActivityDate]],"dddd")</f>
        <v>Monday</v>
      </c>
      <c r="Q478" t="str">
        <f>TEXT(tbl_working_daily[[#This Row],[ActivityDate]],"mmmm")</f>
        <v>May</v>
      </c>
      <c r="R478">
        <f t="shared" si="14"/>
        <v>333</v>
      </c>
      <c r="S478">
        <f t="shared" si="15"/>
        <v>1131</v>
      </c>
      <c r="T478">
        <f>ROUND(tbl_working_daily[[#This Row],[SedentaryMinutes]]/60,2)</f>
        <v>13.3</v>
      </c>
      <c r="U478" t="str" cm="1">
        <f t="array" ref="U47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8" t="str" cm="1">
        <f t="array" ref="V478">_xlfn.IFS(tbl_working_daily[[#This Row],[VeryActiveMinutes]]&gt;=30,"Very Active",tbl_working_daily[[#This Row],[VeryActiveMinutes]]&gt;=15,"Moderately Active",tbl_working_daily[[#This Row],[VeryActiveMinutes]]&gt;=1,"Lightly Active",tbl_working_daily[[#This Row],[VeryActiveMinutes]]=0,"Sedentary")</f>
        <v>Very Active</v>
      </c>
      <c r="W478" t="str">
        <f>tbl_working_daily[[#This Row],[Id]]&amp;"|"&amp;TEXT(tbl_working_daily[[#This Row],[ActivityDate]],"yyyy-mm-dd")</f>
        <v>1503960366|2016-05-02</v>
      </c>
      <c r="X478" t="b">
        <f>ISNUMBER(MATCH(tbl_working_daily[[#This Row],[LookupKey]],tbl_working_sleep[LookupKey],0))</f>
        <v>1</v>
      </c>
    </row>
    <row r="479" spans="1:24" x14ac:dyDescent="0.3">
      <c r="A479">
        <v>1503960366</v>
      </c>
      <c r="B479" s="1">
        <v>42493</v>
      </c>
      <c r="C479">
        <v>15103</v>
      </c>
      <c r="D479">
        <v>9.6599998474121094</v>
      </c>
      <c r="E479">
        <v>9.6599998474121094</v>
      </c>
      <c r="F479">
        <v>0</v>
      </c>
      <c r="G479">
        <v>3.7300000190734899</v>
      </c>
      <c r="H479">
        <v>1.04999995231628</v>
      </c>
      <c r="I479">
        <v>4.8800001144409197</v>
      </c>
      <c r="J479">
        <v>0</v>
      </c>
      <c r="K479">
        <v>50</v>
      </c>
      <c r="L479">
        <v>24</v>
      </c>
      <c r="M479">
        <v>254</v>
      </c>
      <c r="N479">
        <v>816</v>
      </c>
      <c r="O479">
        <v>1990</v>
      </c>
      <c r="P479" t="str">
        <f>TEXT(tbl_working_daily[[#This Row],[ActivityDate]],"dddd")</f>
        <v>Tuesday</v>
      </c>
      <c r="Q479" t="str">
        <f>TEXT(tbl_working_daily[[#This Row],[ActivityDate]],"mmmm")</f>
        <v>May</v>
      </c>
      <c r="R479">
        <f t="shared" si="14"/>
        <v>328</v>
      </c>
      <c r="S479">
        <f t="shared" si="15"/>
        <v>1144</v>
      </c>
      <c r="T479">
        <f>ROUND(tbl_working_daily[[#This Row],[SedentaryMinutes]]/60,2)</f>
        <v>13.6</v>
      </c>
      <c r="U479" t="str" cm="1">
        <f t="array" ref="U47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79" t="str" cm="1">
        <f t="array" ref="V479">_xlfn.IFS(tbl_working_daily[[#This Row],[VeryActiveMinutes]]&gt;=30,"Very Active",tbl_working_daily[[#This Row],[VeryActiveMinutes]]&gt;=15,"Moderately Active",tbl_working_daily[[#This Row],[VeryActiveMinutes]]&gt;=1,"Lightly Active",tbl_working_daily[[#This Row],[VeryActiveMinutes]]=0,"Sedentary")</f>
        <v>Very Active</v>
      </c>
      <c r="W479" t="str">
        <f>tbl_working_daily[[#This Row],[Id]]&amp;"|"&amp;TEXT(tbl_working_daily[[#This Row],[ActivityDate]],"yyyy-mm-dd")</f>
        <v>1503960366|2016-05-03</v>
      </c>
      <c r="X479" t="b">
        <f>ISNUMBER(MATCH(tbl_working_daily[[#This Row],[LookupKey]],tbl_working_sleep[LookupKey],0))</f>
        <v>1</v>
      </c>
    </row>
    <row r="480" spans="1:24" x14ac:dyDescent="0.3">
      <c r="A480">
        <v>1503960366</v>
      </c>
      <c r="B480" s="1">
        <v>42494</v>
      </c>
      <c r="C480">
        <v>11100</v>
      </c>
      <c r="D480">
        <v>7.1500000953674299</v>
      </c>
      <c r="E480">
        <v>7.1500000953674299</v>
      </c>
      <c r="F480">
        <v>0</v>
      </c>
      <c r="G480">
        <v>2.46000003814697</v>
      </c>
      <c r="H480">
        <v>0.87000000476837203</v>
      </c>
      <c r="I480">
        <v>3.8199999332428001</v>
      </c>
      <c r="J480">
        <v>0</v>
      </c>
      <c r="K480">
        <v>36</v>
      </c>
      <c r="L480">
        <v>22</v>
      </c>
      <c r="M480">
        <v>203</v>
      </c>
      <c r="N480">
        <v>1179</v>
      </c>
      <c r="O480">
        <v>1819</v>
      </c>
      <c r="P480" t="str">
        <f>TEXT(tbl_working_daily[[#This Row],[ActivityDate]],"dddd")</f>
        <v>Wednesday</v>
      </c>
      <c r="Q480" t="str">
        <f>TEXT(tbl_working_daily[[#This Row],[ActivityDate]],"mmmm")</f>
        <v>May</v>
      </c>
      <c r="R480">
        <f t="shared" si="14"/>
        <v>261</v>
      </c>
      <c r="S480">
        <f t="shared" si="15"/>
        <v>1440</v>
      </c>
      <c r="T480">
        <f>ROUND(tbl_working_daily[[#This Row],[SedentaryMinutes]]/60,2)</f>
        <v>19.649999999999999</v>
      </c>
      <c r="U480" t="str" cm="1">
        <f t="array" ref="U48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80" t="str" cm="1">
        <f t="array" ref="V480">_xlfn.IFS(tbl_working_daily[[#This Row],[VeryActiveMinutes]]&gt;=30,"Very Active",tbl_working_daily[[#This Row],[VeryActiveMinutes]]&gt;=15,"Moderately Active",tbl_working_daily[[#This Row],[VeryActiveMinutes]]&gt;=1,"Lightly Active",tbl_working_daily[[#This Row],[VeryActiveMinutes]]=0,"Sedentary")</f>
        <v>Very Active</v>
      </c>
      <c r="W480" t="str">
        <f>tbl_working_daily[[#This Row],[Id]]&amp;"|"&amp;TEXT(tbl_working_daily[[#This Row],[ActivityDate]],"yyyy-mm-dd")</f>
        <v>1503960366|2016-05-04</v>
      </c>
      <c r="X480" t="b">
        <f>ISNUMBER(MATCH(tbl_working_daily[[#This Row],[LookupKey]],tbl_working_sleep[LookupKey],0))</f>
        <v>0</v>
      </c>
    </row>
    <row r="481" spans="1:24" x14ac:dyDescent="0.3">
      <c r="A481">
        <v>1503960366</v>
      </c>
      <c r="B481" s="1">
        <v>42495</v>
      </c>
      <c r="C481">
        <v>14070</v>
      </c>
      <c r="D481">
        <v>8.8999996185302699</v>
      </c>
      <c r="E481">
        <v>8.8999996185302699</v>
      </c>
      <c r="F481">
        <v>0</v>
      </c>
      <c r="G481">
        <v>2.9200000762939502</v>
      </c>
      <c r="H481">
        <v>1.08000004291534</v>
      </c>
      <c r="I481">
        <v>4.8800001144409197</v>
      </c>
      <c r="J481">
        <v>0</v>
      </c>
      <c r="K481">
        <v>45</v>
      </c>
      <c r="L481">
        <v>24</v>
      </c>
      <c r="M481">
        <v>250</v>
      </c>
      <c r="N481">
        <v>857</v>
      </c>
      <c r="O481">
        <v>1959</v>
      </c>
      <c r="P481" t="str">
        <f>TEXT(tbl_working_daily[[#This Row],[ActivityDate]],"dddd")</f>
        <v>Thursday</v>
      </c>
      <c r="Q481" t="str">
        <f>TEXT(tbl_working_daily[[#This Row],[ActivityDate]],"mmmm")</f>
        <v>May</v>
      </c>
      <c r="R481">
        <f t="shared" si="14"/>
        <v>319</v>
      </c>
      <c r="S481">
        <f t="shared" si="15"/>
        <v>1176</v>
      </c>
      <c r="T481">
        <f>ROUND(tbl_working_daily[[#This Row],[SedentaryMinutes]]/60,2)</f>
        <v>14.28</v>
      </c>
      <c r="U481" t="str" cm="1">
        <f t="array" ref="U48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81" t="str" cm="1">
        <f t="array" ref="V481">_xlfn.IFS(tbl_working_daily[[#This Row],[VeryActiveMinutes]]&gt;=30,"Very Active",tbl_working_daily[[#This Row],[VeryActiveMinutes]]&gt;=15,"Moderately Active",tbl_working_daily[[#This Row],[VeryActiveMinutes]]&gt;=1,"Lightly Active",tbl_working_daily[[#This Row],[VeryActiveMinutes]]=0,"Sedentary")</f>
        <v>Very Active</v>
      </c>
      <c r="W481" t="str">
        <f>tbl_working_daily[[#This Row],[Id]]&amp;"|"&amp;TEXT(tbl_working_daily[[#This Row],[ActivityDate]],"yyyy-mm-dd")</f>
        <v>1503960366|2016-05-05</v>
      </c>
      <c r="X481" t="b">
        <f>ISNUMBER(MATCH(tbl_working_daily[[#This Row],[LookupKey]],tbl_working_sleep[LookupKey],0))</f>
        <v>1</v>
      </c>
    </row>
    <row r="482" spans="1:24" x14ac:dyDescent="0.3">
      <c r="A482">
        <v>1503960366</v>
      </c>
      <c r="B482" s="1">
        <v>42496</v>
      </c>
      <c r="C482">
        <v>12159</v>
      </c>
      <c r="D482">
        <v>8.0299997329711896</v>
      </c>
      <c r="E482">
        <v>8.0299997329711896</v>
      </c>
      <c r="F482">
        <v>0</v>
      </c>
      <c r="G482">
        <v>1.9700000286102299</v>
      </c>
      <c r="H482">
        <v>0.25</v>
      </c>
      <c r="I482">
        <v>5.8099999427795401</v>
      </c>
      <c r="J482">
        <v>0</v>
      </c>
      <c r="K482">
        <v>24</v>
      </c>
      <c r="L482">
        <v>6</v>
      </c>
      <c r="M482">
        <v>289</v>
      </c>
      <c r="N482">
        <v>754</v>
      </c>
      <c r="O482">
        <v>1896</v>
      </c>
      <c r="P482" t="str">
        <f>TEXT(tbl_working_daily[[#This Row],[ActivityDate]],"dddd")</f>
        <v>Friday</v>
      </c>
      <c r="Q482" t="str">
        <f>TEXT(tbl_working_daily[[#This Row],[ActivityDate]],"mmmm")</f>
        <v>May</v>
      </c>
      <c r="R482">
        <f t="shared" si="14"/>
        <v>319</v>
      </c>
      <c r="S482">
        <f t="shared" si="15"/>
        <v>1073</v>
      </c>
      <c r="T482">
        <f>ROUND(tbl_working_daily[[#This Row],[SedentaryMinutes]]/60,2)</f>
        <v>12.57</v>
      </c>
      <c r="U482" t="str" cm="1">
        <f t="array" ref="U48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82" t="str" cm="1">
        <f t="array" ref="V482">_xlfn.IFS(tbl_working_daily[[#This Row],[VeryActiveMinutes]]&gt;=30,"Very Active",tbl_working_daily[[#This Row],[VeryActiveMinutes]]&gt;=15,"Moderately Active",tbl_working_daily[[#This Row],[VeryActiveMinutes]]&gt;=1,"Lightly Active",tbl_working_daily[[#This Row],[VeryActiveMinutes]]=0,"Sedentary")</f>
        <v>Moderately Active</v>
      </c>
      <c r="W482" t="str">
        <f>tbl_working_daily[[#This Row],[Id]]&amp;"|"&amp;TEXT(tbl_working_daily[[#This Row],[ActivityDate]],"yyyy-mm-dd")</f>
        <v>1503960366|2016-05-06</v>
      </c>
      <c r="X482" t="b">
        <f>ISNUMBER(MATCH(tbl_working_daily[[#This Row],[LookupKey]],tbl_working_sleep[LookupKey],0))</f>
        <v>1</v>
      </c>
    </row>
    <row r="483" spans="1:24" x14ac:dyDescent="0.3">
      <c r="A483">
        <v>1503960366</v>
      </c>
      <c r="B483" s="1">
        <v>42497</v>
      </c>
      <c r="C483">
        <v>11992</v>
      </c>
      <c r="D483">
        <v>7.71000003814697</v>
      </c>
      <c r="E483">
        <v>7.71000003814697</v>
      </c>
      <c r="F483">
        <v>0</v>
      </c>
      <c r="G483">
        <v>2.46000003814697</v>
      </c>
      <c r="H483">
        <v>2.1199998855590798</v>
      </c>
      <c r="I483">
        <v>3.1300001144409202</v>
      </c>
      <c r="J483">
        <v>0</v>
      </c>
      <c r="K483">
        <v>37</v>
      </c>
      <c r="L483">
        <v>46</v>
      </c>
      <c r="M483">
        <v>175</v>
      </c>
      <c r="N483">
        <v>833</v>
      </c>
      <c r="O483">
        <v>1821</v>
      </c>
      <c r="P483" t="str">
        <f>TEXT(tbl_working_daily[[#This Row],[ActivityDate]],"dddd")</f>
        <v>Saturday</v>
      </c>
      <c r="Q483" t="str">
        <f>TEXT(tbl_working_daily[[#This Row],[ActivityDate]],"mmmm")</f>
        <v>May</v>
      </c>
      <c r="R483">
        <f t="shared" si="14"/>
        <v>258</v>
      </c>
      <c r="S483">
        <f t="shared" si="15"/>
        <v>1091</v>
      </c>
      <c r="T483">
        <f>ROUND(tbl_working_daily[[#This Row],[SedentaryMinutes]]/60,2)</f>
        <v>13.88</v>
      </c>
      <c r="U483" t="str" cm="1">
        <f t="array" ref="U48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83" t="str" cm="1">
        <f t="array" ref="V483">_xlfn.IFS(tbl_working_daily[[#This Row],[VeryActiveMinutes]]&gt;=30,"Very Active",tbl_working_daily[[#This Row],[VeryActiveMinutes]]&gt;=15,"Moderately Active",tbl_working_daily[[#This Row],[VeryActiveMinutes]]&gt;=1,"Lightly Active",tbl_working_daily[[#This Row],[VeryActiveMinutes]]=0,"Sedentary")</f>
        <v>Very Active</v>
      </c>
      <c r="W483" t="str">
        <f>tbl_working_daily[[#This Row],[Id]]&amp;"|"&amp;TEXT(tbl_working_daily[[#This Row],[ActivityDate]],"yyyy-mm-dd")</f>
        <v>1503960366|2016-05-07</v>
      </c>
      <c r="X483" t="b">
        <f>ISNUMBER(MATCH(tbl_working_daily[[#This Row],[LookupKey]],tbl_working_sleep[LookupKey],0))</f>
        <v>1</v>
      </c>
    </row>
    <row r="484" spans="1:24" x14ac:dyDescent="0.3">
      <c r="A484">
        <v>1503960366</v>
      </c>
      <c r="B484" s="1">
        <v>42498</v>
      </c>
      <c r="C484">
        <v>10060</v>
      </c>
      <c r="D484">
        <v>6.5799999237060502</v>
      </c>
      <c r="E484">
        <v>6.5799999237060502</v>
      </c>
      <c r="F484">
        <v>0</v>
      </c>
      <c r="G484">
        <v>3.5299999713897701</v>
      </c>
      <c r="H484">
        <v>0.31999999284744302</v>
      </c>
      <c r="I484">
        <v>2.7300000190734899</v>
      </c>
      <c r="J484">
        <v>0</v>
      </c>
      <c r="K484">
        <v>44</v>
      </c>
      <c r="L484">
        <v>8</v>
      </c>
      <c r="M484">
        <v>203</v>
      </c>
      <c r="N484">
        <v>574</v>
      </c>
      <c r="O484">
        <v>1740</v>
      </c>
      <c r="P484" t="str">
        <f>TEXT(tbl_working_daily[[#This Row],[ActivityDate]],"dddd")</f>
        <v>Sunday</v>
      </c>
      <c r="Q484" t="str">
        <f>TEXT(tbl_working_daily[[#This Row],[ActivityDate]],"mmmm")</f>
        <v>May</v>
      </c>
      <c r="R484">
        <f t="shared" si="14"/>
        <v>255</v>
      </c>
      <c r="S484">
        <f t="shared" si="15"/>
        <v>829</v>
      </c>
      <c r="T484">
        <f>ROUND(tbl_working_daily[[#This Row],[SedentaryMinutes]]/60,2)</f>
        <v>9.57</v>
      </c>
      <c r="U484" t="str" cm="1">
        <f t="array" ref="U48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84" t="str" cm="1">
        <f t="array" ref="V484">_xlfn.IFS(tbl_working_daily[[#This Row],[VeryActiveMinutes]]&gt;=30,"Very Active",tbl_working_daily[[#This Row],[VeryActiveMinutes]]&gt;=15,"Moderately Active",tbl_working_daily[[#This Row],[VeryActiveMinutes]]&gt;=1,"Lightly Active",tbl_working_daily[[#This Row],[VeryActiveMinutes]]=0,"Sedentary")</f>
        <v>Very Active</v>
      </c>
      <c r="W484" t="str">
        <f>tbl_working_daily[[#This Row],[Id]]&amp;"|"&amp;TEXT(tbl_working_daily[[#This Row],[ActivityDate]],"yyyy-mm-dd")</f>
        <v>1503960366|2016-05-08</v>
      </c>
      <c r="X484" t="b">
        <f>ISNUMBER(MATCH(tbl_working_daily[[#This Row],[LookupKey]],tbl_working_sleep[LookupKey],0))</f>
        <v>1</v>
      </c>
    </row>
    <row r="485" spans="1:24" x14ac:dyDescent="0.3">
      <c r="A485">
        <v>1503960366</v>
      </c>
      <c r="B485" s="1">
        <v>42499</v>
      </c>
      <c r="C485">
        <v>12022</v>
      </c>
      <c r="D485">
        <v>7.7199997901916504</v>
      </c>
      <c r="E485">
        <v>7.7199997901916504</v>
      </c>
      <c r="F485">
        <v>0</v>
      </c>
      <c r="G485">
        <v>3.4500000476837198</v>
      </c>
      <c r="H485">
        <v>0.52999997138977095</v>
      </c>
      <c r="I485">
        <v>3.7400000095367401</v>
      </c>
      <c r="J485">
        <v>0</v>
      </c>
      <c r="K485">
        <v>46</v>
      </c>
      <c r="L485">
        <v>11</v>
      </c>
      <c r="M485">
        <v>206</v>
      </c>
      <c r="N485">
        <v>835</v>
      </c>
      <c r="O485">
        <v>1819</v>
      </c>
      <c r="P485" t="str">
        <f>TEXT(tbl_working_daily[[#This Row],[ActivityDate]],"dddd")</f>
        <v>Monday</v>
      </c>
      <c r="Q485" t="str">
        <f>TEXT(tbl_working_daily[[#This Row],[ActivityDate]],"mmmm")</f>
        <v>May</v>
      </c>
      <c r="R485">
        <f t="shared" si="14"/>
        <v>263</v>
      </c>
      <c r="S485">
        <f t="shared" si="15"/>
        <v>1098</v>
      </c>
      <c r="T485">
        <f>ROUND(tbl_working_daily[[#This Row],[SedentaryMinutes]]/60,2)</f>
        <v>13.92</v>
      </c>
      <c r="U485" t="str" cm="1">
        <f t="array" ref="U48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85" t="str" cm="1">
        <f t="array" ref="V485">_xlfn.IFS(tbl_working_daily[[#This Row],[VeryActiveMinutes]]&gt;=30,"Very Active",tbl_working_daily[[#This Row],[VeryActiveMinutes]]&gt;=15,"Moderately Active",tbl_working_daily[[#This Row],[VeryActiveMinutes]]&gt;=1,"Lightly Active",tbl_working_daily[[#This Row],[VeryActiveMinutes]]=0,"Sedentary")</f>
        <v>Very Active</v>
      </c>
      <c r="W485" t="str">
        <f>tbl_working_daily[[#This Row],[Id]]&amp;"|"&amp;TEXT(tbl_working_daily[[#This Row],[ActivityDate]],"yyyy-mm-dd")</f>
        <v>1503960366|2016-05-09</v>
      </c>
      <c r="X485" t="b">
        <f>ISNUMBER(MATCH(tbl_working_daily[[#This Row],[LookupKey]],tbl_working_sleep[LookupKey],0))</f>
        <v>1</v>
      </c>
    </row>
    <row r="486" spans="1:24" x14ac:dyDescent="0.3">
      <c r="A486">
        <v>1503960366</v>
      </c>
      <c r="B486" s="1">
        <v>42500</v>
      </c>
      <c r="C486">
        <v>12207</v>
      </c>
      <c r="D486">
        <v>7.7699999809265101</v>
      </c>
      <c r="E486">
        <v>7.7699999809265101</v>
      </c>
      <c r="F486">
        <v>0</v>
      </c>
      <c r="G486">
        <v>3.3499999046325701</v>
      </c>
      <c r="H486">
        <v>1.1599999666214</v>
      </c>
      <c r="I486">
        <v>3.2599999904632599</v>
      </c>
      <c r="J486">
        <v>0</v>
      </c>
      <c r="K486">
        <v>46</v>
      </c>
      <c r="L486">
        <v>31</v>
      </c>
      <c r="M486">
        <v>214</v>
      </c>
      <c r="N486">
        <v>746</v>
      </c>
      <c r="O486">
        <v>1859</v>
      </c>
      <c r="P486" t="str">
        <f>TEXT(tbl_working_daily[[#This Row],[ActivityDate]],"dddd")</f>
        <v>Tuesday</v>
      </c>
      <c r="Q486" t="str">
        <f>TEXT(tbl_working_daily[[#This Row],[ActivityDate]],"mmmm")</f>
        <v>May</v>
      </c>
      <c r="R486">
        <f t="shared" si="14"/>
        <v>291</v>
      </c>
      <c r="S486">
        <f t="shared" si="15"/>
        <v>1037</v>
      </c>
      <c r="T486">
        <f>ROUND(tbl_working_daily[[#This Row],[SedentaryMinutes]]/60,2)</f>
        <v>12.43</v>
      </c>
      <c r="U486" t="str" cm="1">
        <f t="array" ref="U48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86" t="str" cm="1">
        <f t="array" ref="V486">_xlfn.IFS(tbl_working_daily[[#This Row],[VeryActiveMinutes]]&gt;=30,"Very Active",tbl_working_daily[[#This Row],[VeryActiveMinutes]]&gt;=15,"Moderately Active",tbl_working_daily[[#This Row],[VeryActiveMinutes]]&gt;=1,"Lightly Active",tbl_working_daily[[#This Row],[VeryActiveMinutes]]=0,"Sedentary")</f>
        <v>Very Active</v>
      </c>
      <c r="W486" t="str">
        <f>tbl_working_daily[[#This Row],[Id]]&amp;"|"&amp;TEXT(tbl_working_daily[[#This Row],[ActivityDate]],"yyyy-mm-dd")</f>
        <v>1503960366|2016-05-10</v>
      </c>
      <c r="X486" t="b">
        <f>ISNUMBER(MATCH(tbl_working_daily[[#This Row],[LookupKey]],tbl_working_sleep[LookupKey],0))</f>
        <v>1</v>
      </c>
    </row>
    <row r="487" spans="1:24" x14ac:dyDescent="0.3">
      <c r="A487">
        <v>1503960366</v>
      </c>
      <c r="B487" s="1">
        <v>42501</v>
      </c>
      <c r="C487">
        <v>12770</v>
      </c>
      <c r="D487">
        <v>8.1300001144409197</v>
      </c>
      <c r="E487">
        <v>8.1300001144409197</v>
      </c>
      <c r="F487">
        <v>0</v>
      </c>
      <c r="G487">
        <v>2.5599999427795401</v>
      </c>
      <c r="H487">
        <v>1.0099999904632599</v>
      </c>
      <c r="I487">
        <v>4.5500001907348597</v>
      </c>
      <c r="J487">
        <v>0</v>
      </c>
      <c r="K487">
        <v>36</v>
      </c>
      <c r="L487">
        <v>23</v>
      </c>
      <c r="M487">
        <v>251</v>
      </c>
      <c r="N487">
        <v>669</v>
      </c>
      <c r="O487">
        <v>1783</v>
      </c>
      <c r="P487" t="str">
        <f>TEXT(tbl_working_daily[[#This Row],[ActivityDate]],"dddd")</f>
        <v>Wednesday</v>
      </c>
      <c r="Q487" t="str">
        <f>TEXT(tbl_working_daily[[#This Row],[ActivityDate]],"mmmm")</f>
        <v>May</v>
      </c>
      <c r="R487">
        <f t="shared" si="14"/>
        <v>310</v>
      </c>
      <c r="S487">
        <f t="shared" si="15"/>
        <v>979</v>
      </c>
      <c r="T487">
        <f>ROUND(tbl_working_daily[[#This Row],[SedentaryMinutes]]/60,2)</f>
        <v>11.15</v>
      </c>
      <c r="U487" t="str" cm="1">
        <f t="array" ref="U48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487" t="str" cm="1">
        <f t="array" ref="V487">_xlfn.IFS(tbl_working_daily[[#This Row],[VeryActiveMinutes]]&gt;=30,"Very Active",tbl_working_daily[[#This Row],[VeryActiveMinutes]]&gt;=15,"Moderately Active",tbl_working_daily[[#This Row],[VeryActiveMinutes]]&gt;=1,"Lightly Active",tbl_working_daily[[#This Row],[VeryActiveMinutes]]=0,"Sedentary")</f>
        <v>Very Active</v>
      </c>
      <c r="W487" t="str">
        <f>tbl_working_daily[[#This Row],[Id]]&amp;"|"&amp;TEXT(tbl_working_daily[[#This Row],[ActivityDate]],"yyyy-mm-dd")</f>
        <v>1503960366|2016-05-11</v>
      </c>
      <c r="X487" t="b">
        <f>ISNUMBER(MATCH(tbl_working_daily[[#This Row],[LookupKey]],tbl_working_sleep[LookupKey],0))</f>
        <v>1</v>
      </c>
    </row>
    <row r="488" spans="1:24" x14ac:dyDescent="0.3">
      <c r="A488">
        <v>1503960366</v>
      </c>
      <c r="B488" s="1">
        <v>42502</v>
      </c>
      <c r="C488">
        <v>0</v>
      </c>
      <c r="D488">
        <v>0</v>
      </c>
      <c r="E488">
        <v>0</v>
      </c>
      <c r="F488">
        <v>0</v>
      </c>
      <c r="G488">
        <v>0</v>
      </c>
      <c r="H488">
        <v>0</v>
      </c>
      <c r="I488">
        <v>0</v>
      </c>
      <c r="J488">
        <v>0</v>
      </c>
      <c r="K488">
        <v>0</v>
      </c>
      <c r="L488">
        <v>0</v>
      </c>
      <c r="M488">
        <v>0</v>
      </c>
      <c r="N488">
        <v>1440</v>
      </c>
      <c r="O488">
        <v>0</v>
      </c>
      <c r="P488" t="str">
        <f>TEXT(tbl_working_daily[[#This Row],[ActivityDate]],"dddd")</f>
        <v>Thursday</v>
      </c>
      <c r="Q488" t="str">
        <f>TEXT(tbl_working_daily[[#This Row],[ActivityDate]],"mmmm")</f>
        <v>May</v>
      </c>
      <c r="R488">
        <f t="shared" si="14"/>
        <v>0</v>
      </c>
      <c r="S488">
        <f t="shared" si="15"/>
        <v>1440</v>
      </c>
      <c r="T488">
        <f>ROUND(tbl_working_daily[[#This Row],[SedentaryMinutes]]/60,2)</f>
        <v>24</v>
      </c>
      <c r="U488" t="str" cm="1">
        <f t="array" ref="U4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88" t="str" cm="1">
        <f t="array" ref="V488">_xlfn.IFS(tbl_working_daily[[#This Row],[VeryActiveMinutes]]&gt;=30,"Very Active",tbl_working_daily[[#This Row],[VeryActiveMinutes]]&gt;=15,"Moderately Active",tbl_working_daily[[#This Row],[VeryActiveMinutes]]&gt;=1,"Lightly Active",tbl_working_daily[[#This Row],[VeryActiveMinutes]]=0,"Sedentary")</f>
        <v>Sedentary</v>
      </c>
      <c r="W488" t="str">
        <f>tbl_working_daily[[#This Row],[Id]]&amp;"|"&amp;TEXT(tbl_working_daily[[#This Row],[ActivityDate]],"yyyy-mm-dd")</f>
        <v>1503960366|2016-05-12</v>
      </c>
      <c r="X488" t="b">
        <f>ISNUMBER(MATCH(tbl_working_daily[[#This Row],[LookupKey]],tbl_working_sleep[LookupKey],0))</f>
        <v>0</v>
      </c>
    </row>
    <row r="489" spans="1:24" x14ac:dyDescent="0.3">
      <c r="A489">
        <v>1624580081</v>
      </c>
      <c r="B489" s="1">
        <v>42473</v>
      </c>
      <c r="C489">
        <v>7007</v>
      </c>
      <c r="D489">
        <v>4.5500001907348597</v>
      </c>
      <c r="E489">
        <v>4.5500001907348597</v>
      </c>
      <c r="F489">
        <v>0</v>
      </c>
      <c r="G489">
        <v>0</v>
      </c>
      <c r="H489">
        <v>0</v>
      </c>
      <c r="I489">
        <v>4.5500001907348597</v>
      </c>
      <c r="J489">
        <v>0</v>
      </c>
      <c r="K489">
        <v>0</v>
      </c>
      <c r="L489">
        <v>0</v>
      </c>
      <c r="M489">
        <v>148</v>
      </c>
      <c r="N489">
        <v>1292</v>
      </c>
      <c r="O489">
        <v>1411</v>
      </c>
      <c r="P489" t="str">
        <f>TEXT(tbl_working_daily[[#This Row],[ActivityDate]],"dddd")</f>
        <v>Wednesday</v>
      </c>
      <c r="Q489" t="str">
        <f>TEXT(tbl_working_daily[[#This Row],[ActivityDate]],"mmmm")</f>
        <v>April</v>
      </c>
      <c r="R489">
        <f t="shared" si="14"/>
        <v>148</v>
      </c>
      <c r="S489">
        <f t="shared" si="15"/>
        <v>1440</v>
      </c>
      <c r="T489">
        <f>ROUND(tbl_working_daily[[#This Row],[SedentaryMinutes]]/60,2)</f>
        <v>21.53</v>
      </c>
      <c r="U489" t="str" cm="1">
        <f t="array" ref="U48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89" t="str" cm="1">
        <f t="array" ref="V489">_xlfn.IFS(tbl_working_daily[[#This Row],[VeryActiveMinutes]]&gt;=30,"Very Active",tbl_working_daily[[#This Row],[VeryActiveMinutes]]&gt;=15,"Moderately Active",tbl_working_daily[[#This Row],[VeryActiveMinutes]]&gt;=1,"Lightly Active",tbl_working_daily[[#This Row],[VeryActiveMinutes]]=0,"Sedentary")</f>
        <v>Sedentary</v>
      </c>
      <c r="W489" t="str">
        <f>tbl_working_daily[[#This Row],[Id]]&amp;"|"&amp;TEXT(tbl_working_daily[[#This Row],[ActivityDate]],"yyyy-mm-dd")</f>
        <v>1624580081|2016-04-13</v>
      </c>
      <c r="X489" t="b">
        <f>ISNUMBER(MATCH(tbl_working_daily[[#This Row],[LookupKey]],tbl_working_sleep[LookupKey],0))</f>
        <v>0</v>
      </c>
    </row>
    <row r="490" spans="1:24" x14ac:dyDescent="0.3">
      <c r="A490">
        <v>1624580081</v>
      </c>
      <c r="B490" s="1">
        <v>42474</v>
      </c>
      <c r="C490">
        <v>9107</v>
      </c>
      <c r="D490">
        <v>5.9200000762939498</v>
      </c>
      <c r="E490">
        <v>5.9200000762939498</v>
      </c>
      <c r="F490">
        <v>0</v>
      </c>
      <c r="G490">
        <v>0</v>
      </c>
      <c r="H490">
        <v>0</v>
      </c>
      <c r="I490">
        <v>5.9099998474121103</v>
      </c>
      <c r="J490">
        <v>9.9999997764825804E-3</v>
      </c>
      <c r="K490">
        <v>0</v>
      </c>
      <c r="L490">
        <v>0</v>
      </c>
      <c r="M490">
        <v>236</v>
      </c>
      <c r="N490">
        <v>1204</v>
      </c>
      <c r="O490">
        <v>1572</v>
      </c>
      <c r="P490" t="str">
        <f>TEXT(tbl_working_daily[[#This Row],[ActivityDate]],"dddd")</f>
        <v>Thursday</v>
      </c>
      <c r="Q490" t="str">
        <f>TEXT(tbl_working_daily[[#This Row],[ActivityDate]],"mmmm")</f>
        <v>April</v>
      </c>
      <c r="R490">
        <f t="shared" si="14"/>
        <v>236</v>
      </c>
      <c r="S490">
        <f t="shared" si="15"/>
        <v>1440</v>
      </c>
      <c r="T490">
        <f>ROUND(tbl_working_daily[[#This Row],[SedentaryMinutes]]/60,2)</f>
        <v>20.07</v>
      </c>
      <c r="U490" t="str" cm="1">
        <f t="array" ref="U49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90" t="str" cm="1">
        <f t="array" ref="V490">_xlfn.IFS(tbl_working_daily[[#This Row],[VeryActiveMinutes]]&gt;=30,"Very Active",tbl_working_daily[[#This Row],[VeryActiveMinutes]]&gt;=15,"Moderately Active",tbl_working_daily[[#This Row],[VeryActiveMinutes]]&gt;=1,"Lightly Active",tbl_working_daily[[#This Row],[VeryActiveMinutes]]=0,"Sedentary")</f>
        <v>Sedentary</v>
      </c>
      <c r="W490" t="str">
        <f>tbl_working_daily[[#This Row],[Id]]&amp;"|"&amp;TEXT(tbl_working_daily[[#This Row],[ActivityDate]],"yyyy-mm-dd")</f>
        <v>1624580081|2016-04-14</v>
      </c>
      <c r="X490" t="b">
        <f>ISNUMBER(MATCH(tbl_working_daily[[#This Row],[LookupKey]],tbl_working_sleep[LookupKey],0))</f>
        <v>0</v>
      </c>
    </row>
    <row r="491" spans="1:24" x14ac:dyDescent="0.3">
      <c r="A491">
        <v>1624580081</v>
      </c>
      <c r="B491" s="1">
        <v>42475</v>
      </c>
      <c r="C491">
        <v>1510</v>
      </c>
      <c r="D491">
        <v>0.980000019073486</v>
      </c>
      <c r="E491">
        <v>0.980000019073486</v>
      </c>
      <c r="F491">
        <v>0</v>
      </c>
      <c r="G491">
        <v>0</v>
      </c>
      <c r="H491">
        <v>0</v>
      </c>
      <c r="I491">
        <v>0.97000002861022905</v>
      </c>
      <c r="J491">
        <v>0</v>
      </c>
      <c r="K491">
        <v>0</v>
      </c>
      <c r="L491">
        <v>0</v>
      </c>
      <c r="M491">
        <v>96</v>
      </c>
      <c r="N491">
        <v>1344</v>
      </c>
      <c r="O491">
        <v>1344</v>
      </c>
      <c r="P491" t="str">
        <f>TEXT(tbl_working_daily[[#This Row],[ActivityDate]],"dddd")</f>
        <v>Friday</v>
      </c>
      <c r="Q491" t="str">
        <f>TEXT(tbl_working_daily[[#This Row],[ActivityDate]],"mmmm")</f>
        <v>April</v>
      </c>
      <c r="R491">
        <f t="shared" si="14"/>
        <v>96</v>
      </c>
      <c r="S491">
        <f t="shared" si="15"/>
        <v>1440</v>
      </c>
      <c r="T491">
        <f>ROUND(tbl_working_daily[[#This Row],[SedentaryMinutes]]/60,2)</f>
        <v>22.4</v>
      </c>
      <c r="U491" t="str" cm="1">
        <f t="array" ref="U4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91" t="str" cm="1">
        <f t="array" ref="V491">_xlfn.IFS(tbl_working_daily[[#This Row],[VeryActiveMinutes]]&gt;=30,"Very Active",tbl_working_daily[[#This Row],[VeryActiveMinutes]]&gt;=15,"Moderately Active",tbl_working_daily[[#This Row],[VeryActiveMinutes]]&gt;=1,"Lightly Active",tbl_working_daily[[#This Row],[VeryActiveMinutes]]=0,"Sedentary")</f>
        <v>Sedentary</v>
      </c>
      <c r="W491" t="str">
        <f>tbl_working_daily[[#This Row],[Id]]&amp;"|"&amp;TEXT(tbl_working_daily[[#This Row],[ActivityDate]],"yyyy-mm-dd")</f>
        <v>1624580081|2016-04-15</v>
      </c>
      <c r="X491" t="b">
        <f>ISNUMBER(MATCH(tbl_working_daily[[#This Row],[LookupKey]],tbl_working_sleep[LookupKey],0))</f>
        <v>0</v>
      </c>
    </row>
    <row r="492" spans="1:24" x14ac:dyDescent="0.3">
      <c r="A492">
        <v>1624580081</v>
      </c>
      <c r="B492" s="1">
        <v>42476</v>
      </c>
      <c r="C492">
        <v>5370</v>
      </c>
      <c r="D492">
        <v>3.4900000095367401</v>
      </c>
      <c r="E492">
        <v>3.4900000095367401</v>
      </c>
      <c r="F492">
        <v>0</v>
      </c>
      <c r="G492">
        <v>0</v>
      </c>
      <c r="H492">
        <v>0</v>
      </c>
      <c r="I492">
        <v>3.4900000095367401</v>
      </c>
      <c r="J492">
        <v>0</v>
      </c>
      <c r="K492">
        <v>0</v>
      </c>
      <c r="L492">
        <v>0</v>
      </c>
      <c r="M492">
        <v>176</v>
      </c>
      <c r="N492">
        <v>1264</v>
      </c>
      <c r="O492">
        <v>1463</v>
      </c>
      <c r="P492" t="str">
        <f>TEXT(tbl_working_daily[[#This Row],[ActivityDate]],"dddd")</f>
        <v>Saturday</v>
      </c>
      <c r="Q492" t="str">
        <f>TEXT(tbl_working_daily[[#This Row],[ActivityDate]],"mmmm")</f>
        <v>April</v>
      </c>
      <c r="R492">
        <f t="shared" si="14"/>
        <v>176</v>
      </c>
      <c r="S492">
        <f t="shared" si="15"/>
        <v>1440</v>
      </c>
      <c r="T492">
        <f>ROUND(tbl_working_daily[[#This Row],[SedentaryMinutes]]/60,2)</f>
        <v>21.07</v>
      </c>
      <c r="U492" t="str" cm="1">
        <f t="array" ref="U49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92" t="str" cm="1">
        <f t="array" ref="V492">_xlfn.IFS(tbl_working_daily[[#This Row],[VeryActiveMinutes]]&gt;=30,"Very Active",tbl_working_daily[[#This Row],[VeryActiveMinutes]]&gt;=15,"Moderately Active",tbl_working_daily[[#This Row],[VeryActiveMinutes]]&gt;=1,"Lightly Active",tbl_working_daily[[#This Row],[VeryActiveMinutes]]=0,"Sedentary")</f>
        <v>Sedentary</v>
      </c>
      <c r="W492" t="str">
        <f>tbl_working_daily[[#This Row],[Id]]&amp;"|"&amp;TEXT(tbl_working_daily[[#This Row],[ActivityDate]],"yyyy-mm-dd")</f>
        <v>1624580081|2016-04-16</v>
      </c>
      <c r="X492" t="b">
        <f>ISNUMBER(MATCH(tbl_working_daily[[#This Row],[LookupKey]],tbl_working_sleep[LookupKey],0))</f>
        <v>0</v>
      </c>
    </row>
    <row r="493" spans="1:24" x14ac:dyDescent="0.3">
      <c r="A493">
        <v>1624580081</v>
      </c>
      <c r="B493" s="1">
        <v>42477</v>
      </c>
      <c r="C493">
        <v>6175</v>
      </c>
      <c r="D493">
        <v>4.0599999427795401</v>
      </c>
      <c r="E493">
        <v>4.0599999427795401</v>
      </c>
      <c r="F493">
        <v>0</v>
      </c>
      <c r="G493">
        <v>1.0299999713897701</v>
      </c>
      <c r="H493">
        <v>1.5199999809265099</v>
      </c>
      <c r="I493">
        <v>1.4900000095367401</v>
      </c>
      <c r="J493">
        <v>9.9999997764825804E-3</v>
      </c>
      <c r="K493">
        <v>15</v>
      </c>
      <c r="L493">
        <v>22</v>
      </c>
      <c r="M493">
        <v>127</v>
      </c>
      <c r="N493">
        <v>1276</v>
      </c>
      <c r="O493">
        <v>1554</v>
      </c>
      <c r="P493" t="str">
        <f>TEXT(tbl_working_daily[[#This Row],[ActivityDate]],"dddd")</f>
        <v>Sunday</v>
      </c>
      <c r="Q493" t="str">
        <f>TEXT(tbl_working_daily[[#This Row],[ActivityDate]],"mmmm")</f>
        <v>April</v>
      </c>
      <c r="R493">
        <f t="shared" si="14"/>
        <v>164</v>
      </c>
      <c r="S493">
        <f t="shared" si="15"/>
        <v>1440</v>
      </c>
      <c r="T493">
        <f>ROUND(tbl_working_daily[[#This Row],[SedentaryMinutes]]/60,2)</f>
        <v>21.27</v>
      </c>
      <c r="U493" t="str" cm="1">
        <f t="array" ref="U49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93" t="str" cm="1">
        <f t="array" ref="V493">_xlfn.IFS(tbl_working_daily[[#This Row],[VeryActiveMinutes]]&gt;=30,"Very Active",tbl_working_daily[[#This Row],[VeryActiveMinutes]]&gt;=15,"Moderately Active",tbl_working_daily[[#This Row],[VeryActiveMinutes]]&gt;=1,"Lightly Active",tbl_working_daily[[#This Row],[VeryActiveMinutes]]=0,"Sedentary")</f>
        <v>Moderately Active</v>
      </c>
      <c r="W493" t="str">
        <f>tbl_working_daily[[#This Row],[Id]]&amp;"|"&amp;TEXT(tbl_working_daily[[#This Row],[ActivityDate]],"yyyy-mm-dd")</f>
        <v>1624580081|2016-04-17</v>
      </c>
      <c r="X493" t="b">
        <f>ISNUMBER(MATCH(tbl_working_daily[[#This Row],[LookupKey]],tbl_working_sleep[LookupKey],0))</f>
        <v>0</v>
      </c>
    </row>
    <row r="494" spans="1:24" x14ac:dyDescent="0.3">
      <c r="A494">
        <v>1624580081</v>
      </c>
      <c r="B494" s="1">
        <v>42478</v>
      </c>
      <c r="C494">
        <v>10536</v>
      </c>
      <c r="D494">
        <v>7.4099998474121103</v>
      </c>
      <c r="E494">
        <v>7.4099998474121103</v>
      </c>
      <c r="F494">
        <v>0</v>
      </c>
      <c r="G494">
        <v>2.1500000953674299</v>
      </c>
      <c r="H494">
        <v>0.62000000476837203</v>
      </c>
      <c r="I494">
        <v>4.6199998855590803</v>
      </c>
      <c r="J494">
        <v>9.9999997764825804E-3</v>
      </c>
      <c r="K494">
        <v>17</v>
      </c>
      <c r="L494">
        <v>7</v>
      </c>
      <c r="M494">
        <v>202</v>
      </c>
      <c r="N494">
        <v>1214</v>
      </c>
      <c r="O494">
        <v>1604</v>
      </c>
      <c r="P494" t="str">
        <f>TEXT(tbl_working_daily[[#This Row],[ActivityDate]],"dddd")</f>
        <v>Monday</v>
      </c>
      <c r="Q494" t="str">
        <f>TEXT(tbl_working_daily[[#This Row],[ActivityDate]],"mmmm")</f>
        <v>April</v>
      </c>
      <c r="R494">
        <f t="shared" si="14"/>
        <v>226</v>
      </c>
      <c r="S494">
        <f t="shared" si="15"/>
        <v>1440</v>
      </c>
      <c r="T494">
        <f>ROUND(tbl_working_daily[[#This Row],[SedentaryMinutes]]/60,2)</f>
        <v>20.23</v>
      </c>
      <c r="U494" t="str" cm="1">
        <f t="array" ref="U49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494" t="str" cm="1">
        <f t="array" ref="V494">_xlfn.IFS(tbl_working_daily[[#This Row],[VeryActiveMinutes]]&gt;=30,"Very Active",tbl_working_daily[[#This Row],[VeryActiveMinutes]]&gt;=15,"Moderately Active",tbl_working_daily[[#This Row],[VeryActiveMinutes]]&gt;=1,"Lightly Active",tbl_working_daily[[#This Row],[VeryActiveMinutes]]=0,"Sedentary")</f>
        <v>Moderately Active</v>
      </c>
      <c r="W494" t="str">
        <f>tbl_working_daily[[#This Row],[Id]]&amp;"|"&amp;TEXT(tbl_working_daily[[#This Row],[ActivityDate]],"yyyy-mm-dd")</f>
        <v>1624580081|2016-04-18</v>
      </c>
      <c r="X494" t="b">
        <f>ISNUMBER(MATCH(tbl_working_daily[[#This Row],[LookupKey]],tbl_working_sleep[LookupKey],0))</f>
        <v>0</v>
      </c>
    </row>
    <row r="495" spans="1:24" x14ac:dyDescent="0.3">
      <c r="A495">
        <v>1624580081</v>
      </c>
      <c r="B495" s="1">
        <v>42479</v>
      </c>
      <c r="C495">
        <v>2916</v>
      </c>
      <c r="D495">
        <v>1.8999999761581401</v>
      </c>
      <c r="E495">
        <v>1.8999999761581401</v>
      </c>
      <c r="F495">
        <v>0</v>
      </c>
      <c r="G495">
        <v>0</v>
      </c>
      <c r="H495">
        <v>0</v>
      </c>
      <c r="I495">
        <v>1.8999999761581401</v>
      </c>
      <c r="J495">
        <v>0</v>
      </c>
      <c r="K495">
        <v>0</v>
      </c>
      <c r="L495">
        <v>0</v>
      </c>
      <c r="M495">
        <v>141</v>
      </c>
      <c r="N495">
        <v>1299</v>
      </c>
      <c r="O495">
        <v>1435</v>
      </c>
      <c r="P495" t="str">
        <f>TEXT(tbl_working_daily[[#This Row],[ActivityDate]],"dddd")</f>
        <v>Tuesday</v>
      </c>
      <c r="Q495" t="str">
        <f>TEXT(tbl_working_daily[[#This Row],[ActivityDate]],"mmmm")</f>
        <v>April</v>
      </c>
      <c r="R495">
        <f t="shared" si="14"/>
        <v>141</v>
      </c>
      <c r="S495">
        <f t="shared" si="15"/>
        <v>1440</v>
      </c>
      <c r="T495">
        <f>ROUND(tbl_working_daily[[#This Row],[SedentaryMinutes]]/60,2)</f>
        <v>21.65</v>
      </c>
      <c r="U495" t="str" cm="1">
        <f t="array" ref="U49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95" t="str" cm="1">
        <f t="array" ref="V495">_xlfn.IFS(tbl_working_daily[[#This Row],[VeryActiveMinutes]]&gt;=30,"Very Active",tbl_working_daily[[#This Row],[VeryActiveMinutes]]&gt;=15,"Moderately Active",tbl_working_daily[[#This Row],[VeryActiveMinutes]]&gt;=1,"Lightly Active",tbl_working_daily[[#This Row],[VeryActiveMinutes]]=0,"Sedentary")</f>
        <v>Sedentary</v>
      </c>
      <c r="W495" t="str">
        <f>tbl_working_daily[[#This Row],[Id]]&amp;"|"&amp;TEXT(tbl_working_daily[[#This Row],[ActivityDate]],"yyyy-mm-dd")</f>
        <v>1624580081|2016-04-19</v>
      </c>
      <c r="X495" t="b">
        <f>ISNUMBER(MATCH(tbl_working_daily[[#This Row],[LookupKey]],tbl_working_sleep[LookupKey],0))</f>
        <v>0</v>
      </c>
    </row>
    <row r="496" spans="1:24" x14ac:dyDescent="0.3">
      <c r="A496">
        <v>1624580081</v>
      </c>
      <c r="B496" s="1">
        <v>42480</v>
      </c>
      <c r="C496">
        <v>4974</v>
      </c>
      <c r="D496">
        <v>3.2300000190734899</v>
      </c>
      <c r="E496">
        <v>3.2300000190734899</v>
      </c>
      <c r="F496">
        <v>0</v>
      </c>
      <c r="G496">
        <v>0</v>
      </c>
      <c r="H496">
        <v>0</v>
      </c>
      <c r="I496">
        <v>3.2300000190734899</v>
      </c>
      <c r="J496">
        <v>0</v>
      </c>
      <c r="K496">
        <v>0</v>
      </c>
      <c r="L496">
        <v>0</v>
      </c>
      <c r="M496">
        <v>151</v>
      </c>
      <c r="N496">
        <v>1289</v>
      </c>
      <c r="O496">
        <v>1446</v>
      </c>
      <c r="P496" t="str">
        <f>TEXT(tbl_working_daily[[#This Row],[ActivityDate]],"dddd")</f>
        <v>Wednesday</v>
      </c>
      <c r="Q496" t="str">
        <f>TEXT(tbl_working_daily[[#This Row],[ActivityDate]],"mmmm")</f>
        <v>April</v>
      </c>
      <c r="R496">
        <f t="shared" si="14"/>
        <v>151</v>
      </c>
      <c r="S496">
        <f t="shared" si="15"/>
        <v>1440</v>
      </c>
      <c r="T496">
        <f>ROUND(tbl_working_daily[[#This Row],[SedentaryMinutes]]/60,2)</f>
        <v>21.48</v>
      </c>
      <c r="U496" t="str" cm="1">
        <f t="array" ref="U49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96" t="str" cm="1">
        <f t="array" ref="V496">_xlfn.IFS(tbl_working_daily[[#This Row],[VeryActiveMinutes]]&gt;=30,"Very Active",tbl_working_daily[[#This Row],[VeryActiveMinutes]]&gt;=15,"Moderately Active",tbl_working_daily[[#This Row],[VeryActiveMinutes]]&gt;=1,"Lightly Active",tbl_working_daily[[#This Row],[VeryActiveMinutes]]=0,"Sedentary")</f>
        <v>Sedentary</v>
      </c>
      <c r="W496" t="str">
        <f>tbl_working_daily[[#This Row],[Id]]&amp;"|"&amp;TEXT(tbl_working_daily[[#This Row],[ActivityDate]],"yyyy-mm-dd")</f>
        <v>1624580081|2016-04-20</v>
      </c>
      <c r="X496" t="b">
        <f>ISNUMBER(MATCH(tbl_working_daily[[#This Row],[LookupKey]],tbl_working_sleep[LookupKey],0))</f>
        <v>0</v>
      </c>
    </row>
    <row r="497" spans="1:24" x14ac:dyDescent="0.3">
      <c r="A497">
        <v>1624580081</v>
      </c>
      <c r="B497" s="1">
        <v>42481</v>
      </c>
      <c r="C497">
        <v>6349</v>
      </c>
      <c r="D497">
        <v>4.1300001144409197</v>
      </c>
      <c r="E497">
        <v>4.1300001144409197</v>
      </c>
      <c r="F497">
        <v>0</v>
      </c>
      <c r="G497">
        <v>0</v>
      </c>
      <c r="H497">
        <v>0</v>
      </c>
      <c r="I497">
        <v>4.1100001335143999</v>
      </c>
      <c r="J497">
        <v>1.9999999552965199E-2</v>
      </c>
      <c r="K497">
        <v>0</v>
      </c>
      <c r="L497">
        <v>0</v>
      </c>
      <c r="M497">
        <v>186</v>
      </c>
      <c r="N497">
        <v>1254</v>
      </c>
      <c r="O497">
        <v>1467</v>
      </c>
      <c r="P497" t="str">
        <f>TEXT(tbl_working_daily[[#This Row],[ActivityDate]],"dddd")</f>
        <v>Thursday</v>
      </c>
      <c r="Q497" t="str">
        <f>TEXT(tbl_working_daily[[#This Row],[ActivityDate]],"mmmm")</f>
        <v>April</v>
      </c>
      <c r="R497">
        <f t="shared" si="14"/>
        <v>186</v>
      </c>
      <c r="S497">
        <f t="shared" si="15"/>
        <v>1440</v>
      </c>
      <c r="T497">
        <f>ROUND(tbl_working_daily[[#This Row],[SedentaryMinutes]]/60,2)</f>
        <v>20.9</v>
      </c>
      <c r="U497" t="str" cm="1">
        <f t="array" ref="U49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497" t="str" cm="1">
        <f t="array" ref="V497">_xlfn.IFS(tbl_working_daily[[#This Row],[VeryActiveMinutes]]&gt;=30,"Very Active",tbl_working_daily[[#This Row],[VeryActiveMinutes]]&gt;=15,"Moderately Active",tbl_working_daily[[#This Row],[VeryActiveMinutes]]&gt;=1,"Lightly Active",tbl_working_daily[[#This Row],[VeryActiveMinutes]]=0,"Sedentary")</f>
        <v>Sedentary</v>
      </c>
      <c r="W497" t="str">
        <f>tbl_working_daily[[#This Row],[Id]]&amp;"|"&amp;TEXT(tbl_working_daily[[#This Row],[ActivityDate]],"yyyy-mm-dd")</f>
        <v>1624580081|2016-04-21</v>
      </c>
      <c r="X497" t="b">
        <f>ISNUMBER(MATCH(tbl_working_daily[[#This Row],[LookupKey]],tbl_working_sleep[LookupKey],0))</f>
        <v>0</v>
      </c>
    </row>
    <row r="498" spans="1:24" x14ac:dyDescent="0.3">
      <c r="A498">
        <v>1624580081</v>
      </c>
      <c r="B498" s="1">
        <v>42482</v>
      </c>
      <c r="C498">
        <v>4026</v>
      </c>
      <c r="D498">
        <v>2.6199998855590798</v>
      </c>
      <c r="E498">
        <v>2.6199998855590798</v>
      </c>
      <c r="F498">
        <v>0</v>
      </c>
      <c r="G498">
        <v>0</v>
      </c>
      <c r="H498">
        <v>0</v>
      </c>
      <c r="I498">
        <v>2.5999999046325701</v>
      </c>
      <c r="J498">
        <v>0</v>
      </c>
      <c r="K498">
        <v>0</v>
      </c>
      <c r="L498">
        <v>0</v>
      </c>
      <c r="M498">
        <v>199</v>
      </c>
      <c r="N498">
        <v>1241</v>
      </c>
      <c r="O498">
        <v>1470</v>
      </c>
      <c r="P498" t="str">
        <f>TEXT(tbl_working_daily[[#This Row],[ActivityDate]],"dddd")</f>
        <v>Friday</v>
      </c>
      <c r="Q498" t="str">
        <f>TEXT(tbl_working_daily[[#This Row],[ActivityDate]],"mmmm")</f>
        <v>April</v>
      </c>
      <c r="R498">
        <f t="shared" si="14"/>
        <v>199</v>
      </c>
      <c r="S498">
        <f t="shared" si="15"/>
        <v>1440</v>
      </c>
      <c r="T498">
        <f>ROUND(tbl_working_daily[[#This Row],[SedentaryMinutes]]/60,2)</f>
        <v>20.68</v>
      </c>
      <c r="U498" t="str" cm="1">
        <f t="array" ref="U4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498" t="str" cm="1">
        <f t="array" ref="V498">_xlfn.IFS(tbl_working_daily[[#This Row],[VeryActiveMinutes]]&gt;=30,"Very Active",tbl_working_daily[[#This Row],[VeryActiveMinutes]]&gt;=15,"Moderately Active",tbl_working_daily[[#This Row],[VeryActiveMinutes]]&gt;=1,"Lightly Active",tbl_working_daily[[#This Row],[VeryActiveMinutes]]=0,"Sedentary")</f>
        <v>Sedentary</v>
      </c>
      <c r="W498" t="str">
        <f>tbl_working_daily[[#This Row],[Id]]&amp;"|"&amp;TEXT(tbl_working_daily[[#This Row],[ActivityDate]],"yyyy-mm-dd")</f>
        <v>1624580081|2016-04-22</v>
      </c>
      <c r="X498" t="b">
        <f>ISNUMBER(MATCH(tbl_working_daily[[#This Row],[LookupKey]],tbl_working_sleep[LookupKey],0))</f>
        <v>0</v>
      </c>
    </row>
    <row r="499" spans="1:24" x14ac:dyDescent="0.3">
      <c r="A499">
        <v>1624580081</v>
      </c>
      <c r="B499" s="1">
        <v>42483</v>
      </c>
      <c r="C499">
        <v>8538</v>
      </c>
      <c r="D499">
        <v>5.5500001907348597</v>
      </c>
      <c r="E499">
        <v>5.5500001907348597</v>
      </c>
      <c r="F499">
        <v>0</v>
      </c>
      <c r="G499">
        <v>0</v>
      </c>
      <c r="H499">
        <v>0</v>
      </c>
      <c r="I499">
        <v>5.53999996185303</v>
      </c>
      <c r="J499">
        <v>9.9999997764825804E-3</v>
      </c>
      <c r="K499">
        <v>0</v>
      </c>
      <c r="L499">
        <v>0</v>
      </c>
      <c r="M499">
        <v>227</v>
      </c>
      <c r="N499">
        <v>1213</v>
      </c>
      <c r="O499">
        <v>1562</v>
      </c>
      <c r="P499" t="str">
        <f>TEXT(tbl_working_daily[[#This Row],[ActivityDate]],"dddd")</f>
        <v>Saturday</v>
      </c>
      <c r="Q499" t="str">
        <f>TEXT(tbl_working_daily[[#This Row],[ActivityDate]],"mmmm")</f>
        <v>April</v>
      </c>
      <c r="R499">
        <f t="shared" si="14"/>
        <v>227</v>
      </c>
      <c r="S499">
        <f t="shared" si="15"/>
        <v>1440</v>
      </c>
      <c r="T499">
        <f>ROUND(tbl_working_daily[[#This Row],[SedentaryMinutes]]/60,2)</f>
        <v>20.22</v>
      </c>
      <c r="U499" t="str" cm="1">
        <f t="array" ref="U49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499" t="str" cm="1">
        <f t="array" ref="V499">_xlfn.IFS(tbl_working_daily[[#This Row],[VeryActiveMinutes]]&gt;=30,"Very Active",tbl_working_daily[[#This Row],[VeryActiveMinutes]]&gt;=15,"Moderately Active",tbl_working_daily[[#This Row],[VeryActiveMinutes]]&gt;=1,"Lightly Active",tbl_working_daily[[#This Row],[VeryActiveMinutes]]=0,"Sedentary")</f>
        <v>Sedentary</v>
      </c>
      <c r="W499" t="str">
        <f>tbl_working_daily[[#This Row],[Id]]&amp;"|"&amp;TEXT(tbl_working_daily[[#This Row],[ActivityDate]],"yyyy-mm-dd")</f>
        <v>1624580081|2016-04-23</v>
      </c>
      <c r="X499" t="b">
        <f>ISNUMBER(MATCH(tbl_working_daily[[#This Row],[LookupKey]],tbl_working_sleep[LookupKey],0))</f>
        <v>0</v>
      </c>
    </row>
    <row r="500" spans="1:24" x14ac:dyDescent="0.3">
      <c r="A500">
        <v>1624580081</v>
      </c>
      <c r="B500" s="1">
        <v>42484</v>
      </c>
      <c r="C500">
        <v>6076</v>
      </c>
      <c r="D500">
        <v>3.9500000476837198</v>
      </c>
      <c r="E500">
        <v>3.9500000476837198</v>
      </c>
      <c r="F500">
        <v>0</v>
      </c>
      <c r="G500">
        <v>1.1499999761581401</v>
      </c>
      <c r="H500">
        <v>0.91000002622604403</v>
      </c>
      <c r="I500">
        <v>1.8899999856948899</v>
      </c>
      <c r="J500">
        <v>0</v>
      </c>
      <c r="K500">
        <v>16</v>
      </c>
      <c r="L500">
        <v>18</v>
      </c>
      <c r="M500">
        <v>185</v>
      </c>
      <c r="N500">
        <v>1221</v>
      </c>
      <c r="O500">
        <v>1617</v>
      </c>
      <c r="P500" t="str">
        <f>TEXT(tbl_working_daily[[#This Row],[ActivityDate]],"dddd")</f>
        <v>Sunday</v>
      </c>
      <c r="Q500" t="str">
        <f>TEXT(tbl_working_daily[[#This Row],[ActivityDate]],"mmmm")</f>
        <v>April</v>
      </c>
      <c r="R500">
        <f t="shared" si="14"/>
        <v>219</v>
      </c>
      <c r="S500">
        <f t="shared" si="15"/>
        <v>1440</v>
      </c>
      <c r="T500">
        <f>ROUND(tbl_working_daily[[#This Row],[SedentaryMinutes]]/60,2)</f>
        <v>20.350000000000001</v>
      </c>
      <c r="U500" t="str" cm="1">
        <f t="array" ref="U50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00" t="str" cm="1">
        <f t="array" ref="V500">_xlfn.IFS(tbl_working_daily[[#This Row],[VeryActiveMinutes]]&gt;=30,"Very Active",tbl_working_daily[[#This Row],[VeryActiveMinutes]]&gt;=15,"Moderately Active",tbl_working_daily[[#This Row],[VeryActiveMinutes]]&gt;=1,"Lightly Active",tbl_working_daily[[#This Row],[VeryActiveMinutes]]=0,"Sedentary")</f>
        <v>Moderately Active</v>
      </c>
      <c r="W500" t="str">
        <f>tbl_working_daily[[#This Row],[Id]]&amp;"|"&amp;TEXT(tbl_working_daily[[#This Row],[ActivityDate]],"yyyy-mm-dd")</f>
        <v>1624580081|2016-04-24</v>
      </c>
      <c r="X500" t="b">
        <f>ISNUMBER(MATCH(tbl_working_daily[[#This Row],[LookupKey]],tbl_working_sleep[LookupKey],0))</f>
        <v>0</v>
      </c>
    </row>
    <row r="501" spans="1:24" x14ac:dyDescent="0.3">
      <c r="A501">
        <v>1624580081</v>
      </c>
      <c r="B501" s="1">
        <v>42485</v>
      </c>
      <c r="C501">
        <v>6497</v>
      </c>
      <c r="D501">
        <v>4.2199997901916504</v>
      </c>
      <c r="E501">
        <v>4.2199997901916504</v>
      </c>
      <c r="F501">
        <v>0</v>
      </c>
      <c r="G501">
        <v>0</v>
      </c>
      <c r="H501">
        <v>0</v>
      </c>
      <c r="I501">
        <v>4.1999998092651403</v>
      </c>
      <c r="J501">
        <v>1.9999999552965199E-2</v>
      </c>
      <c r="K501">
        <v>0</v>
      </c>
      <c r="L501">
        <v>0</v>
      </c>
      <c r="M501">
        <v>202</v>
      </c>
      <c r="N501">
        <v>1238</v>
      </c>
      <c r="O501">
        <v>1492</v>
      </c>
      <c r="P501" t="str">
        <f>TEXT(tbl_working_daily[[#This Row],[ActivityDate]],"dddd")</f>
        <v>Monday</v>
      </c>
      <c r="Q501" t="str">
        <f>TEXT(tbl_working_daily[[#This Row],[ActivityDate]],"mmmm")</f>
        <v>April</v>
      </c>
      <c r="R501">
        <f t="shared" si="14"/>
        <v>202</v>
      </c>
      <c r="S501">
        <f t="shared" si="15"/>
        <v>1440</v>
      </c>
      <c r="T501">
        <f>ROUND(tbl_working_daily[[#This Row],[SedentaryMinutes]]/60,2)</f>
        <v>20.63</v>
      </c>
      <c r="U501" t="str" cm="1">
        <f t="array" ref="U50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01" t="str" cm="1">
        <f t="array" ref="V501">_xlfn.IFS(tbl_working_daily[[#This Row],[VeryActiveMinutes]]&gt;=30,"Very Active",tbl_working_daily[[#This Row],[VeryActiveMinutes]]&gt;=15,"Moderately Active",tbl_working_daily[[#This Row],[VeryActiveMinutes]]&gt;=1,"Lightly Active",tbl_working_daily[[#This Row],[VeryActiveMinutes]]=0,"Sedentary")</f>
        <v>Sedentary</v>
      </c>
      <c r="W501" t="str">
        <f>tbl_working_daily[[#This Row],[Id]]&amp;"|"&amp;TEXT(tbl_working_daily[[#This Row],[ActivityDate]],"yyyy-mm-dd")</f>
        <v>1624580081|2016-04-25</v>
      </c>
      <c r="X501" t="b">
        <f>ISNUMBER(MATCH(tbl_working_daily[[#This Row],[LookupKey]],tbl_working_sleep[LookupKey],0))</f>
        <v>0</v>
      </c>
    </row>
    <row r="502" spans="1:24" x14ac:dyDescent="0.3">
      <c r="A502">
        <v>1624580081</v>
      </c>
      <c r="B502" s="1">
        <v>42486</v>
      </c>
      <c r="C502">
        <v>2826</v>
      </c>
      <c r="D502">
        <v>1.8400000333786</v>
      </c>
      <c r="E502">
        <v>1.8400000333786</v>
      </c>
      <c r="F502">
        <v>0</v>
      </c>
      <c r="G502">
        <v>0</v>
      </c>
      <c r="H502">
        <v>0</v>
      </c>
      <c r="I502">
        <v>1.83000004291534</v>
      </c>
      <c r="J502">
        <v>9.9999997764825804E-3</v>
      </c>
      <c r="K502">
        <v>0</v>
      </c>
      <c r="L502">
        <v>0</v>
      </c>
      <c r="M502">
        <v>140</v>
      </c>
      <c r="N502">
        <v>1300</v>
      </c>
      <c r="O502">
        <v>1402</v>
      </c>
      <c r="P502" t="str">
        <f>TEXT(tbl_working_daily[[#This Row],[ActivityDate]],"dddd")</f>
        <v>Tuesday</v>
      </c>
      <c r="Q502" t="str">
        <f>TEXT(tbl_working_daily[[#This Row],[ActivityDate]],"mmmm")</f>
        <v>April</v>
      </c>
      <c r="R502">
        <f t="shared" si="14"/>
        <v>140</v>
      </c>
      <c r="S502">
        <f t="shared" si="15"/>
        <v>1440</v>
      </c>
      <c r="T502">
        <f>ROUND(tbl_working_daily[[#This Row],[SedentaryMinutes]]/60,2)</f>
        <v>21.67</v>
      </c>
      <c r="U502" t="str" cm="1">
        <f t="array" ref="U5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02" t="str" cm="1">
        <f t="array" ref="V502">_xlfn.IFS(tbl_working_daily[[#This Row],[VeryActiveMinutes]]&gt;=30,"Very Active",tbl_working_daily[[#This Row],[VeryActiveMinutes]]&gt;=15,"Moderately Active",tbl_working_daily[[#This Row],[VeryActiveMinutes]]&gt;=1,"Lightly Active",tbl_working_daily[[#This Row],[VeryActiveMinutes]]=0,"Sedentary")</f>
        <v>Sedentary</v>
      </c>
      <c r="W502" t="str">
        <f>tbl_working_daily[[#This Row],[Id]]&amp;"|"&amp;TEXT(tbl_working_daily[[#This Row],[ActivityDate]],"yyyy-mm-dd")</f>
        <v>1624580081|2016-04-26</v>
      </c>
      <c r="X502" t="b">
        <f>ISNUMBER(MATCH(tbl_working_daily[[#This Row],[LookupKey]],tbl_working_sleep[LookupKey],0))</f>
        <v>0</v>
      </c>
    </row>
    <row r="503" spans="1:24" x14ac:dyDescent="0.3">
      <c r="A503">
        <v>1624580081</v>
      </c>
      <c r="B503" s="1">
        <v>42487</v>
      </c>
      <c r="C503">
        <v>8367</v>
      </c>
      <c r="D503">
        <v>5.4400000572204599</v>
      </c>
      <c r="E503">
        <v>5.4400000572204599</v>
      </c>
      <c r="F503">
        <v>0</v>
      </c>
      <c r="G503">
        <v>1.1100000143051101</v>
      </c>
      <c r="H503">
        <v>1.87000000476837</v>
      </c>
      <c r="I503">
        <v>2.46000003814697</v>
      </c>
      <c r="J503">
        <v>0</v>
      </c>
      <c r="K503">
        <v>17</v>
      </c>
      <c r="L503">
        <v>36</v>
      </c>
      <c r="M503">
        <v>154</v>
      </c>
      <c r="N503">
        <v>1233</v>
      </c>
      <c r="O503">
        <v>1670</v>
      </c>
      <c r="P503" t="str">
        <f>TEXT(tbl_working_daily[[#This Row],[ActivityDate]],"dddd")</f>
        <v>Wednesday</v>
      </c>
      <c r="Q503" t="str">
        <f>TEXT(tbl_working_daily[[#This Row],[ActivityDate]],"mmmm")</f>
        <v>April</v>
      </c>
      <c r="R503">
        <f t="shared" si="14"/>
        <v>207</v>
      </c>
      <c r="S503">
        <f t="shared" si="15"/>
        <v>1440</v>
      </c>
      <c r="T503">
        <f>ROUND(tbl_working_daily[[#This Row],[SedentaryMinutes]]/60,2)</f>
        <v>20.55</v>
      </c>
      <c r="U503" t="str" cm="1">
        <f t="array" ref="U50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03" t="str" cm="1">
        <f t="array" ref="V503">_xlfn.IFS(tbl_working_daily[[#This Row],[VeryActiveMinutes]]&gt;=30,"Very Active",tbl_working_daily[[#This Row],[VeryActiveMinutes]]&gt;=15,"Moderately Active",tbl_working_daily[[#This Row],[VeryActiveMinutes]]&gt;=1,"Lightly Active",tbl_working_daily[[#This Row],[VeryActiveMinutes]]=0,"Sedentary")</f>
        <v>Moderately Active</v>
      </c>
      <c r="W503" t="str">
        <f>tbl_working_daily[[#This Row],[Id]]&amp;"|"&amp;TEXT(tbl_working_daily[[#This Row],[ActivityDate]],"yyyy-mm-dd")</f>
        <v>1624580081|2016-04-27</v>
      </c>
      <c r="X503" t="b">
        <f>ISNUMBER(MATCH(tbl_working_daily[[#This Row],[LookupKey]],tbl_working_sleep[LookupKey],0))</f>
        <v>0</v>
      </c>
    </row>
    <row r="504" spans="1:24" x14ac:dyDescent="0.3">
      <c r="A504">
        <v>1624580081</v>
      </c>
      <c r="B504" s="1">
        <v>42488</v>
      </c>
      <c r="C504">
        <v>2759</v>
      </c>
      <c r="D504">
        <v>1.78999996185303</v>
      </c>
      <c r="E504">
        <v>1.78999996185303</v>
      </c>
      <c r="F504">
        <v>0</v>
      </c>
      <c r="G504">
        <v>0</v>
      </c>
      <c r="H504">
        <v>0.20000000298023199</v>
      </c>
      <c r="I504">
        <v>1.6000000238418599</v>
      </c>
      <c r="J504">
        <v>0</v>
      </c>
      <c r="K504">
        <v>0</v>
      </c>
      <c r="L504">
        <v>5</v>
      </c>
      <c r="M504">
        <v>115</v>
      </c>
      <c r="N504">
        <v>1320</v>
      </c>
      <c r="O504">
        <v>1401</v>
      </c>
      <c r="P504" t="str">
        <f>TEXT(tbl_working_daily[[#This Row],[ActivityDate]],"dddd")</f>
        <v>Thursday</v>
      </c>
      <c r="Q504" t="str">
        <f>TEXT(tbl_working_daily[[#This Row],[ActivityDate]],"mmmm")</f>
        <v>April</v>
      </c>
      <c r="R504">
        <f t="shared" si="14"/>
        <v>120</v>
      </c>
      <c r="S504">
        <f t="shared" si="15"/>
        <v>1440</v>
      </c>
      <c r="T504">
        <f>ROUND(tbl_working_daily[[#This Row],[SedentaryMinutes]]/60,2)</f>
        <v>22</v>
      </c>
      <c r="U504" t="str" cm="1">
        <f t="array" ref="U5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04" t="str" cm="1">
        <f t="array" ref="V504">_xlfn.IFS(tbl_working_daily[[#This Row],[VeryActiveMinutes]]&gt;=30,"Very Active",tbl_working_daily[[#This Row],[VeryActiveMinutes]]&gt;=15,"Moderately Active",tbl_working_daily[[#This Row],[VeryActiveMinutes]]&gt;=1,"Lightly Active",tbl_working_daily[[#This Row],[VeryActiveMinutes]]=0,"Sedentary")</f>
        <v>Sedentary</v>
      </c>
      <c r="W504" t="str">
        <f>tbl_working_daily[[#This Row],[Id]]&amp;"|"&amp;TEXT(tbl_working_daily[[#This Row],[ActivityDate]],"yyyy-mm-dd")</f>
        <v>1624580081|2016-04-28</v>
      </c>
      <c r="X504" t="b">
        <f>ISNUMBER(MATCH(tbl_working_daily[[#This Row],[LookupKey]],tbl_working_sleep[LookupKey],0))</f>
        <v>0</v>
      </c>
    </row>
    <row r="505" spans="1:24" x14ac:dyDescent="0.3">
      <c r="A505">
        <v>1624580081</v>
      </c>
      <c r="B505" s="1">
        <v>42489</v>
      </c>
      <c r="C505">
        <v>2390</v>
      </c>
      <c r="D505">
        <v>1.54999995231628</v>
      </c>
      <c r="E505">
        <v>1.54999995231628</v>
      </c>
      <c r="F505">
        <v>0</v>
      </c>
      <c r="G505">
        <v>0</v>
      </c>
      <c r="H505">
        <v>0</v>
      </c>
      <c r="I505">
        <v>1.54999995231628</v>
      </c>
      <c r="J505">
        <v>0</v>
      </c>
      <c r="K505">
        <v>0</v>
      </c>
      <c r="L505">
        <v>0</v>
      </c>
      <c r="M505">
        <v>150</v>
      </c>
      <c r="N505">
        <v>1290</v>
      </c>
      <c r="O505">
        <v>1404</v>
      </c>
      <c r="P505" t="str">
        <f>TEXT(tbl_working_daily[[#This Row],[ActivityDate]],"dddd")</f>
        <v>Friday</v>
      </c>
      <c r="Q505" t="str">
        <f>TEXT(tbl_working_daily[[#This Row],[ActivityDate]],"mmmm")</f>
        <v>April</v>
      </c>
      <c r="R505">
        <f t="shared" si="14"/>
        <v>150</v>
      </c>
      <c r="S505">
        <f t="shared" si="15"/>
        <v>1440</v>
      </c>
      <c r="T505">
        <f>ROUND(tbl_working_daily[[#This Row],[SedentaryMinutes]]/60,2)</f>
        <v>21.5</v>
      </c>
      <c r="U505" t="str" cm="1">
        <f t="array" ref="U5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05" t="str" cm="1">
        <f t="array" ref="V505">_xlfn.IFS(tbl_working_daily[[#This Row],[VeryActiveMinutes]]&gt;=30,"Very Active",tbl_working_daily[[#This Row],[VeryActiveMinutes]]&gt;=15,"Moderately Active",tbl_working_daily[[#This Row],[VeryActiveMinutes]]&gt;=1,"Lightly Active",tbl_working_daily[[#This Row],[VeryActiveMinutes]]=0,"Sedentary")</f>
        <v>Sedentary</v>
      </c>
      <c r="W505" t="str">
        <f>tbl_working_daily[[#This Row],[Id]]&amp;"|"&amp;TEXT(tbl_working_daily[[#This Row],[ActivityDate]],"yyyy-mm-dd")</f>
        <v>1624580081|2016-04-29</v>
      </c>
      <c r="X505" t="b">
        <f>ISNUMBER(MATCH(tbl_working_daily[[#This Row],[LookupKey]],tbl_working_sleep[LookupKey],0))</f>
        <v>0</v>
      </c>
    </row>
    <row r="506" spans="1:24" x14ac:dyDescent="0.3">
      <c r="A506">
        <v>1624580081</v>
      </c>
      <c r="B506" s="1">
        <v>42490</v>
      </c>
      <c r="C506">
        <v>6474</v>
      </c>
      <c r="D506">
        <v>4.3000001907348597</v>
      </c>
      <c r="E506">
        <v>4.3000001907348597</v>
      </c>
      <c r="F506">
        <v>0</v>
      </c>
      <c r="G506">
        <v>0.89999997615814198</v>
      </c>
      <c r="H506">
        <v>1.2799999713897701</v>
      </c>
      <c r="I506">
        <v>2.1199998855590798</v>
      </c>
      <c r="J506">
        <v>9.9999997764825804E-3</v>
      </c>
      <c r="K506">
        <v>11</v>
      </c>
      <c r="L506">
        <v>23</v>
      </c>
      <c r="M506">
        <v>224</v>
      </c>
      <c r="N506">
        <v>1182</v>
      </c>
      <c r="O506">
        <v>1655</v>
      </c>
      <c r="P506" t="str">
        <f>TEXT(tbl_working_daily[[#This Row],[ActivityDate]],"dddd")</f>
        <v>Saturday</v>
      </c>
      <c r="Q506" t="str">
        <f>TEXT(tbl_working_daily[[#This Row],[ActivityDate]],"mmmm")</f>
        <v>April</v>
      </c>
      <c r="R506">
        <f t="shared" si="14"/>
        <v>258</v>
      </c>
      <c r="S506">
        <f t="shared" si="15"/>
        <v>1440</v>
      </c>
      <c r="T506">
        <f>ROUND(tbl_working_daily[[#This Row],[SedentaryMinutes]]/60,2)</f>
        <v>19.7</v>
      </c>
      <c r="U506" t="str" cm="1">
        <f t="array" ref="U50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06" t="str" cm="1">
        <f t="array" ref="V506">_xlfn.IFS(tbl_working_daily[[#This Row],[VeryActiveMinutes]]&gt;=30,"Very Active",tbl_working_daily[[#This Row],[VeryActiveMinutes]]&gt;=15,"Moderately Active",tbl_working_daily[[#This Row],[VeryActiveMinutes]]&gt;=1,"Lightly Active",tbl_working_daily[[#This Row],[VeryActiveMinutes]]=0,"Sedentary")</f>
        <v>Lightly Active</v>
      </c>
      <c r="W506" t="str">
        <f>tbl_working_daily[[#This Row],[Id]]&amp;"|"&amp;TEXT(tbl_working_daily[[#This Row],[ActivityDate]],"yyyy-mm-dd")</f>
        <v>1624580081|2016-04-30</v>
      </c>
      <c r="X506" t="b">
        <f>ISNUMBER(MATCH(tbl_working_daily[[#This Row],[LookupKey]],tbl_working_sleep[LookupKey],0))</f>
        <v>0</v>
      </c>
    </row>
    <row r="507" spans="1:24" x14ac:dyDescent="0.3">
      <c r="A507">
        <v>1624580081</v>
      </c>
      <c r="B507" s="1">
        <v>42491</v>
      </c>
      <c r="C507">
        <v>36019</v>
      </c>
      <c r="D507">
        <v>28.030000686645501</v>
      </c>
      <c r="E507">
        <v>28.030000686645501</v>
      </c>
      <c r="F507">
        <v>0</v>
      </c>
      <c r="G507">
        <v>21.920000076293899</v>
      </c>
      <c r="H507">
        <v>4.1900000572204599</v>
      </c>
      <c r="I507">
        <v>1.9099999666214</v>
      </c>
      <c r="J507">
        <v>1.9999999552965199E-2</v>
      </c>
      <c r="K507">
        <v>186</v>
      </c>
      <c r="L507">
        <v>63</v>
      </c>
      <c r="M507">
        <v>171</v>
      </c>
      <c r="N507">
        <v>1020</v>
      </c>
      <c r="O507">
        <v>2690</v>
      </c>
      <c r="P507" t="str">
        <f>TEXT(tbl_working_daily[[#This Row],[ActivityDate]],"dddd")</f>
        <v>Sunday</v>
      </c>
      <c r="Q507" t="str">
        <f>TEXT(tbl_working_daily[[#This Row],[ActivityDate]],"mmmm")</f>
        <v>May</v>
      </c>
      <c r="R507">
        <f t="shared" si="14"/>
        <v>420</v>
      </c>
      <c r="S507">
        <f t="shared" si="15"/>
        <v>1440</v>
      </c>
      <c r="T507">
        <f>ROUND(tbl_working_daily[[#This Row],[SedentaryMinutes]]/60,2)</f>
        <v>17</v>
      </c>
      <c r="U507" t="str" cm="1">
        <f t="array" ref="U50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507" t="str" cm="1">
        <f t="array" ref="V507">_xlfn.IFS(tbl_working_daily[[#This Row],[VeryActiveMinutes]]&gt;=30,"Very Active",tbl_working_daily[[#This Row],[VeryActiveMinutes]]&gt;=15,"Moderately Active",tbl_working_daily[[#This Row],[VeryActiveMinutes]]&gt;=1,"Lightly Active",tbl_working_daily[[#This Row],[VeryActiveMinutes]]=0,"Sedentary")</f>
        <v>Very Active</v>
      </c>
      <c r="W507" t="str">
        <f>tbl_working_daily[[#This Row],[Id]]&amp;"|"&amp;TEXT(tbl_working_daily[[#This Row],[ActivityDate]],"yyyy-mm-dd")</f>
        <v>1624580081|2016-05-01</v>
      </c>
      <c r="X507" t="b">
        <f>ISNUMBER(MATCH(tbl_working_daily[[#This Row],[LookupKey]],tbl_working_sleep[LookupKey],0))</f>
        <v>0</v>
      </c>
    </row>
    <row r="508" spans="1:24" x14ac:dyDescent="0.3">
      <c r="A508">
        <v>1624580081</v>
      </c>
      <c r="B508" s="1">
        <v>42492</v>
      </c>
      <c r="C508">
        <v>7155</v>
      </c>
      <c r="D508">
        <v>4.9299998283386204</v>
      </c>
      <c r="E508">
        <v>4.9299998283386204</v>
      </c>
      <c r="F508">
        <v>0</v>
      </c>
      <c r="G508">
        <v>0.86000001430511497</v>
      </c>
      <c r="H508">
        <v>0.58999997377395597</v>
      </c>
      <c r="I508">
        <v>3.4700000286102299</v>
      </c>
      <c r="J508">
        <v>0</v>
      </c>
      <c r="K508">
        <v>7</v>
      </c>
      <c r="L508">
        <v>6</v>
      </c>
      <c r="M508">
        <v>166</v>
      </c>
      <c r="N508">
        <v>1261</v>
      </c>
      <c r="O508">
        <v>1497</v>
      </c>
      <c r="P508" t="str">
        <f>TEXT(tbl_working_daily[[#This Row],[ActivityDate]],"dddd")</f>
        <v>Monday</v>
      </c>
      <c r="Q508" t="str">
        <f>TEXT(tbl_working_daily[[#This Row],[ActivityDate]],"mmmm")</f>
        <v>May</v>
      </c>
      <c r="R508">
        <f t="shared" si="14"/>
        <v>179</v>
      </c>
      <c r="S508">
        <f t="shared" si="15"/>
        <v>1440</v>
      </c>
      <c r="T508">
        <f>ROUND(tbl_working_daily[[#This Row],[SedentaryMinutes]]/60,2)</f>
        <v>21.02</v>
      </c>
      <c r="U508" t="str" cm="1">
        <f t="array" ref="U50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08" t="str" cm="1">
        <f t="array" ref="V508">_xlfn.IFS(tbl_working_daily[[#This Row],[VeryActiveMinutes]]&gt;=30,"Very Active",tbl_working_daily[[#This Row],[VeryActiveMinutes]]&gt;=15,"Moderately Active",tbl_working_daily[[#This Row],[VeryActiveMinutes]]&gt;=1,"Lightly Active",tbl_working_daily[[#This Row],[VeryActiveMinutes]]=0,"Sedentary")</f>
        <v>Lightly Active</v>
      </c>
      <c r="W508" t="str">
        <f>tbl_working_daily[[#This Row],[Id]]&amp;"|"&amp;TEXT(tbl_working_daily[[#This Row],[ActivityDate]],"yyyy-mm-dd")</f>
        <v>1624580081|2016-05-02</v>
      </c>
      <c r="X508" t="b">
        <f>ISNUMBER(MATCH(tbl_working_daily[[#This Row],[LookupKey]],tbl_working_sleep[LookupKey],0))</f>
        <v>0</v>
      </c>
    </row>
    <row r="509" spans="1:24" x14ac:dyDescent="0.3">
      <c r="A509">
        <v>1624580081</v>
      </c>
      <c r="B509" s="1">
        <v>42493</v>
      </c>
      <c r="C509">
        <v>2100</v>
      </c>
      <c r="D509">
        <v>1.37000000476837</v>
      </c>
      <c r="E509">
        <v>1.37000000476837</v>
      </c>
      <c r="F509">
        <v>0</v>
      </c>
      <c r="G509">
        <v>0</v>
      </c>
      <c r="H509">
        <v>0</v>
      </c>
      <c r="I509">
        <v>1.3400000333786</v>
      </c>
      <c r="J509">
        <v>1.9999999552965199E-2</v>
      </c>
      <c r="K509">
        <v>0</v>
      </c>
      <c r="L509">
        <v>0</v>
      </c>
      <c r="M509">
        <v>96</v>
      </c>
      <c r="N509">
        <v>1344</v>
      </c>
      <c r="O509">
        <v>1334</v>
      </c>
      <c r="P509" t="str">
        <f>TEXT(tbl_working_daily[[#This Row],[ActivityDate]],"dddd")</f>
        <v>Tuesday</v>
      </c>
      <c r="Q509" t="str">
        <f>TEXT(tbl_working_daily[[#This Row],[ActivityDate]],"mmmm")</f>
        <v>May</v>
      </c>
      <c r="R509">
        <f t="shared" si="14"/>
        <v>96</v>
      </c>
      <c r="S509">
        <f t="shared" si="15"/>
        <v>1440</v>
      </c>
      <c r="T509">
        <f>ROUND(tbl_working_daily[[#This Row],[SedentaryMinutes]]/60,2)</f>
        <v>22.4</v>
      </c>
      <c r="U509" t="str" cm="1">
        <f t="array" ref="U50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09" t="str" cm="1">
        <f t="array" ref="V509">_xlfn.IFS(tbl_working_daily[[#This Row],[VeryActiveMinutes]]&gt;=30,"Very Active",tbl_working_daily[[#This Row],[VeryActiveMinutes]]&gt;=15,"Moderately Active",tbl_working_daily[[#This Row],[VeryActiveMinutes]]&gt;=1,"Lightly Active",tbl_working_daily[[#This Row],[VeryActiveMinutes]]=0,"Sedentary")</f>
        <v>Sedentary</v>
      </c>
      <c r="W509" t="str">
        <f>tbl_working_daily[[#This Row],[Id]]&amp;"|"&amp;TEXT(tbl_working_daily[[#This Row],[ActivityDate]],"yyyy-mm-dd")</f>
        <v>1624580081|2016-05-03</v>
      </c>
      <c r="X509" t="b">
        <f>ISNUMBER(MATCH(tbl_working_daily[[#This Row],[LookupKey]],tbl_working_sleep[LookupKey],0))</f>
        <v>0</v>
      </c>
    </row>
    <row r="510" spans="1:24" x14ac:dyDescent="0.3">
      <c r="A510">
        <v>1624580081</v>
      </c>
      <c r="B510" s="1">
        <v>42494</v>
      </c>
      <c r="C510">
        <v>2193</v>
      </c>
      <c r="D510">
        <v>1.4299999475479099</v>
      </c>
      <c r="E510">
        <v>1.4299999475479099</v>
      </c>
      <c r="F510">
        <v>0</v>
      </c>
      <c r="G510">
        <v>0</v>
      </c>
      <c r="H510">
        <v>0</v>
      </c>
      <c r="I510">
        <v>1.41999995708466</v>
      </c>
      <c r="J510">
        <v>0</v>
      </c>
      <c r="K510">
        <v>0</v>
      </c>
      <c r="L510">
        <v>0</v>
      </c>
      <c r="M510">
        <v>118</v>
      </c>
      <c r="N510">
        <v>1322</v>
      </c>
      <c r="O510">
        <v>1368</v>
      </c>
      <c r="P510" t="str">
        <f>TEXT(tbl_working_daily[[#This Row],[ActivityDate]],"dddd")</f>
        <v>Wednesday</v>
      </c>
      <c r="Q510" t="str">
        <f>TEXT(tbl_working_daily[[#This Row],[ActivityDate]],"mmmm")</f>
        <v>May</v>
      </c>
      <c r="R510">
        <f t="shared" si="14"/>
        <v>118</v>
      </c>
      <c r="S510">
        <f t="shared" si="15"/>
        <v>1440</v>
      </c>
      <c r="T510">
        <f>ROUND(tbl_working_daily[[#This Row],[SedentaryMinutes]]/60,2)</f>
        <v>22.03</v>
      </c>
      <c r="U510" t="str" cm="1">
        <f t="array" ref="U51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0" t="str" cm="1">
        <f t="array" ref="V510">_xlfn.IFS(tbl_working_daily[[#This Row],[VeryActiveMinutes]]&gt;=30,"Very Active",tbl_working_daily[[#This Row],[VeryActiveMinutes]]&gt;=15,"Moderately Active",tbl_working_daily[[#This Row],[VeryActiveMinutes]]&gt;=1,"Lightly Active",tbl_working_daily[[#This Row],[VeryActiveMinutes]]=0,"Sedentary")</f>
        <v>Sedentary</v>
      </c>
      <c r="W510" t="str">
        <f>tbl_working_daily[[#This Row],[Id]]&amp;"|"&amp;TEXT(tbl_working_daily[[#This Row],[ActivityDate]],"yyyy-mm-dd")</f>
        <v>1624580081|2016-05-04</v>
      </c>
      <c r="X510" t="b">
        <f>ISNUMBER(MATCH(tbl_working_daily[[#This Row],[LookupKey]],tbl_working_sleep[LookupKey],0))</f>
        <v>0</v>
      </c>
    </row>
    <row r="511" spans="1:24" x14ac:dyDescent="0.3">
      <c r="A511">
        <v>1624580081</v>
      </c>
      <c r="B511" s="1">
        <v>42495</v>
      </c>
      <c r="C511">
        <v>2470</v>
      </c>
      <c r="D511">
        <v>1.6100000143051101</v>
      </c>
      <c r="E511">
        <v>1.6100000143051101</v>
      </c>
      <c r="F511">
        <v>0</v>
      </c>
      <c r="G511">
        <v>0</v>
      </c>
      <c r="H511">
        <v>0</v>
      </c>
      <c r="I511">
        <v>1.58000004291534</v>
      </c>
      <c r="J511">
        <v>1.9999999552965199E-2</v>
      </c>
      <c r="K511">
        <v>0</v>
      </c>
      <c r="L511">
        <v>0</v>
      </c>
      <c r="M511">
        <v>117</v>
      </c>
      <c r="N511">
        <v>1323</v>
      </c>
      <c r="O511">
        <v>1370</v>
      </c>
      <c r="P511" t="str">
        <f>TEXT(tbl_working_daily[[#This Row],[ActivityDate]],"dddd")</f>
        <v>Thursday</v>
      </c>
      <c r="Q511" t="str">
        <f>TEXT(tbl_working_daily[[#This Row],[ActivityDate]],"mmmm")</f>
        <v>May</v>
      </c>
      <c r="R511">
        <f t="shared" si="14"/>
        <v>117</v>
      </c>
      <c r="S511">
        <f t="shared" si="15"/>
        <v>1440</v>
      </c>
      <c r="T511">
        <f>ROUND(tbl_working_daily[[#This Row],[SedentaryMinutes]]/60,2)</f>
        <v>22.05</v>
      </c>
      <c r="U511" t="str" cm="1">
        <f t="array" ref="U51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1" t="str" cm="1">
        <f t="array" ref="V511">_xlfn.IFS(tbl_working_daily[[#This Row],[VeryActiveMinutes]]&gt;=30,"Very Active",tbl_working_daily[[#This Row],[VeryActiveMinutes]]&gt;=15,"Moderately Active",tbl_working_daily[[#This Row],[VeryActiveMinutes]]&gt;=1,"Lightly Active",tbl_working_daily[[#This Row],[VeryActiveMinutes]]=0,"Sedentary")</f>
        <v>Sedentary</v>
      </c>
      <c r="W511" t="str">
        <f>tbl_working_daily[[#This Row],[Id]]&amp;"|"&amp;TEXT(tbl_working_daily[[#This Row],[ActivityDate]],"yyyy-mm-dd")</f>
        <v>1624580081|2016-05-05</v>
      </c>
      <c r="X511" t="b">
        <f>ISNUMBER(MATCH(tbl_working_daily[[#This Row],[LookupKey]],tbl_working_sleep[LookupKey],0))</f>
        <v>0</v>
      </c>
    </row>
    <row r="512" spans="1:24" x14ac:dyDescent="0.3">
      <c r="A512">
        <v>1624580081</v>
      </c>
      <c r="B512" s="1">
        <v>42496</v>
      </c>
      <c r="C512">
        <v>1727</v>
      </c>
      <c r="D512">
        <v>1.12000000476837</v>
      </c>
      <c r="E512">
        <v>1.12000000476837</v>
      </c>
      <c r="F512">
        <v>0</v>
      </c>
      <c r="G512">
        <v>0</v>
      </c>
      <c r="H512">
        <v>0</v>
      </c>
      <c r="I512">
        <v>1.12000000476837</v>
      </c>
      <c r="J512">
        <v>9.9999997764825804E-3</v>
      </c>
      <c r="K512">
        <v>0</v>
      </c>
      <c r="L512">
        <v>0</v>
      </c>
      <c r="M512">
        <v>102</v>
      </c>
      <c r="N512">
        <v>1338</v>
      </c>
      <c r="O512">
        <v>1341</v>
      </c>
      <c r="P512" t="str">
        <f>TEXT(tbl_working_daily[[#This Row],[ActivityDate]],"dddd")</f>
        <v>Friday</v>
      </c>
      <c r="Q512" t="str">
        <f>TEXT(tbl_working_daily[[#This Row],[ActivityDate]],"mmmm")</f>
        <v>May</v>
      </c>
      <c r="R512">
        <f t="shared" si="14"/>
        <v>102</v>
      </c>
      <c r="S512">
        <f t="shared" si="15"/>
        <v>1440</v>
      </c>
      <c r="T512">
        <f>ROUND(tbl_working_daily[[#This Row],[SedentaryMinutes]]/60,2)</f>
        <v>22.3</v>
      </c>
      <c r="U512" t="str" cm="1">
        <f t="array" ref="U5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2" t="str" cm="1">
        <f t="array" ref="V512">_xlfn.IFS(tbl_working_daily[[#This Row],[VeryActiveMinutes]]&gt;=30,"Very Active",tbl_working_daily[[#This Row],[VeryActiveMinutes]]&gt;=15,"Moderately Active",tbl_working_daily[[#This Row],[VeryActiveMinutes]]&gt;=1,"Lightly Active",tbl_working_daily[[#This Row],[VeryActiveMinutes]]=0,"Sedentary")</f>
        <v>Sedentary</v>
      </c>
      <c r="W512" t="str">
        <f>tbl_working_daily[[#This Row],[Id]]&amp;"|"&amp;TEXT(tbl_working_daily[[#This Row],[ActivityDate]],"yyyy-mm-dd")</f>
        <v>1624580081|2016-05-06</v>
      </c>
      <c r="X512" t="b">
        <f>ISNUMBER(MATCH(tbl_working_daily[[#This Row],[LookupKey]],tbl_working_sleep[LookupKey],0))</f>
        <v>0</v>
      </c>
    </row>
    <row r="513" spans="1:24" x14ac:dyDescent="0.3">
      <c r="A513">
        <v>1624580081</v>
      </c>
      <c r="B513" s="1">
        <v>42497</v>
      </c>
      <c r="C513">
        <v>2104</v>
      </c>
      <c r="D513">
        <v>1.37000000476837</v>
      </c>
      <c r="E513">
        <v>1.37000000476837</v>
      </c>
      <c r="F513">
        <v>0</v>
      </c>
      <c r="G513">
        <v>0</v>
      </c>
      <c r="H513">
        <v>0</v>
      </c>
      <c r="I513">
        <v>1.37000000476837</v>
      </c>
      <c r="J513">
        <v>0</v>
      </c>
      <c r="K513">
        <v>0</v>
      </c>
      <c r="L513">
        <v>0</v>
      </c>
      <c r="M513">
        <v>182</v>
      </c>
      <c r="N513">
        <v>1258</v>
      </c>
      <c r="O513">
        <v>1474</v>
      </c>
      <c r="P513" t="str">
        <f>TEXT(tbl_working_daily[[#This Row],[ActivityDate]],"dddd")</f>
        <v>Saturday</v>
      </c>
      <c r="Q513" t="str">
        <f>TEXT(tbl_working_daily[[#This Row],[ActivityDate]],"mmmm")</f>
        <v>May</v>
      </c>
      <c r="R513">
        <f t="shared" si="14"/>
        <v>182</v>
      </c>
      <c r="S513">
        <f t="shared" si="15"/>
        <v>1440</v>
      </c>
      <c r="T513">
        <f>ROUND(tbl_working_daily[[#This Row],[SedentaryMinutes]]/60,2)</f>
        <v>20.97</v>
      </c>
      <c r="U513" t="str" cm="1">
        <f t="array" ref="U51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3" t="str" cm="1">
        <f t="array" ref="V513">_xlfn.IFS(tbl_working_daily[[#This Row],[VeryActiveMinutes]]&gt;=30,"Very Active",tbl_working_daily[[#This Row],[VeryActiveMinutes]]&gt;=15,"Moderately Active",tbl_working_daily[[#This Row],[VeryActiveMinutes]]&gt;=1,"Lightly Active",tbl_working_daily[[#This Row],[VeryActiveMinutes]]=0,"Sedentary")</f>
        <v>Sedentary</v>
      </c>
      <c r="W513" t="str">
        <f>tbl_working_daily[[#This Row],[Id]]&amp;"|"&amp;TEXT(tbl_working_daily[[#This Row],[ActivityDate]],"yyyy-mm-dd")</f>
        <v>1624580081|2016-05-07</v>
      </c>
      <c r="X513" t="b">
        <f>ISNUMBER(MATCH(tbl_working_daily[[#This Row],[LookupKey]],tbl_working_sleep[LookupKey],0))</f>
        <v>0</v>
      </c>
    </row>
    <row r="514" spans="1:24" x14ac:dyDescent="0.3">
      <c r="A514">
        <v>1624580081</v>
      </c>
      <c r="B514" s="1">
        <v>42498</v>
      </c>
      <c r="C514">
        <v>3427</v>
      </c>
      <c r="D514">
        <v>2.2300000190734899</v>
      </c>
      <c r="E514">
        <v>2.2300000190734899</v>
      </c>
      <c r="F514">
        <v>0</v>
      </c>
      <c r="G514">
        <v>0</v>
      </c>
      <c r="H514">
        <v>0</v>
      </c>
      <c r="I514">
        <v>2.2200000286102299</v>
      </c>
      <c r="J514">
        <v>0</v>
      </c>
      <c r="K514">
        <v>0</v>
      </c>
      <c r="L514">
        <v>0</v>
      </c>
      <c r="M514">
        <v>152</v>
      </c>
      <c r="N514">
        <v>1288</v>
      </c>
      <c r="O514">
        <v>1427</v>
      </c>
      <c r="P514" t="str">
        <f>TEXT(tbl_working_daily[[#This Row],[ActivityDate]],"dddd")</f>
        <v>Sunday</v>
      </c>
      <c r="Q514" t="str">
        <f>TEXT(tbl_working_daily[[#This Row],[ActivityDate]],"mmmm")</f>
        <v>May</v>
      </c>
      <c r="R514">
        <f t="shared" ref="R514:R577" si="16">K514+L514+M514</f>
        <v>152</v>
      </c>
      <c r="S514">
        <f t="shared" ref="S514:S577" si="17">R514+N514</f>
        <v>1440</v>
      </c>
      <c r="T514">
        <f>ROUND(tbl_working_daily[[#This Row],[SedentaryMinutes]]/60,2)</f>
        <v>21.47</v>
      </c>
      <c r="U514" t="str" cm="1">
        <f t="array" ref="U51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4" t="str" cm="1">
        <f t="array" ref="V514">_xlfn.IFS(tbl_working_daily[[#This Row],[VeryActiveMinutes]]&gt;=30,"Very Active",tbl_working_daily[[#This Row],[VeryActiveMinutes]]&gt;=15,"Moderately Active",tbl_working_daily[[#This Row],[VeryActiveMinutes]]&gt;=1,"Lightly Active",tbl_working_daily[[#This Row],[VeryActiveMinutes]]=0,"Sedentary")</f>
        <v>Sedentary</v>
      </c>
      <c r="W514" t="str">
        <f>tbl_working_daily[[#This Row],[Id]]&amp;"|"&amp;TEXT(tbl_working_daily[[#This Row],[ActivityDate]],"yyyy-mm-dd")</f>
        <v>1624580081|2016-05-08</v>
      </c>
      <c r="X514" t="b">
        <f>ISNUMBER(MATCH(tbl_working_daily[[#This Row],[LookupKey]],tbl_working_sleep[LookupKey],0))</f>
        <v>0</v>
      </c>
    </row>
    <row r="515" spans="1:24" x14ac:dyDescent="0.3">
      <c r="A515">
        <v>1624580081</v>
      </c>
      <c r="B515" s="1">
        <v>42499</v>
      </c>
      <c r="C515">
        <v>1732</v>
      </c>
      <c r="D515">
        <v>1.12999999523163</v>
      </c>
      <c r="E515">
        <v>1.12999999523163</v>
      </c>
      <c r="F515">
        <v>0</v>
      </c>
      <c r="G515">
        <v>0</v>
      </c>
      <c r="H515">
        <v>0</v>
      </c>
      <c r="I515">
        <v>1.12999999523163</v>
      </c>
      <c r="J515">
        <v>0</v>
      </c>
      <c r="K515">
        <v>0</v>
      </c>
      <c r="L515">
        <v>0</v>
      </c>
      <c r="M515">
        <v>91</v>
      </c>
      <c r="N515">
        <v>1349</v>
      </c>
      <c r="O515">
        <v>1328</v>
      </c>
      <c r="P515" t="str">
        <f>TEXT(tbl_working_daily[[#This Row],[ActivityDate]],"dddd")</f>
        <v>Monday</v>
      </c>
      <c r="Q515" t="str">
        <f>TEXT(tbl_working_daily[[#This Row],[ActivityDate]],"mmmm")</f>
        <v>May</v>
      </c>
      <c r="R515">
        <f t="shared" si="16"/>
        <v>91</v>
      </c>
      <c r="S515">
        <f t="shared" si="17"/>
        <v>1440</v>
      </c>
      <c r="T515">
        <f>ROUND(tbl_working_daily[[#This Row],[SedentaryMinutes]]/60,2)</f>
        <v>22.48</v>
      </c>
      <c r="U515" t="str" cm="1">
        <f t="array" ref="U51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5" t="str" cm="1">
        <f t="array" ref="V515">_xlfn.IFS(tbl_working_daily[[#This Row],[VeryActiveMinutes]]&gt;=30,"Very Active",tbl_working_daily[[#This Row],[VeryActiveMinutes]]&gt;=15,"Moderately Active",tbl_working_daily[[#This Row],[VeryActiveMinutes]]&gt;=1,"Lightly Active",tbl_working_daily[[#This Row],[VeryActiveMinutes]]=0,"Sedentary")</f>
        <v>Sedentary</v>
      </c>
      <c r="W515" t="str">
        <f>tbl_working_daily[[#This Row],[Id]]&amp;"|"&amp;TEXT(tbl_working_daily[[#This Row],[ActivityDate]],"yyyy-mm-dd")</f>
        <v>1624580081|2016-05-09</v>
      </c>
      <c r="X515" t="b">
        <f>ISNUMBER(MATCH(tbl_working_daily[[#This Row],[LookupKey]],tbl_working_sleep[LookupKey],0))</f>
        <v>0</v>
      </c>
    </row>
    <row r="516" spans="1:24" x14ac:dyDescent="0.3">
      <c r="A516">
        <v>1624580081</v>
      </c>
      <c r="B516" s="1">
        <v>42500</v>
      </c>
      <c r="C516">
        <v>2969</v>
      </c>
      <c r="D516">
        <v>1.9299999475479099</v>
      </c>
      <c r="E516">
        <v>1.9299999475479099</v>
      </c>
      <c r="F516">
        <v>0</v>
      </c>
      <c r="G516">
        <v>0</v>
      </c>
      <c r="H516">
        <v>0</v>
      </c>
      <c r="I516">
        <v>1.91999995708466</v>
      </c>
      <c r="J516">
        <v>9.9999997764825804E-3</v>
      </c>
      <c r="K516">
        <v>0</v>
      </c>
      <c r="L516">
        <v>0</v>
      </c>
      <c r="M516">
        <v>139</v>
      </c>
      <c r="N516">
        <v>1301</v>
      </c>
      <c r="O516">
        <v>1393</v>
      </c>
      <c r="P516" t="str">
        <f>TEXT(tbl_working_daily[[#This Row],[ActivityDate]],"dddd")</f>
        <v>Tuesday</v>
      </c>
      <c r="Q516" t="str">
        <f>TEXT(tbl_working_daily[[#This Row],[ActivityDate]],"mmmm")</f>
        <v>May</v>
      </c>
      <c r="R516">
        <f t="shared" si="16"/>
        <v>139</v>
      </c>
      <c r="S516">
        <f t="shared" si="17"/>
        <v>1440</v>
      </c>
      <c r="T516">
        <f>ROUND(tbl_working_daily[[#This Row],[SedentaryMinutes]]/60,2)</f>
        <v>21.68</v>
      </c>
      <c r="U516" t="str" cm="1">
        <f t="array" ref="U51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6" t="str" cm="1">
        <f t="array" ref="V516">_xlfn.IFS(tbl_working_daily[[#This Row],[VeryActiveMinutes]]&gt;=30,"Very Active",tbl_working_daily[[#This Row],[VeryActiveMinutes]]&gt;=15,"Moderately Active",tbl_working_daily[[#This Row],[VeryActiveMinutes]]&gt;=1,"Lightly Active",tbl_working_daily[[#This Row],[VeryActiveMinutes]]=0,"Sedentary")</f>
        <v>Sedentary</v>
      </c>
      <c r="W516" t="str">
        <f>tbl_working_daily[[#This Row],[Id]]&amp;"|"&amp;TEXT(tbl_working_daily[[#This Row],[ActivityDate]],"yyyy-mm-dd")</f>
        <v>1624580081|2016-05-10</v>
      </c>
      <c r="X516" t="b">
        <f>ISNUMBER(MATCH(tbl_working_daily[[#This Row],[LookupKey]],tbl_working_sleep[LookupKey],0))</f>
        <v>0</v>
      </c>
    </row>
    <row r="517" spans="1:24" x14ac:dyDescent="0.3">
      <c r="A517">
        <v>1624580081</v>
      </c>
      <c r="B517" s="1">
        <v>42501</v>
      </c>
      <c r="C517">
        <v>3134</v>
      </c>
      <c r="D517">
        <v>2.03999996185303</v>
      </c>
      <c r="E517">
        <v>2.03999996185303</v>
      </c>
      <c r="F517">
        <v>0</v>
      </c>
      <c r="G517">
        <v>0</v>
      </c>
      <c r="H517">
        <v>0</v>
      </c>
      <c r="I517">
        <v>2.03999996185303</v>
      </c>
      <c r="J517">
        <v>0</v>
      </c>
      <c r="K517">
        <v>0</v>
      </c>
      <c r="L517">
        <v>0</v>
      </c>
      <c r="M517">
        <v>112</v>
      </c>
      <c r="N517">
        <v>1328</v>
      </c>
      <c r="O517">
        <v>1359</v>
      </c>
      <c r="P517" t="str">
        <f>TEXT(tbl_working_daily[[#This Row],[ActivityDate]],"dddd")</f>
        <v>Wednesday</v>
      </c>
      <c r="Q517" t="str">
        <f>TEXT(tbl_working_daily[[#This Row],[ActivityDate]],"mmmm")</f>
        <v>May</v>
      </c>
      <c r="R517">
        <f t="shared" si="16"/>
        <v>112</v>
      </c>
      <c r="S517">
        <f t="shared" si="17"/>
        <v>1440</v>
      </c>
      <c r="T517">
        <f>ROUND(tbl_working_daily[[#This Row],[SedentaryMinutes]]/60,2)</f>
        <v>22.13</v>
      </c>
      <c r="U517" t="str" cm="1">
        <f t="array" ref="U51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7" t="str" cm="1">
        <f t="array" ref="V517">_xlfn.IFS(tbl_working_daily[[#This Row],[VeryActiveMinutes]]&gt;=30,"Very Active",tbl_working_daily[[#This Row],[VeryActiveMinutes]]&gt;=15,"Moderately Active",tbl_working_daily[[#This Row],[VeryActiveMinutes]]&gt;=1,"Lightly Active",tbl_working_daily[[#This Row],[VeryActiveMinutes]]=0,"Sedentary")</f>
        <v>Sedentary</v>
      </c>
      <c r="W517" t="str">
        <f>tbl_working_daily[[#This Row],[Id]]&amp;"|"&amp;TEXT(tbl_working_daily[[#This Row],[ActivityDate]],"yyyy-mm-dd")</f>
        <v>1624580081|2016-05-11</v>
      </c>
      <c r="X517" t="b">
        <f>ISNUMBER(MATCH(tbl_working_daily[[#This Row],[LookupKey]],tbl_working_sleep[LookupKey],0))</f>
        <v>0</v>
      </c>
    </row>
    <row r="518" spans="1:24" x14ac:dyDescent="0.3">
      <c r="A518">
        <v>1624580081</v>
      </c>
      <c r="B518" s="1">
        <v>42502</v>
      </c>
      <c r="C518">
        <v>2971</v>
      </c>
      <c r="D518">
        <v>1.9299999475479099</v>
      </c>
      <c r="E518">
        <v>1.9299999475479099</v>
      </c>
      <c r="F518">
        <v>0</v>
      </c>
      <c r="G518">
        <v>0</v>
      </c>
      <c r="H518">
        <v>0</v>
      </c>
      <c r="I518">
        <v>1.91999995708466</v>
      </c>
      <c r="J518">
        <v>9.9999997764825804E-3</v>
      </c>
      <c r="K518">
        <v>0</v>
      </c>
      <c r="L518">
        <v>0</v>
      </c>
      <c r="M518">
        <v>107</v>
      </c>
      <c r="N518">
        <v>890</v>
      </c>
      <c r="O518">
        <v>1002</v>
      </c>
      <c r="P518" t="str">
        <f>TEXT(tbl_working_daily[[#This Row],[ActivityDate]],"dddd")</f>
        <v>Thursday</v>
      </c>
      <c r="Q518" t="str">
        <f>TEXT(tbl_working_daily[[#This Row],[ActivityDate]],"mmmm")</f>
        <v>May</v>
      </c>
      <c r="R518">
        <f t="shared" si="16"/>
        <v>107</v>
      </c>
      <c r="S518">
        <f t="shared" si="17"/>
        <v>997</v>
      </c>
      <c r="T518">
        <f>ROUND(tbl_working_daily[[#This Row],[SedentaryMinutes]]/60,2)</f>
        <v>14.83</v>
      </c>
      <c r="U518" t="str" cm="1">
        <f t="array" ref="U51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18" t="str" cm="1">
        <f t="array" ref="V518">_xlfn.IFS(tbl_working_daily[[#This Row],[VeryActiveMinutes]]&gt;=30,"Very Active",tbl_working_daily[[#This Row],[VeryActiveMinutes]]&gt;=15,"Moderately Active",tbl_working_daily[[#This Row],[VeryActiveMinutes]]&gt;=1,"Lightly Active",tbl_working_daily[[#This Row],[VeryActiveMinutes]]=0,"Sedentary")</f>
        <v>Sedentary</v>
      </c>
      <c r="W518" t="str">
        <f>tbl_working_daily[[#This Row],[Id]]&amp;"|"&amp;TEXT(tbl_working_daily[[#This Row],[ActivityDate]],"yyyy-mm-dd")</f>
        <v>1624580081|2016-05-12</v>
      </c>
      <c r="X518" t="b">
        <f>ISNUMBER(MATCH(tbl_working_daily[[#This Row],[LookupKey]],tbl_working_sleep[LookupKey],0))</f>
        <v>0</v>
      </c>
    </row>
    <row r="519" spans="1:24" x14ac:dyDescent="0.3">
      <c r="A519">
        <v>1644430081</v>
      </c>
      <c r="B519" s="1">
        <v>42472</v>
      </c>
      <c r="C519">
        <v>10694</v>
      </c>
      <c r="D519">
        <v>7.7699999809265101</v>
      </c>
      <c r="E519">
        <v>7.7699999809265101</v>
      </c>
      <c r="F519">
        <v>0</v>
      </c>
      <c r="G519">
        <v>0.140000000596046</v>
      </c>
      <c r="H519">
        <v>2.2999999523162802</v>
      </c>
      <c r="I519">
        <v>5.3299999237060502</v>
      </c>
      <c r="J519">
        <v>0</v>
      </c>
      <c r="K519">
        <v>2</v>
      </c>
      <c r="L519">
        <v>51</v>
      </c>
      <c r="M519">
        <v>256</v>
      </c>
      <c r="N519">
        <v>1131</v>
      </c>
      <c r="O519">
        <v>3199</v>
      </c>
      <c r="P519" t="str">
        <f>TEXT(tbl_working_daily[[#This Row],[ActivityDate]],"dddd")</f>
        <v>Tuesday</v>
      </c>
      <c r="Q519" t="str">
        <f>TEXT(tbl_working_daily[[#This Row],[ActivityDate]],"mmmm")</f>
        <v>April</v>
      </c>
      <c r="R519">
        <f t="shared" si="16"/>
        <v>309</v>
      </c>
      <c r="S519">
        <f t="shared" si="17"/>
        <v>1440</v>
      </c>
      <c r="T519">
        <f>ROUND(tbl_working_daily[[#This Row],[SedentaryMinutes]]/60,2)</f>
        <v>18.850000000000001</v>
      </c>
      <c r="U519" t="str" cm="1">
        <f t="array" ref="U51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519" t="str" cm="1">
        <f t="array" ref="V519">_xlfn.IFS(tbl_working_daily[[#This Row],[VeryActiveMinutes]]&gt;=30,"Very Active",tbl_working_daily[[#This Row],[VeryActiveMinutes]]&gt;=15,"Moderately Active",tbl_working_daily[[#This Row],[VeryActiveMinutes]]&gt;=1,"Lightly Active",tbl_working_daily[[#This Row],[VeryActiveMinutes]]=0,"Sedentary")</f>
        <v>Lightly Active</v>
      </c>
      <c r="W519" t="str">
        <f>tbl_working_daily[[#This Row],[Id]]&amp;"|"&amp;TEXT(tbl_working_daily[[#This Row],[ActivityDate]],"yyyy-mm-dd")</f>
        <v>1644430081|2016-04-12</v>
      </c>
      <c r="X519" t="b">
        <f>ISNUMBER(MATCH(tbl_working_daily[[#This Row],[LookupKey]],tbl_working_sleep[LookupKey],0))</f>
        <v>0</v>
      </c>
    </row>
    <row r="520" spans="1:24" x14ac:dyDescent="0.3">
      <c r="A520">
        <v>1644430081</v>
      </c>
      <c r="B520" s="1">
        <v>42473</v>
      </c>
      <c r="C520">
        <v>8001</v>
      </c>
      <c r="D520">
        <v>5.8200001716613796</v>
      </c>
      <c r="E520">
        <v>5.8200001716613796</v>
      </c>
      <c r="F520">
        <v>0</v>
      </c>
      <c r="G520">
        <v>2.2799999713897701</v>
      </c>
      <c r="H520">
        <v>0.89999997615814198</v>
      </c>
      <c r="I520">
        <v>2.6400001049041699</v>
      </c>
      <c r="J520">
        <v>0</v>
      </c>
      <c r="K520">
        <v>30</v>
      </c>
      <c r="L520">
        <v>16</v>
      </c>
      <c r="M520">
        <v>135</v>
      </c>
      <c r="N520">
        <v>1259</v>
      </c>
      <c r="O520">
        <v>2902</v>
      </c>
      <c r="P520" t="str">
        <f>TEXT(tbl_working_daily[[#This Row],[ActivityDate]],"dddd")</f>
        <v>Wednesday</v>
      </c>
      <c r="Q520" t="str">
        <f>TEXT(tbl_working_daily[[#This Row],[ActivityDate]],"mmmm")</f>
        <v>April</v>
      </c>
      <c r="R520">
        <f t="shared" si="16"/>
        <v>181</v>
      </c>
      <c r="S520">
        <f t="shared" si="17"/>
        <v>1440</v>
      </c>
      <c r="T520">
        <f>ROUND(tbl_working_daily[[#This Row],[SedentaryMinutes]]/60,2)</f>
        <v>20.98</v>
      </c>
      <c r="U520" t="str" cm="1">
        <f t="array" ref="U52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20" t="str" cm="1">
        <f t="array" ref="V520">_xlfn.IFS(tbl_working_daily[[#This Row],[VeryActiveMinutes]]&gt;=30,"Very Active",tbl_working_daily[[#This Row],[VeryActiveMinutes]]&gt;=15,"Moderately Active",tbl_working_daily[[#This Row],[VeryActiveMinutes]]&gt;=1,"Lightly Active",tbl_working_daily[[#This Row],[VeryActiveMinutes]]=0,"Sedentary")</f>
        <v>Very Active</v>
      </c>
      <c r="W520" t="str">
        <f>tbl_working_daily[[#This Row],[Id]]&amp;"|"&amp;TEXT(tbl_working_daily[[#This Row],[ActivityDate]],"yyyy-mm-dd")</f>
        <v>1644430081|2016-04-13</v>
      </c>
      <c r="X520" t="b">
        <f>ISNUMBER(MATCH(tbl_working_daily[[#This Row],[LookupKey]],tbl_working_sleep[LookupKey],0))</f>
        <v>0</v>
      </c>
    </row>
    <row r="521" spans="1:24" x14ac:dyDescent="0.3">
      <c r="A521">
        <v>1644430081</v>
      </c>
      <c r="B521" s="1">
        <v>42474</v>
      </c>
      <c r="C521">
        <v>11037</v>
      </c>
      <c r="D521">
        <v>8.0200004577636701</v>
      </c>
      <c r="E521">
        <v>8.0200004577636701</v>
      </c>
      <c r="F521">
        <v>0</v>
      </c>
      <c r="G521">
        <v>0.36000001430511502</v>
      </c>
      <c r="H521">
        <v>2.5599999427795401</v>
      </c>
      <c r="I521">
        <v>5.0999999046325701</v>
      </c>
      <c r="J521">
        <v>0</v>
      </c>
      <c r="K521">
        <v>5</v>
      </c>
      <c r="L521">
        <v>58</v>
      </c>
      <c r="M521">
        <v>252</v>
      </c>
      <c r="N521">
        <v>1125</v>
      </c>
      <c r="O521">
        <v>3226</v>
      </c>
      <c r="P521" t="str">
        <f>TEXT(tbl_working_daily[[#This Row],[ActivityDate]],"dddd")</f>
        <v>Thursday</v>
      </c>
      <c r="Q521" t="str">
        <f>TEXT(tbl_working_daily[[#This Row],[ActivityDate]],"mmmm")</f>
        <v>April</v>
      </c>
      <c r="R521">
        <f t="shared" si="16"/>
        <v>315</v>
      </c>
      <c r="S521">
        <f t="shared" si="17"/>
        <v>1440</v>
      </c>
      <c r="T521">
        <f>ROUND(tbl_working_daily[[#This Row],[SedentaryMinutes]]/60,2)</f>
        <v>18.75</v>
      </c>
      <c r="U521" t="str" cm="1">
        <f t="array" ref="U52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521" t="str" cm="1">
        <f t="array" ref="V521">_xlfn.IFS(tbl_working_daily[[#This Row],[VeryActiveMinutes]]&gt;=30,"Very Active",tbl_working_daily[[#This Row],[VeryActiveMinutes]]&gt;=15,"Moderately Active",tbl_working_daily[[#This Row],[VeryActiveMinutes]]&gt;=1,"Lightly Active",tbl_working_daily[[#This Row],[VeryActiveMinutes]]=0,"Sedentary")</f>
        <v>Lightly Active</v>
      </c>
      <c r="W521" t="str">
        <f>tbl_working_daily[[#This Row],[Id]]&amp;"|"&amp;TEXT(tbl_working_daily[[#This Row],[ActivityDate]],"yyyy-mm-dd")</f>
        <v>1644430081|2016-04-14</v>
      </c>
      <c r="X521" t="b">
        <f>ISNUMBER(MATCH(tbl_working_daily[[#This Row],[LookupKey]],tbl_working_sleep[LookupKey],0))</f>
        <v>0</v>
      </c>
    </row>
    <row r="522" spans="1:24" x14ac:dyDescent="0.3">
      <c r="A522">
        <v>1644430081</v>
      </c>
      <c r="B522" s="1">
        <v>42475</v>
      </c>
      <c r="C522">
        <v>5263</v>
      </c>
      <c r="D522">
        <v>3.8299999237060498</v>
      </c>
      <c r="E522">
        <v>3.8299999237060498</v>
      </c>
      <c r="F522">
        <v>0</v>
      </c>
      <c r="G522">
        <v>0.21999999880790699</v>
      </c>
      <c r="H522">
        <v>0.15000000596046401</v>
      </c>
      <c r="I522">
        <v>3.4500000476837198</v>
      </c>
      <c r="J522">
        <v>0</v>
      </c>
      <c r="K522">
        <v>3</v>
      </c>
      <c r="L522">
        <v>4</v>
      </c>
      <c r="M522">
        <v>170</v>
      </c>
      <c r="N522">
        <v>1263</v>
      </c>
      <c r="O522">
        <v>2750</v>
      </c>
      <c r="P522" t="str">
        <f>TEXT(tbl_working_daily[[#This Row],[ActivityDate]],"dddd")</f>
        <v>Friday</v>
      </c>
      <c r="Q522" t="str">
        <f>TEXT(tbl_working_daily[[#This Row],[ActivityDate]],"mmmm")</f>
        <v>April</v>
      </c>
      <c r="R522">
        <f t="shared" si="16"/>
        <v>177</v>
      </c>
      <c r="S522">
        <f t="shared" si="17"/>
        <v>1440</v>
      </c>
      <c r="T522">
        <f>ROUND(tbl_working_daily[[#This Row],[SedentaryMinutes]]/60,2)</f>
        <v>21.05</v>
      </c>
      <c r="U522" t="str" cm="1">
        <f t="array" ref="U52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22" t="str" cm="1">
        <f t="array" ref="V522">_xlfn.IFS(tbl_working_daily[[#This Row],[VeryActiveMinutes]]&gt;=30,"Very Active",tbl_working_daily[[#This Row],[VeryActiveMinutes]]&gt;=15,"Moderately Active",tbl_working_daily[[#This Row],[VeryActiveMinutes]]&gt;=1,"Lightly Active",tbl_working_daily[[#This Row],[VeryActiveMinutes]]=0,"Sedentary")</f>
        <v>Lightly Active</v>
      </c>
      <c r="W522" t="str">
        <f>tbl_working_daily[[#This Row],[Id]]&amp;"|"&amp;TEXT(tbl_working_daily[[#This Row],[ActivityDate]],"yyyy-mm-dd")</f>
        <v>1644430081|2016-04-15</v>
      </c>
      <c r="X522" t="b">
        <f>ISNUMBER(MATCH(tbl_working_daily[[#This Row],[LookupKey]],tbl_working_sleep[LookupKey],0))</f>
        <v>0</v>
      </c>
    </row>
    <row r="523" spans="1:24" x14ac:dyDescent="0.3">
      <c r="A523">
        <v>1644430081</v>
      </c>
      <c r="B523" s="1">
        <v>42476</v>
      </c>
      <c r="C523">
        <v>15300</v>
      </c>
      <c r="D523">
        <v>11.1199998855591</v>
      </c>
      <c r="E523">
        <v>11.1199998855591</v>
      </c>
      <c r="F523">
        <v>0</v>
      </c>
      <c r="G523">
        <v>4.0999999046325701</v>
      </c>
      <c r="H523">
        <v>1.87999999523163</v>
      </c>
      <c r="I523">
        <v>5.0900001525878897</v>
      </c>
      <c r="J523">
        <v>0</v>
      </c>
      <c r="K523">
        <v>51</v>
      </c>
      <c r="L523">
        <v>42</v>
      </c>
      <c r="M523">
        <v>212</v>
      </c>
      <c r="N523">
        <v>1135</v>
      </c>
      <c r="O523">
        <v>3493</v>
      </c>
      <c r="P523" t="str">
        <f>TEXT(tbl_working_daily[[#This Row],[ActivityDate]],"dddd")</f>
        <v>Saturday</v>
      </c>
      <c r="Q523" t="str">
        <f>TEXT(tbl_working_daily[[#This Row],[ActivityDate]],"mmmm")</f>
        <v>April</v>
      </c>
      <c r="R523">
        <f t="shared" si="16"/>
        <v>305</v>
      </c>
      <c r="S523">
        <f t="shared" si="17"/>
        <v>1440</v>
      </c>
      <c r="T523">
        <f>ROUND(tbl_working_daily[[#This Row],[SedentaryMinutes]]/60,2)</f>
        <v>18.920000000000002</v>
      </c>
      <c r="U523" t="str" cm="1">
        <f t="array" ref="U52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523" t="str" cm="1">
        <f t="array" ref="V523">_xlfn.IFS(tbl_working_daily[[#This Row],[VeryActiveMinutes]]&gt;=30,"Very Active",tbl_working_daily[[#This Row],[VeryActiveMinutes]]&gt;=15,"Moderately Active",tbl_working_daily[[#This Row],[VeryActiveMinutes]]&gt;=1,"Lightly Active",tbl_working_daily[[#This Row],[VeryActiveMinutes]]=0,"Sedentary")</f>
        <v>Very Active</v>
      </c>
      <c r="W523" t="str">
        <f>tbl_working_daily[[#This Row],[Id]]&amp;"|"&amp;TEXT(tbl_working_daily[[#This Row],[ActivityDate]],"yyyy-mm-dd")</f>
        <v>1644430081|2016-04-16</v>
      </c>
      <c r="X523" t="b">
        <f>ISNUMBER(MATCH(tbl_working_daily[[#This Row],[LookupKey]],tbl_working_sleep[LookupKey],0))</f>
        <v>0</v>
      </c>
    </row>
    <row r="524" spans="1:24" x14ac:dyDescent="0.3">
      <c r="A524">
        <v>1644430081</v>
      </c>
      <c r="B524" s="1">
        <v>42477</v>
      </c>
      <c r="C524">
        <v>8757</v>
      </c>
      <c r="D524">
        <v>6.3699998855590803</v>
      </c>
      <c r="E524">
        <v>6.3699998855590803</v>
      </c>
      <c r="F524">
        <v>0</v>
      </c>
      <c r="G524">
        <v>2.25</v>
      </c>
      <c r="H524">
        <v>0.56999999284744296</v>
      </c>
      <c r="I524">
        <v>3.5499999523162802</v>
      </c>
      <c r="J524">
        <v>0</v>
      </c>
      <c r="K524">
        <v>29</v>
      </c>
      <c r="L524">
        <v>13</v>
      </c>
      <c r="M524">
        <v>186</v>
      </c>
      <c r="N524">
        <v>1212</v>
      </c>
      <c r="O524">
        <v>3011</v>
      </c>
      <c r="P524" t="str">
        <f>TEXT(tbl_working_daily[[#This Row],[ActivityDate]],"dddd")</f>
        <v>Sunday</v>
      </c>
      <c r="Q524" t="str">
        <f>TEXT(tbl_working_daily[[#This Row],[ActivityDate]],"mmmm")</f>
        <v>April</v>
      </c>
      <c r="R524">
        <f t="shared" si="16"/>
        <v>228</v>
      </c>
      <c r="S524">
        <f t="shared" si="17"/>
        <v>1440</v>
      </c>
      <c r="T524">
        <f>ROUND(tbl_working_daily[[#This Row],[SedentaryMinutes]]/60,2)</f>
        <v>20.2</v>
      </c>
      <c r="U524" t="str" cm="1">
        <f t="array" ref="U52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24" t="str" cm="1">
        <f t="array" ref="V524">_xlfn.IFS(tbl_working_daily[[#This Row],[VeryActiveMinutes]]&gt;=30,"Very Active",tbl_working_daily[[#This Row],[VeryActiveMinutes]]&gt;=15,"Moderately Active",tbl_working_daily[[#This Row],[VeryActiveMinutes]]&gt;=1,"Lightly Active",tbl_working_daily[[#This Row],[VeryActiveMinutes]]=0,"Sedentary")</f>
        <v>Moderately Active</v>
      </c>
      <c r="W524" t="str">
        <f>tbl_working_daily[[#This Row],[Id]]&amp;"|"&amp;TEXT(tbl_working_daily[[#This Row],[ActivityDate]],"yyyy-mm-dd")</f>
        <v>1644430081|2016-04-17</v>
      </c>
      <c r="X524" t="b">
        <f>ISNUMBER(MATCH(tbl_working_daily[[#This Row],[LookupKey]],tbl_working_sleep[LookupKey],0))</f>
        <v>0</v>
      </c>
    </row>
    <row r="525" spans="1:24" x14ac:dyDescent="0.3">
      <c r="A525">
        <v>1644430081</v>
      </c>
      <c r="B525" s="1">
        <v>42478</v>
      </c>
      <c r="C525">
        <v>7132</v>
      </c>
      <c r="D525">
        <v>5.1900000572204599</v>
      </c>
      <c r="E525">
        <v>5.1900000572204599</v>
      </c>
      <c r="F525">
        <v>0</v>
      </c>
      <c r="G525">
        <v>1.0700000524520901</v>
      </c>
      <c r="H525">
        <v>1.66999995708466</v>
      </c>
      <c r="I525">
        <v>2.4500000476837198</v>
      </c>
      <c r="J525">
        <v>0</v>
      </c>
      <c r="K525">
        <v>15</v>
      </c>
      <c r="L525">
        <v>33</v>
      </c>
      <c r="M525">
        <v>121</v>
      </c>
      <c r="N525">
        <v>1271</v>
      </c>
      <c r="O525">
        <v>2806</v>
      </c>
      <c r="P525" t="str">
        <f>TEXT(tbl_working_daily[[#This Row],[ActivityDate]],"dddd")</f>
        <v>Monday</v>
      </c>
      <c r="Q525" t="str">
        <f>TEXT(tbl_working_daily[[#This Row],[ActivityDate]],"mmmm")</f>
        <v>April</v>
      </c>
      <c r="R525">
        <f t="shared" si="16"/>
        <v>169</v>
      </c>
      <c r="S525">
        <f t="shared" si="17"/>
        <v>1440</v>
      </c>
      <c r="T525">
        <f>ROUND(tbl_working_daily[[#This Row],[SedentaryMinutes]]/60,2)</f>
        <v>21.18</v>
      </c>
      <c r="U525" t="str" cm="1">
        <f t="array" ref="U52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25" t="str" cm="1">
        <f t="array" ref="V525">_xlfn.IFS(tbl_working_daily[[#This Row],[VeryActiveMinutes]]&gt;=30,"Very Active",tbl_working_daily[[#This Row],[VeryActiveMinutes]]&gt;=15,"Moderately Active",tbl_working_daily[[#This Row],[VeryActiveMinutes]]&gt;=1,"Lightly Active",tbl_working_daily[[#This Row],[VeryActiveMinutes]]=0,"Sedentary")</f>
        <v>Moderately Active</v>
      </c>
      <c r="W525" t="str">
        <f>tbl_working_daily[[#This Row],[Id]]&amp;"|"&amp;TEXT(tbl_working_daily[[#This Row],[ActivityDate]],"yyyy-mm-dd")</f>
        <v>1644430081|2016-04-18</v>
      </c>
      <c r="X525" t="b">
        <f>ISNUMBER(MATCH(tbl_working_daily[[#This Row],[LookupKey]],tbl_working_sleep[LookupKey],0))</f>
        <v>0</v>
      </c>
    </row>
    <row r="526" spans="1:24" x14ac:dyDescent="0.3">
      <c r="A526">
        <v>1644430081</v>
      </c>
      <c r="B526" s="1">
        <v>42479</v>
      </c>
      <c r="C526">
        <v>11256</v>
      </c>
      <c r="D526">
        <v>8.1800003051757795</v>
      </c>
      <c r="E526">
        <v>8.1800003051757795</v>
      </c>
      <c r="F526">
        <v>0</v>
      </c>
      <c r="G526">
        <v>0.36000001430511502</v>
      </c>
      <c r="H526">
        <v>2.5299999713897701</v>
      </c>
      <c r="I526">
        <v>5.3000001907348597</v>
      </c>
      <c r="J526">
        <v>0</v>
      </c>
      <c r="K526">
        <v>5</v>
      </c>
      <c r="L526">
        <v>58</v>
      </c>
      <c r="M526">
        <v>278</v>
      </c>
      <c r="N526">
        <v>1099</v>
      </c>
      <c r="O526">
        <v>3300</v>
      </c>
      <c r="P526" t="str">
        <f>TEXT(tbl_working_daily[[#This Row],[ActivityDate]],"dddd")</f>
        <v>Tuesday</v>
      </c>
      <c r="Q526" t="str">
        <f>TEXT(tbl_working_daily[[#This Row],[ActivityDate]],"mmmm")</f>
        <v>April</v>
      </c>
      <c r="R526">
        <f t="shared" si="16"/>
        <v>341</v>
      </c>
      <c r="S526">
        <f t="shared" si="17"/>
        <v>1440</v>
      </c>
      <c r="T526">
        <f>ROUND(tbl_working_daily[[#This Row],[SedentaryMinutes]]/60,2)</f>
        <v>18.32</v>
      </c>
      <c r="U526" t="str" cm="1">
        <f t="array" ref="U52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526" t="str" cm="1">
        <f t="array" ref="V526">_xlfn.IFS(tbl_working_daily[[#This Row],[VeryActiveMinutes]]&gt;=30,"Very Active",tbl_working_daily[[#This Row],[VeryActiveMinutes]]&gt;=15,"Moderately Active",tbl_working_daily[[#This Row],[VeryActiveMinutes]]&gt;=1,"Lightly Active",tbl_working_daily[[#This Row],[VeryActiveMinutes]]=0,"Sedentary")</f>
        <v>Lightly Active</v>
      </c>
      <c r="W526" t="str">
        <f>tbl_working_daily[[#This Row],[Id]]&amp;"|"&amp;TEXT(tbl_working_daily[[#This Row],[ActivityDate]],"yyyy-mm-dd")</f>
        <v>1644430081|2016-04-19</v>
      </c>
      <c r="X526" t="b">
        <f>ISNUMBER(MATCH(tbl_working_daily[[#This Row],[LookupKey]],tbl_working_sleep[LookupKey],0))</f>
        <v>0</v>
      </c>
    </row>
    <row r="527" spans="1:24" x14ac:dyDescent="0.3">
      <c r="A527">
        <v>1644430081</v>
      </c>
      <c r="B527" s="1">
        <v>42480</v>
      </c>
      <c r="C527">
        <v>2436</v>
      </c>
      <c r="D527">
        <v>1.7699999809265099</v>
      </c>
      <c r="E527">
        <v>1.7699999809265099</v>
      </c>
      <c r="F527">
        <v>0</v>
      </c>
      <c r="G527">
        <v>0</v>
      </c>
      <c r="H527">
        <v>0</v>
      </c>
      <c r="I527">
        <v>1.7599999904632599</v>
      </c>
      <c r="J527">
        <v>9.9999997764825804E-3</v>
      </c>
      <c r="K527">
        <v>0</v>
      </c>
      <c r="L527">
        <v>0</v>
      </c>
      <c r="M527">
        <v>125</v>
      </c>
      <c r="N527">
        <v>1315</v>
      </c>
      <c r="O527">
        <v>2430</v>
      </c>
      <c r="P527" t="str">
        <f>TEXT(tbl_working_daily[[#This Row],[ActivityDate]],"dddd")</f>
        <v>Wednesday</v>
      </c>
      <c r="Q527" t="str">
        <f>TEXT(tbl_working_daily[[#This Row],[ActivityDate]],"mmmm")</f>
        <v>April</v>
      </c>
      <c r="R527">
        <f t="shared" si="16"/>
        <v>125</v>
      </c>
      <c r="S527">
        <f t="shared" si="17"/>
        <v>1440</v>
      </c>
      <c r="T527">
        <f>ROUND(tbl_working_daily[[#This Row],[SedentaryMinutes]]/60,2)</f>
        <v>21.92</v>
      </c>
      <c r="U527" t="str" cm="1">
        <f t="array" ref="U5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27" t="str" cm="1">
        <f t="array" ref="V527">_xlfn.IFS(tbl_working_daily[[#This Row],[VeryActiveMinutes]]&gt;=30,"Very Active",tbl_working_daily[[#This Row],[VeryActiveMinutes]]&gt;=15,"Moderately Active",tbl_working_daily[[#This Row],[VeryActiveMinutes]]&gt;=1,"Lightly Active",tbl_working_daily[[#This Row],[VeryActiveMinutes]]=0,"Sedentary")</f>
        <v>Sedentary</v>
      </c>
      <c r="W527" t="str">
        <f>tbl_working_daily[[#This Row],[Id]]&amp;"|"&amp;TEXT(tbl_working_daily[[#This Row],[ActivityDate]],"yyyy-mm-dd")</f>
        <v>1644430081|2016-04-20</v>
      </c>
      <c r="X527" t="b">
        <f>ISNUMBER(MATCH(tbl_working_daily[[#This Row],[LookupKey]],tbl_working_sleep[LookupKey],0))</f>
        <v>0</v>
      </c>
    </row>
    <row r="528" spans="1:24" x14ac:dyDescent="0.3">
      <c r="A528">
        <v>1644430081</v>
      </c>
      <c r="B528" s="1">
        <v>42481</v>
      </c>
      <c r="C528">
        <v>1223</v>
      </c>
      <c r="D528">
        <v>0.88999998569488503</v>
      </c>
      <c r="E528">
        <v>0.88999998569488503</v>
      </c>
      <c r="F528">
        <v>0</v>
      </c>
      <c r="G528">
        <v>0</v>
      </c>
      <c r="H528">
        <v>0</v>
      </c>
      <c r="I528">
        <v>0.87999999523162797</v>
      </c>
      <c r="J528">
        <v>9.9999997764825804E-3</v>
      </c>
      <c r="K528">
        <v>0</v>
      </c>
      <c r="L528">
        <v>0</v>
      </c>
      <c r="M528">
        <v>38</v>
      </c>
      <c r="N528">
        <v>1402</v>
      </c>
      <c r="O528">
        <v>2140</v>
      </c>
      <c r="P528" t="str">
        <f>TEXT(tbl_working_daily[[#This Row],[ActivityDate]],"dddd")</f>
        <v>Thursday</v>
      </c>
      <c r="Q528" t="str">
        <f>TEXT(tbl_working_daily[[#This Row],[ActivityDate]],"mmmm")</f>
        <v>April</v>
      </c>
      <c r="R528">
        <f t="shared" si="16"/>
        <v>38</v>
      </c>
      <c r="S528">
        <f t="shared" si="17"/>
        <v>1440</v>
      </c>
      <c r="T528">
        <f>ROUND(tbl_working_daily[[#This Row],[SedentaryMinutes]]/60,2)</f>
        <v>23.37</v>
      </c>
      <c r="U528" t="str" cm="1">
        <f t="array" ref="U52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28" t="str" cm="1">
        <f t="array" ref="V528">_xlfn.IFS(tbl_working_daily[[#This Row],[VeryActiveMinutes]]&gt;=30,"Very Active",tbl_working_daily[[#This Row],[VeryActiveMinutes]]&gt;=15,"Moderately Active",tbl_working_daily[[#This Row],[VeryActiveMinutes]]&gt;=1,"Lightly Active",tbl_working_daily[[#This Row],[VeryActiveMinutes]]=0,"Sedentary")</f>
        <v>Sedentary</v>
      </c>
      <c r="W528" t="str">
        <f>tbl_working_daily[[#This Row],[Id]]&amp;"|"&amp;TEXT(tbl_working_daily[[#This Row],[ActivityDate]],"yyyy-mm-dd")</f>
        <v>1644430081|2016-04-21</v>
      </c>
      <c r="X528" t="b">
        <f>ISNUMBER(MATCH(tbl_working_daily[[#This Row],[LookupKey]],tbl_working_sleep[LookupKey],0))</f>
        <v>0</v>
      </c>
    </row>
    <row r="529" spans="1:24" x14ac:dyDescent="0.3">
      <c r="A529">
        <v>1644430081</v>
      </c>
      <c r="B529" s="1">
        <v>42482</v>
      </c>
      <c r="C529">
        <v>3673</v>
      </c>
      <c r="D529">
        <v>2.6700000762939502</v>
      </c>
      <c r="E529">
        <v>2.6700000762939502</v>
      </c>
      <c r="F529">
        <v>0</v>
      </c>
      <c r="G529">
        <v>0</v>
      </c>
      <c r="H529">
        <v>0</v>
      </c>
      <c r="I529">
        <v>2.6600000858306898</v>
      </c>
      <c r="J529">
        <v>9.9999997764825804E-3</v>
      </c>
      <c r="K529">
        <v>0</v>
      </c>
      <c r="L529">
        <v>0</v>
      </c>
      <c r="M529">
        <v>86</v>
      </c>
      <c r="N529">
        <v>1354</v>
      </c>
      <c r="O529">
        <v>2344</v>
      </c>
      <c r="P529" t="str">
        <f>TEXT(tbl_working_daily[[#This Row],[ActivityDate]],"dddd")</f>
        <v>Friday</v>
      </c>
      <c r="Q529" t="str">
        <f>TEXT(tbl_working_daily[[#This Row],[ActivityDate]],"mmmm")</f>
        <v>April</v>
      </c>
      <c r="R529">
        <f t="shared" si="16"/>
        <v>86</v>
      </c>
      <c r="S529">
        <f t="shared" si="17"/>
        <v>1440</v>
      </c>
      <c r="T529">
        <f>ROUND(tbl_working_daily[[#This Row],[SedentaryMinutes]]/60,2)</f>
        <v>22.57</v>
      </c>
      <c r="U529" t="str" cm="1">
        <f t="array" ref="U52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29" t="str" cm="1">
        <f t="array" ref="V529">_xlfn.IFS(tbl_working_daily[[#This Row],[VeryActiveMinutes]]&gt;=30,"Very Active",tbl_working_daily[[#This Row],[VeryActiveMinutes]]&gt;=15,"Moderately Active",tbl_working_daily[[#This Row],[VeryActiveMinutes]]&gt;=1,"Lightly Active",tbl_working_daily[[#This Row],[VeryActiveMinutes]]=0,"Sedentary")</f>
        <v>Sedentary</v>
      </c>
      <c r="W529" t="str">
        <f>tbl_working_daily[[#This Row],[Id]]&amp;"|"&amp;TEXT(tbl_working_daily[[#This Row],[ActivityDate]],"yyyy-mm-dd")</f>
        <v>1644430081|2016-04-22</v>
      </c>
      <c r="X529" t="b">
        <f>ISNUMBER(MATCH(tbl_working_daily[[#This Row],[LookupKey]],tbl_working_sleep[LookupKey],0))</f>
        <v>0</v>
      </c>
    </row>
    <row r="530" spans="1:24" x14ac:dyDescent="0.3">
      <c r="A530">
        <v>1644430081</v>
      </c>
      <c r="B530" s="1">
        <v>42483</v>
      </c>
      <c r="C530">
        <v>6637</v>
      </c>
      <c r="D530">
        <v>4.8299999237060502</v>
      </c>
      <c r="E530">
        <v>4.8299999237060502</v>
      </c>
      <c r="F530">
        <v>0</v>
      </c>
      <c r="G530">
        <v>0</v>
      </c>
      <c r="H530">
        <v>0.57999998331069902</v>
      </c>
      <c r="I530">
        <v>4.25</v>
      </c>
      <c r="J530">
        <v>0</v>
      </c>
      <c r="K530">
        <v>0</v>
      </c>
      <c r="L530">
        <v>15</v>
      </c>
      <c r="M530">
        <v>160</v>
      </c>
      <c r="N530">
        <v>1265</v>
      </c>
      <c r="O530">
        <v>2677</v>
      </c>
      <c r="P530" t="str">
        <f>TEXT(tbl_working_daily[[#This Row],[ActivityDate]],"dddd")</f>
        <v>Saturday</v>
      </c>
      <c r="Q530" t="str">
        <f>TEXT(tbl_working_daily[[#This Row],[ActivityDate]],"mmmm")</f>
        <v>April</v>
      </c>
      <c r="R530">
        <f t="shared" si="16"/>
        <v>175</v>
      </c>
      <c r="S530">
        <f t="shared" si="17"/>
        <v>1440</v>
      </c>
      <c r="T530">
        <f>ROUND(tbl_working_daily[[#This Row],[SedentaryMinutes]]/60,2)</f>
        <v>21.08</v>
      </c>
      <c r="U530" t="str" cm="1">
        <f t="array" ref="U53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30" t="str" cm="1">
        <f t="array" ref="V530">_xlfn.IFS(tbl_working_daily[[#This Row],[VeryActiveMinutes]]&gt;=30,"Very Active",tbl_working_daily[[#This Row],[VeryActiveMinutes]]&gt;=15,"Moderately Active",tbl_working_daily[[#This Row],[VeryActiveMinutes]]&gt;=1,"Lightly Active",tbl_working_daily[[#This Row],[VeryActiveMinutes]]=0,"Sedentary")</f>
        <v>Sedentary</v>
      </c>
      <c r="W530" t="str">
        <f>tbl_working_daily[[#This Row],[Id]]&amp;"|"&amp;TEXT(tbl_working_daily[[#This Row],[ActivityDate]],"yyyy-mm-dd")</f>
        <v>1644430081|2016-04-23</v>
      </c>
      <c r="X530" t="b">
        <f>ISNUMBER(MATCH(tbl_working_daily[[#This Row],[LookupKey]],tbl_working_sleep[LookupKey],0))</f>
        <v>0</v>
      </c>
    </row>
    <row r="531" spans="1:24" x14ac:dyDescent="0.3">
      <c r="A531">
        <v>1644430081</v>
      </c>
      <c r="B531" s="1">
        <v>42484</v>
      </c>
      <c r="C531">
        <v>3321</v>
      </c>
      <c r="D531">
        <v>2.4100000858306898</v>
      </c>
      <c r="E531">
        <v>2.4100000858306898</v>
      </c>
      <c r="F531">
        <v>0</v>
      </c>
      <c r="G531">
        <v>0</v>
      </c>
      <c r="H531">
        <v>0</v>
      </c>
      <c r="I531">
        <v>2.4100000858306898</v>
      </c>
      <c r="J531">
        <v>0</v>
      </c>
      <c r="K531">
        <v>0</v>
      </c>
      <c r="L531">
        <v>0</v>
      </c>
      <c r="M531">
        <v>89</v>
      </c>
      <c r="N531">
        <v>1351</v>
      </c>
      <c r="O531">
        <v>2413</v>
      </c>
      <c r="P531" t="str">
        <f>TEXT(tbl_working_daily[[#This Row],[ActivityDate]],"dddd")</f>
        <v>Sunday</v>
      </c>
      <c r="Q531" t="str">
        <f>TEXT(tbl_working_daily[[#This Row],[ActivityDate]],"mmmm")</f>
        <v>April</v>
      </c>
      <c r="R531">
        <f t="shared" si="16"/>
        <v>89</v>
      </c>
      <c r="S531">
        <f t="shared" si="17"/>
        <v>1440</v>
      </c>
      <c r="T531">
        <f>ROUND(tbl_working_daily[[#This Row],[SedentaryMinutes]]/60,2)</f>
        <v>22.52</v>
      </c>
      <c r="U531" t="str" cm="1">
        <f t="array" ref="U53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31" t="str" cm="1">
        <f t="array" ref="V531">_xlfn.IFS(tbl_working_daily[[#This Row],[VeryActiveMinutes]]&gt;=30,"Very Active",tbl_working_daily[[#This Row],[VeryActiveMinutes]]&gt;=15,"Moderately Active",tbl_working_daily[[#This Row],[VeryActiveMinutes]]&gt;=1,"Lightly Active",tbl_working_daily[[#This Row],[VeryActiveMinutes]]=0,"Sedentary")</f>
        <v>Sedentary</v>
      </c>
      <c r="W531" t="str">
        <f>tbl_working_daily[[#This Row],[Id]]&amp;"|"&amp;TEXT(tbl_working_daily[[#This Row],[ActivityDate]],"yyyy-mm-dd")</f>
        <v>1644430081|2016-04-24</v>
      </c>
      <c r="X531" t="b">
        <f>ISNUMBER(MATCH(tbl_working_daily[[#This Row],[LookupKey]],tbl_working_sleep[LookupKey],0))</f>
        <v>0</v>
      </c>
    </row>
    <row r="532" spans="1:24" x14ac:dyDescent="0.3">
      <c r="A532">
        <v>1644430081</v>
      </c>
      <c r="B532" s="1">
        <v>42485</v>
      </c>
      <c r="C532">
        <v>3580</v>
      </c>
      <c r="D532">
        <v>2.5999999046325701</v>
      </c>
      <c r="E532">
        <v>2.5999999046325701</v>
      </c>
      <c r="F532">
        <v>0</v>
      </c>
      <c r="G532">
        <v>0.58999997377395597</v>
      </c>
      <c r="H532">
        <v>5.9999998658895499E-2</v>
      </c>
      <c r="I532">
        <v>1.95000004768372</v>
      </c>
      <c r="J532">
        <v>0</v>
      </c>
      <c r="K532">
        <v>8</v>
      </c>
      <c r="L532">
        <v>1</v>
      </c>
      <c r="M532">
        <v>94</v>
      </c>
      <c r="N532">
        <v>1337</v>
      </c>
      <c r="O532">
        <v>2497</v>
      </c>
      <c r="P532" t="str">
        <f>TEXT(tbl_working_daily[[#This Row],[ActivityDate]],"dddd")</f>
        <v>Monday</v>
      </c>
      <c r="Q532" t="str">
        <f>TEXT(tbl_working_daily[[#This Row],[ActivityDate]],"mmmm")</f>
        <v>April</v>
      </c>
      <c r="R532">
        <f t="shared" si="16"/>
        <v>103</v>
      </c>
      <c r="S532">
        <f t="shared" si="17"/>
        <v>1440</v>
      </c>
      <c r="T532">
        <f>ROUND(tbl_working_daily[[#This Row],[SedentaryMinutes]]/60,2)</f>
        <v>22.28</v>
      </c>
      <c r="U532" t="str" cm="1">
        <f t="array" ref="U53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32" t="str" cm="1">
        <f t="array" ref="V532">_xlfn.IFS(tbl_working_daily[[#This Row],[VeryActiveMinutes]]&gt;=30,"Very Active",tbl_working_daily[[#This Row],[VeryActiveMinutes]]&gt;=15,"Moderately Active",tbl_working_daily[[#This Row],[VeryActiveMinutes]]&gt;=1,"Lightly Active",tbl_working_daily[[#This Row],[VeryActiveMinutes]]=0,"Sedentary")</f>
        <v>Lightly Active</v>
      </c>
      <c r="W532" t="str">
        <f>tbl_working_daily[[#This Row],[Id]]&amp;"|"&amp;TEXT(tbl_working_daily[[#This Row],[ActivityDate]],"yyyy-mm-dd")</f>
        <v>1644430081|2016-04-25</v>
      </c>
      <c r="X532" t="b">
        <f>ISNUMBER(MATCH(tbl_working_daily[[#This Row],[LookupKey]],tbl_working_sleep[LookupKey],0))</f>
        <v>0</v>
      </c>
    </row>
    <row r="533" spans="1:24" x14ac:dyDescent="0.3">
      <c r="A533">
        <v>1644430081</v>
      </c>
      <c r="B533" s="1">
        <v>42486</v>
      </c>
      <c r="C533">
        <v>9919</v>
      </c>
      <c r="D533">
        <v>7.21000003814697</v>
      </c>
      <c r="E533">
        <v>7.21000003814697</v>
      </c>
      <c r="F533">
        <v>0</v>
      </c>
      <c r="G533">
        <v>0.80000001192092896</v>
      </c>
      <c r="H533">
        <v>1.7200000286102299</v>
      </c>
      <c r="I533">
        <v>4.6900000572204599</v>
      </c>
      <c r="J533">
        <v>0</v>
      </c>
      <c r="K533">
        <v>11</v>
      </c>
      <c r="L533">
        <v>41</v>
      </c>
      <c r="M533">
        <v>223</v>
      </c>
      <c r="N533">
        <v>1165</v>
      </c>
      <c r="O533">
        <v>3123</v>
      </c>
      <c r="P533" t="str">
        <f>TEXT(tbl_working_daily[[#This Row],[ActivityDate]],"dddd")</f>
        <v>Tuesday</v>
      </c>
      <c r="Q533" t="str">
        <f>TEXT(tbl_working_daily[[#This Row],[ActivityDate]],"mmmm")</f>
        <v>April</v>
      </c>
      <c r="R533">
        <f t="shared" si="16"/>
        <v>275</v>
      </c>
      <c r="S533">
        <f t="shared" si="17"/>
        <v>1440</v>
      </c>
      <c r="T533">
        <f>ROUND(tbl_working_daily[[#This Row],[SedentaryMinutes]]/60,2)</f>
        <v>19.420000000000002</v>
      </c>
      <c r="U533" t="str" cm="1">
        <f t="array" ref="U53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33" t="str" cm="1">
        <f t="array" ref="V533">_xlfn.IFS(tbl_working_daily[[#This Row],[VeryActiveMinutes]]&gt;=30,"Very Active",tbl_working_daily[[#This Row],[VeryActiveMinutes]]&gt;=15,"Moderately Active",tbl_working_daily[[#This Row],[VeryActiveMinutes]]&gt;=1,"Lightly Active",tbl_working_daily[[#This Row],[VeryActiveMinutes]]=0,"Sedentary")</f>
        <v>Lightly Active</v>
      </c>
      <c r="W533" t="str">
        <f>tbl_working_daily[[#This Row],[Id]]&amp;"|"&amp;TEXT(tbl_working_daily[[#This Row],[ActivityDate]],"yyyy-mm-dd")</f>
        <v>1644430081|2016-04-26</v>
      </c>
      <c r="X533" t="b">
        <f>ISNUMBER(MATCH(tbl_working_daily[[#This Row],[LookupKey]],tbl_working_sleep[LookupKey],0))</f>
        <v>0</v>
      </c>
    </row>
    <row r="534" spans="1:24" x14ac:dyDescent="0.3">
      <c r="A534">
        <v>1644430081</v>
      </c>
      <c r="B534" s="1">
        <v>42487</v>
      </c>
      <c r="C534">
        <v>3032</v>
      </c>
      <c r="D534">
        <v>2.2000000476837198</v>
      </c>
      <c r="E534">
        <v>2.2000000476837198</v>
      </c>
      <c r="F534">
        <v>0</v>
      </c>
      <c r="G534">
        <v>0</v>
      </c>
      <c r="H534">
        <v>0</v>
      </c>
      <c r="I534">
        <v>2.2000000476837198</v>
      </c>
      <c r="J534">
        <v>0</v>
      </c>
      <c r="K534">
        <v>0</v>
      </c>
      <c r="L534">
        <v>0</v>
      </c>
      <c r="M534">
        <v>118</v>
      </c>
      <c r="N534">
        <v>1322</v>
      </c>
      <c r="O534">
        <v>2489</v>
      </c>
      <c r="P534" t="str">
        <f>TEXT(tbl_working_daily[[#This Row],[ActivityDate]],"dddd")</f>
        <v>Wednesday</v>
      </c>
      <c r="Q534" t="str">
        <f>TEXT(tbl_working_daily[[#This Row],[ActivityDate]],"mmmm")</f>
        <v>April</v>
      </c>
      <c r="R534">
        <f t="shared" si="16"/>
        <v>118</v>
      </c>
      <c r="S534">
        <f t="shared" si="17"/>
        <v>1440</v>
      </c>
      <c r="T534">
        <f>ROUND(tbl_working_daily[[#This Row],[SedentaryMinutes]]/60,2)</f>
        <v>22.03</v>
      </c>
      <c r="U534" t="str" cm="1">
        <f t="array" ref="U5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34" t="str" cm="1">
        <f t="array" ref="V534">_xlfn.IFS(tbl_working_daily[[#This Row],[VeryActiveMinutes]]&gt;=30,"Very Active",tbl_working_daily[[#This Row],[VeryActiveMinutes]]&gt;=15,"Moderately Active",tbl_working_daily[[#This Row],[VeryActiveMinutes]]&gt;=1,"Lightly Active",tbl_working_daily[[#This Row],[VeryActiveMinutes]]=0,"Sedentary")</f>
        <v>Sedentary</v>
      </c>
      <c r="W534" t="str">
        <f>tbl_working_daily[[#This Row],[Id]]&amp;"|"&amp;TEXT(tbl_working_daily[[#This Row],[ActivityDate]],"yyyy-mm-dd")</f>
        <v>1644430081|2016-04-27</v>
      </c>
      <c r="X534" t="b">
        <f>ISNUMBER(MATCH(tbl_working_daily[[#This Row],[LookupKey]],tbl_working_sleep[LookupKey],0))</f>
        <v>0</v>
      </c>
    </row>
    <row r="535" spans="1:24" x14ac:dyDescent="0.3">
      <c r="A535">
        <v>1644430081</v>
      </c>
      <c r="B535" s="1">
        <v>42488</v>
      </c>
      <c r="C535">
        <v>9405</v>
      </c>
      <c r="D535">
        <v>6.8400001525878897</v>
      </c>
      <c r="E535">
        <v>6.8400001525878897</v>
      </c>
      <c r="F535">
        <v>0</v>
      </c>
      <c r="G535">
        <v>0.20000000298023199</v>
      </c>
      <c r="H535">
        <v>2.3199999332428001</v>
      </c>
      <c r="I535">
        <v>4.3099999427795401</v>
      </c>
      <c r="J535">
        <v>0</v>
      </c>
      <c r="K535">
        <v>3</v>
      </c>
      <c r="L535">
        <v>53</v>
      </c>
      <c r="M535">
        <v>227</v>
      </c>
      <c r="N535">
        <v>1157</v>
      </c>
      <c r="O535">
        <v>3108</v>
      </c>
      <c r="P535" t="str">
        <f>TEXT(tbl_working_daily[[#This Row],[ActivityDate]],"dddd")</f>
        <v>Thursday</v>
      </c>
      <c r="Q535" t="str">
        <f>TEXT(tbl_working_daily[[#This Row],[ActivityDate]],"mmmm")</f>
        <v>April</v>
      </c>
      <c r="R535">
        <f t="shared" si="16"/>
        <v>283</v>
      </c>
      <c r="S535">
        <f t="shared" si="17"/>
        <v>1440</v>
      </c>
      <c r="T535">
        <f>ROUND(tbl_working_daily[[#This Row],[SedentaryMinutes]]/60,2)</f>
        <v>19.28</v>
      </c>
      <c r="U535" t="str" cm="1">
        <f t="array" ref="U53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35" t="str" cm="1">
        <f t="array" ref="V535">_xlfn.IFS(tbl_working_daily[[#This Row],[VeryActiveMinutes]]&gt;=30,"Very Active",tbl_working_daily[[#This Row],[VeryActiveMinutes]]&gt;=15,"Moderately Active",tbl_working_daily[[#This Row],[VeryActiveMinutes]]&gt;=1,"Lightly Active",tbl_working_daily[[#This Row],[VeryActiveMinutes]]=0,"Sedentary")</f>
        <v>Lightly Active</v>
      </c>
      <c r="W535" t="str">
        <f>tbl_working_daily[[#This Row],[Id]]&amp;"|"&amp;TEXT(tbl_working_daily[[#This Row],[ActivityDate]],"yyyy-mm-dd")</f>
        <v>1644430081|2016-04-28</v>
      </c>
      <c r="X535" t="b">
        <f>ISNUMBER(MATCH(tbl_working_daily[[#This Row],[LookupKey]],tbl_working_sleep[LookupKey],0))</f>
        <v>0</v>
      </c>
    </row>
    <row r="536" spans="1:24" x14ac:dyDescent="0.3">
      <c r="A536">
        <v>1644430081</v>
      </c>
      <c r="B536" s="1">
        <v>42489</v>
      </c>
      <c r="C536">
        <v>3176</v>
      </c>
      <c r="D536">
        <v>2.3099999427795401</v>
      </c>
      <c r="E536">
        <v>2.3099999427795401</v>
      </c>
      <c r="F536">
        <v>0</v>
      </c>
      <c r="G536">
        <v>0</v>
      </c>
      <c r="H536">
        <v>0</v>
      </c>
      <c r="I536">
        <v>2.3099999427795401</v>
      </c>
      <c r="J536">
        <v>0</v>
      </c>
      <c r="K536">
        <v>0</v>
      </c>
      <c r="L536">
        <v>0</v>
      </c>
      <c r="M536">
        <v>120</v>
      </c>
      <c r="N536">
        <v>1193</v>
      </c>
      <c r="O536">
        <v>2498</v>
      </c>
      <c r="P536" t="str">
        <f>TEXT(tbl_working_daily[[#This Row],[ActivityDate]],"dddd")</f>
        <v>Friday</v>
      </c>
      <c r="Q536" t="str">
        <f>TEXT(tbl_working_daily[[#This Row],[ActivityDate]],"mmmm")</f>
        <v>April</v>
      </c>
      <c r="R536">
        <f t="shared" si="16"/>
        <v>120</v>
      </c>
      <c r="S536">
        <f t="shared" si="17"/>
        <v>1313</v>
      </c>
      <c r="T536">
        <f>ROUND(tbl_working_daily[[#This Row],[SedentaryMinutes]]/60,2)</f>
        <v>19.88</v>
      </c>
      <c r="U536" t="str" cm="1">
        <f t="array" ref="U53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36" t="str" cm="1">
        <f t="array" ref="V536">_xlfn.IFS(tbl_working_daily[[#This Row],[VeryActiveMinutes]]&gt;=30,"Very Active",tbl_working_daily[[#This Row],[VeryActiveMinutes]]&gt;=15,"Moderately Active",tbl_working_daily[[#This Row],[VeryActiveMinutes]]&gt;=1,"Lightly Active",tbl_working_daily[[#This Row],[VeryActiveMinutes]]=0,"Sedentary")</f>
        <v>Sedentary</v>
      </c>
      <c r="W536" t="str">
        <f>tbl_working_daily[[#This Row],[Id]]&amp;"|"&amp;TEXT(tbl_working_daily[[#This Row],[ActivityDate]],"yyyy-mm-dd")</f>
        <v>1644430081|2016-04-29</v>
      </c>
      <c r="X536" t="b">
        <f>ISNUMBER(MATCH(tbl_working_daily[[#This Row],[LookupKey]],tbl_working_sleep[LookupKey],0))</f>
        <v>1</v>
      </c>
    </row>
    <row r="537" spans="1:24" x14ac:dyDescent="0.3">
      <c r="A537">
        <v>1644430081</v>
      </c>
      <c r="B537" s="1">
        <v>42490</v>
      </c>
      <c r="C537">
        <v>18213</v>
      </c>
      <c r="D537">
        <v>13.2399997711182</v>
      </c>
      <c r="E537">
        <v>13.2399997711182</v>
      </c>
      <c r="F537">
        <v>0</v>
      </c>
      <c r="G537">
        <v>0.62999999523162797</v>
      </c>
      <c r="H537">
        <v>3.1400001049041699</v>
      </c>
      <c r="I537">
        <v>9.4600000381469709</v>
      </c>
      <c r="J537">
        <v>0</v>
      </c>
      <c r="K537">
        <v>9</v>
      </c>
      <c r="L537">
        <v>71</v>
      </c>
      <c r="M537">
        <v>402</v>
      </c>
      <c r="N537">
        <v>816</v>
      </c>
      <c r="O537">
        <v>3846</v>
      </c>
      <c r="P537" t="str">
        <f>TEXT(tbl_working_daily[[#This Row],[ActivityDate]],"dddd")</f>
        <v>Saturday</v>
      </c>
      <c r="Q537" t="str">
        <f>TEXT(tbl_working_daily[[#This Row],[ActivityDate]],"mmmm")</f>
        <v>April</v>
      </c>
      <c r="R537">
        <f t="shared" si="16"/>
        <v>482</v>
      </c>
      <c r="S537">
        <f t="shared" si="17"/>
        <v>1298</v>
      </c>
      <c r="T537">
        <f>ROUND(tbl_working_daily[[#This Row],[SedentaryMinutes]]/60,2)</f>
        <v>13.6</v>
      </c>
      <c r="U537" t="str" cm="1">
        <f t="array" ref="U53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537" t="str" cm="1">
        <f t="array" ref="V537">_xlfn.IFS(tbl_working_daily[[#This Row],[VeryActiveMinutes]]&gt;=30,"Very Active",tbl_working_daily[[#This Row],[VeryActiveMinutes]]&gt;=15,"Moderately Active",tbl_working_daily[[#This Row],[VeryActiveMinutes]]&gt;=1,"Lightly Active",tbl_working_daily[[#This Row],[VeryActiveMinutes]]=0,"Sedentary")</f>
        <v>Lightly Active</v>
      </c>
      <c r="W537" t="str">
        <f>tbl_working_daily[[#This Row],[Id]]&amp;"|"&amp;TEXT(tbl_working_daily[[#This Row],[ActivityDate]],"yyyy-mm-dd")</f>
        <v>1644430081|2016-04-30</v>
      </c>
      <c r="X537" t="b">
        <f>ISNUMBER(MATCH(tbl_working_daily[[#This Row],[LookupKey]],tbl_working_sleep[LookupKey],0))</f>
        <v>1</v>
      </c>
    </row>
    <row r="538" spans="1:24" x14ac:dyDescent="0.3">
      <c r="A538">
        <v>1644430081</v>
      </c>
      <c r="B538" s="1">
        <v>42491</v>
      </c>
      <c r="C538">
        <v>6132</v>
      </c>
      <c r="D538">
        <v>4.46000003814697</v>
      </c>
      <c r="E538">
        <v>4.46000003814697</v>
      </c>
      <c r="F538">
        <v>0</v>
      </c>
      <c r="G538">
        <v>0.239999994635582</v>
      </c>
      <c r="H538">
        <v>0.99000000953674305</v>
      </c>
      <c r="I538">
        <v>3.2300000190734899</v>
      </c>
      <c r="J538">
        <v>0</v>
      </c>
      <c r="K538">
        <v>3</v>
      </c>
      <c r="L538">
        <v>24</v>
      </c>
      <c r="M538">
        <v>146</v>
      </c>
      <c r="N538">
        <v>908</v>
      </c>
      <c r="O538">
        <v>2696</v>
      </c>
      <c r="P538" t="str">
        <f>TEXT(tbl_working_daily[[#This Row],[ActivityDate]],"dddd")</f>
        <v>Sunday</v>
      </c>
      <c r="Q538" t="str">
        <f>TEXT(tbl_working_daily[[#This Row],[ActivityDate]],"mmmm")</f>
        <v>May</v>
      </c>
      <c r="R538">
        <f t="shared" si="16"/>
        <v>173</v>
      </c>
      <c r="S538">
        <f t="shared" si="17"/>
        <v>1081</v>
      </c>
      <c r="T538">
        <f>ROUND(tbl_working_daily[[#This Row],[SedentaryMinutes]]/60,2)</f>
        <v>15.13</v>
      </c>
      <c r="U538" t="str" cm="1">
        <f t="array" ref="U53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38" t="str" cm="1">
        <f t="array" ref="V538">_xlfn.IFS(tbl_working_daily[[#This Row],[VeryActiveMinutes]]&gt;=30,"Very Active",tbl_working_daily[[#This Row],[VeryActiveMinutes]]&gt;=15,"Moderately Active",tbl_working_daily[[#This Row],[VeryActiveMinutes]]&gt;=1,"Lightly Active",tbl_working_daily[[#This Row],[VeryActiveMinutes]]=0,"Sedentary")</f>
        <v>Lightly Active</v>
      </c>
      <c r="W538" t="str">
        <f>tbl_working_daily[[#This Row],[Id]]&amp;"|"&amp;TEXT(tbl_working_daily[[#This Row],[ActivityDate]],"yyyy-mm-dd")</f>
        <v>1644430081|2016-05-01</v>
      </c>
      <c r="X538" t="b">
        <f>ISNUMBER(MATCH(tbl_working_daily[[#This Row],[LookupKey]],tbl_working_sleep[LookupKey],0))</f>
        <v>0</v>
      </c>
    </row>
    <row r="539" spans="1:24" x14ac:dyDescent="0.3">
      <c r="A539">
        <v>1644430081</v>
      </c>
      <c r="B539" s="1">
        <v>42492</v>
      </c>
      <c r="C539">
        <v>3758</v>
      </c>
      <c r="D539">
        <v>2.7300000190734899</v>
      </c>
      <c r="E539">
        <v>2.7300000190734899</v>
      </c>
      <c r="F539">
        <v>0</v>
      </c>
      <c r="G539">
        <v>7.0000000298023196E-2</v>
      </c>
      <c r="H539">
        <v>0.31000000238418601</v>
      </c>
      <c r="I539">
        <v>2.3499999046325701</v>
      </c>
      <c r="J539">
        <v>0</v>
      </c>
      <c r="K539">
        <v>1</v>
      </c>
      <c r="L539">
        <v>7</v>
      </c>
      <c r="M539">
        <v>148</v>
      </c>
      <c r="N539">
        <v>682</v>
      </c>
      <c r="O539">
        <v>2580</v>
      </c>
      <c r="P539" t="str">
        <f>TEXT(tbl_working_daily[[#This Row],[ActivityDate]],"dddd")</f>
        <v>Monday</v>
      </c>
      <c r="Q539" t="str">
        <f>TEXT(tbl_working_daily[[#This Row],[ActivityDate]],"mmmm")</f>
        <v>May</v>
      </c>
      <c r="R539">
        <f t="shared" si="16"/>
        <v>156</v>
      </c>
      <c r="S539">
        <f t="shared" si="17"/>
        <v>838</v>
      </c>
      <c r="T539">
        <f>ROUND(tbl_working_daily[[#This Row],[SedentaryMinutes]]/60,2)</f>
        <v>11.37</v>
      </c>
      <c r="U539" t="str" cm="1">
        <f t="array" ref="U5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39" t="str" cm="1">
        <f t="array" ref="V539">_xlfn.IFS(tbl_working_daily[[#This Row],[VeryActiveMinutes]]&gt;=30,"Very Active",tbl_working_daily[[#This Row],[VeryActiveMinutes]]&gt;=15,"Moderately Active",tbl_working_daily[[#This Row],[VeryActiveMinutes]]&gt;=1,"Lightly Active",tbl_working_daily[[#This Row],[VeryActiveMinutes]]=0,"Sedentary")</f>
        <v>Lightly Active</v>
      </c>
      <c r="W539" t="str">
        <f>tbl_working_daily[[#This Row],[Id]]&amp;"|"&amp;TEXT(tbl_working_daily[[#This Row],[ActivityDate]],"yyyy-mm-dd")</f>
        <v>1644430081|2016-05-02</v>
      </c>
      <c r="X539" t="b">
        <f>ISNUMBER(MATCH(tbl_working_daily[[#This Row],[LookupKey]],tbl_working_sleep[LookupKey],0))</f>
        <v>1</v>
      </c>
    </row>
    <row r="540" spans="1:24" x14ac:dyDescent="0.3">
      <c r="A540">
        <v>1644430081</v>
      </c>
      <c r="B540" s="1">
        <v>42493</v>
      </c>
      <c r="C540">
        <v>12850</v>
      </c>
      <c r="D540">
        <v>9.3400001525878906</v>
      </c>
      <c r="E540">
        <v>9.3400001525878906</v>
      </c>
      <c r="F540">
        <v>0</v>
      </c>
      <c r="G540">
        <v>0.72000002861022905</v>
      </c>
      <c r="H540">
        <v>4.0900001525878897</v>
      </c>
      <c r="I540">
        <v>4.53999996185303</v>
      </c>
      <c r="J540">
        <v>0</v>
      </c>
      <c r="K540">
        <v>10</v>
      </c>
      <c r="L540">
        <v>94</v>
      </c>
      <c r="M540">
        <v>221</v>
      </c>
      <c r="N540">
        <v>1115</v>
      </c>
      <c r="O540">
        <v>3324</v>
      </c>
      <c r="P540" t="str">
        <f>TEXT(tbl_working_daily[[#This Row],[ActivityDate]],"dddd")</f>
        <v>Tuesday</v>
      </c>
      <c r="Q540" t="str">
        <f>TEXT(tbl_working_daily[[#This Row],[ActivityDate]],"mmmm")</f>
        <v>May</v>
      </c>
      <c r="R540">
        <f t="shared" si="16"/>
        <v>325</v>
      </c>
      <c r="S540">
        <f t="shared" si="17"/>
        <v>1440</v>
      </c>
      <c r="T540">
        <f>ROUND(tbl_working_daily[[#This Row],[SedentaryMinutes]]/60,2)</f>
        <v>18.579999999999998</v>
      </c>
      <c r="U540" t="str" cm="1">
        <f t="array" ref="U54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540" t="str" cm="1">
        <f t="array" ref="V540">_xlfn.IFS(tbl_working_daily[[#This Row],[VeryActiveMinutes]]&gt;=30,"Very Active",tbl_working_daily[[#This Row],[VeryActiveMinutes]]&gt;=15,"Moderately Active",tbl_working_daily[[#This Row],[VeryActiveMinutes]]&gt;=1,"Lightly Active",tbl_working_daily[[#This Row],[VeryActiveMinutes]]=0,"Sedentary")</f>
        <v>Lightly Active</v>
      </c>
      <c r="W540" t="str">
        <f>tbl_working_daily[[#This Row],[Id]]&amp;"|"&amp;TEXT(tbl_working_daily[[#This Row],[ActivityDate]],"yyyy-mm-dd")</f>
        <v>1644430081|2016-05-03</v>
      </c>
      <c r="X540" t="b">
        <f>ISNUMBER(MATCH(tbl_working_daily[[#This Row],[LookupKey]],tbl_working_sleep[LookupKey],0))</f>
        <v>0</v>
      </c>
    </row>
    <row r="541" spans="1:24" x14ac:dyDescent="0.3">
      <c r="A541">
        <v>1644430081</v>
      </c>
      <c r="B541" s="1">
        <v>42494</v>
      </c>
      <c r="C541">
        <v>2309</v>
      </c>
      <c r="D541">
        <v>1.6799999475479099</v>
      </c>
      <c r="E541">
        <v>1.6799999475479099</v>
      </c>
      <c r="F541">
        <v>0</v>
      </c>
      <c r="G541">
        <v>0</v>
      </c>
      <c r="H541">
        <v>0</v>
      </c>
      <c r="I541">
        <v>1.6599999666214</v>
      </c>
      <c r="J541">
        <v>1.9999999552965199E-2</v>
      </c>
      <c r="K541">
        <v>0</v>
      </c>
      <c r="L541">
        <v>0</v>
      </c>
      <c r="M541">
        <v>52</v>
      </c>
      <c r="N541">
        <v>1388</v>
      </c>
      <c r="O541">
        <v>2222</v>
      </c>
      <c r="P541" t="str">
        <f>TEXT(tbl_working_daily[[#This Row],[ActivityDate]],"dddd")</f>
        <v>Wednesday</v>
      </c>
      <c r="Q541" t="str">
        <f>TEXT(tbl_working_daily[[#This Row],[ActivityDate]],"mmmm")</f>
        <v>May</v>
      </c>
      <c r="R541">
        <f t="shared" si="16"/>
        <v>52</v>
      </c>
      <c r="S541">
        <f t="shared" si="17"/>
        <v>1440</v>
      </c>
      <c r="T541">
        <f>ROUND(tbl_working_daily[[#This Row],[SedentaryMinutes]]/60,2)</f>
        <v>23.13</v>
      </c>
      <c r="U541" t="str" cm="1">
        <f t="array" ref="U5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41" t="str" cm="1">
        <f t="array" ref="V541">_xlfn.IFS(tbl_working_daily[[#This Row],[VeryActiveMinutes]]&gt;=30,"Very Active",tbl_working_daily[[#This Row],[VeryActiveMinutes]]&gt;=15,"Moderately Active",tbl_working_daily[[#This Row],[VeryActiveMinutes]]&gt;=1,"Lightly Active",tbl_working_daily[[#This Row],[VeryActiveMinutes]]=0,"Sedentary")</f>
        <v>Sedentary</v>
      </c>
      <c r="W541" t="str">
        <f>tbl_working_daily[[#This Row],[Id]]&amp;"|"&amp;TEXT(tbl_working_daily[[#This Row],[ActivityDate]],"yyyy-mm-dd")</f>
        <v>1644430081|2016-05-04</v>
      </c>
      <c r="X541" t="b">
        <f>ISNUMBER(MATCH(tbl_working_daily[[#This Row],[LookupKey]],tbl_working_sleep[LookupKey],0))</f>
        <v>0</v>
      </c>
    </row>
    <row r="542" spans="1:24" x14ac:dyDescent="0.3">
      <c r="A542">
        <v>1644430081</v>
      </c>
      <c r="B542" s="1">
        <v>42495</v>
      </c>
      <c r="C542">
        <v>4363</v>
      </c>
      <c r="D542">
        <v>3.1900000572204599</v>
      </c>
      <c r="E542">
        <v>3.1900000572204599</v>
      </c>
      <c r="F542">
        <v>0</v>
      </c>
      <c r="G542">
        <v>0.519999980926514</v>
      </c>
      <c r="H542">
        <v>0.54000002145767201</v>
      </c>
      <c r="I542">
        <v>2.1300001144409202</v>
      </c>
      <c r="J542">
        <v>9.9999997764825804E-3</v>
      </c>
      <c r="K542">
        <v>6</v>
      </c>
      <c r="L542">
        <v>12</v>
      </c>
      <c r="M542">
        <v>81</v>
      </c>
      <c r="N542">
        <v>1341</v>
      </c>
      <c r="O542">
        <v>2463</v>
      </c>
      <c r="P542" t="str">
        <f>TEXT(tbl_working_daily[[#This Row],[ActivityDate]],"dddd")</f>
        <v>Thursday</v>
      </c>
      <c r="Q542" t="str">
        <f>TEXT(tbl_working_daily[[#This Row],[ActivityDate]],"mmmm")</f>
        <v>May</v>
      </c>
      <c r="R542">
        <f t="shared" si="16"/>
        <v>99</v>
      </c>
      <c r="S542">
        <f t="shared" si="17"/>
        <v>1440</v>
      </c>
      <c r="T542">
        <f>ROUND(tbl_working_daily[[#This Row],[SedentaryMinutes]]/60,2)</f>
        <v>22.35</v>
      </c>
      <c r="U542" t="str" cm="1">
        <f t="array" ref="U5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42" t="str" cm="1">
        <f t="array" ref="V542">_xlfn.IFS(tbl_working_daily[[#This Row],[VeryActiveMinutes]]&gt;=30,"Very Active",tbl_working_daily[[#This Row],[VeryActiveMinutes]]&gt;=15,"Moderately Active",tbl_working_daily[[#This Row],[VeryActiveMinutes]]&gt;=1,"Lightly Active",tbl_working_daily[[#This Row],[VeryActiveMinutes]]=0,"Sedentary")</f>
        <v>Lightly Active</v>
      </c>
      <c r="W542" t="str">
        <f>tbl_working_daily[[#This Row],[Id]]&amp;"|"&amp;TEXT(tbl_working_daily[[#This Row],[ActivityDate]],"yyyy-mm-dd")</f>
        <v>1644430081|2016-05-05</v>
      </c>
      <c r="X542" t="b">
        <f>ISNUMBER(MATCH(tbl_working_daily[[#This Row],[LookupKey]],tbl_working_sleep[LookupKey],0))</f>
        <v>0</v>
      </c>
    </row>
    <row r="543" spans="1:24" x14ac:dyDescent="0.3">
      <c r="A543">
        <v>1644430081</v>
      </c>
      <c r="B543" s="1">
        <v>42496</v>
      </c>
      <c r="C543">
        <v>9787</v>
      </c>
      <c r="D543">
        <v>7.1199998855590803</v>
      </c>
      <c r="E543">
        <v>7.1199998855590803</v>
      </c>
      <c r="F543">
        <v>0</v>
      </c>
      <c r="G543">
        <v>0.81999999284744296</v>
      </c>
      <c r="H543">
        <v>0.270000010728836</v>
      </c>
      <c r="I543">
        <v>6.0100002288818404</v>
      </c>
      <c r="J543">
        <v>1.9999999552965199E-2</v>
      </c>
      <c r="K543">
        <v>11</v>
      </c>
      <c r="L543">
        <v>6</v>
      </c>
      <c r="M543">
        <v>369</v>
      </c>
      <c r="N543">
        <v>1054</v>
      </c>
      <c r="O543">
        <v>3328</v>
      </c>
      <c r="P543" t="str">
        <f>TEXT(tbl_working_daily[[#This Row],[ActivityDate]],"dddd")</f>
        <v>Friday</v>
      </c>
      <c r="Q543" t="str">
        <f>TEXT(tbl_working_daily[[#This Row],[ActivityDate]],"mmmm")</f>
        <v>May</v>
      </c>
      <c r="R543">
        <f t="shared" si="16"/>
        <v>386</v>
      </c>
      <c r="S543">
        <f t="shared" si="17"/>
        <v>1440</v>
      </c>
      <c r="T543">
        <f>ROUND(tbl_working_daily[[#This Row],[SedentaryMinutes]]/60,2)</f>
        <v>17.57</v>
      </c>
      <c r="U543" t="str" cm="1">
        <f t="array" ref="U54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43" t="str" cm="1">
        <f t="array" ref="V543">_xlfn.IFS(tbl_working_daily[[#This Row],[VeryActiveMinutes]]&gt;=30,"Very Active",tbl_working_daily[[#This Row],[VeryActiveMinutes]]&gt;=15,"Moderately Active",tbl_working_daily[[#This Row],[VeryActiveMinutes]]&gt;=1,"Lightly Active",tbl_working_daily[[#This Row],[VeryActiveMinutes]]=0,"Sedentary")</f>
        <v>Lightly Active</v>
      </c>
      <c r="W543" t="str">
        <f>tbl_working_daily[[#This Row],[Id]]&amp;"|"&amp;TEXT(tbl_working_daily[[#This Row],[ActivityDate]],"yyyy-mm-dd")</f>
        <v>1644430081|2016-05-06</v>
      </c>
      <c r="X543" t="b">
        <f>ISNUMBER(MATCH(tbl_working_daily[[#This Row],[LookupKey]],tbl_working_sleep[LookupKey],0))</f>
        <v>0</v>
      </c>
    </row>
    <row r="544" spans="1:24" x14ac:dyDescent="0.3">
      <c r="A544">
        <v>1644430081</v>
      </c>
      <c r="B544" s="1">
        <v>42497</v>
      </c>
      <c r="C544">
        <v>13372</v>
      </c>
      <c r="D544">
        <v>9.7200002670288104</v>
      </c>
      <c r="E544">
        <v>9.7200002670288104</v>
      </c>
      <c r="F544">
        <v>0</v>
      </c>
      <c r="G544">
        <v>3.2599999904632599</v>
      </c>
      <c r="H544">
        <v>0.79000002145767201</v>
      </c>
      <c r="I544">
        <v>5.6700000762939498</v>
      </c>
      <c r="J544">
        <v>9.9999997764825804E-3</v>
      </c>
      <c r="K544">
        <v>41</v>
      </c>
      <c r="L544">
        <v>17</v>
      </c>
      <c r="M544">
        <v>243</v>
      </c>
      <c r="N544">
        <v>1139</v>
      </c>
      <c r="O544">
        <v>3404</v>
      </c>
      <c r="P544" t="str">
        <f>TEXT(tbl_working_daily[[#This Row],[ActivityDate]],"dddd")</f>
        <v>Saturday</v>
      </c>
      <c r="Q544" t="str">
        <f>TEXT(tbl_working_daily[[#This Row],[ActivityDate]],"mmmm")</f>
        <v>May</v>
      </c>
      <c r="R544">
        <f t="shared" si="16"/>
        <v>301</v>
      </c>
      <c r="S544">
        <f t="shared" si="17"/>
        <v>1440</v>
      </c>
      <c r="T544">
        <f>ROUND(tbl_working_daily[[#This Row],[SedentaryMinutes]]/60,2)</f>
        <v>18.98</v>
      </c>
      <c r="U544" t="str" cm="1">
        <f t="array" ref="U54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544" t="str" cm="1">
        <f t="array" ref="V544">_xlfn.IFS(tbl_working_daily[[#This Row],[VeryActiveMinutes]]&gt;=30,"Very Active",tbl_working_daily[[#This Row],[VeryActiveMinutes]]&gt;=15,"Moderately Active",tbl_working_daily[[#This Row],[VeryActiveMinutes]]&gt;=1,"Lightly Active",tbl_working_daily[[#This Row],[VeryActiveMinutes]]=0,"Sedentary")</f>
        <v>Very Active</v>
      </c>
      <c r="W544" t="str">
        <f>tbl_working_daily[[#This Row],[Id]]&amp;"|"&amp;TEXT(tbl_working_daily[[#This Row],[ActivityDate]],"yyyy-mm-dd")</f>
        <v>1644430081|2016-05-07</v>
      </c>
      <c r="X544" t="b">
        <f>ISNUMBER(MATCH(tbl_working_daily[[#This Row],[LookupKey]],tbl_working_sleep[LookupKey],0))</f>
        <v>0</v>
      </c>
    </row>
    <row r="545" spans="1:24" x14ac:dyDescent="0.3">
      <c r="A545">
        <v>1644430081</v>
      </c>
      <c r="B545" s="1">
        <v>42498</v>
      </c>
      <c r="C545">
        <v>6724</v>
      </c>
      <c r="D545">
        <v>4.8899998664856001</v>
      </c>
      <c r="E545">
        <v>4.8899998664856001</v>
      </c>
      <c r="F545">
        <v>0</v>
      </c>
      <c r="G545">
        <v>0</v>
      </c>
      <c r="H545">
        <v>0</v>
      </c>
      <c r="I545">
        <v>4.8800001144409197</v>
      </c>
      <c r="J545">
        <v>0</v>
      </c>
      <c r="K545">
        <v>0</v>
      </c>
      <c r="L545">
        <v>0</v>
      </c>
      <c r="M545">
        <v>295</v>
      </c>
      <c r="N545">
        <v>991</v>
      </c>
      <c r="O545">
        <v>2987</v>
      </c>
      <c r="P545" t="str">
        <f>TEXT(tbl_working_daily[[#This Row],[ActivityDate]],"dddd")</f>
        <v>Sunday</v>
      </c>
      <c r="Q545" t="str">
        <f>TEXT(tbl_working_daily[[#This Row],[ActivityDate]],"mmmm")</f>
        <v>May</v>
      </c>
      <c r="R545">
        <f t="shared" si="16"/>
        <v>295</v>
      </c>
      <c r="S545">
        <f t="shared" si="17"/>
        <v>1286</v>
      </c>
      <c r="T545">
        <f>ROUND(tbl_working_daily[[#This Row],[SedentaryMinutes]]/60,2)</f>
        <v>16.52</v>
      </c>
      <c r="U545" t="str" cm="1">
        <f t="array" ref="U54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45" t="str" cm="1">
        <f t="array" ref="V545">_xlfn.IFS(tbl_working_daily[[#This Row],[VeryActiveMinutes]]&gt;=30,"Very Active",tbl_working_daily[[#This Row],[VeryActiveMinutes]]&gt;=15,"Moderately Active",tbl_working_daily[[#This Row],[VeryActiveMinutes]]&gt;=1,"Lightly Active",tbl_working_daily[[#This Row],[VeryActiveMinutes]]=0,"Sedentary")</f>
        <v>Sedentary</v>
      </c>
      <c r="W545" t="str">
        <f>tbl_working_daily[[#This Row],[Id]]&amp;"|"&amp;TEXT(tbl_working_daily[[#This Row],[ActivityDate]],"yyyy-mm-dd")</f>
        <v>1644430081|2016-05-08</v>
      </c>
      <c r="X545" t="b">
        <f>ISNUMBER(MATCH(tbl_working_daily[[#This Row],[LookupKey]],tbl_working_sleep[LookupKey],0))</f>
        <v>1</v>
      </c>
    </row>
    <row r="546" spans="1:24" x14ac:dyDescent="0.3">
      <c r="A546">
        <v>1644430081</v>
      </c>
      <c r="B546" s="1">
        <v>42499</v>
      </c>
      <c r="C546">
        <v>6643</v>
      </c>
      <c r="D546">
        <v>4.8299999237060502</v>
      </c>
      <c r="E546">
        <v>4.8299999237060502</v>
      </c>
      <c r="F546">
        <v>0</v>
      </c>
      <c r="G546">
        <v>2.3900001049041699</v>
      </c>
      <c r="H546">
        <v>0.34999999403953602</v>
      </c>
      <c r="I546">
        <v>2.0899999141693102</v>
      </c>
      <c r="J546">
        <v>9.9999997764825804E-3</v>
      </c>
      <c r="K546">
        <v>32</v>
      </c>
      <c r="L546">
        <v>6</v>
      </c>
      <c r="M546">
        <v>303</v>
      </c>
      <c r="N546">
        <v>1099</v>
      </c>
      <c r="O546">
        <v>3008</v>
      </c>
      <c r="P546" t="str">
        <f>TEXT(tbl_working_daily[[#This Row],[ActivityDate]],"dddd")</f>
        <v>Monday</v>
      </c>
      <c r="Q546" t="str">
        <f>TEXT(tbl_working_daily[[#This Row],[ActivityDate]],"mmmm")</f>
        <v>May</v>
      </c>
      <c r="R546">
        <f t="shared" si="16"/>
        <v>341</v>
      </c>
      <c r="S546">
        <f t="shared" si="17"/>
        <v>1440</v>
      </c>
      <c r="T546">
        <f>ROUND(tbl_working_daily[[#This Row],[SedentaryMinutes]]/60,2)</f>
        <v>18.32</v>
      </c>
      <c r="U546" t="str" cm="1">
        <f t="array" ref="U54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46" t="str" cm="1">
        <f t="array" ref="V546">_xlfn.IFS(tbl_working_daily[[#This Row],[VeryActiveMinutes]]&gt;=30,"Very Active",tbl_working_daily[[#This Row],[VeryActiveMinutes]]&gt;=15,"Moderately Active",tbl_working_daily[[#This Row],[VeryActiveMinutes]]&gt;=1,"Lightly Active",tbl_working_daily[[#This Row],[VeryActiveMinutes]]=0,"Sedentary")</f>
        <v>Very Active</v>
      </c>
      <c r="W546" t="str">
        <f>tbl_working_daily[[#This Row],[Id]]&amp;"|"&amp;TEXT(tbl_working_daily[[#This Row],[ActivityDate]],"yyyy-mm-dd")</f>
        <v>1644430081|2016-05-09</v>
      </c>
      <c r="X546" t="b">
        <f>ISNUMBER(MATCH(tbl_working_daily[[#This Row],[LookupKey]],tbl_working_sleep[LookupKey],0))</f>
        <v>0</v>
      </c>
    </row>
    <row r="547" spans="1:24" x14ac:dyDescent="0.3">
      <c r="A547">
        <v>1644430081</v>
      </c>
      <c r="B547" s="1">
        <v>42500</v>
      </c>
      <c r="C547">
        <v>9167</v>
      </c>
      <c r="D547">
        <v>6.6599998474121103</v>
      </c>
      <c r="E547">
        <v>6.6599998474121103</v>
      </c>
      <c r="F547">
        <v>0</v>
      </c>
      <c r="G547">
        <v>0.87999999523162797</v>
      </c>
      <c r="H547">
        <v>0.81000000238418601</v>
      </c>
      <c r="I547">
        <v>4.9699997901916504</v>
      </c>
      <c r="J547">
        <v>9.9999997764825804E-3</v>
      </c>
      <c r="K547">
        <v>12</v>
      </c>
      <c r="L547">
        <v>19</v>
      </c>
      <c r="M547">
        <v>155</v>
      </c>
      <c r="N547">
        <v>1254</v>
      </c>
      <c r="O547">
        <v>2799</v>
      </c>
      <c r="P547" t="str">
        <f>TEXT(tbl_working_daily[[#This Row],[ActivityDate]],"dddd")</f>
        <v>Tuesday</v>
      </c>
      <c r="Q547" t="str">
        <f>TEXT(tbl_working_daily[[#This Row],[ActivityDate]],"mmmm")</f>
        <v>May</v>
      </c>
      <c r="R547">
        <f t="shared" si="16"/>
        <v>186</v>
      </c>
      <c r="S547">
        <f t="shared" si="17"/>
        <v>1440</v>
      </c>
      <c r="T547">
        <f>ROUND(tbl_working_daily[[#This Row],[SedentaryMinutes]]/60,2)</f>
        <v>20.9</v>
      </c>
      <c r="U547" t="str" cm="1">
        <f t="array" ref="U54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47" t="str" cm="1">
        <f t="array" ref="V547">_xlfn.IFS(tbl_working_daily[[#This Row],[VeryActiveMinutes]]&gt;=30,"Very Active",tbl_working_daily[[#This Row],[VeryActiveMinutes]]&gt;=15,"Moderately Active",tbl_working_daily[[#This Row],[VeryActiveMinutes]]&gt;=1,"Lightly Active",tbl_working_daily[[#This Row],[VeryActiveMinutes]]=0,"Sedentary")</f>
        <v>Lightly Active</v>
      </c>
      <c r="W547" t="str">
        <f>tbl_working_daily[[#This Row],[Id]]&amp;"|"&amp;TEXT(tbl_working_daily[[#This Row],[ActivityDate]],"yyyy-mm-dd")</f>
        <v>1644430081|2016-05-10</v>
      </c>
      <c r="X547" t="b">
        <f>ISNUMBER(MATCH(tbl_working_daily[[#This Row],[LookupKey]],tbl_working_sleep[LookupKey],0))</f>
        <v>0</v>
      </c>
    </row>
    <row r="548" spans="1:24" x14ac:dyDescent="0.3">
      <c r="A548">
        <v>1644430081</v>
      </c>
      <c r="B548" s="1">
        <v>42501</v>
      </c>
      <c r="C548">
        <v>1329</v>
      </c>
      <c r="D548">
        <v>0.97000002861022905</v>
      </c>
      <c r="E548">
        <v>0.97000002861022905</v>
      </c>
      <c r="F548">
        <v>0</v>
      </c>
      <c r="G548">
        <v>0</v>
      </c>
      <c r="H548">
        <v>0</v>
      </c>
      <c r="I548">
        <v>0.94999998807907104</v>
      </c>
      <c r="J548">
        <v>9.9999997764825804E-3</v>
      </c>
      <c r="K548">
        <v>0</v>
      </c>
      <c r="L548">
        <v>0</v>
      </c>
      <c r="M548">
        <v>49</v>
      </c>
      <c r="N548">
        <v>713</v>
      </c>
      <c r="O548">
        <v>1276</v>
      </c>
      <c r="P548" t="str">
        <f>TEXT(tbl_working_daily[[#This Row],[ActivityDate]],"dddd")</f>
        <v>Wednesday</v>
      </c>
      <c r="Q548" t="str">
        <f>TEXT(tbl_working_daily[[#This Row],[ActivityDate]],"mmmm")</f>
        <v>May</v>
      </c>
      <c r="R548">
        <f t="shared" si="16"/>
        <v>49</v>
      </c>
      <c r="S548">
        <f t="shared" si="17"/>
        <v>762</v>
      </c>
      <c r="T548">
        <f>ROUND(tbl_working_daily[[#This Row],[SedentaryMinutes]]/60,2)</f>
        <v>11.88</v>
      </c>
      <c r="U548" t="str" cm="1">
        <f t="array" ref="U54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48" t="str" cm="1">
        <f t="array" ref="V548">_xlfn.IFS(tbl_working_daily[[#This Row],[VeryActiveMinutes]]&gt;=30,"Very Active",tbl_working_daily[[#This Row],[VeryActiveMinutes]]&gt;=15,"Moderately Active",tbl_working_daily[[#This Row],[VeryActiveMinutes]]&gt;=1,"Lightly Active",tbl_working_daily[[#This Row],[VeryActiveMinutes]]=0,"Sedentary")</f>
        <v>Sedentary</v>
      </c>
      <c r="W548" t="str">
        <f>tbl_working_daily[[#This Row],[Id]]&amp;"|"&amp;TEXT(tbl_working_daily[[#This Row],[ActivityDate]],"yyyy-mm-dd")</f>
        <v>1644430081|2016-05-11</v>
      </c>
      <c r="X548" t="b">
        <f>ISNUMBER(MATCH(tbl_working_daily[[#This Row],[LookupKey]],tbl_working_sleep[LookupKey],0))</f>
        <v>0</v>
      </c>
    </row>
    <row r="549" spans="1:24" x14ac:dyDescent="0.3">
      <c r="A549">
        <v>1844505072</v>
      </c>
      <c r="B549" s="1">
        <v>42473</v>
      </c>
      <c r="C549">
        <v>4929</v>
      </c>
      <c r="D549">
        <v>3.2599999904632599</v>
      </c>
      <c r="E549">
        <v>3.2599999904632599</v>
      </c>
      <c r="F549">
        <v>0</v>
      </c>
      <c r="G549">
        <v>0</v>
      </c>
      <c r="H549">
        <v>0</v>
      </c>
      <c r="I549">
        <v>3.2599999904632599</v>
      </c>
      <c r="J549">
        <v>0</v>
      </c>
      <c r="K549">
        <v>0</v>
      </c>
      <c r="L549">
        <v>0</v>
      </c>
      <c r="M549">
        <v>248</v>
      </c>
      <c r="N549">
        <v>1192</v>
      </c>
      <c r="O549">
        <v>1860</v>
      </c>
      <c r="P549" t="str">
        <f>TEXT(tbl_working_daily[[#This Row],[ActivityDate]],"dddd")</f>
        <v>Wednesday</v>
      </c>
      <c r="Q549" t="str">
        <f>TEXT(tbl_working_daily[[#This Row],[ActivityDate]],"mmmm")</f>
        <v>April</v>
      </c>
      <c r="R549">
        <f t="shared" si="16"/>
        <v>248</v>
      </c>
      <c r="S549">
        <f t="shared" si="17"/>
        <v>1440</v>
      </c>
      <c r="T549">
        <f>ROUND(tbl_working_daily[[#This Row],[SedentaryMinutes]]/60,2)</f>
        <v>19.87</v>
      </c>
      <c r="U549" t="str" cm="1">
        <f t="array" ref="U54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49" t="str" cm="1">
        <f t="array" ref="V549">_xlfn.IFS(tbl_working_daily[[#This Row],[VeryActiveMinutes]]&gt;=30,"Very Active",tbl_working_daily[[#This Row],[VeryActiveMinutes]]&gt;=15,"Moderately Active",tbl_working_daily[[#This Row],[VeryActiveMinutes]]&gt;=1,"Lightly Active",tbl_working_daily[[#This Row],[VeryActiveMinutes]]=0,"Sedentary")</f>
        <v>Sedentary</v>
      </c>
      <c r="W549" t="str">
        <f>tbl_working_daily[[#This Row],[Id]]&amp;"|"&amp;TEXT(tbl_working_daily[[#This Row],[ActivityDate]],"yyyy-mm-dd")</f>
        <v>1844505072|2016-04-13</v>
      </c>
      <c r="X549" t="b">
        <f>ISNUMBER(MATCH(tbl_working_daily[[#This Row],[LookupKey]],tbl_working_sleep[LookupKey],0))</f>
        <v>0</v>
      </c>
    </row>
    <row r="550" spans="1:24" x14ac:dyDescent="0.3">
      <c r="A550">
        <v>1844505072</v>
      </c>
      <c r="B550" s="1">
        <v>42474</v>
      </c>
      <c r="C550">
        <v>7937</v>
      </c>
      <c r="D550">
        <v>5.25</v>
      </c>
      <c r="E550">
        <v>5.25</v>
      </c>
      <c r="F550">
        <v>0</v>
      </c>
      <c r="G550">
        <v>0</v>
      </c>
      <c r="H550">
        <v>0</v>
      </c>
      <c r="I550">
        <v>5.2300000190734899</v>
      </c>
      <c r="J550">
        <v>0</v>
      </c>
      <c r="K550">
        <v>0</v>
      </c>
      <c r="L550">
        <v>0</v>
      </c>
      <c r="M550">
        <v>373</v>
      </c>
      <c r="N550">
        <v>843</v>
      </c>
      <c r="O550">
        <v>2130</v>
      </c>
      <c r="P550" t="str">
        <f>TEXT(tbl_working_daily[[#This Row],[ActivityDate]],"dddd")</f>
        <v>Thursday</v>
      </c>
      <c r="Q550" t="str">
        <f>TEXT(tbl_working_daily[[#This Row],[ActivityDate]],"mmmm")</f>
        <v>April</v>
      </c>
      <c r="R550">
        <f t="shared" si="16"/>
        <v>373</v>
      </c>
      <c r="S550">
        <f t="shared" si="17"/>
        <v>1216</v>
      </c>
      <c r="T550">
        <f>ROUND(tbl_working_daily[[#This Row],[SedentaryMinutes]]/60,2)</f>
        <v>14.05</v>
      </c>
      <c r="U550" t="str" cm="1">
        <f t="array" ref="U55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50" t="str" cm="1">
        <f t="array" ref="V550">_xlfn.IFS(tbl_working_daily[[#This Row],[VeryActiveMinutes]]&gt;=30,"Very Active",tbl_working_daily[[#This Row],[VeryActiveMinutes]]&gt;=15,"Moderately Active",tbl_working_daily[[#This Row],[VeryActiveMinutes]]&gt;=1,"Lightly Active",tbl_working_daily[[#This Row],[VeryActiveMinutes]]=0,"Sedentary")</f>
        <v>Sedentary</v>
      </c>
      <c r="W550" t="str">
        <f>tbl_working_daily[[#This Row],[Id]]&amp;"|"&amp;TEXT(tbl_working_daily[[#This Row],[ActivityDate]],"yyyy-mm-dd")</f>
        <v>1844505072|2016-04-14</v>
      </c>
      <c r="X550" t="b">
        <f>ISNUMBER(MATCH(tbl_working_daily[[#This Row],[LookupKey]],tbl_working_sleep[LookupKey],0))</f>
        <v>0</v>
      </c>
    </row>
    <row r="551" spans="1:24" x14ac:dyDescent="0.3">
      <c r="A551">
        <v>1844505072</v>
      </c>
      <c r="B551" s="1">
        <v>42475</v>
      </c>
      <c r="C551">
        <v>3844</v>
      </c>
      <c r="D551">
        <v>2.53999996185303</v>
      </c>
      <c r="E551">
        <v>2.53999996185303</v>
      </c>
      <c r="F551">
        <v>0</v>
      </c>
      <c r="G551">
        <v>0</v>
      </c>
      <c r="H551">
        <v>0</v>
      </c>
      <c r="I551">
        <v>2.53999996185303</v>
      </c>
      <c r="J551">
        <v>0</v>
      </c>
      <c r="K551">
        <v>0</v>
      </c>
      <c r="L551">
        <v>0</v>
      </c>
      <c r="M551">
        <v>176</v>
      </c>
      <c r="N551">
        <v>527</v>
      </c>
      <c r="O551">
        <v>1725</v>
      </c>
      <c r="P551" t="str">
        <f>TEXT(tbl_working_daily[[#This Row],[ActivityDate]],"dddd")</f>
        <v>Friday</v>
      </c>
      <c r="Q551" t="str">
        <f>TEXT(tbl_working_daily[[#This Row],[ActivityDate]],"mmmm")</f>
        <v>April</v>
      </c>
      <c r="R551">
        <f t="shared" si="16"/>
        <v>176</v>
      </c>
      <c r="S551">
        <f t="shared" si="17"/>
        <v>703</v>
      </c>
      <c r="T551">
        <f>ROUND(tbl_working_daily[[#This Row],[SedentaryMinutes]]/60,2)</f>
        <v>8.7799999999999994</v>
      </c>
      <c r="U551" t="str" cm="1">
        <f t="array" ref="U55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1" t="str" cm="1">
        <f t="array" ref="V551">_xlfn.IFS(tbl_working_daily[[#This Row],[VeryActiveMinutes]]&gt;=30,"Very Active",tbl_working_daily[[#This Row],[VeryActiveMinutes]]&gt;=15,"Moderately Active",tbl_working_daily[[#This Row],[VeryActiveMinutes]]&gt;=1,"Lightly Active",tbl_working_daily[[#This Row],[VeryActiveMinutes]]=0,"Sedentary")</f>
        <v>Sedentary</v>
      </c>
      <c r="W551" t="str">
        <f>tbl_working_daily[[#This Row],[Id]]&amp;"|"&amp;TEXT(tbl_working_daily[[#This Row],[ActivityDate]],"yyyy-mm-dd")</f>
        <v>1844505072|2016-04-15</v>
      </c>
      <c r="X551" t="b">
        <f>ISNUMBER(MATCH(tbl_working_daily[[#This Row],[LookupKey]],tbl_working_sleep[LookupKey],0))</f>
        <v>1</v>
      </c>
    </row>
    <row r="552" spans="1:24" x14ac:dyDescent="0.3">
      <c r="A552">
        <v>1844505072</v>
      </c>
      <c r="B552" s="1">
        <v>42476</v>
      </c>
      <c r="C552">
        <v>3414</v>
      </c>
      <c r="D552">
        <v>2.2599999904632599</v>
      </c>
      <c r="E552">
        <v>2.2599999904632599</v>
      </c>
      <c r="F552">
        <v>0</v>
      </c>
      <c r="G552">
        <v>0</v>
      </c>
      <c r="H552">
        <v>0</v>
      </c>
      <c r="I552">
        <v>2.2599999904632599</v>
      </c>
      <c r="J552">
        <v>0</v>
      </c>
      <c r="K552">
        <v>0</v>
      </c>
      <c r="L552">
        <v>0</v>
      </c>
      <c r="M552">
        <v>147</v>
      </c>
      <c r="N552">
        <v>1293</v>
      </c>
      <c r="O552">
        <v>1657</v>
      </c>
      <c r="P552" t="str">
        <f>TEXT(tbl_working_daily[[#This Row],[ActivityDate]],"dddd")</f>
        <v>Saturday</v>
      </c>
      <c r="Q552" t="str">
        <f>TEXT(tbl_working_daily[[#This Row],[ActivityDate]],"mmmm")</f>
        <v>April</v>
      </c>
      <c r="R552">
        <f t="shared" si="16"/>
        <v>147</v>
      </c>
      <c r="S552">
        <f t="shared" si="17"/>
        <v>1440</v>
      </c>
      <c r="T552">
        <f>ROUND(tbl_working_daily[[#This Row],[SedentaryMinutes]]/60,2)</f>
        <v>21.55</v>
      </c>
      <c r="U552" t="str" cm="1">
        <f t="array" ref="U55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2" t="str" cm="1">
        <f t="array" ref="V552">_xlfn.IFS(tbl_working_daily[[#This Row],[VeryActiveMinutes]]&gt;=30,"Very Active",tbl_working_daily[[#This Row],[VeryActiveMinutes]]&gt;=15,"Moderately Active",tbl_working_daily[[#This Row],[VeryActiveMinutes]]&gt;=1,"Lightly Active",tbl_working_daily[[#This Row],[VeryActiveMinutes]]=0,"Sedentary")</f>
        <v>Sedentary</v>
      </c>
      <c r="W552" t="str">
        <f>tbl_working_daily[[#This Row],[Id]]&amp;"|"&amp;TEXT(tbl_working_daily[[#This Row],[ActivityDate]],"yyyy-mm-dd")</f>
        <v>1844505072|2016-04-16</v>
      </c>
      <c r="X552" t="b">
        <f>ISNUMBER(MATCH(tbl_working_daily[[#This Row],[LookupKey]],tbl_working_sleep[LookupKey],0))</f>
        <v>0</v>
      </c>
    </row>
    <row r="553" spans="1:24" x14ac:dyDescent="0.3">
      <c r="A553">
        <v>1844505072</v>
      </c>
      <c r="B553" s="1">
        <v>42477</v>
      </c>
      <c r="C553">
        <v>4525</v>
      </c>
      <c r="D553">
        <v>2.9900000095367401</v>
      </c>
      <c r="E553">
        <v>2.9900000095367401</v>
      </c>
      <c r="F553">
        <v>0</v>
      </c>
      <c r="G553">
        <v>0.140000000596046</v>
      </c>
      <c r="H553">
        <v>0.259999990463257</v>
      </c>
      <c r="I553">
        <v>2.5899999141693102</v>
      </c>
      <c r="J553">
        <v>0</v>
      </c>
      <c r="K553">
        <v>2</v>
      </c>
      <c r="L553">
        <v>8</v>
      </c>
      <c r="M553">
        <v>199</v>
      </c>
      <c r="N553">
        <v>1231</v>
      </c>
      <c r="O553">
        <v>1793</v>
      </c>
      <c r="P553" t="str">
        <f>TEXT(tbl_working_daily[[#This Row],[ActivityDate]],"dddd")</f>
        <v>Sunday</v>
      </c>
      <c r="Q553" t="str">
        <f>TEXT(tbl_working_daily[[#This Row],[ActivityDate]],"mmmm")</f>
        <v>April</v>
      </c>
      <c r="R553">
        <f t="shared" si="16"/>
        <v>209</v>
      </c>
      <c r="S553">
        <f t="shared" si="17"/>
        <v>1440</v>
      </c>
      <c r="T553">
        <f>ROUND(tbl_working_daily[[#This Row],[SedentaryMinutes]]/60,2)</f>
        <v>20.52</v>
      </c>
      <c r="U553" t="str" cm="1">
        <f t="array" ref="U55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3" t="str" cm="1">
        <f t="array" ref="V553">_xlfn.IFS(tbl_working_daily[[#This Row],[VeryActiveMinutes]]&gt;=30,"Very Active",tbl_working_daily[[#This Row],[VeryActiveMinutes]]&gt;=15,"Moderately Active",tbl_working_daily[[#This Row],[VeryActiveMinutes]]&gt;=1,"Lightly Active",tbl_working_daily[[#This Row],[VeryActiveMinutes]]=0,"Sedentary")</f>
        <v>Lightly Active</v>
      </c>
      <c r="W553" t="str">
        <f>tbl_working_daily[[#This Row],[Id]]&amp;"|"&amp;TEXT(tbl_working_daily[[#This Row],[ActivityDate]],"yyyy-mm-dd")</f>
        <v>1844505072|2016-04-17</v>
      </c>
      <c r="X553" t="b">
        <f>ISNUMBER(MATCH(tbl_working_daily[[#This Row],[LookupKey]],tbl_working_sleep[LookupKey],0))</f>
        <v>0</v>
      </c>
    </row>
    <row r="554" spans="1:24" x14ac:dyDescent="0.3">
      <c r="A554">
        <v>1844505072</v>
      </c>
      <c r="B554" s="1">
        <v>42478</v>
      </c>
      <c r="C554">
        <v>4597</v>
      </c>
      <c r="D554">
        <v>3.03999996185303</v>
      </c>
      <c r="E554">
        <v>3.03999996185303</v>
      </c>
      <c r="F554">
        <v>0</v>
      </c>
      <c r="G554">
        <v>0</v>
      </c>
      <c r="H554">
        <v>0.479999989271164</v>
      </c>
      <c r="I554">
        <v>2.5599999427795401</v>
      </c>
      <c r="J554">
        <v>0</v>
      </c>
      <c r="K554">
        <v>0</v>
      </c>
      <c r="L554">
        <v>12</v>
      </c>
      <c r="M554">
        <v>217</v>
      </c>
      <c r="N554">
        <v>1211</v>
      </c>
      <c r="O554">
        <v>1814</v>
      </c>
      <c r="P554" t="str">
        <f>TEXT(tbl_working_daily[[#This Row],[ActivityDate]],"dddd")</f>
        <v>Monday</v>
      </c>
      <c r="Q554" t="str">
        <f>TEXT(tbl_working_daily[[#This Row],[ActivityDate]],"mmmm")</f>
        <v>April</v>
      </c>
      <c r="R554">
        <f t="shared" si="16"/>
        <v>229</v>
      </c>
      <c r="S554">
        <f t="shared" si="17"/>
        <v>1440</v>
      </c>
      <c r="T554">
        <f>ROUND(tbl_working_daily[[#This Row],[SedentaryMinutes]]/60,2)</f>
        <v>20.18</v>
      </c>
      <c r="U554" t="str" cm="1">
        <f t="array" ref="U55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4" t="str" cm="1">
        <f t="array" ref="V554">_xlfn.IFS(tbl_working_daily[[#This Row],[VeryActiveMinutes]]&gt;=30,"Very Active",tbl_working_daily[[#This Row],[VeryActiveMinutes]]&gt;=15,"Moderately Active",tbl_working_daily[[#This Row],[VeryActiveMinutes]]&gt;=1,"Lightly Active",tbl_working_daily[[#This Row],[VeryActiveMinutes]]=0,"Sedentary")</f>
        <v>Sedentary</v>
      </c>
      <c r="W554" t="str">
        <f>tbl_working_daily[[#This Row],[Id]]&amp;"|"&amp;TEXT(tbl_working_daily[[#This Row],[ActivityDate]],"yyyy-mm-dd")</f>
        <v>1844505072|2016-04-18</v>
      </c>
      <c r="X554" t="b">
        <f>ISNUMBER(MATCH(tbl_working_daily[[#This Row],[LookupKey]],tbl_working_sleep[LookupKey],0))</f>
        <v>0</v>
      </c>
    </row>
    <row r="555" spans="1:24" x14ac:dyDescent="0.3">
      <c r="A555">
        <v>1844505072</v>
      </c>
      <c r="B555" s="1">
        <v>42479</v>
      </c>
      <c r="C555">
        <v>197</v>
      </c>
      <c r="D555">
        <v>0.129999995231628</v>
      </c>
      <c r="E555">
        <v>0.129999995231628</v>
      </c>
      <c r="F555">
        <v>0</v>
      </c>
      <c r="G555">
        <v>0</v>
      </c>
      <c r="H555">
        <v>0</v>
      </c>
      <c r="I555">
        <v>0.129999995231628</v>
      </c>
      <c r="J555">
        <v>0</v>
      </c>
      <c r="K555">
        <v>0</v>
      </c>
      <c r="L555">
        <v>0</v>
      </c>
      <c r="M555">
        <v>10</v>
      </c>
      <c r="N555">
        <v>1430</v>
      </c>
      <c r="O555">
        <v>1366</v>
      </c>
      <c r="P555" t="str">
        <f>TEXT(tbl_working_daily[[#This Row],[ActivityDate]],"dddd")</f>
        <v>Tuesday</v>
      </c>
      <c r="Q555" t="str">
        <f>TEXT(tbl_working_daily[[#This Row],[ActivityDate]],"mmmm")</f>
        <v>April</v>
      </c>
      <c r="R555">
        <f t="shared" si="16"/>
        <v>10</v>
      </c>
      <c r="S555">
        <f t="shared" si="17"/>
        <v>1440</v>
      </c>
      <c r="T555">
        <f>ROUND(tbl_working_daily[[#This Row],[SedentaryMinutes]]/60,2)</f>
        <v>23.83</v>
      </c>
      <c r="U555" t="str" cm="1">
        <f t="array" ref="U55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5" t="str" cm="1">
        <f t="array" ref="V555">_xlfn.IFS(tbl_working_daily[[#This Row],[VeryActiveMinutes]]&gt;=30,"Very Active",tbl_working_daily[[#This Row],[VeryActiveMinutes]]&gt;=15,"Moderately Active",tbl_working_daily[[#This Row],[VeryActiveMinutes]]&gt;=1,"Lightly Active",tbl_working_daily[[#This Row],[VeryActiveMinutes]]=0,"Sedentary")</f>
        <v>Sedentary</v>
      </c>
      <c r="W555" t="str">
        <f>tbl_working_daily[[#This Row],[Id]]&amp;"|"&amp;TEXT(tbl_working_daily[[#This Row],[ActivityDate]],"yyyy-mm-dd")</f>
        <v>1844505072|2016-04-19</v>
      </c>
      <c r="X555" t="b">
        <f>ISNUMBER(MATCH(tbl_working_daily[[#This Row],[LookupKey]],tbl_working_sleep[LookupKey],0))</f>
        <v>0</v>
      </c>
    </row>
    <row r="556" spans="1:24" x14ac:dyDescent="0.3">
      <c r="A556">
        <v>1844505072</v>
      </c>
      <c r="B556" s="1">
        <v>42480</v>
      </c>
      <c r="C556">
        <v>8</v>
      </c>
      <c r="D556">
        <v>9.9999997764825804E-3</v>
      </c>
      <c r="E556">
        <v>9.9999997764825804E-3</v>
      </c>
      <c r="F556">
        <v>0</v>
      </c>
      <c r="G556">
        <v>0</v>
      </c>
      <c r="H556">
        <v>0</v>
      </c>
      <c r="I556">
        <v>9.9999997764825804E-3</v>
      </c>
      <c r="J556">
        <v>0</v>
      </c>
      <c r="K556">
        <v>0</v>
      </c>
      <c r="L556">
        <v>0</v>
      </c>
      <c r="M556">
        <v>1</v>
      </c>
      <c r="N556">
        <v>1439</v>
      </c>
      <c r="O556">
        <v>1349</v>
      </c>
      <c r="P556" t="str">
        <f>TEXT(tbl_working_daily[[#This Row],[ActivityDate]],"dddd")</f>
        <v>Wednesday</v>
      </c>
      <c r="Q556" t="str">
        <f>TEXT(tbl_working_daily[[#This Row],[ActivityDate]],"mmmm")</f>
        <v>April</v>
      </c>
      <c r="R556">
        <f t="shared" si="16"/>
        <v>1</v>
      </c>
      <c r="S556">
        <f t="shared" si="17"/>
        <v>1440</v>
      </c>
      <c r="T556">
        <f>ROUND(tbl_working_daily[[#This Row],[SedentaryMinutes]]/60,2)</f>
        <v>23.98</v>
      </c>
      <c r="U556" t="str" cm="1">
        <f t="array" ref="U55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6" t="str" cm="1">
        <f t="array" ref="V556">_xlfn.IFS(tbl_working_daily[[#This Row],[VeryActiveMinutes]]&gt;=30,"Very Active",tbl_working_daily[[#This Row],[VeryActiveMinutes]]&gt;=15,"Moderately Active",tbl_working_daily[[#This Row],[VeryActiveMinutes]]&gt;=1,"Lightly Active",tbl_working_daily[[#This Row],[VeryActiveMinutes]]=0,"Sedentary")</f>
        <v>Sedentary</v>
      </c>
      <c r="W556" t="str">
        <f>tbl_working_daily[[#This Row],[Id]]&amp;"|"&amp;TEXT(tbl_working_daily[[#This Row],[ActivityDate]],"yyyy-mm-dd")</f>
        <v>1844505072|2016-04-20</v>
      </c>
      <c r="X556" t="b">
        <f>ISNUMBER(MATCH(tbl_working_daily[[#This Row],[LookupKey]],tbl_working_sleep[LookupKey],0))</f>
        <v>0</v>
      </c>
    </row>
    <row r="557" spans="1:24" x14ac:dyDescent="0.3">
      <c r="A557">
        <v>1844505072</v>
      </c>
      <c r="B557" s="1">
        <v>42481</v>
      </c>
      <c r="C557">
        <v>8054</v>
      </c>
      <c r="D557">
        <v>5.3200001716613796</v>
      </c>
      <c r="E557">
        <v>5.3200001716613796</v>
      </c>
      <c r="F557">
        <v>0</v>
      </c>
      <c r="G557">
        <v>0.119999997317791</v>
      </c>
      <c r="H557">
        <v>0.519999980926514</v>
      </c>
      <c r="I557">
        <v>4.6799998283386204</v>
      </c>
      <c r="J557">
        <v>0</v>
      </c>
      <c r="K557">
        <v>2</v>
      </c>
      <c r="L557">
        <v>13</v>
      </c>
      <c r="M557">
        <v>308</v>
      </c>
      <c r="N557">
        <v>1117</v>
      </c>
      <c r="O557">
        <v>2062</v>
      </c>
      <c r="P557" t="str">
        <f>TEXT(tbl_working_daily[[#This Row],[ActivityDate]],"dddd")</f>
        <v>Thursday</v>
      </c>
      <c r="Q557" t="str">
        <f>TEXT(tbl_working_daily[[#This Row],[ActivityDate]],"mmmm")</f>
        <v>April</v>
      </c>
      <c r="R557">
        <f t="shared" si="16"/>
        <v>323</v>
      </c>
      <c r="S557">
        <f t="shared" si="17"/>
        <v>1440</v>
      </c>
      <c r="T557">
        <f>ROUND(tbl_working_daily[[#This Row],[SedentaryMinutes]]/60,2)</f>
        <v>18.62</v>
      </c>
      <c r="U557" t="str" cm="1">
        <f t="array" ref="U55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557" t="str" cm="1">
        <f t="array" ref="V557">_xlfn.IFS(tbl_working_daily[[#This Row],[VeryActiveMinutes]]&gt;=30,"Very Active",tbl_working_daily[[#This Row],[VeryActiveMinutes]]&gt;=15,"Moderately Active",tbl_working_daily[[#This Row],[VeryActiveMinutes]]&gt;=1,"Lightly Active",tbl_working_daily[[#This Row],[VeryActiveMinutes]]=0,"Sedentary")</f>
        <v>Lightly Active</v>
      </c>
      <c r="W557" t="str">
        <f>tbl_working_daily[[#This Row],[Id]]&amp;"|"&amp;TEXT(tbl_working_daily[[#This Row],[ActivityDate]],"yyyy-mm-dd")</f>
        <v>1844505072|2016-04-21</v>
      </c>
      <c r="X557" t="b">
        <f>ISNUMBER(MATCH(tbl_working_daily[[#This Row],[LookupKey]],tbl_working_sleep[LookupKey],0))</f>
        <v>0</v>
      </c>
    </row>
    <row r="558" spans="1:24" x14ac:dyDescent="0.3">
      <c r="A558">
        <v>1844505072</v>
      </c>
      <c r="B558" s="1">
        <v>42482</v>
      </c>
      <c r="C558">
        <v>5372</v>
      </c>
      <c r="D558">
        <v>3.5499999523162802</v>
      </c>
      <c r="E558">
        <v>3.5499999523162802</v>
      </c>
      <c r="F558">
        <v>0</v>
      </c>
      <c r="G558">
        <v>0</v>
      </c>
      <c r="H558">
        <v>0</v>
      </c>
      <c r="I558">
        <v>3.5499999523162802</v>
      </c>
      <c r="J558">
        <v>0</v>
      </c>
      <c r="K558">
        <v>0</v>
      </c>
      <c r="L558">
        <v>0</v>
      </c>
      <c r="M558">
        <v>220</v>
      </c>
      <c r="N558">
        <v>1220</v>
      </c>
      <c r="O558">
        <v>1827</v>
      </c>
      <c r="P558" t="str">
        <f>TEXT(tbl_working_daily[[#This Row],[ActivityDate]],"dddd")</f>
        <v>Friday</v>
      </c>
      <c r="Q558" t="str">
        <f>TEXT(tbl_working_daily[[#This Row],[ActivityDate]],"mmmm")</f>
        <v>April</v>
      </c>
      <c r="R558">
        <f t="shared" si="16"/>
        <v>220</v>
      </c>
      <c r="S558">
        <f t="shared" si="17"/>
        <v>1440</v>
      </c>
      <c r="T558">
        <f>ROUND(tbl_working_daily[[#This Row],[SedentaryMinutes]]/60,2)</f>
        <v>20.329999999999998</v>
      </c>
      <c r="U558" t="str" cm="1">
        <f t="array" ref="U55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58" t="str" cm="1">
        <f t="array" ref="V558">_xlfn.IFS(tbl_working_daily[[#This Row],[VeryActiveMinutes]]&gt;=30,"Very Active",tbl_working_daily[[#This Row],[VeryActiveMinutes]]&gt;=15,"Moderately Active",tbl_working_daily[[#This Row],[VeryActiveMinutes]]&gt;=1,"Lightly Active",tbl_working_daily[[#This Row],[VeryActiveMinutes]]=0,"Sedentary")</f>
        <v>Sedentary</v>
      </c>
      <c r="W558" t="str">
        <f>tbl_working_daily[[#This Row],[Id]]&amp;"|"&amp;TEXT(tbl_working_daily[[#This Row],[ActivityDate]],"yyyy-mm-dd")</f>
        <v>1844505072|2016-04-22</v>
      </c>
      <c r="X558" t="b">
        <f>ISNUMBER(MATCH(tbl_working_daily[[#This Row],[LookupKey]],tbl_working_sleep[LookupKey],0))</f>
        <v>0</v>
      </c>
    </row>
    <row r="559" spans="1:24" x14ac:dyDescent="0.3">
      <c r="A559">
        <v>1844505072</v>
      </c>
      <c r="B559" s="1">
        <v>42483</v>
      </c>
      <c r="C559">
        <v>3570</v>
      </c>
      <c r="D559">
        <v>2.3599998950958301</v>
      </c>
      <c r="E559">
        <v>2.3599998950958301</v>
      </c>
      <c r="F559">
        <v>0</v>
      </c>
      <c r="G559">
        <v>0</v>
      </c>
      <c r="H559">
        <v>0</v>
      </c>
      <c r="I559">
        <v>2.3599998950958301</v>
      </c>
      <c r="J559">
        <v>0</v>
      </c>
      <c r="K559">
        <v>0</v>
      </c>
      <c r="L559">
        <v>0</v>
      </c>
      <c r="M559">
        <v>139</v>
      </c>
      <c r="N559">
        <v>1301</v>
      </c>
      <c r="O559">
        <v>1645</v>
      </c>
      <c r="P559" t="str">
        <f>TEXT(tbl_working_daily[[#This Row],[ActivityDate]],"dddd")</f>
        <v>Saturday</v>
      </c>
      <c r="Q559" t="str">
        <f>TEXT(tbl_working_daily[[#This Row],[ActivityDate]],"mmmm")</f>
        <v>April</v>
      </c>
      <c r="R559">
        <f t="shared" si="16"/>
        <v>139</v>
      </c>
      <c r="S559">
        <f t="shared" si="17"/>
        <v>1440</v>
      </c>
      <c r="T559">
        <f>ROUND(tbl_working_daily[[#This Row],[SedentaryMinutes]]/60,2)</f>
        <v>21.68</v>
      </c>
      <c r="U559" t="str" cm="1">
        <f t="array" ref="U55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59" t="str" cm="1">
        <f t="array" ref="V559">_xlfn.IFS(tbl_working_daily[[#This Row],[VeryActiveMinutes]]&gt;=30,"Very Active",tbl_working_daily[[#This Row],[VeryActiveMinutes]]&gt;=15,"Moderately Active",tbl_working_daily[[#This Row],[VeryActiveMinutes]]&gt;=1,"Lightly Active",tbl_working_daily[[#This Row],[VeryActiveMinutes]]=0,"Sedentary")</f>
        <v>Sedentary</v>
      </c>
      <c r="W559" t="str">
        <f>tbl_working_daily[[#This Row],[Id]]&amp;"|"&amp;TEXT(tbl_working_daily[[#This Row],[ActivityDate]],"yyyy-mm-dd")</f>
        <v>1844505072|2016-04-23</v>
      </c>
      <c r="X559" t="b">
        <f>ISNUMBER(MATCH(tbl_working_daily[[#This Row],[LookupKey]],tbl_working_sleep[LookupKey],0))</f>
        <v>0</v>
      </c>
    </row>
    <row r="560" spans="1:24" x14ac:dyDescent="0.3">
      <c r="A560">
        <v>1844505072</v>
      </c>
      <c r="B560" s="1">
        <v>42484</v>
      </c>
      <c r="C560">
        <v>0</v>
      </c>
      <c r="D560">
        <v>0</v>
      </c>
      <c r="E560">
        <v>0</v>
      </c>
      <c r="F560">
        <v>0</v>
      </c>
      <c r="G560">
        <v>0</v>
      </c>
      <c r="H560">
        <v>0</v>
      </c>
      <c r="I560">
        <v>0</v>
      </c>
      <c r="J560">
        <v>0</v>
      </c>
      <c r="K560">
        <v>0</v>
      </c>
      <c r="L560">
        <v>0</v>
      </c>
      <c r="M560">
        <v>0</v>
      </c>
      <c r="N560">
        <v>1440</v>
      </c>
      <c r="O560">
        <v>1347</v>
      </c>
      <c r="P560" t="str">
        <f>TEXT(tbl_working_daily[[#This Row],[ActivityDate]],"dddd")</f>
        <v>Sunday</v>
      </c>
      <c r="Q560" t="str">
        <f>TEXT(tbl_working_daily[[#This Row],[ActivityDate]],"mmmm")</f>
        <v>April</v>
      </c>
      <c r="R560">
        <f t="shared" si="16"/>
        <v>0</v>
      </c>
      <c r="S560">
        <f t="shared" si="17"/>
        <v>1440</v>
      </c>
      <c r="T560">
        <f>ROUND(tbl_working_daily[[#This Row],[SedentaryMinutes]]/60,2)</f>
        <v>24</v>
      </c>
      <c r="U560" t="str" cm="1">
        <f t="array" ref="U56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0" t="str" cm="1">
        <f t="array" ref="V560">_xlfn.IFS(tbl_working_daily[[#This Row],[VeryActiveMinutes]]&gt;=30,"Very Active",tbl_working_daily[[#This Row],[VeryActiveMinutes]]&gt;=15,"Moderately Active",tbl_working_daily[[#This Row],[VeryActiveMinutes]]&gt;=1,"Lightly Active",tbl_working_daily[[#This Row],[VeryActiveMinutes]]=0,"Sedentary")</f>
        <v>Sedentary</v>
      </c>
      <c r="W560" t="str">
        <f>tbl_working_daily[[#This Row],[Id]]&amp;"|"&amp;TEXT(tbl_working_daily[[#This Row],[ActivityDate]],"yyyy-mm-dd")</f>
        <v>1844505072|2016-04-24</v>
      </c>
      <c r="X560" t="b">
        <f>ISNUMBER(MATCH(tbl_working_daily[[#This Row],[LookupKey]],tbl_working_sleep[LookupKey],0))</f>
        <v>0</v>
      </c>
    </row>
    <row r="561" spans="1:24" x14ac:dyDescent="0.3">
      <c r="A561">
        <v>1844505072</v>
      </c>
      <c r="B561" s="1">
        <v>42485</v>
      </c>
      <c r="C561">
        <v>0</v>
      </c>
      <c r="D561">
        <v>0</v>
      </c>
      <c r="E561">
        <v>0</v>
      </c>
      <c r="F561">
        <v>0</v>
      </c>
      <c r="G561">
        <v>0</v>
      </c>
      <c r="H561">
        <v>0</v>
      </c>
      <c r="I561">
        <v>0</v>
      </c>
      <c r="J561">
        <v>0</v>
      </c>
      <c r="K561">
        <v>0</v>
      </c>
      <c r="L561">
        <v>0</v>
      </c>
      <c r="M561">
        <v>0</v>
      </c>
      <c r="N561">
        <v>1440</v>
      </c>
      <c r="O561">
        <v>1347</v>
      </c>
      <c r="P561" t="str">
        <f>TEXT(tbl_working_daily[[#This Row],[ActivityDate]],"dddd")</f>
        <v>Monday</v>
      </c>
      <c r="Q561" t="str">
        <f>TEXT(tbl_working_daily[[#This Row],[ActivityDate]],"mmmm")</f>
        <v>April</v>
      </c>
      <c r="R561">
        <f t="shared" si="16"/>
        <v>0</v>
      </c>
      <c r="S561">
        <f t="shared" si="17"/>
        <v>1440</v>
      </c>
      <c r="T561">
        <f>ROUND(tbl_working_daily[[#This Row],[SedentaryMinutes]]/60,2)</f>
        <v>24</v>
      </c>
      <c r="U561" t="str" cm="1">
        <f t="array" ref="U56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1" t="str" cm="1">
        <f t="array" ref="V561">_xlfn.IFS(tbl_working_daily[[#This Row],[VeryActiveMinutes]]&gt;=30,"Very Active",tbl_working_daily[[#This Row],[VeryActiveMinutes]]&gt;=15,"Moderately Active",tbl_working_daily[[#This Row],[VeryActiveMinutes]]&gt;=1,"Lightly Active",tbl_working_daily[[#This Row],[VeryActiveMinutes]]=0,"Sedentary")</f>
        <v>Sedentary</v>
      </c>
      <c r="W561" t="str">
        <f>tbl_working_daily[[#This Row],[Id]]&amp;"|"&amp;TEXT(tbl_working_daily[[#This Row],[ActivityDate]],"yyyy-mm-dd")</f>
        <v>1844505072|2016-04-25</v>
      </c>
      <c r="X561" t="b">
        <f>ISNUMBER(MATCH(tbl_working_daily[[#This Row],[LookupKey]],tbl_working_sleep[LookupKey],0))</f>
        <v>0</v>
      </c>
    </row>
    <row r="562" spans="1:24" x14ac:dyDescent="0.3">
      <c r="A562">
        <v>1844505072</v>
      </c>
      <c r="B562" s="1">
        <v>42486</v>
      </c>
      <c r="C562">
        <v>0</v>
      </c>
      <c r="D562">
        <v>0</v>
      </c>
      <c r="E562">
        <v>0</v>
      </c>
      <c r="F562">
        <v>0</v>
      </c>
      <c r="G562">
        <v>0</v>
      </c>
      <c r="H562">
        <v>0</v>
      </c>
      <c r="I562">
        <v>0</v>
      </c>
      <c r="J562">
        <v>0</v>
      </c>
      <c r="K562">
        <v>0</v>
      </c>
      <c r="L562">
        <v>0</v>
      </c>
      <c r="M562">
        <v>0</v>
      </c>
      <c r="N562">
        <v>1440</v>
      </c>
      <c r="O562">
        <v>1347</v>
      </c>
      <c r="P562" t="str">
        <f>TEXT(tbl_working_daily[[#This Row],[ActivityDate]],"dddd")</f>
        <v>Tuesday</v>
      </c>
      <c r="Q562" t="str">
        <f>TEXT(tbl_working_daily[[#This Row],[ActivityDate]],"mmmm")</f>
        <v>April</v>
      </c>
      <c r="R562">
        <f t="shared" si="16"/>
        <v>0</v>
      </c>
      <c r="S562">
        <f t="shared" si="17"/>
        <v>1440</v>
      </c>
      <c r="T562">
        <f>ROUND(tbl_working_daily[[#This Row],[SedentaryMinutes]]/60,2)</f>
        <v>24</v>
      </c>
      <c r="U562" t="str" cm="1">
        <f t="array" ref="U56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2" t="str" cm="1">
        <f t="array" ref="V562">_xlfn.IFS(tbl_working_daily[[#This Row],[VeryActiveMinutes]]&gt;=30,"Very Active",tbl_working_daily[[#This Row],[VeryActiveMinutes]]&gt;=15,"Moderately Active",tbl_working_daily[[#This Row],[VeryActiveMinutes]]&gt;=1,"Lightly Active",tbl_working_daily[[#This Row],[VeryActiveMinutes]]=0,"Sedentary")</f>
        <v>Sedentary</v>
      </c>
      <c r="W562" t="str">
        <f>tbl_working_daily[[#This Row],[Id]]&amp;"|"&amp;TEXT(tbl_working_daily[[#This Row],[ActivityDate]],"yyyy-mm-dd")</f>
        <v>1844505072|2016-04-26</v>
      </c>
      <c r="X562" t="b">
        <f>ISNUMBER(MATCH(tbl_working_daily[[#This Row],[LookupKey]],tbl_working_sleep[LookupKey],0))</f>
        <v>0</v>
      </c>
    </row>
    <row r="563" spans="1:24" x14ac:dyDescent="0.3">
      <c r="A563">
        <v>1844505072</v>
      </c>
      <c r="B563" s="1">
        <v>42487</v>
      </c>
      <c r="C563">
        <v>4</v>
      </c>
      <c r="D563">
        <v>0</v>
      </c>
      <c r="E563">
        <v>0</v>
      </c>
      <c r="F563">
        <v>0</v>
      </c>
      <c r="G563">
        <v>0</v>
      </c>
      <c r="H563">
        <v>0</v>
      </c>
      <c r="I563">
        <v>0</v>
      </c>
      <c r="J563">
        <v>0</v>
      </c>
      <c r="K563">
        <v>0</v>
      </c>
      <c r="L563">
        <v>0</v>
      </c>
      <c r="M563">
        <v>1</v>
      </c>
      <c r="N563">
        <v>1439</v>
      </c>
      <c r="O563">
        <v>1348</v>
      </c>
      <c r="P563" t="str">
        <f>TEXT(tbl_working_daily[[#This Row],[ActivityDate]],"dddd")</f>
        <v>Wednesday</v>
      </c>
      <c r="Q563" t="str">
        <f>TEXT(tbl_working_daily[[#This Row],[ActivityDate]],"mmmm")</f>
        <v>April</v>
      </c>
      <c r="R563">
        <f t="shared" si="16"/>
        <v>1</v>
      </c>
      <c r="S563">
        <f t="shared" si="17"/>
        <v>1440</v>
      </c>
      <c r="T563">
        <f>ROUND(tbl_working_daily[[#This Row],[SedentaryMinutes]]/60,2)</f>
        <v>23.98</v>
      </c>
      <c r="U563" t="str" cm="1">
        <f t="array" ref="U56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3" t="str" cm="1">
        <f t="array" ref="V563">_xlfn.IFS(tbl_working_daily[[#This Row],[VeryActiveMinutes]]&gt;=30,"Very Active",tbl_working_daily[[#This Row],[VeryActiveMinutes]]&gt;=15,"Moderately Active",tbl_working_daily[[#This Row],[VeryActiveMinutes]]&gt;=1,"Lightly Active",tbl_working_daily[[#This Row],[VeryActiveMinutes]]=0,"Sedentary")</f>
        <v>Sedentary</v>
      </c>
      <c r="W563" t="str">
        <f>tbl_working_daily[[#This Row],[Id]]&amp;"|"&amp;TEXT(tbl_working_daily[[#This Row],[ActivityDate]],"yyyy-mm-dd")</f>
        <v>1844505072|2016-04-27</v>
      </c>
      <c r="X563" t="b">
        <f>ISNUMBER(MATCH(tbl_working_daily[[#This Row],[LookupKey]],tbl_working_sleep[LookupKey],0))</f>
        <v>0</v>
      </c>
    </row>
    <row r="564" spans="1:24" x14ac:dyDescent="0.3">
      <c r="A564">
        <v>1844505072</v>
      </c>
      <c r="B564" s="1">
        <v>42488</v>
      </c>
      <c r="C564">
        <v>6907</v>
      </c>
      <c r="D564">
        <v>4.5700001716613796</v>
      </c>
      <c r="E564">
        <v>4.5700001716613796</v>
      </c>
      <c r="F564">
        <v>0</v>
      </c>
      <c r="G564">
        <v>0</v>
      </c>
      <c r="H564">
        <v>0</v>
      </c>
      <c r="I564">
        <v>4.5599999427795401</v>
      </c>
      <c r="J564">
        <v>0</v>
      </c>
      <c r="K564">
        <v>0</v>
      </c>
      <c r="L564">
        <v>0</v>
      </c>
      <c r="M564">
        <v>302</v>
      </c>
      <c r="N564">
        <v>1138</v>
      </c>
      <c r="O564">
        <v>1992</v>
      </c>
      <c r="P564" t="str">
        <f>TEXT(tbl_working_daily[[#This Row],[ActivityDate]],"dddd")</f>
        <v>Thursday</v>
      </c>
      <c r="Q564" t="str">
        <f>TEXT(tbl_working_daily[[#This Row],[ActivityDate]],"mmmm")</f>
        <v>April</v>
      </c>
      <c r="R564">
        <f t="shared" si="16"/>
        <v>302</v>
      </c>
      <c r="S564">
        <f t="shared" si="17"/>
        <v>1440</v>
      </c>
      <c r="T564">
        <f>ROUND(tbl_working_daily[[#This Row],[SedentaryMinutes]]/60,2)</f>
        <v>18.97</v>
      </c>
      <c r="U564" t="str" cm="1">
        <f t="array" ref="U56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564" t="str" cm="1">
        <f t="array" ref="V564">_xlfn.IFS(tbl_working_daily[[#This Row],[VeryActiveMinutes]]&gt;=30,"Very Active",tbl_working_daily[[#This Row],[VeryActiveMinutes]]&gt;=15,"Moderately Active",tbl_working_daily[[#This Row],[VeryActiveMinutes]]&gt;=1,"Lightly Active",tbl_working_daily[[#This Row],[VeryActiveMinutes]]=0,"Sedentary")</f>
        <v>Sedentary</v>
      </c>
      <c r="W564" t="str">
        <f>tbl_working_daily[[#This Row],[Id]]&amp;"|"&amp;TEXT(tbl_working_daily[[#This Row],[ActivityDate]],"yyyy-mm-dd")</f>
        <v>1844505072|2016-04-28</v>
      </c>
      <c r="X564" t="b">
        <f>ISNUMBER(MATCH(tbl_working_daily[[#This Row],[LookupKey]],tbl_working_sleep[LookupKey],0))</f>
        <v>0</v>
      </c>
    </row>
    <row r="565" spans="1:24" x14ac:dyDescent="0.3">
      <c r="A565">
        <v>1844505072</v>
      </c>
      <c r="B565" s="1">
        <v>42489</v>
      </c>
      <c r="C565">
        <v>4920</v>
      </c>
      <c r="D565">
        <v>3.25</v>
      </c>
      <c r="E565">
        <v>3.25</v>
      </c>
      <c r="F565">
        <v>0</v>
      </c>
      <c r="G565">
        <v>0</v>
      </c>
      <c r="H565">
        <v>0</v>
      </c>
      <c r="I565">
        <v>3.25</v>
      </c>
      <c r="J565">
        <v>0</v>
      </c>
      <c r="K565">
        <v>0</v>
      </c>
      <c r="L565">
        <v>0</v>
      </c>
      <c r="M565">
        <v>247</v>
      </c>
      <c r="N565">
        <v>1082</v>
      </c>
      <c r="O565">
        <v>1856</v>
      </c>
      <c r="P565" t="str">
        <f>TEXT(tbl_working_daily[[#This Row],[ActivityDate]],"dddd")</f>
        <v>Friday</v>
      </c>
      <c r="Q565" t="str">
        <f>TEXT(tbl_working_daily[[#This Row],[ActivityDate]],"mmmm")</f>
        <v>April</v>
      </c>
      <c r="R565">
        <f t="shared" si="16"/>
        <v>247</v>
      </c>
      <c r="S565">
        <f t="shared" si="17"/>
        <v>1329</v>
      </c>
      <c r="T565">
        <f>ROUND(tbl_working_daily[[#This Row],[SedentaryMinutes]]/60,2)</f>
        <v>18.03</v>
      </c>
      <c r="U565" t="str" cm="1">
        <f t="array" ref="U56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5" t="str" cm="1">
        <f t="array" ref="V565">_xlfn.IFS(tbl_working_daily[[#This Row],[VeryActiveMinutes]]&gt;=30,"Very Active",tbl_working_daily[[#This Row],[VeryActiveMinutes]]&gt;=15,"Moderately Active",tbl_working_daily[[#This Row],[VeryActiveMinutes]]&gt;=1,"Lightly Active",tbl_working_daily[[#This Row],[VeryActiveMinutes]]=0,"Sedentary")</f>
        <v>Sedentary</v>
      </c>
      <c r="W565" t="str">
        <f>tbl_working_daily[[#This Row],[Id]]&amp;"|"&amp;TEXT(tbl_working_daily[[#This Row],[ActivityDate]],"yyyy-mm-dd")</f>
        <v>1844505072|2016-04-29</v>
      </c>
      <c r="X565" t="b">
        <f>ISNUMBER(MATCH(tbl_working_daily[[#This Row],[LookupKey]],tbl_working_sleep[LookupKey],0))</f>
        <v>0</v>
      </c>
    </row>
    <row r="566" spans="1:24" x14ac:dyDescent="0.3">
      <c r="A566">
        <v>1844505072</v>
      </c>
      <c r="B566" s="1">
        <v>42490</v>
      </c>
      <c r="C566">
        <v>4014</v>
      </c>
      <c r="D566">
        <v>2.6700000762939502</v>
      </c>
      <c r="E566">
        <v>2.6700000762939502</v>
      </c>
      <c r="F566">
        <v>0</v>
      </c>
      <c r="G566">
        <v>0</v>
      </c>
      <c r="H566">
        <v>0</v>
      </c>
      <c r="I566">
        <v>2.6500000953674299</v>
      </c>
      <c r="J566">
        <v>0</v>
      </c>
      <c r="K566">
        <v>0</v>
      </c>
      <c r="L566">
        <v>0</v>
      </c>
      <c r="M566">
        <v>184</v>
      </c>
      <c r="N566">
        <v>218</v>
      </c>
      <c r="O566">
        <v>1763</v>
      </c>
      <c r="P566" t="str">
        <f>TEXT(tbl_working_daily[[#This Row],[ActivityDate]],"dddd")</f>
        <v>Saturday</v>
      </c>
      <c r="Q566" t="str">
        <f>TEXT(tbl_working_daily[[#This Row],[ActivityDate]],"mmmm")</f>
        <v>April</v>
      </c>
      <c r="R566">
        <f t="shared" si="16"/>
        <v>184</v>
      </c>
      <c r="S566">
        <f t="shared" si="17"/>
        <v>402</v>
      </c>
      <c r="T566">
        <f>ROUND(tbl_working_daily[[#This Row],[SedentaryMinutes]]/60,2)</f>
        <v>3.63</v>
      </c>
      <c r="U566" t="str" cm="1">
        <f t="array" ref="U56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6" t="str" cm="1">
        <f t="array" ref="V566">_xlfn.IFS(tbl_working_daily[[#This Row],[VeryActiveMinutes]]&gt;=30,"Very Active",tbl_working_daily[[#This Row],[VeryActiveMinutes]]&gt;=15,"Moderately Active",tbl_working_daily[[#This Row],[VeryActiveMinutes]]&gt;=1,"Lightly Active",tbl_working_daily[[#This Row],[VeryActiveMinutes]]=0,"Sedentary")</f>
        <v>Sedentary</v>
      </c>
      <c r="W566" t="str">
        <f>tbl_working_daily[[#This Row],[Id]]&amp;"|"&amp;TEXT(tbl_working_daily[[#This Row],[ActivityDate]],"yyyy-mm-dd")</f>
        <v>1844505072|2016-04-30</v>
      </c>
      <c r="X566" t="b">
        <f>ISNUMBER(MATCH(tbl_working_daily[[#This Row],[LookupKey]],tbl_working_sleep[LookupKey],0))</f>
        <v>1</v>
      </c>
    </row>
    <row r="567" spans="1:24" x14ac:dyDescent="0.3">
      <c r="A567">
        <v>1844505072</v>
      </c>
      <c r="B567" s="1">
        <v>42491</v>
      </c>
      <c r="C567">
        <v>2573</v>
      </c>
      <c r="D567">
        <v>1.70000004768372</v>
      </c>
      <c r="E567">
        <v>1.70000004768372</v>
      </c>
      <c r="F567">
        <v>0</v>
      </c>
      <c r="G567">
        <v>0</v>
      </c>
      <c r="H567">
        <v>0.259999990463257</v>
      </c>
      <c r="I567">
        <v>1.45000004768372</v>
      </c>
      <c r="J567">
        <v>0</v>
      </c>
      <c r="K567">
        <v>0</v>
      </c>
      <c r="L567">
        <v>7</v>
      </c>
      <c r="M567">
        <v>75</v>
      </c>
      <c r="N567">
        <v>585</v>
      </c>
      <c r="O567">
        <v>1541</v>
      </c>
      <c r="P567" t="str">
        <f>TEXT(tbl_working_daily[[#This Row],[ActivityDate]],"dddd")</f>
        <v>Sunday</v>
      </c>
      <c r="Q567" t="str">
        <f>TEXT(tbl_working_daily[[#This Row],[ActivityDate]],"mmmm")</f>
        <v>May</v>
      </c>
      <c r="R567">
        <f t="shared" si="16"/>
        <v>82</v>
      </c>
      <c r="S567">
        <f t="shared" si="17"/>
        <v>667</v>
      </c>
      <c r="T567">
        <f>ROUND(tbl_working_daily[[#This Row],[SedentaryMinutes]]/60,2)</f>
        <v>9.75</v>
      </c>
      <c r="U567" t="str" cm="1">
        <f t="array" ref="U56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7" t="str" cm="1">
        <f t="array" ref="V567">_xlfn.IFS(tbl_working_daily[[#This Row],[VeryActiveMinutes]]&gt;=30,"Very Active",tbl_working_daily[[#This Row],[VeryActiveMinutes]]&gt;=15,"Moderately Active",tbl_working_daily[[#This Row],[VeryActiveMinutes]]&gt;=1,"Lightly Active",tbl_working_daily[[#This Row],[VeryActiveMinutes]]=0,"Sedentary")</f>
        <v>Sedentary</v>
      </c>
      <c r="W567" t="str">
        <f>tbl_working_daily[[#This Row],[Id]]&amp;"|"&amp;TEXT(tbl_working_daily[[#This Row],[ActivityDate]],"yyyy-mm-dd")</f>
        <v>1844505072|2016-05-01</v>
      </c>
      <c r="X567" t="b">
        <f>ISNUMBER(MATCH(tbl_working_daily[[#This Row],[LookupKey]],tbl_working_sleep[LookupKey],0))</f>
        <v>1</v>
      </c>
    </row>
    <row r="568" spans="1:24" x14ac:dyDescent="0.3">
      <c r="A568">
        <v>1844505072</v>
      </c>
      <c r="B568" s="1">
        <v>42492</v>
      </c>
      <c r="C568">
        <v>0</v>
      </c>
      <c r="D568">
        <v>0</v>
      </c>
      <c r="E568">
        <v>0</v>
      </c>
      <c r="F568">
        <v>0</v>
      </c>
      <c r="G568">
        <v>0</v>
      </c>
      <c r="H568">
        <v>0</v>
      </c>
      <c r="I568">
        <v>0</v>
      </c>
      <c r="J568">
        <v>0</v>
      </c>
      <c r="K568">
        <v>0</v>
      </c>
      <c r="L568">
        <v>0</v>
      </c>
      <c r="M568">
        <v>0</v>
      </c>
      <c r="N568">
        <v>1440</v>
      </c>
      <c r="O568">
        <v>1348</v>
      </c>
      <c r="P568" t="str">
        <f>TEXT(tbl_working_daily[[#This Row],[ActivityDate]],"dddd")</f>
        <v>Monday</v>
      </c>
      <c r="Q568" t="str">
        <f>TEXT(tbl_working_daily[[#This Row],[ActivityDate]],"mmmm")</f>
        <v>May</v>
      </c>
      <c r="R568">
        <f t="shared" si="16"/>
        <v>0</v>
      </c>
      <c r="S568">
        <f t="shared" si="17"/>
        <v>1440</v>
      </c>
      <c r="T568">
        <f>ROUND(tbl_working_daily[[#This Row],[SedentaryMinutes]]/60,2)</f>
        <v>24</v>
      </c>
      <c r="U568" t="str" cm="1">
        <f t="array" ref="U56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8" t="str" cm="1">
        <f t="array" ref="V568">_xlfn.IFS(tbl_working_daily[[#This Row],[VeryActiveMinutes]]&gt;=30,"Very Active",tbl_working_daily[[#This Row],[VeryActiveMinutes]]&gt;=15,"Moderately Active",tbl_working_daily[[#This Row],[VeryActiveMinutes]]&gt;=1,"Lightly Active",tbl_working_daily[[#This Row],[VeryActiveMinutes]]=0,"Sedentary")</f>
        <v>Sedentary</v>
      </c>
      <c r="W568" t="str">
        <f>tbl_working_daily[[#This Row],[Id]]&amp;"|"&amp;TEXT(tbl_working_daily[[#This Row],[ActivityDate]],"yyyy-mm-dd")</f>
        <v>1844505072|2016-05-02</v>
      </c>
      <c r="X568" t="b">
        <f>ISNUMBER(MATCH(tbl_working_daily[[#This Row],[LookupKey]],tbl_working_sleep[LookupKey],0))</f>
        <v>0</v>
      </c>
    </row>
    <row r="569" spans="1:24" x14ac:dyDescent="0.3">
      <c r="A569">
        <v>1844505072</v>
      </c>
      <c r="B569" s="1">
        <v>42493</v>
      </c>
      <c r="C569">
        <v>4059</v>
      </c>
      <c r="D569">
        <v>2.6800000667571999</v>
      </c>
      <c r="E569">
        <v>2.6800000667571999</v>
      </c>
      <c r="F569">
        <v>0</v>
      </c>
      <c r="G569">
        <v>0</v>
      </c>
      <c r="H569">
        <v>0</v>
      </c>
      <c r="I569">
        <v>2.6800000667571999</v>
      </c>
      <c r="J569">
        <v>0</v>
      </c>
      <c r="K569">
        <v>0</v>
      </c>
      <c r="L569">
        <v>0</v>
      </c>
      <c r="M569">
        <v>184</v>
      </c>
      <c r="N569">
        <v>1256</v>
      </c>
      <c r="O569">
        <v>1742</v>
      </c>
      <c r="P569" t="str">
        <f>TEXT(tbl_working_daily[[#This Row],[ActivityDate]],"dddd")</f>
        <v>Tuesday</v>
      </c>
      <c r="Q569" t="str">
        <f>TEXT(tbl_working_daily[[#This Row],[ActivityDate]],"mmmm")</f>
        <v>May</v>
      </c>
      <c r="R569">
        <f t="shared" si="16"/>
        <v>184</v>
      </c>
      <c r="S569">
        <f t="shared" si="17"/>
        <v>1440</v>
      </c>
      <c r="T569">
        <f>ROUND(tbl_working_daily[[#This Row],[SedentaryMinutes]]/60,2)</f>
        <v>20.93</v>
      </c>
      <c r="U569" t="str" cm="1">
        <f t="array" ref="U56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69" t="str" cm="1">
        <f t="array" ref="V569">_xlfn.IFS(tbl_working_daily[[#This Row],[VeryActiveMinutes]]&gt;=30,"Very Active",tbl_working_daily[[#This Row],[VeryActiveMinutes]]&gt;=15,"Moderately Active",tbl_working_daily[[#This Row],[VeryActiveMinutes]]&gt;=1,"Lightly Active",tbl_working_daily[[#This Row],[VeryActiveMinutes]]=0,"Sedentary")</f>
        <v>Sedentary</v>
      </c>
      <c r="W569" t="str">
        <f>tbl_working_daily[[#This Row],[Id]]&amp;"|"&amp;TEXT(tbl_working_daily[[#This Row],[ActivityDate]],"yyyy-mm-dd")</f>
        <v>1844505072|2016-05-03</v>
      </c>
      <c r="X569" t="b">
        <f>ISNUMBER(MATCH(tbl_working_daily[[#This Row],[LookupKey]],tbl_working_sleep[LookupKey],0))</f>
        <v>0</v>
      </c>
    </row>
    <row r="570" spans="1:24" x14ac:dyDescent="0.3">
      <c r="A570">
        <v>1844505072</v>
      </c>
      <c r="B570" s="1">
        <v>42494</v>
      </c>
      <c r="C570">
        <v>2080</v>
      </c>
      <c r="D570">
        <v>1.37000000476837</v>
      </c>
      <c r="E570">
        <v>1.37000000476837</v>
      </c>
      <c r="F570">
        <v>0</v>
      </c>
      <c r="G570">
        <v>0</v>
      </c>
      <c r="H570">
        <v>0</v>
      </c>
      <c r="I570">
        <v>1.37000000476837</v>
      </c>
      <c r="J570">
        <v>0</v>
      </c>
      <c r="K570">
        <v>0</v>
      </c>
      <c r="L570">
        <v>0</v>
      </c>
      <c r="M570">
        <v>87</v>
      </c>
      <c r="N570">
        <v>1353</v>
      </c>
      <c r="O570">
        <v>1549</v>
      </c>
      <c r="P570" t="str">
        <f>TEXT(tbl_working_daily[[#This Row],[ActivityDate]],"dddd")</f>
        <v>Wednesday</v>
      </c>
      <c r="Q570" t="str">
        <f>TEXT(tbl_working_daily[[#This Row],[ActivityDate]],"mmmm")</f>
        <v>May</v>
      </c>
      <c r="R570">
        <f t="shared" si="16"/>
        <v>87</v>
      </c>
      <c r="S570">
        <f t="shared" si="17"/>
        <v>1440</v>
      </c>
      <c r="T570">
        <f>ROUND(tbl_working_daily[[#This Row],[SedentaryMinutes]]/60,2)</f>
        <v>22.55</v>
      </c>
      <c r="U570" t="str" cm="1">
        <f t="array" ref="U57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0" t="str" cm="1">
        <f t="array" ref="V570">_xlfn.IFS(tbl_working_daily[[#This Row],[VeryActiveMinutes]]&gt;=30,"Very Active",tbl_working_daily[[#This Row],[VeryActiveMinutes]]&gt;=15,"Moderately Active",tbl_working_daily[[#This Row],[VeryActiveMinutes]]&gt;=1,"Lightly Active",tbl_working_daily[[#This Row],[VeryActiveMinutes]]=0,"Sedentary")</f>
        <v>Sedentary</v>
      </c>
      <c r="W570" t="str">
        <f>tbl_working_daily[[#This Row],[Id]]&amp;"|"&amp;TEXT(tbl_working_daily[[#This Row],[ActivityDate]],"yyyy-mm-dd")</f>
        <v>1844505072|2016-05-04</v>
      </c>
      <c r="X570" t="b">
        <f>ISNUMBER(MATCH(tbl_working_daily[[#This Row],[LookupKey]],tbl_working_sleep[LookupKey],0))</f>
        <v>0</v>
      </c>
    </row>
    <row r="571" spans="1:24" x14ac:dyDescent="0.3">
      <c r="A571">
        <v>1844505072</v>
      </c>
      <c r="B571" s="1">
        <v>42495</v>
      </c>
      <c r="C571">
        <v>2237</v>
      </c>
      <c r="D571">
        <v>1.4800000190734901</v>
      </c>
      <c r="E571">
        <v>1.4800000190734901</v>
      </c>
      <c r="F571">
        <v>0</v>
      </c>
      <c r="G571">
        <v>0</v>
      </c>
      <c r="H571">
        <v>0</v>
      </c>
      <c r="I571">
        <v>1.4800000190734901</v>
      </c>
      <c r="J571">
        <v>0</v>
      </c>
      <c r="K571">
        <v>0</v>
      </c>
      <c r="L571">
        <v>0</v>
      </c>
      <c r="M571">
        <v>120</v>
      </c>
      <c r="N571">
        <v>1320</v>
      </c>
      <c r="O571">
        <v>1589</v>
      </c>
      <c r="P571" t="str">
        <f>TEXT(tbl_working_daily[[#This Row],[ActivityDate]],"dddd")</f>
        <v>Thursday</v>
      </c>
      <c r="Q571" t="str">
        <f>TEXT(tbl_working_daily[[#This Row],[ActivityDate]],"mmmm")</f>
        <v>May</v>
      </c>
      <c r="R571">
        <f t="shared" si="16"/>
        <v>120</v>
      </c>
      <c r="S571">
        <f t="shared" si="17"/>
        <v>1440</v>
      </c>
      <c r="T571">
        <f>ROUND(tbl_working_daily[[#This Row],[SedentaryMinutes]]/60,2)</f>
        <v>22</v>
      </c>
      <c r="U571" t="str" cm="1">
        <f t="array" ref="U57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1" t="str" cm="1">
        <f t="array" ref="V571">_xlfn.IFS(tbl_working_daily[[#This Row],[VeryActiveMinutes]]&gt;=30,"Very Active",tbl_working_daily[[#This Row],[VeryActiveMinutes]]&gt;=15,"Moderately Active",tbl_working_daily[[#This Row],[VeryActiveMinutes]]&gt;=1,"Lightly Active",tbl_working_daily[[#This Row],[VeryActiveMinutes]]=0,"Sedentary")</f>
        <v>Sedentary</v>
      </c>
      <c r="W571" t="str">
        <f>tbl_working_daily[[#This Row],[Id]]&amp;"|"&amp;TEXT(tbl_working_daily[[#This Row],[ActivityDate]],"yyyy-mm-dd")</f>
        <v>1844505072|2016-05-05</v>
      </c>
      <c r="X571" t="b">
        <f>ISNUMBER(MATCH(tbl_working_daily[[#This Row],[LookupKey]],tbl_working_sleep[LookupKey],0))</f>
        <v>0</v>
      </c>
    </row>
    <row r="572" spans="1:24" x14ac:dyDescent="0.3">
      <c r="A572">
        <v>1844505072</v>
      </c>
      <c r="B572" s="1">
        <v>42496</v>
      </c>
      <c r="C572">
        <v>44</v>
      </c>
      <c r="D572">
        <v>2.9999999329447701E-2</v>
      </c>
      <c r="E572">
        <v>2.9999999329447701E-2</v>
      </c>
      <c r="F572">
        <v>0</v>
      </c>
      <c r="G572">
        <v>0</v>
      </c>
      <c r="H572">
        <v>0</v>
      </c>
      <c r="I572">
        <v>2.9999999329447701E-2</v>
      </c>
      <c r="J572">
        <v>0</v>
      </c>
      <c r="K572">
        <v>0</v>
      </c>
      <c r="L572">
        <v>0</v>
      </c>
      <c r="M572">
        <v>2</v>
      </c>
      <c r="N572">
        <v>1438</v>
      </c>
      <c r="O572">
        <v>1351</v>
      </c>
      <c r="P572" t="str">
        <f>TEXT(tbl_working_daily[[#This Row],[ActivityDate]],"dddd")</f>
        <v>Friday</v>
      </c>
      <c r="Q572" t="str">
        <f>TEXT(tbl_working_daily[[#This Row],[ActivityDate]],"mmmm")</f>
        <v>May</v>
      </c>
      <c r="R572">
        <f t="shared" si="16"/>
        <v>2</v>
      </c>
      <c r="S572">
        <f t="shared" si="17"/>
        <v>1440</v>
      </c>
      <c r="T572">
        <f>ROUND(tbl_working_daily[[#This Row],[SedentaryMinutes]]/60,2)</f>
        <v>23.97</v>
      </c>
      <c r="U572" t="str" cm="1">
        <f t="array" ref="U57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2" t="str" cm="1">
        <f t="array" ref="V572">_xlfn.IFS(tbl_working_daily[[#This Row],[VeryActiveMinutes]]&gt;=30,"Very Active",tbl_working_daily[[#This Row],[VeryActiveMinutes]]&gt;=15,"Moderately Active",tbl_working_daily[[#This Row],[VeryActiveMinutes]]&gt;=1,"Lightly Active",tbl_working_daily[[#This Row],[VeryActiveMinutes]]=0,"Sedentary")</f>
        <v>Sedentary</v>
      </c>
      <c r="W572" t="str">
        <f>tbl_working_daily[[#This Row],[Id]]&amp;"|"&amp;TEXT(tbl_working_daily[[#This Row],[ActivityDate]],"yyyy-mm-dd")</f>
        <v>1844505072|2016-05-06</v>
      </c>
      <c r="X572" t="b">
        <f>ISNUMBER(MATCH(tbl_working_daily[[#This Row],[LookupKey]],tbl_working_sleep[LookupKey],0))</f>
        <v>0</v>
      </c>
    </row>
    <row r="573" spans="1:24" x14ac:dyDescent="0.3">
      <c r="A573">
        <v>1844505072</v>
      </c>
      <c r="B573" s="1">
        <v>42497</v>
      </c>
      <c r="C573">
        <v>0</v>
      </c>
      <c r="D573">
        <v>0</v>
      </c>
      <c r="E573">
        <v>0</v>
      </c>
      <c r="F573">
        <v>0</v>
      </c>
      <c r="G573">
        <v>0</v>
      </c>
      <c r="H573">
        <v>0</v>
      </c>
      <c r="I573">
        <v>0</v>
      </c>
      <c r="J573">
        <v>0</v>
      </c>
      <c r="K573">
        <v>0</v>
      </c>
      <c r="L573">
        <v>0</v>
      </c>
      <c r="M573">
        <v>0</v>
      </c>
      <c r="N573">
        <v>1440</v>
      </c>
      <c r="O573">
        <v>1347</v>
      </c>
      <c r="P573" t="str">
        <f>TEXT(tbl_working_daily[[#This Row],[ActivityDate]],"dddd")</f>
        <v>Saturday</v>
      </c>
      <c r="Q573" t="str">
        <f>TEXT(tbl_working_daily[[#This Row],[ActivityDate]],"mmmm")</f>
        <v>May</v>
      </c>
      <c r="R573">
        <f t="shared" si="16"/>
        <v>0</v>
      </c>
      <c r="S573">
        <f t="shared" si="17"/>
        <v>1440</v>
      </c>
      <c r="T573">
        <f>ROUND(tbl_working_daily[[#This Row],[SedentaryMinutes]]/60,2)</f>
        <v>24</v>
      </c>
      <c r="U573" t="str" cm="1">
        <f t="array" ref="U57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3" t="str" cm="1">
        <f t="array" ref="V573">_xlfn.IFS(tbl_working_daily[[#This Row],[VeryActiveMinutes]]&gt;=30,"Very Active",tbl_working_daily[[#This Row],[VeryActiveMinutes]]&gt;=15,"Moderately Active",tbl_working_daily[[#This Row],[VeryActiveMinutes]]&gt;=1,"Lightly Active",tbl_working_daily[[#This Row],[VeryActiveMinutes]]=0,"Sedentary")</f>
        <v>Sedentary</v>
      </c>
      <c r="W573" t="str">
        <f>tbl_working_daily[[#This Row],[Id]]&amp;"|"&amp;TEXT(tbl_working_daily[[#This Row],[ActivityDate]],"yyyy-mm-dd")</f>
        <v>1844505072|2016-05-07</v>
      </c>
      <c r="X573" t="b">
        <f>ISNUMBER(MATCH(tbl_working_daily[[#This Row],[LookupKey]],tbl_working_sleep[LookupKey],0))</f>
        <v>0</v>
      </c>
    </row>
    <row r="574" spans="1:24" x14ac:dyDescent="0.3">
      <c r="A574">
        <v>1844505072</v>
      </c>
      <c r="B574" s="1">
        <v>42498</v>
      </c>
      <c r="C574">
        <v>0</v>
      </c>
      <c r="D574">
        <v>0</v>
      </c>
      <c r="E574">
        <v>0</v>
      </c>
      <c r="F574">
        <v>0</v>
      </c>
      <c r="G574">
        <v>0</v>
      </c>
      <c r="H574">
        <v>0</v>
      </c>
      <c r="I574">
        <v>0</v>
      </c>
      <c r="J574">
        <v>0</v>
      </c>
      <c r="K574">
        <v>0</v>
      </c>
      <c r="L574">
        <v>0</v>
      </c>
      <c r="M574">
        <v>0</v>
      </c>
      <c r="N574">
        <v>1440</v>
      </c>
      <c r="O574">
        <v>1347</v>
      </c>
      <c r="P574" t="str">
        <f>TEXT(tbl_working_daily[[#This Row],[ActivityDate]],"dddd")</f>
        <v>Sunday</v>
      </c>
      <c r="Q574" t="str">
        <f>TEXT(tbl_working_daily[[#This Row],[ActivityDate]],"mmmm")</f>
        <v>May</v>
      </c>
      <c r="R574">
        <f t="shared" si="16"/>
        <v>0</v>
      </c>
      <c r="S574">
        <f t="shared" si="17"/>
        <v>1440</v>
      </c>
      <c r="T574">
        <f>ROUND(tbl_working_daily[[#This Row],[SedentaryMinutes]]/60,2)</f>
        <v>24</v>
      </c>
      <c r="U574" t="str" cm="1">
        <f t="array" ref="U57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4" t="str" cm="1">
        <f t="array" ref="V574">_xlfn.IFS(tbl_working_daily[[#This Row],[VeryActiveMinutes]]&gt;=30,"Very Active",tbl_working_daily[[#This Row],[VeryActiveMinutes]]&gt;=15,"Moderately Active",tbl_working_daily[[#This Row],[VeryActiveMinutes]]&gt;=1,"Lightly Active",tbl_working_daily[[#This Row],[VeryActiveMinutes]]=0,"Sedentary")</f>
        <v>Sedentary</v>
      </c>
      <c r="W574" t="str">
        <f>tbl_working_daily[[#This Row],[Id]]&amp;"|"&amp;TEXT(tbl_working_daily[[#This Row],[ActivityDate]],"yyyy-mm-dd")</f>
        <v>1844505072|2016-05-08</v>
      </c>
      <c r="X574" t="b">
        <f>ISNUMBER(MATCH(tbl_working_daily[[#This Row],[LookupKey]],tbl_working_sleep[LookupKey],0))</f>
        <v>0</v>
      </c>
    </row>
    <row r="575" spans="1:24" x14ac:dyDescent="0.3">
      <c r="A575">
        <v>1844505072</v>
      </c>
      <c r="B575" s="1">
        <v>42499</v>
      </c>
      <c r="C575">
        <v>0</v>
      </c>
      <c r="D575">
        <v>0</v>
      </c>
      <c r="E575">
        <v>0</v>
      </c>
      <c r="F575">
        <v>0</v>
      </c>
      <c r="G575">
        <v>0</v>
      </c>
      <c r="H575">
        <v>0</v>
      </c>
      <c r="I575">
        <v>0</v>
      </c>
      <c r="J575">
        <v>0</v>
      </c>
      <c r="K575">
        <v>0</v>
      </c>
      <c r="L575">
        <v>0</v>
      </c>
      <c r="M575">
        <v>0</v>
      </c>
      <c r="N575">
        <v>1440</v>
      </c>
      <c r="O575">
        <v>1347</v>
      </c>
      <c r="P575" t="str">
        <f>TEXT(tbl_working_daily[[#This Row],[ActivityDate]],"dddd")</f>
        <v>Monday</v>
      </c>
      <c r="Q575" t="str">
        <f>TEXT(tbl_working_daily[[#This Row],[ActivityDate]],"mmmm")</f>
        <v>May</v>
      </c>
      <c r="R575">
        <f t="shared" si="16"/>
        <v>0</v>
      </c>
      <c r="S575">
        <f t="shared" si="17"/>
        <v>1440</v>
      </c>
      <c r="T575">
        <f>ROUND(tbl_working_daily[[#This Row],[SedentaryMinutes]]/60,2)</f>
        <v>24</v>
      </c>
      <c r="U575" t="str" cm="1">
        <f t="array" ref="U57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5" t="str" cm="1">
        <f t="array" ref="V575">_xlfn.IFS(tbl_working_daily[[#This Row],[VeryActiveMinutes]]&gt;=30,"Very Active",tbl_working_daily[[#This Row],[VeryActiveMinutes]]&gt;=15,"Moderately Active",tbl_working_daily[[#This Row],[VeryActiveMinutes]]&gt;=1,"Lightly Active",tbl_working_daily[[#This Row],[VeryActiveMinutes]]=0,"Sedentary")</f>
        <v>Sedentary</v>
      </c>
      <c r="W575" t="str">
        <f>tbl_working_daily[[#This Row],[Id]]&amp;"|"&amp;TEXT(tbl_working_daily[[#This Row],[ActivityDate]],"yyyy-mm-dd")</f>
        <v>1844505072|2016-05-09</v>
      </c>
      <c r="X575" t="b">
        <f>ISNUMBER(MATCH(tbl_working_daily[[#This Row],[LookupKey]],tbl_working_sleep[LookupKey],0))</f>
        <v>0</v>
      </c>
    </row>
    <row r="576" spans="1:24" x14ac:dyDescent="0.3">
      <c r="A576">
        <v>1844505072</v>
      </c>
      <c r="B576" s="1">
        <v>42500</v>
      </c>
      <c r="C576">
        <v>0</v>
      </c>
      <c r="D576">
        <v>0</v>
      </c>
      <c r="E576">
        <v>0</v>
      </c>
      <c r="F576">
        <v>0</v>
      </c>
      <c r="G576">
        <v>0</v>
      </c>
      <c r="H576">
        <v>0</v>
      </c>
      <c r="I576">
        <v>0</v>
      </c>
      <c r="J576">
        <v>0</v>
      </c>
      <c r="K576">
        <v>0</v>
      </c>
      <c r="L576">
        <v>0</v>
      </c>
      <c r="M576">
        <v>0</v>
      </c>
      <c r="N576">
        <v>1440</v>
      </c>
      <c r="O576">
        <v>1347</v>
      </c>
      <c r="P576" t="str">
        <f>TEXT(tbl_working_daily[[#This Row],[ActivityDate]],"dddd")</f>
        <v>Tuesday</v>
      </c>
      <c r="Q576" t="str">
        <f>TEXT(tbl_working_daily[[#This Row],[ActivityDate]],"mmmm")</f>
        <v>May</v>
      </c>
      <c r="R576">
        <f t="shared" si="16"/>
        <v>0</v>
      </c>
      <c r="S576">
        <f t="shared" si="17"/>
        <v>1440</v>
      </c>
      <c r="T576">
        <f>ROUND(tbl_working_daily[[#This Row],[SedentaryMinutes]]/60,2)</f>
        <v>24</v>
      </c>
      <c r="U576" t="str" cm="1">
        <f t="array" ref="U57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6" t="str" cm="1">
        <f t="array" ref="V576">_xlfn.IFS(tbl_working_daily[[#This Row],[VeryActiveMinutes]]&gt;=30,"Very Active",tbl_working_daily[[#This Row],[VeryActiveMinutes]]&gt;=15,"Moderately Active",tbl_working_daily[[#This Row],[VeryActiveMinutes]]&gt;=1,"Lightly Active",tbl_working_daily[[#This Row],[VeryActiveMinutes]]=0,"Sedentary")</f>
        <v>Sedentary</v>
      </c>
      <c r="W576" t="str">
        <f>tbl_working_daily[[#This Row],[Id]]&amp;"|"&amp;TEXT(tbl_working_daily[[#This Row],[ActivityDate]],"yyyy-mm-dd")</f>
        <v>1844505072|2016-05-10</v>
      </c>
      <c r="X576" t="b">
        <f>ISNUMBER(MATCH(tbl_working_daily[[#This Row],[LookupKey]],tbl_working_sleep[LookupKey],0))</f>
        <v>0</v>
      </c>
    </row>
    <row r="577" spans="1:24" x14ac:dyDescent="0.3">
      <c r="A577">
        <v>1844505072</v>
      </c>
      <c r="B577" s="1">
        <v>42501</v>
      </c>
      <c r="C577">
        <v>0</v>
      </c>
      <c r="D577">
        <v>0</v>
      </c>
      <c r="E577">
        <v>0</v>
      </c>
      <c r="F577">
        <v>0</v>
      </c>
      <c r="G577">
        <v>0</v>
      </c>
      <c r="H577">
        <v>0</v>
      </c>
      <c r="I577">
        <v>0</v>
      </c>
      <c r="J577">
        <v>0</v>
      </c>
      <c r="K577">
        <v>0</v>
      </c>
      <c r="L577">
        <v>0</v>
      </c>
      <c r="M577">
        <v>0</v>
      </c>
      <c r="N577">
        <v>1440</v>
      </c>
      <c r="O577">
        <v>1347</v>
      </c>
      <c r="P577" t="str">
        <f>TEXT(tbl_working_daily[[#This Row],[ActivityDate]],"dddd")</f>
        <v>Wednesday</v>
      </c>
      <c r="Q577" t="str">
        <f>TEXT(tbl_working_daily[[#This Row],[ActivityDate]],"mmmm")</f>
        <v>May</v>
      </c>
      <c r="R577">
        <f t="shared" si="16"/>
        <v>0</v>
      </c>
      <c r="S577">
        <f t="shared" si="17"/>
        <v>1440</v>
      </c>
      <c r="T577">
        <f>ROUND(tbl_working_daily[[#This Row],[SedentaryMinutes]]/60,2)</f>
        <v>24</v>
      </c>
      <c r="U577" t="str" cm="1">
        <f t="array" ref="U57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7" t="str" cm="1">
        <f t="array" ref="V577">_xlfn.IFS(tbl_working_daily[[#This Row],[VeryActiveMinutes]]&gt;=30,"Very Active",tbl_working_daily[[#This Row],[VeryActiveMinutes]]&gt;=15,"Moderately Active",tbl_working_daily[[#This Row],[VeryActiveMinutes]]&gt;=1,"Lightly Active",tbl_working_daily[[#This Row],[VeryActiveMinutes]]=0,"Sedentary")</f>
        <v>Sedentary</v>
      </c>
      <c r="W577" t="str">
        <f>tbl_working_daily[[#This Row],[Id]]&amp;"|"&amp;TEXT(tbl_working_daily[[#This Row],[ActivityDate]],"yyyy-mm-dd")</f>
        <v>1844505072|2016-05-11</v>
      </c>
      <c r="X577" t="b">
        <f>ISNUMBER(MATCH(tbl_working_daily[[#This Row],[LookupKey]],tbl_working_sleep[LookupKey],0))</f>
        <v>0</v>
      </c>
    </row>
    <row r="578" spans="1:24" x14ac:dyDescent="0.3">
      <c r="A578">
        <v>1844505072</v>
      </c>
      <c r="B578" s="1">
        <v>42502</v>
      </c>
      <c r="C578">
        <v>0</v>
      </c>
      <c r="D578">
        <v>0</v>
      </c>
      <c r="E578">
        <v>0</v>
      </c>
      <c r="F578">
        <v>0</v>
      </c>
      <c r="G578">
        <v>0</v>
      </c>
      <c r="H578">
        <v>0</v>
      </c>
      <c r="I578">
        <v>0</v>
      </c>
      <c r="J578">
        <v>0</v>
      </c>
      <c r="K578">
        <v>0</v>
      </c>
      <c r="L578">
        <v>0</v>
      </c>
      <c r="M578">
        <v>0</v>
      </c>
      <c r="N578">
        <v>711</v>
      </c>
      <c r="O578">
        <v>665</v>
      </c>
      <c r="P578" t="str">
        <f>TEXT(tbl_working_daily[[#This Row],[ActivityDate]],"dddd")</f>
        <v>Thursday</v>
      </c>
      <c r="Q578" t="str">
        <f>TEXT(tbl_working_daily[[#This Row],[ActivityDate]],"mmmm")</f>
        <v>May</v>
      </c>
      <c r="R578">
        <f t="shared" ref="R578:R641" si="18">K578+L578+M578</f>
        <v>0</v>
      </c>
      <c r="S578">
        <f t="shared" ref="S578:S641" si="19">R578+N578</f>
        <v>711</v>
      </c>
      <c r="T578">
        <f>ROUND(tbl_working_daily[[#This Row],[SedentaryMinutes]]/60,2)</f>
        <v>11.85</v>
      </c>
      <c r="U578" t="str" cm="1">
        <f t="array" ref="U57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8" t="str" cm="1">
        <f t="array" ref="V578">_xlfn.IFS(tbl_working_daily[[#This Row],[VeryActiveMinutes]]&gt;=30,"Very Active",tbl_working_daily[[#This Row],[VeryActiveMinutes]]&gt;=15,"Moderately Active",tbl_working_daily[[#This Row],[VeryActiveMinutes]]&gt;=1,"Lightly Active",tbl_working_daily[[#This Row],[VeryActiveMinutes]]=0,"Sedentary")</f>
        <v>Sedentary</v>
      </c>
      <c r="W578" t="str">
        <f>tbl_working_daily[[#This Row],[Id]]&amp;"|"&amp;TEXT(tbl_working_daily[[#This Row],[ActivityDate]],"yyyy-mm-dd")</f>
        <v>1844505072|2016-05-12</v>
      </c>
      <c r="X578" t="b">
        <f>ISNUMBER(MATCH(tbl_working_daily[[#This Row],[LookupKey]],tbl_working_sleep[LookupKey],0))</f>
        <v>0</v>
      </c>
    </row>
    <row r="579" spans="1:24" x14ac:dyDescent="0.3">
      <c r="A579">
        <v>1927972279</v>
      </c>
      <c r="B579" s="1">
        <v>42473</v>
      </c>
      <c r="C579">
        <v>356</v>
      </c>
      <c r="D579">
        <v>0.25</v>
      </c>
      <c r="E579">
        <v>0.25</v>
      </c>
      <c r="F579">
        <v>0</v>
      </c>
      <c r="G579">
        <v>0</v>
      </c>
      <c r="H579">
        <v>0</v>
      </c>
      <c r="I579">
        <v>0.25</v>
      </c>
      <c r="J579">
        <v>0</v>
      </c>
      <c r="K579">
        <v>0</v>
      </c>
      <c r="L579">
        <v>0</v>
      </c>
      <c r="M579">
        <v>32</v>
      </c>
      <c r="N579">
        <v>986</v>
      </c>
      <c r="O579">
        <v>2151</v>
      </c>
      <c r="P579" t="str">
        <f>TEXT(tbl_working_daily[[#This Row],[ActivityDate]],"dddd")</f>
        <v>Wednesday</v>
      </c>
      <c r="Q579" t="str">
        <f>TEXT(tbl_working_daily[[#This Row],[ActivityDate]],"mmmm")</f>
        <v>April</v>
      </c>
      <c r="R579">
        <f t="shared" si="18"/>
        <v>32</v>
      </c>
      <c r="S579">
        <f t="shared" si="19"/>
        <v>1018</v>
      </c>
      <c r="T579">
        <f>ROUND(tbl_working_daily[[#This Row],[SedentaryMinutes]]/60,2)</f>
        <v>16.43</v>
      </c>
      <c r="U579" t="str" cm="1">
        <f t="array" ref="U57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79" t="str" cm="1">
        <f t="array" ref="V579">_xlfn.IFS(tbl_working_daily[[#This Row],[VeryActiveMinutes]]&gt;=30,"Very Active",tbl_working_daily[[#This Row],[VeryActiveMinutes]]&gt;=15,"Moderately Active",tbl_working_daily[[#This Row],[VeryActiveMinutes]]&gt;=1,"Lightly Active",tbl_working_daily[[#This Row],[VeryActiveMinutes]]=0,"Sedentary")</f>
        <v>Sedentary</v>
      </c>
      <c r="W579" t="str">
        <f>tbl_working_daily[[#This Row],[Id]]&amp;"|"&amp;TEXT(tbl_working_daily[[#This Row],[ActivityDate]],"yyyy-mm-dd")</f>
        <v>1927972279|2016-04-13</v>
      </c>
      <c r="X579" t="b">
        <f>ISNUMBER(MATCH(tbl_working_daily[[#This Row],[LookupKey]],tbl_working_sleep[LookupKey],0))</f>
        <v>1</v>
      </c>
    </row>
    <row r="580" spans="1:24" x14ac:dyDescent="0.3">
      <c r="A580">
        <v>1927972279</v>
      </c>
      <c r="B580" s="1">
        <v>42474</v>
      </c>
      <c r="C580">
        <v>2163</v>
      </c>
      <c r="D580">
        <v>1.5</v>
      </c>
      <c r="E580">
        <v>1.5</v>
      </c>
      <c r="F580">
        <v>0</v>
      </c>
      <c r="G580">
        <v>0</v>
      </c>
      <c r="H580">
        <v>0.40000000596046398</v>
      </c>
      <c r="I580">
        <v>1.1000000238418599</v>
      </c>
      <c r="J580">
        <v>0</v>
      </c>
      <c r="K580">
        <v>0</v>
      </c>
      <c r="L580">
        <v>9</v>
      </c>
      <c r="M580">
        <v>88</v>
      </c>
      <c r="N580">
        <v>1292</v>
      </c>
      <c r="O580">
        <v>2383</v>
      </c>
      <c r="P580" t="str">
        <f>TEXT(tbl_working_daily[[#This Row],[ActivityDate]],"dddd")</f>
        <v>Thursday</v>
      </c>
      <c r="Q580" t="str">
        <f>TEXT(tbl_working_daily[[#This Row],[ActivityDate]],"mmmm")</f>
        <v>April</v>
      </c>
      <c r="R580">
        <f t="shared" si="18"/>
        <v>97</v>
      </c>
      <c r="S580">
        <f t="shared" si="19"/>
        <v>1389</v>
      </c>
      <c r="T580">
        <f>ROUND(tbl_working_daily[[#This Row],[SedentaryMinutes]]/60,2)</f>
        <v>21.53</v>
      </c>
      <c r="U580" t="str" cm="1">
        <f t="array" ref="U58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0" t="str" cm="1">
        <f t="array" ref="V580">_xlfn.IFS(tbl_working_daily[[#This Row],[VeryActiveMinutes]]&gt;=30,"Very Active",tbl_working_daily[[#This Row],[VeryActiveMinutes]]&gt;=15,"Moderately Active",tbl_working_daily[[#This Row],[VeryActiveMinutes]]&gt;=1,"Lightly Active",tbl_working_daily[[#This Row],[VeryActiveMinutes]]=0,"Sedentary")</f>
        <v>Sedentary</v>
      </c>
      <c r="W580" t="str">
        <f>tbl_working_daily[[#This Row],[Id]]&amp;"|"&amp;TEXT(tbl_working_daily[[#This Row],[ActivityDate]],"yyyy-mm-dd")</f>
        <v>1927972279|2016-04-14</v>
      </c>
      <c r="X580" t="b">
        <f>ISNUMBER(MATCH(tbl_working_daily[[#This Row],[LookupKey]],tbl_working_sleep[LookupKey],0))</f>
        <v>0</v>
      </c>
    </row>
    <row r="581" spans="1:24" x14ac:dyDescent="0.3">
      <c r="A581">
        <v>1927972279</v>
      </c>
      <c r="B581" s="1">
        <v>42475</v>
      </c>
      <c r="C581">
        <v>980</v>
      </c>
      <c r="D581">
        <v>0.68000000715255704</v>
      </c>
      <c r="E581">
        <v>0.68000000715255704</v>
      </c>
      <c r="F581">
        <v>0</v>
      </c>
      <c r="G581">
        <v>0</v>
      </c>
      <c r="H581">
        <v>0</v>
      </c>
      <c r="I581">
        <v>0.68000000715255704</v>
      </c>
      <c r="J581">
        <v>0</v>
      </c>
      <c r="K581">
        <v>0</v>
      </c>
      <c r="L581">
        <v>0</v>
      </c>
      <c r="M581">
        <v>51</v>
      </c>
      <c r="N581">
        <v>941</v>
      </c>
      <c r="O581">
        <v>2221</v>
      </c>
      <c r="P581" t="str">
        <f>TEXT(tbl_working_daily[[#This Row],[ActivityDate]],"dddd")</f>
        <v>Friday</v>
      </c>
      <c r="Q581" t="str">
        <f>TEXT(tbl_working_daily[[#This Row],[ActivityDate]],"mmmm")</f>
        <v>April</v>
      </c>
      <c r="R581">
        <f t="shared" si="18"/>
        <v>51</v>
      </c>
      <c r="S581">
        <f t="shared" si="19"/>
        <v>992</v>
      </c>
      <c r="T581">
        <f>ROUND(tbl_working_daily[[#This Row],[SedentaryMinutes]]/60,2)</f>
        <v>15.68</v>
      </c>
      <c r="U581" t="str" cm="1">
        <f t="array" ref="U58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1" t="str" cm="1">
        <f t="array" ref="V581">_xlfn.IFS(tbl_working_daily[[#This Row],[VeryActiveMinutes]]&gt;=30,"Very Active",tbl_working_daily[[#This Row],[VeryActiveMinutes]]&gt;=15,"Moderately Active",tbl_working_daily[[#This Row],[VeryActiveMinutes]]&gt;=1,"Lightly Active",tbl_working_daily[[#This Row],[VeryActiveMinutes]]=0,"Sedentary")</f>
        <v>Sedentary</v>
      </c>
      <c r="W581" t="str">
        <f>tbl_working_daily[[#This Row],[Id]]&amp;"|"&amp;TEXT(tbl_working_daily[[#This Row],[ActivityDate]],"yyyy-mm-dd")</f>
        <v>1927972279|2016-04-15</v>
      </c>
      <c r="X581" t="b">
        <f>ISNUMBER(MATCH(tbl_working_daily[[#This Row],[LookupKey]],tbl_working_sleep[LookupKey],0))</f>
        <v>1</v>
      </c>
    </row>
    <row r="582" spans="1:24" x14ac:dyDescent="0.3">
      <c r="A582">
        <v>1927972279</v>
      </c>
      <c r="B582" s="1">
        <v>42476</v>
      </c>
      <c r="C582">
        <v>0</v>
      </c>
      <c r="D582">
        <v>0</v>
      </c>
      <c r="E582">
        <v>0</v>
      </c>
      <c r="F582">
        <v>0</v>
      </c>
      <c r="G582">
        <v>0</v>
      </c>
      <c r="H582">
        <v>0</v>
      </c>
      <c r="I582">
        <v>0</v>
      </c>
      <c r="J582">
        <v>0</v>
      </c>
      <c r="K582">
        <v>0</v>
      </c>
      <c r="L582">
        <v>0</v>
      </c>
      <c r="M582">
        <v>0</v>
      </c>
      <c r="N582">
        <v>1440</v>
      </c>
      <c r="O582">
        <v>2064</v>
      </c>
      <c r="P582" t="str">
        <f>TEXT(tbl_working_daily[[#This Row],[ActivityDate]],"dddd")</f>
        <v>Saturday</v>
      </c>
      <c r="Q582" t="str">
        <f>TEXT(tbl_working_daily[[#This Row],[ActivityDate]],"mmmm")</f>
        <v>April</v>
      </c>
      <c r="R582">
        <f t="shared" si="18"/>
        <v>0</v>
      </c>
      <c r="S582">
        <f t="shared" si="19"/>
        <v>1440</v>
      </c>
      <c r="T582">
        <f>ROUND(tbl_working_daily[[#This Row],[SedentaryMinutes]]/60,2)</f>
        <v>24</v>
      </c>
      <c r="U582" t="str" cm="1">
        <f t="array" ref="U58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2" t="str" cm="1">
        <f t="array" ref="V582">_xlfn.IFS(tbl_working_daily[[#This Row],[VeryActiveMinutes]]&gt;=30,"Very Active",tbl_working_daily[[#This Row],[VeryActiveMinutes]]&gt;=15,"Moderately Active",tbl_working_daily[[#This Row],[VeryActiveMinutes]]&gt;=1,"Lightly Active",tbl_working_daily[[#This Row],[VeryActiveMinutes]]=0,"Sedentary")</f>
        <v>Sedentary</v>
      </c>
      <c r="W582" t="str">
        <f>tbl_working_daily[[#This Row],[Id]]&amp;"|"&amp;TEXT(tbl_working_daily[[#This Row],[ActivityDate]],"yyyy-mm-dd")</f>
        <v>1927972279|2016-04-16</v>
      </c>
      <c r="X582" t="b">
        <f>ISNUMBER(MATCH(tbl_working_daily[[#This Row],[LookupKey]],tbl_working_sleep[LookupKey],0))</f>
        <v>0</v>
      </c>
    </row>
    <row r="583" spans="1:24" x14ac:dyDescent="0.3">
      <c r="A583">
        <v>1927972279</v>
      </c>
      <c r="B583" s="1">
        <v>42477</v>
      </c>
      <c r="C583">
        <v>0</v>
      </c>
      <c r="D583">
        <v>0</v>
      </c>
      <c r="E583">
        <v>0</v>
      </c>
      <c r="F583">
        <v>0</v>
      </c>
      <c r="G583">
        <v>0</v>
      </c>
      <c r="H583">
        <v>0</v>
      </c>
      <c r="I583">
        <v>0</v>
      </c>
      <c r="J583">
        <v>0</v>
      </c>
      <c r="K583">
        <v>0</v>
      </c>
      <c r="L583">
        <v>0</v>
      </c>
      <c r="M583">
        <v>0</v>
      </c>
      <c r="N583">
        <v>1440</v>
      </c>
      <c r="O583">
        <v>2063</v>
      </c>
      <c r="P583" t="str">
        <f>TEXT(tbl_working_daily[[#This Row],[ActivityDate]],"dddd")</f>
        <v>Sunday</v>
      </c>
      <c r="Q583" t="str">
        <f>TEXT(tbl_working_daily[[#This Row],[ActivityDate]],"mmmm")</f>
        <v>April</v>
      </c>
      <c r="R583">
        <f t="shared" si="18"/>
        <v>0</v>
      </c>
      <c r="S583">
        <f t="shared" si="19"/>
        <v>1440</v>
      </c>
      <c r="T583">
        <f>ROUND(tbl_working_daily[[#This Row],[SedentaryMinutes]]/60,2)</f>
        <v>24</v>
      </c>
      <c r="U583" t="str" cm="1">
        <f t="array" ref="U58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3" t="str" cm="1">
        <f t="array" ref="V583">_xlfn.IFS(tbl_working_daily[[#This Row],[VeryActiveMinutes]]&gt;=30,"Very Active",tbl_working_daily[[#This Row],[VeryActiveMinutes]]&gt;=15,"Moderately Active",tbl_working_daily[[#This Row],[VeryActiveMinutes]]&gt;=1,"Lightly Active",tbl_working_daily[[#This Row],[VeryActiveMinutes]]=0,"Sedentary")</f>
        <v>Sedentary</v>
      </c>
      <c r="W583" t="str">
        <f>tbl_working_daily[[#This Row],[Id]]&amp;"|"&amp;TEXT(tbl_working_daily[[#This Row],[ActivityDate]],"yyyy-mm-dd")</f>
        <v>1927972279|2016-04-17</v>
      </c>
      <c r="X583" t="b">
        <f>ISNUMBER(MATCH(tbl_working_daily[[#This Row],[LookupKey]],tbl_working_sleep[LookupKey],0))</f>
        <v>0</v>
      </c>
    </row>
    <row r="584" spans="1:24" x14ac:dyDescent="0.3">
      <c r="A584">
        <v>1927972279</v>
      </c>
      <c r="B584" s="1">
        <v>42478</v>
      </c>
      <c r="C584">
        <v>244</v>
      </c>
      <c r="D584">
        <v>0.17000000178813901</v>
      </c>
      <c r="E584">
        <v>0.17000000178813901</v>
      </c>
      <c r="F584">
        <v>0</v>
      </c>
      <c r="G584">
        <v>0</v>
      </c>
      <c r="H584">
        <v>0</v>
      </c>
      <c r="I584">
        <v>0.17000000178813901</v>
      </c>
      <c r="J584">
        <v>0</v>
      </c>
      <c r="K584">
        <v>0</v>
      </c>
      <c r="L584">
        <v>0</v>
      </c>
      <c r="M584">
        <v>17</v>
      </c>
      <c r="N584">
        <v>1423</v>
      </c>
      <c r="O584">
        <v>2111</v>
      </c>
      <c r="P584" t="str">
        <f>TEXT(tbl_working_daily[[#This Row],[ActivityDate]],"dddd")</f>
        <v>Monday</v>
      </c>
      <c r="Q584" t="str">
        <f>TEXT(tbl_working_daily[[#This Row],[ActivityDate]],"mmmm")</f>
        <v>April</v>
      </c>
      <c r="R584">
        <f t="shared" si="18"/>
        <v>17</v>
      </c>
      <c r="S584">
        <f t="shared" si="19"/>
        <v>1440</v>
      </c>
      <c r="T584">
        <f>ROUND(tbl_working_daily[[#This Row],[SedentaryMinutes]]/60,2)</f>
        <v>23.72</v>
      </c>
      <c r="U584" t="str" cm="1">
        <f t="array" ref="U58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4" t="str" cm="1">
        <f t="array" ref="V584">_xlfn.IFS(tbl_working_daily[[#This Row],[VeryActiveMinutes]]&gt;=30,"Very Active",tbl_working_daily[[#This Row],[VeryActiveMinutes]]&gt;=15,"Moderately Active",tbl_working_daily[[#This Row],[VeryActiveMinutes]]&gt;=1,"Lightly Active",tbl_working_daily[[#This Row],[VeryActiveMinutes]]=0,"Sedentary")</f>
        <v>Sedentary</v>
      </c>
      <c r="W584" t="str">
        <f>tbl_working_daily[[#This Row],[Id]]&amp;"|"&amp;TEXT(tbl_working_daily[[#This Row],[ActivityDate]],"yyyy-mm-dd")</f>
        <v>1927972279|2016-04-18</v>
      </c>
      <c r="X584" t="b">
        <f>ISNUMBER(MATCH(tbl_working_daily[[#This Row],[LookupKey]],tbl_working_sleep[LookupKey],0))</f>
        <v>0</v>
      </c>
    </row>
    <row r="585" spans="1:24" x14ac:dyDescent="0.3">
      <c r="A585">
        <v>1927972279</v>
      </c>
      <c r="B585" s="1">
        <v>42479</v>
      </c>
      <c r="C585">
        <v>0</v>
      </c>
      <c r="D585">
        <v>0</v>
      </c>
      <c r="E585">
        <v>0</v>
      </c>
      <c r="F585">
        <v>0</v>
      </c>
      <c r="G585">
        <v>0</v>
      </c>
      <c r="H585">
        <v>0</v>
      </c>
      <c r="I585">
        <v>0</v>
      </c>
      <c r="J585">
        <v>0</v>
      </c>
      <c r="K585">
        <v>0</v>
      </c>
      <c r="L585">
        <v>0</v>
      </c>
      <c r="M585">
        <v>0</v>
      </c>
      <c r="N585">
        <v>1440</v>
      </c>
      <c r="O585">
        <v>2063</v>
      </c>
      <c r="P585" t="str">
        <f>TEXT(tbl_working_daily[[#This Row],[ActivityDate]],"dddd")</f>
        <v>Tuesday</v>
      </c>
      <c r="Q585" t="str">
        <f>TEXT(tbl_working_daily[[#This Row],[ActivityDate]],"mmmm")</f>
        <v>April</v>
      </c>
      <c r="R585">
        <f t="shared" si="18"/>
        <v>0</v>
      </c>
      <c r="S585">
        <f t="shared" si="19"/>
        <v>1440</v>
      </c>
      <c r="T585">
        <f>ROUND(tbl_working_daily[[#This Row],[SedentaryMinutes]]/60,2)</f>
        <v>24</v>
      </c>
      <c r="U585" t="str" cm="1">
        <f t="array" ref="U58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5" t="str" cm="1">
        <f t="array" ref="V585">_xlfn.IFS(tbl_working_daily[[#This Row],[VeryActiveMinutes]]&gt;=30,"Very Active",tbl_working_daily[[#This Row],[VeryActiveMinutes]]&gt;=15,"Moderately Active",tbl_working_daily[[#This Row],[VeryActiveMinutes]]&gt;=1,"Lightly Active",tbl_working_daily[[#This Row],[VeryActiveMinutes]]=0,"Sedentary")</f>
        <v>Sedentary</v>
      </c>
      <c r="W585" t="str">
        <f>tbl_working_daily[[#This Row],[Id]]&amp;"|"&amp;TEXT(tbl_working_daily[[#This Row],[ActivityDate]],"yyyy-mm-dd")</f>
        <v>1927972279|2016-04-19</v>
      </c>
      <c r="X585" t="b">
        <f>ISNUMBER(MATCH(tbl_working_daily[[#This Row],[LookupKey]],tbl_working_sleep[LookupKey],0))</f>
        <v>0</v>
      </c>
    </row>
    <row r="586" spans="1:24" x14ac:dyDescent="0.3">
      <c r="A586">
        <v>1927972279</v>
      </c>
      <c r="B586" s="1">
        <v>42480</v>
      </c>
      <c r="C586">
        <v>0</v>
      </c>
      <c r="D586">
        <v>0</v>
      </c>
      <c r="E586">
        <v>0</v>
      </c>
      <c r="F586">
        <v>0</v>
      </c>
      <c r="G586">
        <v>0</v>
      </c>
      <c r="H586">
        <v>0</v>
      </c>
      <c r="I586">
        <v>0</v>
      </c>
      <c r="J586">
        <v>0</v>
      </c>
      <c r="K586">
        <v>0</v>
      </c>
      <c r="L586">
        <v>0</v>
      </c>
      <c r="M586">
        <v>0</v>
      </c>
      <c r="N586">
        <v>1440</v>
      </c>
      <c r="O586">
        <v>2063</v>
      </c>
      <c r="P586" t="str">
        <f>TEXT(tbl_working_daily[[#This Row],[ActivityDate]],"dddd")</f>
        <v>Wednesday</v>
      </c>
      <c r="Q586" t="str">
        <f>TEXT(tbl_working_daily[[#This Row],[ActivityDate]],"mmmm")</f>
        <v>April</v>
      </c>
      <c r="R586">
        <f t="shared" si="18"/>
        <v>0</v>
      </c>
      <c r="S586">
        <f t="shared" si="19"/>
        <v>1440</v>
      </c>
      <c r="T586">
        <f>ROUND(tbl_working_daily[[#This Row],[SedentaryMinutes]]/60,2)</f>
        <v>24</v>
      </c>
      <c r="U586" t="str" cm="1">
        <f t="array" ref="U58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6" t="str" cm="1">
        <f t="array" ref="V586">_xlfn.IFS(tbl_working_daily[[#This Row],[VeryActiveMinutes]]&gt;=30,"Very Active",tbl_working_daily[[#This Row],[VeryActiveMinutes]]&gt;=15,"Moderately Active",tbl_working_daily[[#This Row],[VeryActiveMinutes]]&gt;=1,"Lightly Active",tbl_working_daily[[#This Row],[VeryActiveMinutes]]=0,"Sedentary")</f>
        <v>Sedentary</v>
      </c>
      <c r="W586" t="str">
        <f>tbl_working_daily[[#This Row],[Id]]&amp;"|"&amp;TEXT(tbl_working_daily[[#This Row],[ActivityDate]],"yyyy-mm-dd")</f>
        <v>1927972279|2016-04-20</v>
      </c>
      <c r="X586" t="b">
        <f>ISNUMBER(MATCH(tbl_working_daily[[#This Row],[LookupKey]],tbl_working_sleep[LookupKey],0))</f>
        <v>0</v>
      </c>
    </row>
    <row r="587" spans="1:24" x14ac:dyDescent="0.3">
      <c r="A587">
        <v>1927972279</v>
      </c>
      <c r="B587" s="1">
        <v>42481</v>
      </c>
      <c r="C587">
        <v>0</v>
      </c>
      <c r="D587">
        <v>0</v>
      </c>
      <c r="E587">
        <v>0</v>
      </c>
      <c r="F587">
        <v>0</v>
      </c>
      <c r="G587">
        <v>0</v>
      </c>
      <c r="H587">
        <v>0</v>
      </c>
      <c r="I587">
        <v>0</v>
      </c>
      <c r="J587">
        <v>0</v>
      </c>
      <c r="K587">
        <v>0</v>
      </c>
      <c r="L587">
        <v>0</v>
      </c>
      <c r="M587">
        <v>0</v>
      </c>
      <c r="N587">
        <v>1440</v>
      </c>
      <c r="O587">
        <v>2064</v>
      </c>
      <c r="P587" t="str">
        <f>TEXT(tbl_working_daily[[#This Row],[ActivityDate]],"dddd")</f>
        <v>Thursday</v>
      </c>
      <c r="Q587" t="str">
        <f>TEXT(tbl_working_daily[[#This Row],[ActivityDate]],"mmmm")</f>
        <v>April</v>
      </c>
      <c r="R587">
        <f t="shared" si="18"/>
        <v>0</v>
      </c>
      <c r="S587">
        <f t="shared" si="19"/>
        <v>1440</v>
      </c>
      <c r="T587">
        <f>ROUND(tbl_working_daily[[#This Row],[SedentaryMinutes]]/60,2)</f>
        <v>24</v>
      </c>
      <c r="U587" t="str" cm="1">
        <f t="array" ref="U58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7" t="str" cm="1">
        <f t="array" ref="V587">_xlfn.IFS(tbl_working_daily[[#This Row],[VeryActiveMinutes]]&gt;=30,"Very Active",tbl_working_daily[[#This Row],[VeryActiveMinutes]]&gt;=15,"Moderately Active",tbl_working_daily[[#This Row],[VeryActiveMinutes]]&gt;=1,"Lightly Active",tbl_working_daily[[#This Row],[VeryActiveMinutes]]=0,"Sedentary")</f>
        <v>Sedentary</v>
      </c>
      <c r="W587" t="str">
        <f>tbl_working_daily[[#This Row],[Id]]&amp;"|"&amp;TEXT(tbl_working_daily[[#This Row],[ActivityDate]],"yyyy-mm-dd")</f>
        <v>1927972279|2016-04-21</v>
      </c>
      <c r="X587" t="b">
        <f>ISNUMBER(MATCH(tbl_working_daily[[#This Row],[LookupKey]],tbl_working_sleep[LookupKey],0))</f>
        <v>0</v>
      </c>
    </row>
    <row r="588" spans="1:24" x14ac:dyDescent="0.3">
      <c r="A588">
        <v>1927972279</v>
      </c>
      <c r="B588" s="1">
        <v>42482</v>
      </c>
      <c r="C588">
        <v>149</v>
      </c>
      <c r="D588">
        <v>0.10000000149011599</v>
      </c>
      <c r="E588">
        <v>0.10000000149011599</v>
      </c>
      <c r="F588">
        <v>0</v>
      </c>
      <c r="G588">
        <v>0</v>
      </c>
      <c r="H588">
        <v>0</v>
      </c>
      <c r="I588">
        <v>0.10000000149011599</v>
      </c>
      <c r="J588">
        <v>0</v>
      </c>
      <c r="K588">
        <v>0</v>
      </c>
      <c r="L588">
        <v>0</v>
      </c>
      <c r="M588">
        <v>10</v>
      </c>
      <c r="N588">
        <v>1430</v>
      </c>
      <c r="O588">
        <v>2093</v>
      </c>
      <c r="P588" t="str">
        <f>TEXT(tbl_working_daily[[#This Row],[ActivityDate]],"dddd")</f>
        <v>Friday</v>
      </c>
      <c r="Q588" t="str">
        <f>TEXT(tbl_working_daily[[#This Row],[ActivityDate]],"mmmm")</f>
        <v>April</v>
      </c>
      <c r="R588">
        <f t="shared" si="18"/>
        <v>10</v>
      </c>
      <c r="S588">
        <f t="shared" si="19"/>
        <v>1440</v>
      </c>
      <c r="T588">
        <f>ROUND(tbl_working_daily[[#This Row],[SedentaryMinutes]]/60,2)</f>
        <v>23.83</v>
      </c>
      <c r="U588" t="str" cm="1">
        <f t="array" ref="U5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8" t="str" cm="1">
        <f t="array" ref="V588">_xlfn.IFS(tbl_working_daily[[#This Row],[VeryActiveMinutes]]&gt;=30,"Very Active",tbl_working_daily[[#This Row],[VeryActiveMinutes]]&gt;=15,"Moderately Active",tbl_working_daily[[#This Row],[VeryActiveMinutes]]&gt;=1,"Lightly Active",tbl_working_daily[[#This Row],[VeryActiveMinutes]]=0,"Sedentary")</f>
        <v>Sedentary</v>
      </c>
      <c r="W588" t="str">
        <f>tbl_working_daily[[#This Row],[Id]]&amp;"|"&amp;TEXT(tbl_working_daily[[#This Row],[ActivityDate]],"yyyy-mm-dd")</f>
        <v>1927972279|2016-04-22</v>
      </c>
      <c r="X588" t="b">
        <f>ISNUMBER(MATCH(tbl_working_daily[[#This Row],[LookupKey]],tbl_working_sleep[LookupKey],0))</f>
        <v>0</v>
      </c>
    </row>
    <row r="589" spans="1:24" x14ac:dyDescent="0.3">
      <c r="A589">
        <v>1927972279</v>
      </c>
      <c r="B589" s="1">
        <v>42483</v>
      </c>
      <c r="C589">
        <v>2945</v>
      </c>
      <c r="D589">
        <v>2.03999996185303</v>
      </c>
      <c r="E589">
        <v>2.03999996185303</v>
      </c>
      <c r="F589">
        <v>0</v>
      </c>
      <c r="G589">
        <v>0</v>
      </c>
      <c r="H589">
        <v>0</v>
      </c>
      <c r="I589">
        <v>2.03999996185303</v>
      </c>
      <c r="J589">
        <v>0</v>
      </c>
      <c r="K589">
        <v>0</v>
      </c>
      <c r="L589">
        <v>0</v>
      </c>
      <c r="M589">
        <v>145</v>
      </c>
      <c r="N589">
        <v>1295</v>
      </c>
      <c r="O589">
        <v>2499</v>
      </c>
      <c r="P589" t="str">
        <f>TEXT(tbl_working_daily[[#This Row],[ActivityDate]],"dddd")</f>
        <v>Saturday</v>
      </c>
      <c r="Q589" t="str">
        <f>TEXT(tbl_working_daily[[#This Row],[ActivityDate]],"mmmm")</f>
        <v>April</v>
      </c>
      <c r="R589">
        <f t="shared" si="18"/>
        <v>145</v>
      </c>
      <c r="S589">
        <f t="shared" si="19"/>
        <v>1440</v>
      </c>
      <c r="T589">
        <f>ROUND(tbl_working_daily[[#This Row],[SedentaryMinutes]]/60,2)</f>
        <v>21.58</v>
      </c>
      <c r="U589" t="str" cm="1">
        <f t="array" ref="U58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89" t="str" cm="1">
        <f t="array" ref="V589">_xlfn.IFS(tbl_working_daily[[#This Row],[VeryActiveMinutes]]&gt;=30,"Very Active",tbl_working_daily[[#This Row],[VeryActiveMinutes]]&gt;=15,"Moderately Active",tbl_working_daily[[#This Row],[VeryActiveMinutes]]&gt;=1,"Lightly Active",tbl_working_daily[[#This Row],[VeryActiveMinutes]]=0,"Sedentary")</f>
        <v>Sedentary</v>
      </c>
      <c r="W589" t="str">
        <f>tbl_working_daily[[#This Row],[Id]]&amp;"|"&amp;TEXT(tbl_working_daily[[#This Row],[ActivityDate]],"yyyy-mm-dd")</f>
        <v>1927972279|2016-04-23</v>
      </c>
      <c r="X589" t="b">
        <f>ISNUMBER(MATCH(tbl_working_daily[[#This Row],[LookupKey]],tbl_working_sleep[LookupKey],0))</f>
        <v>0</v>
      </c>
    </row>
    <row r="590" spans="1:24" x14ac:dyDescent="0.3">
      <c r="A590">
        <v>1927972279</v>
      </c>
      <c r="B590" s="1">
        <v>42484</v>
      </c>
      <c r="C590">
        <v>2090</v>
      </c>
      <c r="D590">
        <v>1.45000004768372</v>
      </c>
      <c r="E590">
        <v>1.45000004768372</v>
      </c>
      <c r="F590">
        <v>0</v>
      </c>
      <c r="G590">
        <v>7.0000000298023196E-2</v>
      </c>
      <c r="H590">
        <v>0.239999994635582</v>
      </c>
      <c r="I590">
        <v>1.1399999856948899</v>
      </c>
      <c r="J590">
        <v>0</v>
      </c>
      <c r="K590">
        <v>1</v>
      </c>
      <c r="L590">
        <v>6</v>
      </c>
      <c r="M590">
        <v>75</v>
      </c>
      <c r="N590">
        <v>1358</v>
      </c>
      <c r="O590">
        <v>2324</v>
      </c>
      <c r="P590" t="str">
        <f>TEXT(tbl_working_daily[[#This Row],[ActivityDate]],"dddd")</f>
        <v>Sunday</v>
      </c>
      <c r="Q590" t="str">
        <f>TEXT(tbl_working_daily[[#This Row],[ActivityDate]],"mmmm")</f>
        <v>April</v>
      </c>
      <c r="R590">
        <f t="shared" si="18"/>
        <v>82</v>
      </c>
      <c r="S590">
        <f t="shared" si="19"/>
        <v>1440</v>
      </c>
      <c r="T590">
        <f>ROUND(tbl_working_daily[[#This Row],[SedentaryMinutes]]/60,2)</f>
        <v>22.63</v>
      </c>
      <c r="U590" t="str" cm="1">
        <f t="array" ref="U59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0" t="str" cm="1">
        <f t="array" ref="V590">_xlfn.IFS(tbl_working_daily[[#This Row],[VeryActiveMinutes]]&gt;=30,"Very Active",tbl_working_daily[[#This Row],[VeryActiveMinutes]]&gt;=15,"Moderately Active",tbl_working_daily[[#This Row],[VeryActiveMinutes]]&gt;=1,"Lightly Active",tbl_working_daily[[#This Row],[VeryActiveMinutes]]=0,"Sedentary")</f>
        <v>Lightly Active</v>
      </c>
      <c r="W590" t="str">
        <f>tbl_working_daily[[#This Row],[Id]]&amp;"|"&amp;TEXT(tbl_working_daily[[#This Row],[ActivityDate]],"yyyy-mm-dd")</f>
        <v>1927972279|2016-04-24</v>
      </c>
      <c r="X590" t="b">
        <f>ISNUMBER(MATCH(tbl_working_daily[[#This Row],[LookupKey]],tbl_working_sleep[LookupKey],0))</f>
        <v>0</v>
      </c>
    </row>
    <row r="591" spans="1:24" x14ac:dyDescent="0.3">
      <c r="A591">
        <v>1927972279</v>
      </c>
      <c r="B591" s="1">
        <v>42485</v>
      </c>
      <c r="C591">
        <v>152</v>
      </c>
      <c r="D591">
        <v>0.109999999403954</v>
      </c>
      <c r="E591">
        <v>0.109999999403954</v>
      </c>
      <c r="F591">
        <v>0</v>
      </c>
      <c r="G591">
        <v>0</v>
      </c>
      <c r="H591">
        <v>0</v>
      </c>
      <c r="I591">
        <v>0.109999999403954</v>
      </c>
      <c r="J591">
        <v>0</v>
      </c>
      <c r="K591">
        <v>0</v>
      </c>
      <c r="L591">
        <v>0</v>
      </c>
      <c r="M591">
        <v>12</v>
      </c>
      <c r="N591">
        <v>1303</v>
      </c>
      <c r="O591">
        <v>2100</v>
      </c>
      <c r="P591" t="str">
        <f>TEXT(tbl_working_daily[[#This Row],[ActivityDate]],"dddd")</f>
        <v>Monday</v>
      </c>
      <c r="Q591" t="str">
        <f>TEXT(tbl_working_daily[[#This Row],[ActivityDate]],"mmmm")</f>
        <v>April</v>
      </c>
      <c r="R591">
        <f t="shared" si="18"/>
        <v>12</v>
      </c>
      <c r="S591">
        <f t="shared" si="19"/>
        <v>1315</v>
      </c>
      <c r="T591">
        <f>ROUND(tbl_working_daily[[#This Row],[SedentaryMinutes]]/60,2)</f>
        <v>21.72</v>
      </c>
      <c r="U591" t="str" cm="1">
        <f t="array" ref="U5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1" t="str" cm="1">
        <f t="array" ref="V591">_xlfn.IFS(tbl_working_daily[[#This Row],[VeryActiveMinutes]]&gt;=30,"Very Active",tbl_working_daily[[#This Row],[VeryActiveMinutes]]&gt;=15,"Moderately Active",tbl_working_daily[[#This Row],[VeryActiveMinutes]]&gt;=1,"Lightly Active",tbl_working_daily[[#This Row],[VeryActiveMinutes]]=0,"Sedentary")</f>
        <v>Sedentary</v>
      </c>
      <c r="W591" t="str">
        <f>tbl_working_daily[[#This Row],[Id]]&amp;"|"&amp;TEXT(tbl_working_daily[[#This Row],[ActivityDate]],"yyyy-mm-dd")</f>
        <v>1927972279|2016-04-25</v>
      </c>
      <c r="X591" t="b">
        <f>ISNUMBER(MATCH(tbl_working_daily[[#This Row],[LookupKey]],tbl_working_sleep[LookupKey],0))</f>
        <v>0</v>
      </c>
    </row>
    <row r="592" spans="1:24" x14ac:dyDescent="0.3">
      <c r="A592">
        <v>1927972279</v>
      </c>
      <c r="B592" s="1">
        <v>42486</v>
      </c>
      <c r="C592">
        <v>3761</v>
      </c>
      <c r="D592">
        <v>2.5999999046325701</v>
      </c>
      <c r="E592">
        <v>2.5999999046325701</v>
      </c>
      <c r="F592">
        <v>0</v>
      </c>
      <c r="G592">
        <v>0</v>
      </c>
      <c r="H592">
        <v>0</v>
      </c>
      <c r="I592">
        <v>2.5999999046325701</v>
      </c>
      <c r="J592">
        <v>0</v>
      </c>
      <c r="K592">
        <v>0</v>
      </c>
      <c r="L592">
        <v>0</v>
      </c>
      <c r="M592">
        <v>192</v>
      </c>
      <c r="N592">
        <v>1058</v>
      </c>
      <c r="O592">
        <v>2638</v>
      </c>
      <c r="P592" t="str">
        <f>TEXT(tbl_working_daily[[#This Row],[ActivityDate]],"dddd")</f>
        <v>Tuesday</v>
      </c>
      <c r="Q592" t="str">
        <f>TEXT(tbl_working_daily[[#This Row],[ActivityDate]],"mmmm")</f>
        <v>April</v>
      </c>
      <c r="R592">
        <f t="shared" si="18"/>
        <v>192</v>
      </c>
      <c r="S592">
        <f t="shared" si="19"/>
        <v>1250</v>
      </c>
      <c r="T592">
        <f>ROUND(tbl_working_daily[[#This Row],[SedentaryMinutes]]/60,2)</f>
        <v>17.63</v>
      </c>
      <c r="U592" t="str" cm="1">
        <f t="array" ref="U59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2" t="str" cm="1">
        <f t="array" ref="V592">_xlfn.IFS(tbl_working_daily[[#This Row],[VeryActiveMinutes]]&gt;=30,"Very Active",tbl_working_daily[[#This Row],[VeryActiveMinutes]]&gt;=15,"Moderately Active",tbl_working_daily[[#This Row],[VeryActiveMinutes]]&gt;=1,"Lightly Active",tbl_working_daily[[#This Row],[VeryActiveMinutes]]=0,"Sedentary")</f>
        <v>Sedentary</v>
      </c>
      <c r="W592" t="str">
        <f>tbl_working_daily[[#This Row],[Id]]&amp;"|"&amp;TEXT(tbl_working_daily[[#This Row],[ActivityDate]],"yyyy-mm-dd")</f>
        <v>1927972279|2016-04-26</v>
      </c>
      <c r="X592" t="b">
        <f>ISNUMBER(MATCH(tbl_working_daily[[#This Row],[LookupKey]],tbl_working_sleep[LookupKey],0))</f>
        <v>1</v>
      </c>
    </row>
    <row r="593" spans="1:24" x14ac:dyDescent="0.3">
      <c r="A593">
        <v>1927972279</v>
      </c>
      <c r="B593" s="1">
        <v>42487</v>
      </c>
      <c r="C593">
        <v>0</v>
      </c>
      <c r="D593">
        <v>0</v>
      </c>
      <c r="E593">
        <v>0</v>
      </c>
      <c r="F593">
        <v>0</v>
      </c>
      <c r="G593">
        <v>0</v>
      </c>
      <c r="H593">
        <v>0</v>
      </c>
      <c r="I593">
        <v>0</v>
      </c>
      <c r="J593">
        <v>0</v>
      </c>
      <c r="K593">
        <v>0</v>
      </c>
      <c r="L593">
        <v>0</v>
      </c>
      <c r="M593">
        <v>0</v>
      </c>
      <c r="N593">
        <v>1440</v>
      </c>
      <c r="O593">
        <v>2063</v>
      </c>
      <c r="P593" t="str">
        <f>TEXT(tbl_working_daily[[#This Row],[ActivityDate]],"dddd")</f>
        <v>Wednesday</v>
      </c>
      <c r="Q593" t="str">
        <f>TEXT(tbl_working_daily[[#This Row],[ActivityDate]],"mmmm")</f>
        <v>April</v>
      </c>
      <c r="R593">
        <f t="shared" si="18"/>
        <v>0</v>
      </c>
      <c r="S593">
        <f t="shared" si="19"/>
        <v>1440</v>
      </c>
      <c r="T593">
        <f>ROUND(tbl_working_daily[[#This Row],[SedentaryMinutes]]/60,2)</f>
        <v>24</v>
      </c>
      <c r="U593" t="str" cm="1">
        <f t="array" ref="U59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3" t="str" cm="1">
        <f t="array" ref="V593">_xlfn.IFS(tbl_working_daily[[#This Row],[VeryActiveMinutes]]&gt;=30,"Very Active",tbl_working_daily[[#This Row],[VeryActiveMinutes]]&gt;=15,"Moderately Active",tbl_working_daily[[#This Row],[VeryActiveMinutes]]&gt;=1,"Lightly Active",tbl_working_daily[[#This Row],[VeryActiveMinutes]]=0,"Sedentary")</f>
        <v>Sedentary</v>
      </c>
      <c r="W593" t="str">
        <f>tbl_working_daily[[#This Row],[Id]]&amp;"|"&amp;TEXT(tbl_working_daily[[#This Row],[ActivityDate]],"yyyy-mm-dd")</f>
        <v>1927972279|2016-04-27</v>
      </c>
      <c r="X593" t="b">
        <f>ISNUMBER(MATCH(tbl_working_daily[[#This Row],[LookupKey]],tbl_working_sleep[LookupKey],0))</f>
        <v>0</v>
      </c>
    </row>
    <row r="594" spans="1:24" x14ac:dyDescent="0.3">
      <c r="A594">
        <v>1927972279</v>
      </c>
      <c r="B594" s="1">
        <v>42488</v>
      </c>
      <c r="C594">
        <v>1675</v>
      </c>
      <c r="D594">
        <v>1.1599999666214</v>
      </c>
      <c r="E594">
        <v>1.1599999666214</v>
      </c>
      <c r="F594">
        <v>0</v>
      </c>
      <c r="G594">
        <v>0</v>
      </c>
      <c r="H594">
        <v>0</v>
      </c>
      <c r="I594">
        <v>1.1599999666214</v>
      </c>
      <c r="J594">
        <v>0</v>
      </c>
      <c r="K594">
        <v>0</v>
      </c>
      <c r="L594">
        <v>0</v>
      </c>
      <c r="M594">
        <v>95</v>
      </c>
      <c r="N594">
        <v>1167</v>
      </c>
      <c r="O594">
        <v>2351</v>
      </c>
      <c r="P594" t="str">
        <f>TEXT(tbl_working_daily[[#This Row],[ActivityDate]],"dddd")</f>
        <v>Thursday</v>
      </c>
      <c r="Q594" t="str">
        <f>TEXT(tbl_working_daily[[#This Row],[ActivityDate]],"mmmm")</f>
        <v>April</v>
      </c>
      <c r="R594">
        <f t="shared" si="18"/>
        <v>95</v>
      </c>
      <c r="S594">
        <f t="shared" si="19"/>
        <v>1262</v>
      </c>
      <c r="T594">
        <f>ROUND(tbl_working_daily[[#This Row],[SedentaryMinutes]]/60,2)</f>
        <v>19.45</v>
      </c>
      <c r="U594" t="str" cm="1">
        <f t="array" ref="U59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4" t="str" cm="1">
        <f t="array" ref="V594">_xlfn.IFS(tbl_working_daily[[#This Row],[VeryActiveMinutes]]&gt;=30,"Very Active",tbl_working_daily[[#This Row],[VeryActiveMinutes]]&gt;=15,"Moderately Active",tbl_working_daily[[#This Row],[VeryActiveMinutes]]&gt;=1,"Lightly Active",tbl_working_daily[[#This Row],[VeryActiveMinutes]]=0,"Sedentary")</f>
        <v>Sedentary</v>
      </c>
      <c r="W594" t="str">
        <f>tbl_working_daily[[#This Row],[Id]]&amp;"|"&amp;TEXT(tbl_working_daily[[#This Row],[ActivityDate]],"yyyy-mm-dd")</f>
        <v>1927972279|2016-04-28</v>
      </c>
      <c r="X594" t="b">
        <f>ISNUMBER(MATCH(tbl_working_daily[[#This Row],[LookupKey]],tbl_working_sleep[LookupKey],0))</f>
        <v>1</v>
      </c>
    </row>
    <row r="595" spans="1:24" x14ac:dyDescent="0.3">
      <c r="A595">
        <v>1927972279</v>
      </c>
      <c r="B595" s="1">
        <v>42489</v>
      </c>
      <c r="C595">
        <v>0</v>
      </c>
      <c r="D595">
        <v>0</v>
      </c>
      <c r="E595">
        <v>0</v>
      </c>
      <c r="F595">
        <v>0</v>
      </c>
      <c r="G595">
        <v>0</v>
      </c>
      <c r="H595">
        <v>0</v>
      </c>
      <c r="I595">
        <v>0</v>
      </c>
      <c r="J595">
        <v>0</v>
      </c>
      <c r="K595">
        <v>0</v>
      </c>
      <c r="L595">
        <v>0</v>
      </c>
      <c r="M595">
        <v>0</v>
      </c>
      <c r="N595">
        <v>1440</v>
      </c>
      <c r="O595">
        <v>2063</v>
      </c>
      <c r="P595" t="str">
        <f>TEXT(tbl_working_daily[[#This Row],[ActivityDate]],"dddd")</f>
        <v>Friday</v>
      </c>
      <c r="Q595" t="str">
        <f>TEXT(tbl_working_daily[[#This Row],[ActivityDate]],"mmmm")</f>
        <v>April</v>
      </c>
      <c r="R595">
        <f t="shared" si="18"/>
        <v>0</v>
      </c>
      <c r="S595">
        <f t="shared" si="19"/>
        <v>1440</v>
      </c>
      <c r="T595">
        <f>ROUND(tbl_working_daily[[#This Row],[SedentaryMinutes]]/60,2)</f>
        <v>24</v>
      </c>
      <c r="U595" t="str" cm="1">
        <f t="array" ref="U59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5" t="str" cm="1">
        <f t="array" ref="V595">_xlfn.IFS(tbl_working_daily[[#This Row],[VeryActiveMinutes]]&gt;=30,"Very Active",tbl_working_daily[[#This Row],[VeryActiveMinutes]]&gt;=15,"Moderately Active",tbl_working_daily[[#This Row],[VeryActiveMinutes]]&gt;=1,"Lightly Active",tbl_working_daily[[#This Row],[VeryActiveMinutes]]=0,"Sedentary")</f>
        <v>Sedentary</v>
      </c>
      <c r="W595" t="str">
        <f>tbl_working_daily[[#This Row],[Id]]&amp;"|"&amp;TEXT(tbl_working_daily[[#This Row],[ActivityDate]],"yyyy-mm-dd")</f>
        <v>1927972279|2016-04-29</v>
      </c>
      <c r="X595" t="b">
        <f>ISNUMBER(MATCH(tbl_working_daily[[#This Row],[LookupKey]],tbl_working_sleep[LookupKey],0))</f>
        <v>0</v>
      </c>
    </row>
    <row r="596" spans="1:24" x14ac:dyDescent="0.3">
      <c r="A596">
        <v>1927972279</v>
      </c>
      <c r="B596" s="1">
        <v>42490</v>
      </c>
      <c r="C596">
        <v>0</v>
      </c>
      <c r="D596">
        <v>0</v>
      </c>
      <c r="E596">
        <v>0</v>
      </c>
      <c r="F596">
        <v>0</v>
      </c>
      <c r="G596">
        <v>0</v>
      </c>
      <c r="H596">
        <v>0</v>
      </c>
      <c r="I596">
        <v>0</v>
      </c>
      <c r="J596">
        <v>0</v>
      </c>
      <c r="K596">
        <v>0</v>
      </c>
      <c r="L596">
        <v>0</v>
      </c>
      <c r="M596">
        <v>0</v>
      </c>
      <c r="N596">
        <v>1440</v>
      </c>
      <c r="O596">
        <v>2064</v>
      </c>
      <c r="P596" t="str">
        <f>TEXT(tbl_working_daily[[#This Row],[ActivityDate]],"dddd")</f>
        <v>Saturday</v>
      </c>
      <c r="Q596" t="str">
        <f>TEXT(tbl_working_daily[[#This Row],[ActivityDate]],"mmmm")</f>
        <v>April</v>
      </c>
      <c r="R596">
        <f t="shared" si="18"/>
        <v>0</v>
      </c>
      <c r="S596">
        <f t="shared" si="19"/>
        <v>1440</v>
      </c>
      <c r="T596">
        <f>ROUND(tbl_working_daily[[#This Row],[SedentaryMinutes]]/60,2)</f>
        <v>24</v>
      </c>
      <c r="U596" t="str" cm="1">
        <f t="array" ref="U59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6" t="str" cm="1">
        <f t="array" ref="V596">_xlfn.IFS(tbl_working_daily[[#This Row],[VeryActiveMinutes]]&gt;=30,"Very Active",tbl_working_daily[[#This Row],[VeryActiveMinutes]]&gt;=15,"Moderately Active",tbl_working_daily[[#This Row],[VeryActiveMinutes]]&gt;=1,"Lightly Active",tbl_working_daily[[#This Row],[VeryActiveMinutes]]=0,"Sedentary")</f>
        <v>Sedentary</v>
      </c>
      <c r="W596" t="str">
        <f>tbl_working_daily[[#This Row],[Id]]&amp;"|"&amp;TEXT(tbl_working_daily[[#This Row],[ActivityDate]],"yyyy-mm-dd")</f>
        <v>1927972279|2016-04-30</v>
      </c>
      <c r="X596" t="b">
        <f>ISNUMBER(MATCH(tbl_working_daily[[#This Row],[LookupKey]],tbl_working_sleep[LookupKey],0))</f>
        <v>0</v>
      </c>
    </row>
    <row r="597" spans="1:24" x14ac:dyDescent="0.3">
      <c r="A597">
        <v>1927972279</v>
      </c>
      <c r="B597" s="1">
        <v>42491</v>
      </c>
      <c r="C597">
        <v>2704</v>
      </c>
      <c r="D597">
        <v>1.87000000476837</v>
      </c>
      <c r="E597">
        <v>1.87000000476837</v>
      </c>
      <c r="F597">
        <v>0</v>
      </c>
      <c r="G597">
        <v>1.0099999904632599</v>
      </c>
      <c r="H597">
        <v>2.9999999329447701E-2</v>
      </c>
      <c r="I597">
        <v>0.82999998331069902</v>
      </c>
      <c r="J597">
        <v>0</v>
      </c>
      <c r="K597">
        <v>14</v>
      </c>
      <c r="L597">
        <v>1</v>
      </c>
      <c r="M597">
        <v>70</v>
      </c>
      <c r="N597">
        <v>1355</v>
      </c>
      <c r="O597">
        <v>2411</v>
      </c>
      <c r="P597" t="str">
        <f>TEXT(tbl_working_daily[[#This Row],[ActivityDate]],"dddd")</f>
        <v>Sunday</v>
      </c>
      <c r="Q597" t="str">
        <f>TEXT(tbl_working_daily[[#This Row],[ActivityDate]],"mmmm")</f>
        <v>May</v>
      </c>
      <c r="R597">
        <f t="shared" si="18"/>
        <v>85</v>
      </c>
      <c r="S597">
        <f t="shared" si="19"/>
        <v>1440</v>
      </c>
      <c r="T597">
        <f>ROUND(tbl_working_daily[[#This Row],[SedentaryMinutes]]/60,2)</f>
        <v>22.58</v>
      </c>
      <c r="U597" t="str" cm="1">
        <f t="array" ref="U5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7" t="str" cm="1">
        <f t="array" ref="V597">_xlfn.IFS(tbl_working_daily[[#This Row],[VeryActiveMinutes]]&gt;=30,"Very Active",tbl_working_daily[[#This Row],[VeryActiveMinutes]]&gt;=15,"Moderately Active",tbl_working_daily[[#This Row],[VeryActiveMinutes]]&gt;=1,"Lightly Active",tbl_working_daily[[#This Row],[VeryActiveMinutes]]=0,"Sedentary")</f>
        <v>Lightly Active</v>
      </c>
      <c r="W597" t="str">
        <f>tbl_working_daily[[#This Row],[Id]]&amp;"|"&amp;TEXT(tbl_working_daily[[#This Row],[ActivityDate]],"yyyy-mm-dd")</f>
        <v>1927972279|2016-05-01</v>
      </c>
      <c r="X597" t="b">
        <f>ISNUMBER(MATCH(tbl_working_daily[[#This Row],[LookupKey]],tbl_working_sleep[LookupKey],0))</f>
        <v>0</v>
      </c>
    </row>
    <row r="598" spans="1:24" x14ac:dyDescent="0.3">
      <c r="A598">
        <v>1927972279</v>
      </c>
      <c r="B598" s="1">
        <v>42492</v>
      </c>
      <c r="C598">
        <v>3790</v>
      </c>
      <c r="D598">
        <v>2.6199998855590798</v>
      </c>
      <c r="E598">
        <v>2.6199998855590798</v>
      </c>
      <c r="F598">
        <v>0</v>
      </c>
      <c r="G598">
        <v>1.1599999666214</v>
      </c>
      <c r="H598">
        <v>0.30000001192092901</v>
      </c>
      <c r="I598">
        <v>1.1599999666214</v>
      </c>
      <c r="J598">
        <v>0</v>
      </c>
      <c r="K598">
        <v>16</v>
      </c>
      <c r="L598">
        <v>8</v>
      </c>
      <c r="M598">
        <v>94</v>
      </c>
      <c r="N598">
        <v>1322</v>
      </c>
      <c r="O598">
        <v>2505</v>
      </c>
      <c r="P598" t="str">
        <f>TEXT(tbl_working_daily[[#This Row],[ActivityDate]],"dddd")</f>
        <v>Monday</v>
      </c>
      <c r="Q598" t="str">
        <f>TEXT(tbl_working_daily[[#This Row],[ActivityDate]],"mmmm")</f>
        <v>May</v>
      </c>
      <c r="R598">
        <f t="shared" si="18"/>
        <v>118</v>
      </c>
      <c r="S598">
        <f t="shared" si="19"/>
        <v>1440</v>
      </c>
      <c r="T598">
        <f>ROUND(tbl_working_daily[[#This Row],[SedentaryMinutes]]/60,2)</f>
        <v>22.03</v>
      </c>
      <c r="U598" t="str" cm="1">
        <f t="array" ref="U5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8" t="str" cm="1">
        <f t="array" ref="V598">_xlfn.IFS(tbl_working_daily[[#This Row],[VeryActiveMinutes]]&gt;=30,"Very Active",tbl_working_daily[[#This Row],[VeryActiveMinutes]]&gt;=15,"Moderately Active",tbl_working_daily[[#This Row],[VeryActiveMinutes]]&gt;=1,"Lightly Active",tbl_working_daily[[#This Row],[VeryActiveMinutes]]=0,"Sedentary")</f>
        <v>Moderately Active</v>
      </c>
      <c r="W598" t="str">
        <f>tbl_working_daily[[#This Row],[Id]]&amp;"|"&amp;TEXT(tbl_working_daily[[#This Row],[ActivityDate]],"yyyy-mm-dd")</f>
        <v>1927972279|2016-05-02</v>
      </c>
      <c r="X598" t="b">
        <f>ISNUMBER(MATCH(tbl_working_daily[[#This Row],[LookupKey]],tbl_working_sleep[LookupKey],0))</f>
        <v>0</v>
      </c>
    </row>
    <row r="599" spans="1:24" x14ac:dyDescent="0.3">
      <c r="A599">
        <v>1927972279</v>
      </c>
      <c r="B599" s="1">
        <v>42493</v>
      </c>
      <c r="C599">
        <v>1326</v>
      </c>
      <c r="D599">
        <v>0.92000001668930098</v>
      </c>
      <c r="E599">
        <v>0.92000001668930098</v>
      </c>
      <c r="F599">
        <v>0</v>
      </c>
      <c r="G599">
        <v>0.730000019073486</v>
      </c>
      <c r="H599">
        <v>0</v>
      </c>
      <c r="I599">
        <v>0.18000000715255701</v>
      </c>
      <c r="J599">
        <v>0</v>
      </c>
      <c r="K599">
        <v>10</v>
      </c>
      <c r="L599">
        <v>0</v>
      </c>
      <c r="M599">
        <v>17</v>
      </c>
      <c r="N599">
        <v>1413</v>
      </c>
      <c r="O599">
        <v>2195</v>
      </c>
      <c r="P599" t="str">
        <f>TEXT(tbl_working_daily[[#This Row],[ActivityDate]],"dddd")</f>
        <v>Tuesday</v>
      </c>
      <c r="Q599" t="str">
        <f>TEXT(tbl_working_daily[[#This Row],[ActivityDate]],"mmmm")</f>
        <v>May</v>
      </c>
      <c r="R599">
        <f t="shared" si="18"/>
        <v>27</v>
      </c>
      <c r="S599">
        <f t="shared" si="19"/>
        <v>1440</v>
      </c>
      <c r="T599">
        <f>ROUND(tbl_working_daily[[#This Row],[SedentaryMinutes]]/60,2)</f>
        <v>23.55</v>
      </c>
      <c r="U599" t="str" cm="1">
        <f t="array" ref="U59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599" t="str" cm="1">
        <f t="array" ref="V599">_xlfn.IFS(tbl_working_daily[[#This Row],[VeryActiveMinutes]]&gt;=30,"Very Active",tbl_working_daily[[#This Row],[VeryActiveMinutes]]&gt;=15,"Moderately Active",tbl_working_daily[[#This Row],[VeryActiveMinutes]]&gt;=1,"Lightly Active",tbl_working_daily[[#This Row],[VeryActiveMinutes]]=0,"Sedentary")</f>
        <v>Lightly Active</v>
      </c>
      <c r="W599" t="str">
        <f>tbl_working_daily[[#This Row],[Id]]&amp;"|"&amp;TEXT(tbl_working_daily[[#This Row],[ActivityDate]],"yyyy-mm-dd")</f>
        <v>1927972279|2016-05-03</v>
      </c>
      <c r="X599" t="b">
        <f>ISNUMBER(MATCH(tbl_working_daily[[#This Row],[LookupKey]],tbl_working_sleep[LookupKey],0))</f>
        <v>0</v>
      </c>
    </row>
    <row r="600" spans="1:24" x14ac:dyDescent="0.3">
      <c r="A600">
        <v>1927972279</v>
      </c>
      <c r="B600" s="1">
        <v>42494</v>
      </c>
      <c r="C600">
        <v>1786</v>
      </c>
      <c r="D600">
        <v>1.2400000095367401</v>
      </c>
      <c r="E600">
        <v>1.2400000095367401</v>
      </c>
      <c r="F600">
        <v>0</v>
      </c>
      <c r="G600">
        <v>0</v>
      </c>
      <c r="H600">
        <v>0</v>
      </c>
      <c r="I600">
        <v>1.2400000095367401</v>
      </c>
      <c r="J600">
        <v>0</v>
      </c>
      <c r="K600">
        <v>0</v>
      </c>
      <c r="L600">
        <v>0</v>
      </c>
      <c r="M600">
        <v>87</v>
      </c>
      <c r="N600">
        <v>1353</v>
      </c>
      <c r="O600">
        <v>2338</v>
      </c>
      <c r="P600" t="str">
        <f>TEXT(tbl_working_daily[[#This Row],[ActivityDate]],"dddd")</f>
        <v>Wednesday</v>
      </c>
      <c r="Q600" t="str">
        <f>TEXT(tbl_working_daily[[#This Row],[ActivityDate]],"mmmm")</f>
        <v>May</v>
      </c>
      <c r="R600">
        <f t="shared" si="18"/>
        <v>87</v>
      </c>
      <c r="S600">
        <f t="shared" si="19"/>
        <v>1440</v>
      </c>
      <c r="T600">
        <f>ROUND(tbl_working_daily[[#This Row],[SedentaryMinutes]]/60,2)</f>
        <v>22.55</v>
      </c>
      <c r="U600" t="str" cm="1">
        <f t="array" ref="U60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0" t="str" cm="1">
        <f t="array" ref="V600">_xlfn.IFS(tbl_working_daily[[#This Row],[VeryActiveMinutes]]&gt;=30,"Very Active",tbl_working_daily[[#This Row],[VeryActiveMinutes]]&gt;=15,"Moderately Active",tbl_working_daily[[#This Row],[VeryActiveMinutes]]&gt;=1,"Lightly Active",tbl_working_daily[[#This Row],[VeryActiveMinutes]]=0,"Sedentary")</f>
        <v>Sedentary</v>
      </c>
      <c r="W600" t="str">
        <f>tbl_working_daily[[#This Row],[Id]]&amp;"|"&amp;TEXT(tbl_working_daily[[#This Row],[ActivityDate]],"yyyy-mm-dd")</f>
        <v>1927972279|2016-05-04</v>
      </c>
      <c r="X600" t="b">
        <f>ISNUMBER(MATCH(tbl_working_daily[[#This Row],[LookupKey]],tbl_working_sleep[LookupKey],0))</f>
        <v>0</v>
      </c>
    </row>
    <row r="601" spans="1:24" x14ac:dyDescent="0.3">
      <c r="A601">
        <v>1927972279</v>
      </c>
      <c r="B601" s="1">
        <v>42495</v>
      </c>
      <c r="C601">
        <v>0</v>
      </c>
      <c r="D601">
        <v>0</v>
      </c>
      <c r="E601">
        <v>0</v>
      </c>
      <c r="F601">
        <v>0</v>
      </c>
      <c r="G601">
        <v>0</v>
      </c>
      <c r="H601">
        <v>0</v>
      </c>
      <c r="I601">
        <v>0</v>
      </c>
      <c r="J601">
        <v>0</v>
      </c>
      <c r="K601">
        <v>0</v>
      </c>
      <c r="L601">
        <v>0</v>
      </c>
      <c r="M601">
        <v>0</v>
      </c>
      <c r="N601">
        <v>1440</v>
      </c>
      <c r="O601">
        <v>2063</v>
      </c>
      <c r="P601" t="str">
        <f>TEXT(tbl_working_daily[[#This Row],[ActivityDate]],"dddd")</f>
        <v>Thursday</v>
      </c>
      <c r="Q601" t="str">
        <f>TEXT(tbl_working_daily[[#This Row],[ActivityDate]],"mmmm")</f>
        <v>May</v>
      </c>
      <c r="R601">
        <f t="shared" si="18"/>
        <v>0</v>
      </c>
      <c r="S601">
        <f t="shared" si="19"/>
        <v>1440</v>
      </c>
      <c r="T601">
        <f>ROUND(tbl_working_daily[[#This Row],[SedentaryMinutes]]/60,2)</f>
        <v>24</v>
      </c>
      <c r="U601" t="str" cm="1">
        <f t="array" ref="U60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1" t="str" cm="1">
        <f t="array" ref="V601">_xlfn.IFS(tbl_working_daily[[#This Row],[VeryActiveMinutes]]&gt;=30,"Very Active",tbl_working_daily[[#This Row],[VeryActiveMinutes]]&gt;=15,"Moderately Active",tbl_working_daily[[#This Row],[VeryActiveMinutes]]&gt;=1,"Lightly Active",tbl_working_daily[[#This Row],[VeryActiveMinutes]]=0,"Sedentary")</f>
        <v>Sedentary</v>
      </c>
      <c r="W601" t="str">
        <f>tbl_working_daily[[#This Row],[Id]]&amp;"|"&amp;TEXT(tbl_working_daily[[#This Row],[ActivityDate]],"yyyy-mm-dd")</f>
        <v>1927972279|2016-05-05</v>
      </c>
      <c r="X601" t="b">
        <f>ISNUMBER(MATCH(tbl_working_daily[[#This Row],[LookupKey]],tbl_working_sleep[LookupKey],0))</f>
        <v>0</v>
      </c>
    </row>
    <row r="602" spans="1:24" x14ac:dyDescent="0.3">
      <c r="A602">
        <v>1927972279</v>
      </c>
      <c r="B602" s="1">
        <v>42496</v>
      </c>
      <c r="C602">
        <v>2091</v>
      </c>
      <c r="D602">
        <v>1.45000004768372</v>
      </c>
      <c r="E602">
        <v>1.45000004768372</v>
      </c>
      <c r="F602">
        <v>0</v>
      </c>
      <c r="G602">
        <v>0</v>
      </c>
      <c r="H602">
        <v>0</v>
      </c>
      <c r="I602">
        <v>1.45000004768372</v>
      </c>
      <c r="J602">
        <v>0</v>
      </c>
      <c r="K602">
        <v>0</v>
      </c>
      <c r="L602">
        <v>0</v>
      </c>
      <c r="M602">
        <v>108</v>
      </c>
      <c r="N602">
        <v>1332</v>
      </c>
      <c r="O602">
        <v>2383</v>
      </c>
      <c r="P602" t="str">
        <f>TEXT(tbl_working_daily[[#This Row],[ActivityDate]],"dddd")</f>
        <v>Friday</v>
      </c>
      <c r="Q602" t="str">
        <f>TEXT(tbl_working_daily[[#This Row],[ActivityDate]],"mmmm")</f>
        <v>May</v>
      </c>
      <c r="R602">
        <f t="shared" si="18"/>
        <v>108</v>
      </c>
      <c r="S602">
        <f t="shared" si="19"/>
        <v>1440</v>
      </c>
      <c r="T602">
        <f>ROUND(tbl_working_daily[[#This Row],[SedentaryMinutes]]/60,2)</f>
        <v>22.2</v>
      </c>
      <c r="U602" t="str" cm="1">
        <f t="array" ref="U6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2" t="str" cm="1">
        <f t="array" ref="V602">_xlfn.IFS(tbl_working_daily[[#This Row],[VeryActiveMinutes]]&gt;=30,"Very Active",tbl_working_daily[[#This Row],[VeryActiveMinutes]]&gt;=15,"Moderately Active",tbl_working_daily[[#This Row],[VeryActiveMinutes]]&gt;=1,"Lightly Active",tbl_working_daily[[#This Row],[VeryActiveMinutes]]=0,"Sedentary")</f>
        <v>Sedentary</v>
      </c>
      <c r="W602" t="str">
        <f>tbl_working_daily[[#This Row],[Id]]&amp;"|"&amp;TEXT(tbl_working_daily[[#This Row],[ActivityDate]],"yyyy-mm-dd")</f>
        <v>1927972279|2016-05-06</v>
      </c>
      <c r="X602" t="b">
        <f>ISNUMBER(MATCH(tbl_working_daily[[#This Row],[LookupKey]],tbl_working_sleep[LookupKey],0))</f>
        <v>0</v>
      </c>
    </row>
    <row r="603" spans="1:24" x14ac:dyDescent="0.3">
      <c r="A603">
        <v>1927972279</v>
      </c>
      <c r="B603" s="1">
        <v>42497</v>
      </c>
      <c r="C603">
        <v>1510</v>
      </c>
      <c r="D603">
        <v>1.03999996185303</v>
      </c>
      <c r="E603">
        <v>1.03999996185303</v>
      </c>
      <c r="F603">
        <v>0</v>
      </c>
      <c r="G603">
        <v>0</v>
      </c>
      <c r="H603">
        <v>0</v>
      </c>
      <c r="I603">
        <v>1.03999996185303</v>
      </c>
      <c r="J603">
        <v>0</v>
      </c>
      <c r="K603">
        <v>0</v>
      </c>
      <c r="L603">
        <v>0</v>
      </c>
      <c r="M603">
        <v>48</v>
      </c>
      <c r="N603">
        <v>1392</v>
      </c>
      <c r="O603">
        <v>2229</v>
      </c>
      <c r="P603" t="str">
        <f>TEXT(tbl_working_daily[[#This Row],[ActivityDate]],"dddd")</f>
        <v>Saturday</v>
      </c>
      <c r="Q603" t="str">
        <f>TEXT(tbl_working_daily[[#This Row],[ActivityDate]],"mmmm")</f>
        <v>May</v>
      </c>
      <c r="R603">
        <f t="shared" si="18"/>
        <v>48</v>
      </c>
      <c r="S603">
        <f t="shared" si="19"/>
        <v>1440</v>
      </c>
      <c r="T603">
        <f>ROUND(tbl_working_daily[[#This Row],[SedentaryMinutes]]/60,2)</f>
        <v>23.2</v>
      </c>
      <c r="U603" t="str" cm="1">
        <f t="array" ref="U60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3" t="str" cm="1">
        <f t="array" ref="V603">_xlfn.IFS(tbl_working_daily[[#This Row],[VeryActiveMinutes]]&gt;=30,"Very Active",tbl_working_daily[[#This Row],[VeryActiveMinutes]]&gt;=15,"Moderately Active",tbl_working_daily[[#This Row],[VeryActiveMinutes]]&gt;=1,"Lightly Active",tbl_working_daily[[#This Row],[VeryActiveMinutes]]=0,"Sedentary")</f>
        <v>Sedentary</v>
      </c>
      <c r="W603" t="str">
        <f>tbl_working_daily[[#This Row],[Id]]&amp;"|"&amp;TEXT(tbl_working_daily[[#This Row],[ActivityDate]],"yyyy-mm-dd")</f>
        <v>1927972279|2016-05-07</v>
      </c>
      <c r="X603" t="b">
        <f>ISNUMBER(MATCH(tbl_working_daily[[#This Row],[LookupKey]],tbl_working_sleep[LookupKey],0))</f>
        <v>0</v>
      </c>
    </row>
    <row r="604" spans="1:24" x14ac:dyDescent="0.3">
      <c r="A604">
        <v>1927972279</v>
      </c>
      <c r="B604" s="1">
        <v>42498</v>
      </c>
      <c r="C604">
        <v>0</v>
      </c>
      <c r="D604">
        <v>0</v>
      </c>
      <c r="E604">
        <v>0</v>
      </c>
      <c r="F604">
        <v>0</v>
      </c>
      <c r="G604">
        <v>0</v>
      </c>
      <c r="H604">
        <v>0</v>
      </c>
      <c r="I604">
        <v>0</v>
      </c>
      <c r="J604">
        <v>0</v>
      </c>
      <c r="K604">
        <v>0</v>
      </c>
      <c r="L604">
        <v>0</v>
      </c>
      <c r="M604">
        <v>0</v>
      </c>
      <c r="N604">
        <v>1440</v>
      </c>
      <c r="O604">
        <v>2063</v>
      </c>
      <c r="P604" t="str">
        <f>TEXT(tbl_working_daily[[#This Row],[ActivityDate]],"dddd")</f>
        <v>Sunday</v>
      </c>
      <c r="Q604" t="str">
        <f>TEXT(tbl_working_daily[[#This Row],[ActivityDate]],"mmmm")</f>
        <v>May</v>
      </c>
      <c r="R604">
        <f t="shared" si="18"/>
        <v>0</v>
      </c>
      <c r="S604">
        <f t="shared" si="19"/>
        <v>1440</v>
      </c>
      <c r="T604">
        <f>ROUND(tbl_working_daily[[#This Row],[SedentaryMinutes]]/60,2)</f>
        <v>24</v>
      </c>
      <c r="U604" t="str" cm="1">
        <f t="array" ref="U6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4" t="str" cm="1">
        <f t="array" ref="V604">_xlfn.IFS(tbl_working_daily[[#This Row],[VeryActiveMinutes]]&gt;=30,"Very Active",tbl_working_daily[[#This Row],[VeryActiveMinutes]]&gt;=15,"Moderately Active",tbl_working_daily[[#This Row],[VeryActiveMinutes]]&gt;=1,"Lightly Active",tbl_working_daily[[#This Row],[VeryActiveMinutes]]=0,"Sedentary")</f>
        <v>Sedentary</v>
      </c>
      <c r="W604" t="str">
        <f>tbl_working_daily[[#This Row],[Id]]&amp;"|"&amp;TEXT(tbl_working_daily[[#This Row],[ActivityDate]],"yyyy-mm-dd")</f>
        <v>1927972279|2016-05-08</v>
      </c>
      <c r="X604" t="b">
        <f>ISNUMBER(MATCH(tbl_working_daily[[#This Row],[LookupKey]],tbl_working_sleep[LookupKey],0))</f>
        <v>0</v>
      </c>
    </row>
    <row r="605" spans="1:24" x14ac:dyDescent="0.3">
      <c r="A605">
        <v>1927972279</v>
      </c>
      <c r="B605" s="1">
        <v>42499</v>
      </c>
      <c r="C605">
        <v>0</v>
      </c>
      <c r="D605">
        <v>0</v>
      </c>
      <c r="E605">
        <v>0</v>
      </c>
      <c r="F605">
        <v>0</v>
      </c>
      <c r="G605">
        <v>0</v>
      </c>
      <c r="H605">
        <v>0</v>
      </c>
      <c r="I605">
        <v>0</v>
      </c>
      <c r="J605">
        <v>0</v>
      </c>
      <c r="K605">
        <v>0</v>
      </c>
      <c r="L605">
        <v>0</v>
      </c>
      <c r="M605">
        <v>0</v>
      </c>
      <c r="N605">
        <v>1440</v>
      </c>
      <c r="O605">
        <v>2063</v>
      </c>
      <c r="P605" t="str">
        <f>TEXT(tbl_working_daily[[#This Row],[ActivityDate]],"dddd")</f>
        <v>Monday</v>
      </c>
      <c r="Q605" t="str">
        <f>TEXT(tbl_working_daily[[#This Row],[ActivityDate]],"mmmm")</f>
        <v>May</v>
      </c>
      <c r="R605">
        <f t="shared" si="18"/>
        <v>0</v>
      </c>
      <c r="S605">
        <f t="shared" si="19"/>
        <v>1440</v>
      </c>
      <c r="T605">
        <f>ROUND(tbl_working_daily[[#This Row],[SedentaryMinutes]]/60,2)</f>
        <v>24</v>
      </c>
      <c r="U605" t="str" cm="1">
        <f t="array" ref="U6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5" t="str" cm="1">
        <f t="array" ref="V605">_xlfn.IFS(tbl_working_daily[[#This Row],[VeryActiveMinutes]]&gt;=30,"Very Active",tbl_working_daily[[#This Row],[VeryActiveMinutes]]&gt;=15,"Moderately Active",tbl_working_daily[[#This Row],[VeryActiveMinutes]]&gt;=1,"Lightly Active",tbl_working_daily[[#This Row],[VeryActiveMinutes]]=0,"Sedentary")</f>
        <v>Sedentary</v>
      </c>
      <c r="W605" t="str">
        <f>tbl_working_daily[[#This Row],[Id]]&amp;"|"&amp;TEXT(tbl_working_daily[[#This Row],[ActivityDate]],"yyyy-mm-dd")</f>
        <v>1927972279|2016-05-09</v>
      </c>
      <c r="X605" t="b">
        <f>ISNUMBER(MATCH(tbl_working_daily[[#This Row],[LookupKey]],tbl_working_sleep[LookupKey],0))</f>
        <v>0</v>
      </c>
    </row>
    <row r="606" spans="1:24" x14ac:dyDescent="0.3">
      <c r="A606">
        <v>1927972279</v>
      </c>
      <c r="B606" s="1">
        <v>42500</v>
      </c>
      <c r="C606">
        <v>0</v>
      </c>
      <c r="D606">
        <v>0</v>
      </c>
      <c r="E606">
        <v>0</v>
      </c>
      <c r="F606">
        <v>0</v>
      </c>
      <c r="G606">
        <v>0</v>
      </c>
      <c r="H606">
        <v>0</v>
      </c>
      <c r="I606">
        <v>0</v>
      </c>
      <c r="J606">
        <v>0</v>
      </c>
      <c r="K606">
        <v>0</v>
      </c>
      <c r="L606">
        <v>0</v>
      </c>
      <c r="M606">
        <v>0</v>
      </c>
      <c r="N606">
        <v>1440</v>
      </c>
      <c r="O606">
        <v>2063</v>
      </c>
      <c r="P606" t="str">
        <f>TEXT(tbl_working_daily[[#This Row],[ActivityDate]],"dddd")</f>
        <v>Tuesday</v>
      </c>
      <c r="Q606" t="str">
        <f>TEXT(tbl_working_daily[[#This Row],[ActivityDate]],"mmmm")</f>
        <v>May</v>
      </c>
      <c r="R606">
        <f t="shared" si="18"/>
        <v>0</v>
      </c>
      <c r="S606">
        <f t="shared" si="19"/>
        <v>1440</v>
      </c>
      <c r="T606">
        <f>ROUND(tbl_working_daily[[#This Row],[SedentaryMinutes]]/60,2)</f>
        <v>24</v>
      </c>
      <c r="U606" t="str" cm="1">
        <f t="array" ref="U6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6" t="str" cm="1">
        <f t="array" ref="V606">_xlfn.IFS(tbl_working_daily[[#This Row],[VeryActiveMinutes]]&gt;=30,"Very Active",tbl_working_daily[[#This Row],[VeryActiveMinutes]]&gt;=15,"Moderately Active",tbl_working_daily[[#This Row],[VeryActiveMinutes]]&gt;=1,"Lightly Active",tbl_working_daily[[#This Row],[VeryActiveMinutes]]=0,"Sedentary")</f>
        <v>Sedentary</v>
      </c>
      <c r="W606" t="str">
        <f>tbl_working_daily[[#This Row],[Id]]&amp;"|"&amp;TEXT(tbl_working_daily[[#This Row],[ActivityDate]],"yyyy-mm-dd")</f>
        <v>1927972279|2016-05-10</v>
      </c>
      <c r="X606" t="b">
        <f>ISNUMBER(MATCH(tbl_working_daily[[#This Row],[LookupKey]],tbl_working_sleep[LookupKey],0))</f>
        <v>0</v>
      </c>
    </row>
    <row r="607" spans="1:24" x14ac:dyDescent="0.3">
      <c r="A607">
        <v>1927972279</v>
      </c>
      <c r="B607" s="1">
        <v>42501</v>
      </c>
      <c r="C607">
        <v>0</v>
      </c>
      <c r="D607">
        <v>0</v>
      </c>
      <c r="E607">
        <v>0</v>
      </c>
      <c r="F607">
        <v>0</v>
      </c>
      <c r="G607">
        <v>0</v>
      </c>
      <c r="H607">
        <v>0</v>
      </c>
      <c r="I607">
        <v>0</v>
      </c>
      <c r="J607">
        <v>0</v>
      </c>
      <c r="K607">
        <v>0</v>
      </c>
      <c r="L607">
        <v>0</v>
      </c>
      <c r="M607">
        <v>0</v>
      </c>
      <c r="N607">
        <v>1440</v>
      </c>
      <c r="O607">
        <v>2063</v>
      </c>
      <c r="P607" t="str">
        <f>TEXT(tbl_working_daily[[#This Row],[ActivityDate]],"dddd")</f>
        <v>Wednesday</v>
      </c>
      <c r="Q607" t="str">
        <f>TEXT(tbl_working_daily[[#This Row],[ActivityDate]],"mmmm")</f>
        <v>May</v>
      </c>
      <c r="R607">
        <f t="shared" si="18"/>
        <v>0</v>
      </c>
      <c r="S607">
        <f t="shared" si="19"/>
        <v>1440</v>
      </c>
      <c r="T607">
        <f>ROUND(tbl_working_daily[[#This Row],[SedentaryMinutes]]/60,2)</f>
        <v>24</v>
      </c>
      <c r="U607" t="str" cm="1">
        <f t="array" ref="U6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7" t="str" cm="1">
        <f t="array" ref="V607">_xlfn.IFS(tbl_working_daily[[#This Row],[VeryActiveMinutes]]&gt;=30,"Very Active",tbl_working_daily[[#This Row],[VeryActiveMinutes]]&gt;=15,"Moderately Active",tbl_working_daily[[#This Row],[VeryActiveMinutes]]&gt;=1,"Lightly Active",tbl_working_daily[[#This Row],[VeryActiveMinutes]]=0,"Sedentary")</f>
        <v>Sedentary</v>
      </c>
      <c r="W607" t="str">
        <f>tbl_working_daily[[#This Row],[Id]]&amp;"|"&amp;TEXT(tbl_working_daily[[#This Row],[ActivityDate]],"yyyy-mm-dd")</f>
        <v>1927972279|2016-05-11</v>
      </c>
      <c r="X607" t="b">
        <f>ISNUMBER(MATCH(tbl_working_daily[[#This Row],[LookupKey]],tbl_working_sleep[LookupKey],0))</f>
        <v>0</v>
      </c>
    </row>
    <row r="608" spans="1:24" x14ac:dyDescent="0.3">
      <c r="A608">
        <v>1927972279</v>
      </c>
      <c r="B608" s="1">
        <v>42502</v>
      </c>
      <c r="C608">
        <v>0</v>
      </c>
      <c r="D608">
        <v>0</v>
      </c>
      <c r="E608">
        <v>0</v>
      </c>
      <c r="F608">
        <v>0</v>
      </c>
      <c r="G608">
        <v>0</v>
      </c>
      <c r="H608">
        <v>0</v>
      </c>
      <c r="I608">
        <v>0</v>
      </c>
      <c r="J608">
        <v>0</v>
      </c>
      <c r="K608">
        <v>0</v>
      </c>
      <c r="L608">
        <v>0</v>
      </c>
      <c r="M608">
        <v>0</v>
      </c>
      <c r="N608">
        <v>966</v>
      </c>
      <c r="O608">
        <v>1383</v>
      </c>
      <c r="P608" t="str">
        <f>TEXT(tbl_working_daily[[#This Row],[ActivityDate]],"dddd")</f>
        <v>Thursday</v>
      </c>
      <c r="Q608" t="str">
        <f>TEXT(tbl_working_daily[[#This Row],[ActivityDate]],"mmmm")</f>
        <v>May</v>
      </c>
      <c r="R608">
        <f t="shared" si="18"/>
        <v>0</v>
      </c>
      <c r="S608">
        <f t="shared" si="19"/>
        <v>966</v>
      </c>
      <c r="T608">
        <f>ROUND(tbl_working_daily[[#This Row],[SedentaryMinutes]]/60,2)</f>
        <v>16.100000000000001</v>
      </c>
      <c r="U608" t="str" cm="1">
        <f t="array" ref="U6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08" t="str" cm="1">
        <f t="array" ref="V608">_xlfn.IFS(tbl_working_daily[[#This Row],[VeryActiveMinutes]]&gt;=30,"Very Active",tbl_working_daily[[#This Row],[VeryActiveMinutes]]&gt;=15,"Moderately Active",tbl_working_daily[[#This Row],[VeryActiveMinutes]]&gt;=1,"Lightly Active",tbl_working_daily[[#This Row],[VeryActiveMinutes]]=0,"Sedentary")</f>
        <v>Sedentary</v>
      </c>
      <c r="W608" t="str">
        <f>tbl_working_daily[[#This Row],[Id]]&amp;"|"&amp;TEXT(tbl_working_daily[[#This Row],[ActivityDate]],"yyyy-mm-dd")</f>
        <v>1927972279|2016-05-12</v>
      </c>
      <c r="X608" t="b">
        <f>ISNUMBER(MATCH(tbl_working_daily[[#This Row],[LookupKey]],tbl_working_sleep[LookupKey],0))</f>
        <v>0</v>
      </c>
    </row>
    <row r="609" spans="1:24" x14ac:dyDescent="0.3">
      <c r="A609">
        <v>2022484408</v>
      </c>
      <c r="B609" s="1">
        <v>42473</v>
      </c>
      <c r="C609">
        <v>12024</v>
      </c>
      <c r="D609">
        <v>8.5</v>
      </c>
      <c r="E609">
        <v>8.5</v>
      </c>
      <c r="F609">
        <v>0</v>
      </c>
      <c r="G609">
        <v>2.9900000095367401</v>
      </c>
      <c r="H609">
        <v>0.10000000149011599</v>
      </c>
      <c r="I609">
        <v>5.4099998474121103</v>
      </c>
      <c r="J609">
        <v>0</v>
      </c>
      <c r="K609">
        <v>43</v>
      </c>
      <c r="L609">
        <v>5</v>
      </c>
      <c r="M609">
        <v>292</v>
      </c>
      <c r="N609">
        <v>1100</v>
      </c>
      <c r="O609">
        <v>2601</v>
      </c>
      <c r="P609" t="str">
        <f>TEXT(tbl_working_daily[[#This Row],[ActivityDate]],"dddd")</f>
        <v>Wednesday</v>
      </c>
      <c r="Q609" t="str">
        <f>TEXT(tbl_working_daily[[#This Row],[ActivityDate]],"mmmm")</f>
        <v>April</v>
      </c>
      <c r="R609">
        <f t="shared" si="18"/>
        <v>340</v>
      </c>
      <c r="S609">
        <f t="shared" si="19"/>
        <v>1440</v>
      </c>
      <c r="T609">
        <f>ROUND(tbl_working_daily[[#This Row],[SedentaryMinutes]]/60,2)</f>
        <v>18.329999999999998</v>
      </c>
      <c r="U609" t="str" cm="1">
        <f t="array" ref="U60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09" t="str" cm="1">
        <f t="array" ref="V609">_xlfn.IFS(tbl_working_daily[[#This Row],[VeryActiveMinutes]]&gt;=30,"Very Active",tbl_working_daily[[#This Row],[VeryActiveMinutes]]&gt;=15,"Moderately Active",tbl_working_daily[[#This Row],[VeryActiveMinutes]]&gt;=1,"Lightly Active",tbl_working_daily[[#This Row],[VeryActiveMinutes]]=0,"Sedentary")</f>
        <v>Very Active</v>
      </c>
      <c r="W609" t="str">
        <f>tbl_working_daily[[#This Row],[Id]]&amp;"|"&amp;TEXT(tbl_working_daily[[#This Row],[ActivityDate]],"yyyy-mm-dd")</f>
        <v>2022484408|2016-04-13</v>
      </c>
      <c r="X609" t="b">
        <f>ISNUMBER(MATCH(tbl_working_daily[[#This Row],[LookupKey]],tbl_working_sleep[LookupKey],0))</f>
        <v>0</v>
      </c>
    </row>
    <row r="610" spans="1:24" x14ac:dyDescent="0.3">
      <c r="A610">
        <v>2022484408</v>
      </c>
      <c r="B610" s="1">
        <v>42474</v>
      </c>
      <c r="C610">
        <v>10690</v>
      </c>
      <c r="D610">
        <v>7.5</v>
      </c>
      <c r="E610">
        <v>7.5</v>
      </c>
      <c r="F610">
        <v>0</v>
      </c>
      <c r="G610">
        <v>2.4800000190734899</v>
      </c>
      <c r="H610">
        <v>0.20999999344348899</v>
      </c>
      <c r="I610">
        <v>4.8200001716613796</v>
      </c>
      <c r="J610">
        <v>0</v>
      </c>
      <c r="K610">
        <v>32</v>
      </c>
      <c r="L610">
        <v>3</v>
      </c>
      <c r="M610">
        <v>257</v>
      </c>
      <c r="N610">
        <v>1148</v>
      </c>
      <c r="O610">
        <v>2312</v>
      </c>
      <c r="P610" t="str">
        <f>TEXT(tbl_working_daily[[#This Row],[ActivityDate]],"dddd")</f>
        <v>Thursday</v>
      </c>
      <c r="Q610" t="str">
        <f>TEXT(tbl_working_daily[[#This Row],[ActivityDate]],"mmmm")</f>
        <v>April</v>
      </c>
      <c r="R610">
        <f t="shared" si="18"/>
        <v>292</v>
      </c>
      <c r="S610">
        <f t="shared" si="19"/>
        <v>1440</v>
      </c>
      <c r="T610">
        <f>ROUND(tbl_working_daily[[#This Row],[SedentaryMinutes]]/60,2)</f>
        <v>19.13</v>
      </c>
      <c r="U610" t="str" cm="1">
        <f t="array" ref="U61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10" t="str" cm="1">
        <f t="array" ref="V610">_xlfn.IFS(tbl_working_daily[[#This Row],[VeryActiveMinutes]]&gt;=30,"Very Active",tbl_working_daily[[#This Row],[VeryActiveMinutes]]&gt;=15,"Moderately Active",tbl_working_daily[[#This Row],[VeryActiveMinutes]]&gt;=1,"Lightly Active",tbl_working_daily[[#This Row],[VeryActiveMinutes]]=0,"Sedentary")</f>
        <v>Very Active</v>
      </c>
      <c r="W610" t="str">
        <f>tbl_working_daily[[#This Row],[Id]]&amp;"|"&amp;TEXT(tbl_working_daily[[#This Row],[ActivityDate]],"yyyy-mm-dd")</f>
        <v>2022484408|2016-04-14</v>
      </c>
      <c r="X610" t="b">
        <f>ISNUMBER(MATCH(tbl_working_daily[[#This Row],[LookupKey]],tbl_working_sleep[LookupKey],0))</f>
        <v>0</v>
      </c>
    </row>
    <row r="611" spans="1:24" x14ac:dyDescent="0.3">
      <c r="A611">
        <v>2022484408</v>
      </c>
      <c r="B611" s="1">
        <v>42475</v>
      </c>
      <c r="C611">
        <v>11034</v>
      </c>
      <c r="D611">
        <v>8.0299997329711896</v>
      </c>
      <c r="E611">
        <v>8.0299997329711896</v>
      </c>
      <c r="F611">
        <v>0</v>
      </c>
      <c r="G611">
        <v>1.9400000572204601</v>
      </c>
      <c r="H611">
        <v>0.31000000238418601</v>
      </c>
      <c r="I611">
        <v>5.7800002098083496</v>
      </c>
      <c r="J611">
        <v>0</v>
      </c>
      <c r="K611">
        <v>27</v>
      </c>
      <c r="L611">
        <v>9</v>
      </c>
      <c r="M611">
        <v>282</v>
      </c>
      <c r="N611">
        <v>1122</v>
      </c>
      <c r="O611">
        <v>2525</v>
      </c>
      <c r="P611" t="str">
        <f>TEXT(tbl_working_daily[[#This Row],[ActivityDate]],"dddd")</f>
        <v>Friday</v>
      </c>
      <c r="Q611" t="str">
        <f>TEXT(tbl_working_daily[[#This Row],[ActivityDate]],"mmmm")</f>
        <v>April</v>
      </c>
      <c r="R611">
        <f t="shared" si="18"/>
        <v>318</v>
      </c>
      <c r="S611">
        <f t="shared" si="19"/>
        <v>1440</v>
      </c>
      <c r="T611">
        <f>ROUND(tbl_working_daily[[#This Row],[SedentaryMinutes]]/60,2)</f>
        <v>18.7</v>
      </c>
      <c r="U611" t="str" cm="1">
        <f t="array" ref="U61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11" t="str" cm="1">
        <f t="array" ref="V611">_xlfn.IFS(tbl_working_daily[[#This Row],[VeryActiveMinutes]]&gt;=30,"Very Active",tbl_working_daily[[#This Row],[VeryActiveMinutes]]&gt;=15,"Moderately Active",tbl_working_daily[[#This Row],[VeryActiveMinutes]]&gt;=1,"Lightly Active",tbl_working_daily[[#This Row],[VeryActiveMinutes]]=0,"Sedentary")</f>
        <v>Moderately Active</v>
      </c>
      <c r="W611" t="str">
        <f>tbl_working_daily[[#This Row],[Id]]&amp;"|"&amp;TEXT(tbl_working_daily[[#This Row],[ActivityDate]],"yyyy-mm-dd")</f>
        <v>2022484408|2016-04-15</v>
      </c>
      <c r="X611" t="b">
        <f>ISNUMBER(MATCH(tbl_working_daily[[#This Row],[LookupKey]],tbl_working_sleep[LookupKey],0))</f>
        <v>0</v>
      </c>
    </row>
    <row r="612" spans="1:24" x14ac:dyDescent="0.3">
      <c r="A612">
        <v>2022484408</v>
      </c>
      <c r="B612" s="1">
        <v>42476</v>
      </c>
      <c r="C612">
        <v>10100</v>
      </c>
      <c r="D612">
        <v>7.0900001525878897</v>
      </c>
      <c r="E612">
        <v>7.0900001525878897</v>
      </c>
      <c r="F612">
        <v>0</v>
      </c>
      <c r="G612">
        <v>3.1500000953674299</v>
      </c>
      <c r="H612">
        <v>0.55000001192092896</v>
      </c>
      <c r="I612">
        <v>3.3900001049041699</v>
      </c>
      <c r="J612">
        <v>0</v>
      </c>
      <c r="K612">
        <v>41</v>
      </c>
      <c r="L612">
        <v>11</v>
      </c>
      <c r="M612">
        <v>151</v>
      </c>
      <c r="N612">
        <v>1237</v>
      </c>
      <c r="O612">
        <v>2177</v>
      </c>
      <c r="P612" t="str">
        <f>TEXT(tbl_working_daily[[#This Row],[ActivityDate]],"dddd")</f>
        <v>Saturday</v>
      </c>
      <c r="Q612" t="str">
        <f>TEXT(tbl_working_daily[[#This Row],[ActivityDate]],"mmmm")</f>
        <v>April</v>
      </c>
      <c r="R612">
        <f t="shared" si="18"/>
        <v>203</v>
      </c>
      <c r="S612">
        <f t="shared" si="19"/>
        <v>1440</v>
      </c>
      <c r="T612">
        <f>ROUND(tbl_working_daily[[#This Row],[SedentaryMinutes]]/60,2)</f>
        <v>20.62</v>
      </c>
      <c r="U612" t="str" cm="1">
        <f t="array" ref="U61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12" t="str" cm="1">
        <f t="array" ref="V612">_xlfn.IFS(tbl_working_daily[[#This Row],[VeryActiveMinutes]]&gt;=30,"Very Active",tbl_working_daily[[#This Row],[VeryActiveMinutes]]&gt;=15,"Moderately Active",tbl_working_daily[[#This Row],[VeryActiveMinutes]]&gt;=1,"Lightly Active",tbl_working_daily[[#This Row],[VeryActiveMinutes]]=0,"Sedentary")</f>
        <v>Very Active</v>
      </c>
      <c r="W612" t="str">
        <f>tbl_working_daily[[#This Row],[Id]]&amp;"|"&amp;TEXT(tbl_working_daily[[#This Row],[ActivityDate]],"yyyy-mm-dd")</f>
        <v>2022484408|2016-04-16</v>
      </c>
      <c r="X612" t="b">
        <f>ISNUMBER(MATCH(tbl_working_daily[[#This Row],[LookupKey]],tbl_working_sleep[LookupKey],0))</f>
        <v>0</v>
      </c>
    </row>
    <row r="613" spans="1:24" x14ac:dyDescent="0.3">
      <c r="A613">
        <v>2022484408</v>
      </c>
      <c r="B613" s="1">
        <v>42477</v>
      </c>
      <c r="C613">
        <v>15112</v>
      </c>
      <c r="D613">
        <v>11.3999996185303</v>
      </c>
      <c r="E613">
        <v>11.3999996185303</v>
      </c>
      <c r="F613">
        <v>0</v>
      </c>
      <c r="G613">
        <v>3.8699998855590798</v>
      </c>
      <c r="H613">
        <v>0.66000002622604403</v>
      </c>
      <c r="I613">
        <v>6.8800001144409197</v>
      </c>
      <c r="J613">
        <v>0</v>
      </c>
      <c r="K613">
        <v>28</v>
      </c>
      <c r="L613">
        <v>29</v>
      </c>
      <c r="M613">
        <v>331</v>
      </c>
      <c r="N613">
        <v>1052</v>
      </c>
      <c r="O613">
        <v>2782</v>
      </c>
      <c r="P613" t="str">
        <f>TEXT(tbl_working_daily[[#This Row],[ActivityDate]],"dddd")</f>
        <v>Sunday</v>
      </c>
      <c r="Q613" t="str">
        <f>TEXT(tbl_working_daily[[#This Row],[ActivityDate]],"mmmm")</f>
        <v>April</v>
      </c>
      <c r="R613">
        <f t="shared" si="18"/>
        <v>388</v>
      </c>
      <c r="S613">
        <f t="shared" si="19"/>
        <v>1440</v>
      </c>
      <c r="T613">
        <f>ROUND(tbl_working_daily[[#This Row],[SedentaryMinutes]]/60,2)</f>
        <v>17.53</v>
      </c>
      <c r="U613" t="str" cm="1">
        <f t="array" ref="U61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13" t="str" cm="1">
        <f t="array" ref="V613">_xlfn.IFS(tbl_working_daily[[#This Row],[VeryActiveMinutes]]&gt;=30,"Very Active",tbl_working_daily[[#This Row],[VeryActiveMinutes]]&gt;=15,"Moderately Active",tbl_working_daily[[#This Row],[VeryActiveMinutes]]&gt;=1,"Lightly Active",tbl_working_daily[[#This Row],[VeryActiveMinutes]]=0,"Sedentary")</f>
        <v>Moderately Active</v>
      </c>
      <c r="W613" t="str">
        <f>tbl_working_daily[[#This Row],[Id]]&amp;"|"&amp;TEXT(tbl_working_daily[[#This Row],[ActivityDate]],"yyyy-mm-dd")</f>
        <v>2022484408|2016-04-17</v>
      </c>
      <c r="X613" t="b">
        <f>ISNUMBER(MATCH(tbl_working_daily[[#This Row],[LookupKey]],tbl_working_sleep[LookupKey],0))</f>
        <v>0</v>
      </c>
    </row>
    <row r="614" spans="1:24" x14ac:dyDescent="0.3">
      <c r="A614">
        <v>2022484408</v>
      </c>
      <c r="B614" s="1">
        <v>42478</v>
      </c>
      <c r="C614">
        <v>14131</v>
      </c>
      <c r="D614">
        <v>10.069999694824199</v>
      </c>
      <c r="E614">
        <v>10.069999694824199</v>
      </c>
      <c r="F614">
        <v>0</v>
      </c>
      <c r="G614">
        <v>3.6400001049041699</v>
      </c>
      <c r="H614">
        <v>0.119999997317791</v>
      </c>
      <c r="I614">
        <v>6.3000001907348597</v>
      </c>
      <c r="J614">
        <v>0</v>
      </c>
      <c r="K614">
        <v>48</v>
      </c>
      <c r="L614">
        <v>3</v>
      </c>
      <c r="M614">
        <v>311</v>
      </c>
      <c r="N614">
        <v>1078</v>
      </c>
      <c r="O614">
        <v>2770</v>
      </c>
      <c r="P614" t="str">
        <f>TEXT(tbl_working_daily[[#This Row],[ActivityDate]],"dddd")</f>
        <v>Monday</v>
      </c>
      <c r="Q614" t="str">
        <f>TEXT(tbl_working_daily[[#This Row],[ActivityDate]],"mmmm")</f>
        <v>April</v>
      </c>
      <c r="R614">
        <f t="shared" si="18"/>
        <v>362</v>
      </c>
      <c r="S614">
        <f t="shared" si="19"/>
        <v>1440</v>
      </c>
      <c r="T614">
        <f>ROUND(tbl_working_daily[[#This Row],[SedentaryMinutes]]/60,2)</f>
        <v>17.97</v>
      </c>
      <c r="U614" t="str" cm="1">
        <f t="array" ref="U61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14" t="str" cm="1">
        <f t="array" ref="V614">_xlfn.IFS(tbl_working_daily[[#This Row],[VeryActiveMinutes]]&gt;=30,"Very Active",tbl_working_daily[[#This Row],[VeryActiveMinutes]]&gt;=15,"Moderately Active",tbl_working_daily[[#This Row],[VeryActiveMinutes]]&gt;=1,"Lightly Active",tbl_working_daily[[#This Row],[VeryActiveMinutes]]=0,"Sedentary")</f>
        <v>Very Active</v>
      </c>
      <c r="W614" t="str">
        <f>tbl_working_daily[[#This Row],[Id]]&amp;"|"&amp;TEXT(tbl_working_daily[[#This Row],[ActivityDate]],"yyyy-mm-dd")</f>
        <v>2022484408|2016-04-18</v>
      </c>
      <c r="X614" t="b">
        <f>ISNUMBER(MATCH(tbl_working_daily[[#This Row],[LookupKey]],tbl_working_sleep[LookupKey],0))</f>
        <v>0</v>
      </c>
    </row>
    <row r="615" spans="1:24" x14ac:dyDescent="0.3">
      <c r="A615">
        <v>2022484408</v>
      </c>
      <c r="B615" s="1">
        <v>42479</v>
      </c>
      <c r="C615">
        <v>11548</v>
      </c>
      <c r="D615">
        <v>8.5299997329711896</v>
      </c>
      <c r="E615">
        <v>8.5299997329711896</v>
      </c>
      <c r="F615">
        <v>0</v>
      </c>
      <c r="G615">
        <v>3.28999996185303</v>
      </c>
      <c r="H615">
        <v>0.239999994635582</v>
      </c>
      <c r="I615">
        <v>5</v>
      </c>
      <c r="J615">
        <v>0</v>
      </c>
      <c r="K615">
        <v>31</v>
      </c>
      <c r="L615">
        <v>7</v>
      </c>
      <c r="M615">
        <v>250</v>
      </c>
      <c r="N615">
        <v>1152</v>
      </c>
      <c r="O615">
        <v>2489</v>
      </c>
      <c r="P615" t="str">
        <f>TEXT(tbl_working_daily[[#This Row],[ActivityDate]],"dddd")</f>
        <v>Tuesday</v>
      </c>
      <c r="Q615" t="str">
        <f>TEXT(tbl_working_daily[[#This Row],[ActivityDate]],"mmmm")</f>
        <v>April</v>
      </c>
      <c r="R615">
        <f t="shared" si="18"/>
        <v>288</v>
      </c>
      <c r="S615">
        <f t="shared" si="19"/>
        <v>1440</v>
      </c>
      <c r="T615">
        <f>ROUND(tbl_working_daily[[#This Row],[SedentaryMinutes]]/60,2)</f>
        <v>19.2</v>
      </c>
      <c r="U615" t="str" cm="1">
        <f t="array" ref="U61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15" t="str" cm="1">
        <f t="array" ref="V615">_xlfn.IFS(tbl_working_daily[[#This Row],[VeryActiveMinutes]]&gt;=30,"Very Active",tbl_working_daily[[#This Row],[VeryActiveMinutes]]&gt;=15,"Moderately Active",tbl_working_daily[[#This Row],[VeryActiveMinutes]]&gt;=1,"Lightly Active",tbl_working_daily[[#This Row],[VeryActiveMinutes]]=0,"Sedentary")</f>
        <v>Very Active</v>
      </c>
      <c r="W615" t="str">
        <f>tbl_working_daily[[#This Row],[Id]]&amp;"|"&amp;TEXT(tbl_working_daily[[#This Row],[ActivityDate]],"yyyy-mm-dd")</f>
        <v>2022484408|2016-04-19</v>
      </c>
      <c r="X615" t="b">
        <f>ISNUMBER(MATCH(tbl_working_daily[[#This Row],[LookupKey]],tbl_working_sleep[LookupKey],0))</f>
        <v>0</v>
      </c>
    </row>
    <row r="616" spans="1:24" x14ac:dyDescent="0.3">
      <c r="A616">
        <v>2022484408</v>
      </c>
      <c r="B616" s="1">
        <v>42480</v>
      </c>
      <c r="C616">
        <v>15112</v>
      </c>
      <c r="D616">
        <v>10.670000076293899</v>
      </c>
      <c r="E616">
        <v>10.670000076293899</v>
      </c>
      <c r="F616">
        <v>0</v>
      </c>
      <c r="G616">
        <v>3.3399999141693102</v>
      </c>
      <c r="H616">
        <v>1.9299999475479099</v>
      </c>
      <c r="I616">
        <v>5.4000000953674299</v>
      </c>
      <c r="J616">
        <v>0</v>
      </c>
      <c r="K616">
        <v>48</v>
      </c>
      <c r="L616">
        <v>63</v>
      </c>
      <c r="M616">
        <v>276</v>
      </c>
      <c r="N616">
        <v>1053</v>
      </c>
      <c r="O616">
        <v>2897</v>
      </c>
      <c r="P616" t="str">
        <f>TEXT(tbl_working_daily[[#This Row],[ActivityDate]],"dddd")</f>
        <v>Wednesday</v>
      </c>
      <c r="Q616" t="str">
        <f>TEXT(tbl_working_daily[[#This Row],[ActivityDate]],"mmmm")</f>
        <v>April</v>
      </c>
      <c r="R616">
        <f t="shared" si="18"/>
        <v>387</v>
      </c>
      <c r="S616">
        <f t="shared" si="19"/>
        <v>1440</v>
      </c>
      <c r="T616">
        <f>ROUND(tbl_working_daily[[#This Row],[SedentaryMinutes]]/60,2)</f>
        <v>17.55</v>
      </c>
      <c r="U616" t="str" cm="1">
        <f t="array" ref="U61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16" t="str" cm="1">
        <f t="array" ref="V616">_xlfn.IFS(tbl_working_daily[[#This Row],[VeryActiveMinutes]]&gt;=30,"Very Active",tbl_working_daily[[#This Row],[VeryActiveMinutes]]&gt;=15,"Moderately Active",tbl_working_daily[[#This Row],[VeryActiveMinutes]]&gt;=1,"Lightly Active",tbl_working_daily[[#This Row],[VeryActiveMinutes]]=0,"Sedentary")</f>
        <v>Very Active</v>
      </c>
      <c r="W616" t="str">
        <f>tbl_working_daily[[#This Row],[Id]]&amp;"|"&amp;TEXT(tbl_working_daily[[#This Row],[ActivityDate]],"yyyy-mm-dd")</f>
        <v>2022484408|2016-04-20</v>
      </c>
      <c r="X616" t="b">
        <f>ISNUMBER(MATCH(tbl_working_daily[[#This Row],[LookupKey]],tbl_working_sleep[LookupKey],0))</f>
        <v>0</v>
      </c>
    </row>
    <row r="617" spans="1:24" x14ac:dyDescent="0.3">
      <c r="A617">
        <v>2022484408</v>
      </c>
      <c r="B617" s="1">
        <v>42481</v>
      </c>
      <c r="C617">
        <v>12453</v>
      </c>
      <c r="D617">
        <v>8.7399997711181605</v>
      </c>
      <c r="E617">
        <v>8.7399997711181605</v>
      </c>
      <c r="F617">
        <v>0</v>
      </c>
      <c r="G617">
        <v>3.3299999237060498</v>
      </c>
      <c r="H617">
        <v>1.1100000143051101</v>
      </c>
      <c r="I617">
        <v>4.3099999427795401</v>
      </c>
      <c r="J617">
        <v>0</v>
      </c>
      <c r="K617">
        <v>104</v>
      </c>
      <c r="L617">
        <v>53</v>
      </c>
      <c r="M617">
        <v>255</v>
      </c>
      <c r="N617">
        <v>1028</v>
      </c>
      <c r="O617">
        <v>3158</v>
      </c>
      <c r="P617" t="str">
        <f>TEXT(tbl_working_daily[[#This Row],[ActivityDate]],"dddd")</f>
        <v>Thursday</v>
      </c>
      <c r="Q617" t="str">
        <f>TEXT(tbl_working_daily[[#This Row],[ActivityDate]],"mmmm")</f>
        <v>April</v>
      </c>
      <c r="R617">
        <f t="shared" si="18"/>
        <v>412</v>
      </c>
      <c r="S617">
        <f t="shared" si="19"/>
        <v>1440</v>
      </c>
      <c r="T617">
        <f>ROUND(tbl_working_daily[[#This Row],[SedentaryMinutes]]/60,2)</f>
        <v>17.13</v>
      </c>
      <c r="U617" t="str" cm="1">
        <f t="array" ref="U61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17" t="str" cm="1">
        <f t="array" ref="V617">_xlfn.IFS(tbl_working_daily[[#This Row],[VeryActiveMinutes]]&gt;=30,"Very Active",tbl_working_daily[[#This Row],[VeryActiveMinutes]]&gt;=15,"Moderately Active",tbl_working_daily[[#This Row],[VeryActiveMinutes]]&gt;=1,"Lightly Active",tbl_working_daily[[#This Row],[VeryActiveMinutes]]=0,"Sedentary")</f>
        <v>Very Active</v>
      </c>
      <c r="W617" t="str">
        <f>tbl_working_daily[[#This Row],[Id]]&amp;"|"&amp;TEXT(tbl_working_daily[[#This Row],[ActivityDate]],"yyyy-mm-dd")</f>
        <v>2022484408|2016-04-21</v>
      </c>
      <c r="X617" t="b">
        <f>ISNUMBER(MATCH(tbl_working_daily[[#This Row],[LookupKey]],tbl_working_sleep[LookupKey],0))</f>
        <v>0</v>
      </c>
    </row>
    <row r="618" spans="1:24" x14ac:dyDescent="0.3">
      <c r="A618">
        <v>2022484408</v>
      </c>
      <c r="B618" s="1">
        <v>42482</v>
      </c>
      <c r="C618">
        <v>12954</v>
      </c>
      <c r="D618">
        <v>9.3299999237060494</v>
      </c>
      <c r="E618">
        <v>9.3299999237060494</v>
      </c>
      <c r="F618">
        <v>0</v>
      </c>
      <c r="G618">
        <v>4.4299998283386204</v>
      </c>
      <c r="H618">
        <v>0.41999998688697798</v>
      </c>
      <c r="I618">
        <v>4.4699997901916504</v>
      </c>
      <c r="J618">
        <v>0</v>
      </c>
      <c r="K618">
        <v>52</v>
      </c>
      <c r="L618">
        <v>10</v>
      </c>
      <c r="M618">
        <v>273</v>
      </c>
      <c r="N618">
        <v>1105</v>
      </c>
      <c r="O618">
        <v>2638</v>
      </c>
      <c r="P618" t="str">
        <f>TEXT(tbl_working_daily[[#This Row],[ActivityDate]],"dddd")</f>
        <v>Friday</v>
      </c>
      <c r="Q618" t="str">
        <f>TEXT(tbl_working_daily[[#This Row],[ActivityDate]],"mmmm")</f>
        <v>April</v>
      </c>
      <c r="R618">
        <f t="shared" si="18"/>
        <v>335</v>
      </c>
      <c r="S618">
        <f t="shared" si="19"/>
        <v>1440</v>
      </c>
      <c r="T618">
        <f>ROUND(tbl_working_daily[[#This Row],[SedentaryMinutes]]/60,2)</f>
        <v>18.420000000000002</v>
      </c>
      <c r="U618" t="str" cm="1">
        <f t="array" ref="U61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18" t="str" cm="1">
        <f t="array" ref="V618">_xlfn.IFS(tbl_working_daily[[#This Row],[VeryActiveMinutes]]&gt;=30,"Very Active",tbl_working_daily[[#This Row],[VeryActiveMinutes]]&gt;=15,"Moderately Active",tbl_working_daily[[#This Row],[VeryActiveMinutes]]&gt;=1,"Lightly Active",tbl_working_daily[[#This Row],[VeryActiveMinutes]]=0,"Sedentary")</f>
        <v>Very Active</v>
      </c>
      <c r="W618" t="str">
        <f>tbl_working_daily[[#This Row],[Id]]&amp;"|"&amp;TEXT(tbl_working_daily[[#This Row],[ActivityDate]],"yyyy-mm-dd")</f>
        <v>2022484408|2016-04-22</v>
      </c>
      <c r="X618" t="b">
        <f>ISNUMBER(MATCH(tbl_working_daily[[#This Row],[LookupKey]],tbl_working_sleep[LookupKey],0))</f>
        <v>0</v>
      </c>
    </row>
    <row r="619" spans="1:24" x14ac:dyDescent="0.3">
      <c r="A619">
        <v>2022484408</v>
      </c>
      <c r="B619" s="1">
        <v>42483</v>
      </c>
      <c r="C619">
        <v>6001</v>
      </c>
      <c r="D619">
        <v>4.21000003814697</v>
      </c>
      <c r="E619">
        <v>4.21000003814697</v>
      </c>
      <c r="F619">
        <v>0</v>
      </c>
      <c r="G619">
        <v>0</v>
      </c>
      <c r="H619">
        <v>0</v>
      </c>
      <c r="I619">
        <v>4.21000003814697</v>
      </c>
      <c r="J619">
        <v>0</v>
      </c>
      <c r="K619">
        <v>0</v>
      </c>
      <c r="L619">
        <v>0</v>
      </c>
      <c r="M619">
        <v>249</v>
      </c>
      <c r="N619">
        <v>1191</v>
      </c>
      <c r="O619">
        <v>2069</v>
      </c>
      <c r="P619" t="str">
        <f>TEXT(tbl_working_daily[[#This Row],[ActivityDate]],"dddd")</f>
        <v>Saturday</v>
      </c>
      <c r="Q619" t="str">
        <f>TEXT(tbl_working_daily[[#This Row],[ActivityDate]],"mmmm")</f>
        <v>April</v>
      </c>
      <c r="R619">
        <f t="shared" si="18"/>
        <v>249</v>
      </c>
      <c r="S619">
        <f t="shared" si="19"/>
        <v>1440</v>
      </c>
      <c r="T619">
        <f>ROUND(tbl_working_daily[[#This Row],[SedentaryMinutes]]/60,2)</f>
        <v>19.850000000000001</v>
      </c>
      <c r="U619" t="str" cm="1">
        <f t="array" ref="U61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19" t="str" cm="1">
        <f t="array" ref="V619">_xlfn.IFS(tbl_working_daily[[#This Row],[VeryActiveMinutes]]&gt;=30,"Very Active",tbl_working_daily[[#This Row],[VeryActiveMinutes]]&gt;=15,"Moderately Active",tbl_working_daily[[#This Row],[VeryActiveMinutes]]&gt;=1,"Lightly Active",tbl_working_daily[[#This Row],[VeryActiveMinutes]]=0,"Sedentary")</f>
        <v>Sedentary</v>
      </c>
      <c r="W619" t="str">
        <f>tbl_working_daily[[#This Row],[Id]]&amp;"|"&amp;TEXT(tbl_working_daily[[#This Row],[ActivityDate]],"yyyy-mm-dd")</f>
        <v>2022484408|2016-04-23</v>
      </c>
      <c r="X619" t="b">
        <f>ISNUMBER(MATCH(tbl_working_daily[[#This Row],[LookupKey]],tbl_working_sleep[LookupKey],0))</f>
        <v>0</v>
      </c>
    </row>
    <row r="620" spans="1:24" x14ac:dyDescent="0.3">
      <c r="A620">
        <v>2022484408</v>
      </c>
      <c r="B620" s="1">
        <v>42484</v>
      </c>
      <c r="C620">
        <v>13481</v>
      </c>
      <c r="D620">
        <v>10.2799997329712</v>
      </c>
      <c r="E620">
        <v>10.2799997329712</v>
      </c>
      <c r="F620">
        <v>0</v>
      </c>
      <c r="G620">
        <v>4.5500001907348597</v>
      </c>
      <c r="H620">
        <v>1.1499999761581401</v>
      </c>
      <c r="I620">
        <v>4.5799999237060502</v>
      </c>
      <c r="J620">
        <v>0</v>
      </c>
      <c r="K620">
        <v>37</v>
      </c>
      <c r="L620">
        <v>26</v>
      </c>
      <c r="M620">
        <v>216</v>
      </c>
      <c r="N620">
        <v>1161</v>
      </c>
      <c r="O620">
        <v>2529</v>
      </c>
      <c r="P620" t="str">
        <f>TEXT(tbl_working_daily[[#This Row],[ActivityDate]],"dddd")</f>
        <v>Sunday</v>
      </c>
      <c r="Q620" t="str">
        <f>TEXT(tbl_working_daily[[#This Row],[ActivityDate]],"mmmm")</f>
        <v>April</v>
      </c>
      <c r="R620">
        <f t="shared" si="18"/>
        <v>279</v>
      </c>
      <c r="S620">
        <f t="shared" si="19"/>
        <v>1440</v>
      </c>
      <c r="T620">
        <f>ROUND(tbl_working_daily[[#This Row],[SedentaryMinutes]]/60,2)</f>
        <v>19.350000000000001</v>
      </c>
      <c r="U620" t="str" cm="1">
        <f t="array" ref="U62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20" t="str" cm="1">
        <f t="array" ref="V620">_xlfn.IFS(tbl_working_daily[[#This Row],[VeryActiveMinutes]]&gt;=30,"Very Active",tbl_working_daily[[#This Row],[VeryActiveMinutes]]&gt;=15,"Moderately Active",tbl_working_daily[[#This Row],[VeryActiveMinutes]]&gt;=1,"Lightly Active",tbl_working_daily[[#This Row],[VeryActiveMinutes]]=0,"Sedentary")</f>
        <v>Very Active</v>
      </c>
      <c r="W620" t="str">
        <f>tbl_working_daily[[#This Row],[Id]]&amp;"|"&amp;TEXT(tbl_working_daily[[#This Row],[ActivityDate]],"yyyy-mm-dd")</f>
        <v>2022484408|2016-04-24</v>
      </c>
      <c r="X620" t="b">
        <f>ISNUMBER(MATCH(tbl_working_daily[[#This Row],[LookupKey]],tbl_working_sleep[LookupKey],0))</f>
        <v>0</v>
      </c>
    </row>
    <row r="621" spans="1:24" x14ac:dyDescent="0.3">
      <c r="A621">
        <v>2022484408</v>
      </c>
      <c r="B621" s="1">
        <v>42485</v>
      </c>
      <c r="C621">
        <v>11369</v>
      </c>
      <c r="D621">
        <v>8.0100002288818395</v>
      </c>
      <c r="E621">
        <v>8.0100002288818395</v>
      </c>
      <c r="F621">
        <v>0</v>
      </c>
      <c r="G621">
        <v>3.3299999237060498</v>
      </c>
      <c r="H621">
        <v>0.21999999880790699</v>
      </c>
      <c r="I621">
        <v>4.46000003814697</v>
      </c>
      <c r="J621">
        <v>0</v>
      </c>
      <c r="K621">
        <v>44</v>
      </c>
      <c r="L621">
        <v>8</v>
      </c>
      <c r="M621">
        <v>217</v>
      </c>
      <c r="N621">
        <v>1171</v>
      </c>
      <c r="O621">
        <v>2470</v>
      </c>
      <c r="P621" t="str">
        <f>TEXT(tbl_working_daily[[#This Row],[ActivityDate]],"dddd")</f>
        <v>Monday</v>
      </c>
      <c r="Q621" t="str">
        <f>TEXT(tbl_working_daily[[#This Row],[ActivityDate]],"mmmm")</f>
        <v>April</v>
      </c>
      <c r="R621">
        <f t="shared" si="18"/>
        <v>269</v>
      </c>
      <c r="S621">
        <f t="shared" si="19"/>
        <v>1440</v>
      </c>
      <c r="T621">
        <f>ROUND(tbl_working_daily[[#This Row],[SedentaryMinutes]]/60,2)</f>
        <v>19.52</v>
      </c>
      <c r="U621" t="str" cm="1">
        <f t="array" ref="U62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1" t="str" cm="1">
        <f t="array" ref="V621">_xlfn.IFS(tbl_working_daily[[#This Row],[VeryActiveMinutes]]&gt;=30,"Very Active",tbl_working_daily[[#This Row],[VeryActiveMinutes]]&gt;=15,"Moderately Active",tbl_working_daily[[#This Row],[VeryActiveMinutes]]&gt;=1,"Lightly Active",tbl_working_daily[[#This Row],[VeryActiveMinutes]]=0,"Sedentary")</f>
        <v>Very Active</v>
      </c>
      <c r="W621" t="str">
        <f>tbl_working_daily[[#This Row],[Id]]&amp;"|"&amp;TEXT(tbl_working_daily[[#This Row],[ActivityDate]],"yyyy-mm-dd")</f>
        <v>2022484408|2016-04-25</v>
      </c>
      <c r="X621" t="b">
        <f>ISNUMBER(MATCH(tbl_working_daily[[#This Row],[LookupKey]],tbl_working_sleep[LookupKey],0))</f>
        <v>0</v>
      </c>
    </row>
    <row r="622" spans="1:24" x14ac:dyDescent="0.3">
      <c r="A622">
        <v>2022484408</v>
      </c>
      <c r="B622" s="1">
        <v>42486</v>
      </c>
      <c r="C622">
        <v>10119</v>
      </c>
      <c r="D622">
        <v>7.1900000572204599</v>
      </c>
      <c r="E622">
        <v>7.1900000572204599</v>
      </c>
      <c r="F622">
        <v>0</v>
      </c>
      <c r="G622">
        <v>1.4299999475479099</v>
      </c>
      <c r="H622">
        <v>0.66000002622604403</v>
      </c>
      <c r="I622">
        <v>5.1100001335143999</v>
      </c>
      <c r="J622">
        <v>0</v>
      </c>
      <c r="K622">
        <v>55</v>
      </c>
      <c r="L622">
        <v>24</v>
      </c>
      <c r="M622">
        <v>275</v>
      </c>
      <c r="N622">
        <v>1086</v>
      </c>
      <c r="O622">
        <v>2793</v>
      </c>
      <c r="P622" t="str">
        <f>TEXT(tbl_working_daily[[#This Row],[ActivityDate]],"dddd")</f>
        <v>Tuesday</v>
      </c>
      <c r="Q622" t="str">
        <f>TEXT(tbl_working_daily[[#This Row],[ActivityDate]],"mmmm")</f>
        <v>April</v>
      </c>
      <c r="R622">
        <f t="shared" si="18"/>
        <v>354</v>
      </c>
      <c r="S622">
        <f t="shared" si="19"/>
        <v>1440</v>
      </c>
      <c r="T622">
        <f>ROUND(tbl_working_daily[[#This Row],[SedentaryMinutes]]/60,2)</f>
        <v>18.100000000000001</v>
      </c>
      <c r="U622" t="str" cm="1">
        <f t="array" ref="U62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2" t="str" cm="1">
        <f t="array" ref="V622">_xlfn.IFS(tbl_working_daily[[#This Row],[VeryActiveMinutes]]&gt;=30,"Very Active",tbl_working_daily[[#This Row],[VeryActiveMinutes]]&gt;=15,"Moderately Active",tbl_working_daily[[#This Row],[VeryActiveMinutes]]&gt;=1,"Lightly Active",tbl_working_daily[[#This Row],[VeryActiveMinutes]]=0,"Sedentary")</f>
        <v>Very Active</v>
      </c>
      <c r="W622" t="str">
        <f>tbl_working_daily[[#This Row],[Id]]&amp;"|"&amp;TEXT(tbl_working_daily[[#This Row],[ActivityDate]],"yyyy-mm-dd")</f>
        <v>2022484408|2016-04-26</v>
      </c>
      <c r="X622" t="b">
        <f>ISNUMBER(MATCH(tbl_working_daily[[#This Row],[LookupKey]],tbl_working_sleep[LookupKey],0))</f>
        <v>0</v>
      </c>
    </row>
    <row r="623" spans="1:24" x14ac:dyDescent="0.3">
      <c r="A623">
        <v>2022484408</v>
      </c>
      <c r="B623" s="1">
        <v>42487</v>
      </c>
      <c r="C623">
        <v>10159</v>
      </c>
      <c r="D623">
        <v>7.1300001144409197</v>
      </c>
      <c r="E623">
        <v>7.1300001144409197</v>
      </c>
      <c r="F623">
        <v>0</v>
      </c>
      <c r="G623">
        <v>1.03999996185303</v>
      </c>
      <c r="H623">
        <v>0.97000002861022905</v>
      </c>
      <c r="I623">
        <v>5.1199998855590803</v>
      </c>
      <c r="J623">
        <v>0</v>
      </c>
      <c r="K623">
        <v>19</v>
      </c>
      <c r="L623">
        <v>20</v>
      </c>
      <c r="M623">
        <v>282</v>
      </c>
      <c r="N623">
        <v>1119</v>
      </c>
      <c r="O623">
        <v>2463</v>
      </c>
      <c r="P623" t="str">
        <f>TEXT(tbl_working_daily[[#This Row],[ActivityDate]],"dddd")</f>
        <v>Wednesday</v>
      </c>
      <c r="Q623" t="str">
        <f>TEXT(tbl_working_daily[[#This Row],[ActivityDate]],"mmmm")</f>
        <v>April</v>
      </c>
      <c r="R623">
        <f t="shared" si="18"/>
        <v>321</v>
      </c>
      <c r="S623">
        <f t="shared" si="19"/>
        <v>1440</v>
      </c>
      <c r="T623">
        <f>ROUND(tbl_working_daily[[#This Row],[SedentaryMinutes]]/60,2)</f>
        <v>18.649999999999999</v>
      </c>
      <c r="U623" t="str" cm="1">
        <f t="array" ref="U62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3" t="str" cm="1">
        <f t="array" ref="V623">_xlfn.IFS(tbl_working_daily[[#This Row],[VeryActiveMinutes]]&gt;=30,"Very Active",tbl_working_daily[[#This Row],[VeryActiveMinutes]]&gt;=15,"Moderately Active",tbl_working_daily[[#This Row],[VeryActiveMinutes]]&gt;=1,"Lightly Active",tbl_working_daily[[#This Row],[VeryActiveMinutes]]=0,"Sedentary")</f>
        <v>Moderately Active</v>
      </c>
      <c r="W623" t="str">
        <f>tbl_working_daily[[#This Row],[Id]]&amp;"|"&amp;TEXT(tbl_working_daily[[#This Row],[ActivityDate]],"yyyy-mm-dd")</f>
        <v>2022484408|2016-04-27</v>
      </c>
      <c r="X623" t="b">
        <f>ISNUMBER(MATCH(tbl_working_daily[[#This Row],[LookupKey]],tbl_working_sleep[LookupKey],0))</f>
        <v>0</v>
      </c>
    </row>
    <row r="624" spans="1:24" x14ac:dyDescent="0.3">
      <c r="A624">
        <v>2022484408</v>
      </c>
      <c r="B624" s="1">
        <v>42488</v>
      </c>
      <c r="C624">
        <v>10140</v>
      </c>
      <c r="D624">
        <v>7.1199998855590803</v>
      </c>
      <c r="E624">
        <v>7.1199998855590803</v>
      </c>
      <c r="F624">
        <v>0</v>
      </c>
      <c r="G624">
        <v>0.40999999642372098</v>
      </c>
      <c r="H624">
        <v>1.33000004291534</v>
      </c>
      <c r="I624">
        <v>5.3899998664856001</v>
      </c>
      <c r="J624">
        <v>0</v>
      </c>
      <c r="K624">
        <v>6</v>
      </c>
      <c r="L624">
        <v>20</v>
      </c>
      <c r="M624">
        <v>291</v>
      </c>
      <c r="N624">
        <v>1123</v>
      </c>
      <c r="O624">
        <v>2296</v>
      </c>
      <c r="P624" t="str">
        <f>TEXT(tbl_working_daily[[#This Row],[ActivityDate]],"dddd")</f>
        <v>Thursday</v>
      </c>
      <c r="Q624" t="str">
        <f>TEXT(tbl_working_daily[[#This Row],[ActivityDate]],"mmmm")</f>
        <v>April</v>
      </c>
      <c r="R624">
        <f t="shared" si="18"/>
        <v>317</v>
      </c>
      <c r="S624">
        <f t="shared" si="19"/>
        <v>1440</v>
      </c>
      <c r="T624">
        <f>ROUND(tbl_working_daily[[#This Row],[SedentaryMinutes]]/60,2)</f>
        <v>18.72</v>
      </c>
      <c r="U624" t="str" cm="1">
        <f t="array" ref="U62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4" t="str" cm="1">
        <f t="array" ref="V624">_xlfn.IFS(tbl_working_daily[[#This Row],[VeryActiveMinutes]]&gt;=30,"Very Active",tbl_working_daily[[#This Row],[VeryActiveMinutes]]&gt;=15,"Moderately Active",tbl_working_daily[[#This Row],[VeryActiveMinutes]]&gt;=1,"Lightly Active",tbl_working_daily[[#This Row],[VeryActiveMinutes]]=0,"Sedentary")</f>
        <v>Lightly Active</v>
      </c>
      <c r="W624" t="str">
        <f>tbl_working_daily[[#This Row],[Id]]&amp;"|"&amp;TEXT(tbl_working_daily[[#This Row],[ActivityDate]],"yyyy-mm-dd")</f>
        <v>2022484408|2016-04-28</v>
      </c>
      <c r="X624" t="b">
        <f>ISNUMBER(MATCH(tbl_working_daily[[#This Row],[LookupKey]],tbl_working_sleep[LookupKey],0))</f>
        <v>0</v>
      </c>
    </row>
    <row r="625" spans="1:24" x14ac:dyDescent="0.3">
      <c r="A625">
        <v>2022484408</v>
      </c>
      <c r="B625" s="1">
        <v>42489</v>
      </c>
      <c r="C625">
        <v>10245</v>
      </c>
      <c r="D625">
        <v>7.1900000572204599</v>
      </c>
      <c r="E625">
        <v>7.1900000572204599</v>
      </c>
      <c r="F625">
        <v>0</v>
      </c>
      <c r="G625">
        <v>0.479999989271164</v>
      </c>
      <c r="H625">
        <v>1.21000003814697</v>
      </c>
      <c r="I625">
        <v>5.5</v>
      </c>
      <c r="J625">
        <v>0</v>
      </c>
      <c r="K625">
        <v>21</v>
      </c>
      <c r="L625">
        <v>40</v>
      </c>
      <c r="M625">
        <v>281</v>
      </c>
      <c r="N625">
        <v>1098</v>
      </c>
      <c r="O625">
        <v>2611</v>
      </c>
      <c r="P625" t="str">
        <f>TEXT(tbl_working_daily[[#This Row],[ActivityDate]],"dddd")</f>
        <v>Friday</v>
      </c>
      <c r="Q625" t="str">
        <f>TEXT(tbl_working_daily[[#This Row],[ActivityDate]],"mmmm")</f>
        <v>April</v>
      </c>
      <c r="R625">
        <f t="shared" si="18"/>
        <v>342</v>
      </c>
      <c r="S625">
        <f t="shared" si="19"/>
        <v>1440</v>
      </c>
      <c r="T625">
        <f>ROUND(tbl_working_daily[[#This Row],[SedentaryMinutes]]/60,2)</f>
        <v>18.3</v>
      </c>
      <c r="U625" t="str" cm="1">
        <f t="array" ref="U62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5" t="str" cm="1">
        <f t="array" ref="V625">_xlfn.IFS(tbl_working_daily[[#This Row],[VeryActiveMinutes]]&gt;=30,"Very Active",tbl_working_daily[[#This Row],[VeryActiveMinutes]]&gt;=15,"Moderately Active",tbl_working_daily[[#This Row],[VeryActiveMinutes]]&gt;=1,"Lightly Active",tbl_working_daily[[#This Row],[VeryActiveMinutes]]=0,"Sedentary")</f>
        <v>Moderately Active</v>
      </c>
      <c r="W625" t="str">
        <f>tbl_working_daily[[#This Row],[Id]]&amp;"|"&amp;TEXT(tbl_working_daily[[#This Row],[ActivityDate]],"yyyy-mm-dd")</f>
        <v>2022484408|2016-04-29</v>
      </c>
      <c r="X625" t="b">
        <f>ISNUMBER(MATCH(tbl_working_daily[[#This Row],[LookupKey]],tbl_working_sleep[LookupKey],0))</f>
        <v>0</v>
      </c>
    </row>
    <row r="626" spans="1:24" x14ac:dyDescent="0.3">
      <c r="A626">
        <v>2022484408</v>
      </c>
      <c r="B626" s="1">
        <v>42490</v>
      </c>
      <c r="C626">
        <v>18387</v>
      </c>
      <c r="D626">
        <v>12.9099998474121</v>
      </c>
      <c r="E626">
        <v>12.9099998474121</v>
      </c>
      <c r="F626">
        <v>0</v>
      </c>
      <c r="G626">
        <v>0.93999999761581399</v>
      </c>
      <c r="H626">
        <v>1.3999999761581401</v>
      </c>
      <c r="I626">
        <v>10.569999694824199</v>
      </c>
      <c r="J626">
        <v>0</v>
      </c>
      <c r="K626">
        <v>13</v>
      </c>
      <c r="L626">
        <v>23</v>
      </c>
      <c r="M626">
        <v>361</v>
      </c>
      <c r="N626">
        <v>1043</v>
      </c>
      <c r="O626">
        <v>2732</v>
      </c>
      <c r="P626" t="str">
        <f>TEXT(tbl_working_daily[[#This Row],[ActivityDate]],"dddd")</f>
        <v>Saturday</v>
      </c>
      <c r="Q626" t="str">
        <f>TEXT(tbl_working_daily[[#This Row],[ActivityDate]],"mmmm")</f>
        <v>April</v>
      </c>
      <c r="R626">
        <f t="shared" si="18"/>
        <v>397</v>
      </c>
      <c r="S626">
        <f t="shared" si="19"/>
        <v>1440</v>
      </c>
      <c r="T626">
        <f>ROUND(tbl_working_daily[[#This Row],[SedentaryMinutes]]/60,2)</f>
        <v>17.38</v>
      </c>
      <c r="U626" t="str" cm="1">
        <f t="array" ref="U62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26" t="str" cm="1">
        <f t="array" ref="V626">_xlfn.IFS(tbl_working_daily[[#This Row],[VeryActiveMinutes]]&gt;=30,"Very Active",tbl_working_daily[[#This Row],[VeryActiveMinutes]]&gt;=15,"Moderately Active",tbl_working_daily[[#This Row],[VeryActiveMinutes]]&gt;=1,"Lightly Active",tbl_working_daily[[#This Row],[VeryActiveMinutes]]=0,"Sedentary")</f>
        <v>Lightly Active</v>
      </c>
      <c r="W626" t="str">
        <f>tbl_working_daily[[#This Row],[Id]]&amp;"|"&amp;TEXT(tbl_working_daily[[#This Row],[ActivityDate]],"yyyy-mm-dd")</f>
        <v>2022484408|2016-04-30</v>
      </c>
      <c r="X626" t="b">
        <f>ISNUMBER(MATCH(tbl_working_daily[[#This Row],[LookupKey]],tbl_working_sleep[LookupKey],0))</f>
        <v>0</v>
      </c>
    </row>
    <row r="627" spans="1:24" x14ac:dyDescent="0.3">
      <c r="A627">
        <v>2022484408</v>
      </c>
      <c r="B627" s="1">
        <v>42491</v>
      </c>
      <c r="C627">
        <v>10538</v>
      </c>
      <c r="D627">
        <v>7.4000000953674299</v>
      </c>
      <c r="E627">
        <v>7.4000000953674299</v>
      </c>
      <c r="F627">
        <v>0</v>
      </c>
      <c r="G627">
        <v>1.9400000572204601</v>
      </c>
      <c r="H627">
        <v>0.95999997854232799</v>
      </c>
      <c r="I627">
        <v>4.5</v>
      </c>
      <c r="J627">
        <v>0</v>
      </c>
      <c r="K627">
        <v>25</v>
      </c>
      <c r="L627">
        <v>28</v>
      </c>
      <c r="M627">
        <v>245</v>
      </c>
      <c r="N627">
        <v>1142</v>
      </c>
      <c r="O627">
        <v>2380</v>
      </c>
      <c r="P627" t="str">
        <f>TEXT(tbl_working_daily[[#This Row],[ActivityDate]],"dddd")</f>
        <v>Sunday</v>
      </c>
      <c r="Q627" t="str">
        <f>TEXT(tbl_working_daily[[#This Row],[ActivityDate]],"mmmm")</f>
        <v>May</v>
      </c>
      <c r="R627">
        <f t="shared" si="18"/>
        <v>298</v>
      </c>
      <c r="S627">
        <f t="shared" si="19"/>
        <v>1440</v>
      </c>
      <c r="T627">
        <f>ROUND(tbl_working_daily[[#This Row],[SedentaryMinutes]]/60,2)</f>
        <v>19.03</v>
      </c>
      <c r="U627" t="str" cm="1">
        <f t="array" ref="U62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7" t="str" cm="1">
        <f t="array" ref="V627">_xlfn.IFS(tbl_working_daily[[#This Row],[VeryActiveMinutes]]&gt;=30,"Very Active",tbl_working_daily[[#This Row],[VeryActiveMinutes]]&gt;=15,"Moderately Active",tbl_working_daily[[#This Row],[VeryActiveMinutes]]&gt;=1,"Lightly Active",tbl_working_daily[[#This Row],[VeryActiveMinutes]]=0,"Sedentary")</f>
        <v>Moderately Active</v>
      </c>
      <c r="W627" t="str">
        <f>tbl_working_daily[[#This Row],[Id]]&amp;"|"&amp;TEXT(tbl_working_daily[[#This Row],[ActivityDate]],"yyyy-mm-dd")</f>
        <v>2022484408|2016-05-01</v>
      </c>
      <c r="X627" t="b">
        <f>ISNUMBER(MATCH(tbl_working_daily[[#This Row],[LookupKey]],tbl_working_sleep[LookupKey],0))</f>
        <v>0</v>
      </c>
    </row>
    <row r="628" spans="1:24" x14ac:dyDescent="0.3">
      <c r="A628">
        <v>2022484408</v>
      </c>
      <c r="B628" s="1">
        <v>42492</v>
      </c>
      <c r="C628">
        <v>10379</v>
      </c>
      <c r="D628">
        <v>7.28999996185303</v>
      </c>
      <c r="E628">
        <v>7.28999996185303</v>
      </c>
      <c r="F628">
        <v>0</v>
      </c>
      <c r="G628">
        <v>2.6099998950958301</v>
      </c>
      <c r="H628">
        <v>0.34000000357627902</v>
      </c>
      <c r="I628">
        <v>4.3299999237060502</v>
      </c>
      <c r="J628">
        <v>0</v>
      </c>
      <c r="K628">
        <v>36</v>
      </c>
      <c r="L628">
        <v>8</v>
      </c>
      <c r="M628">
        <v>277</v>
      </c>
      <c r="N628">
        <v>1119</v>
      </c>
      <c r="O628">
        <v>2473</v>
      </c>
      <c r="P628" t="str">
        <f>TEXT(tbl_working_daily[[#This Row],[ActivityDate]],"dddd")</f>
        <v>Monday</v>
      </c>
      <c r="Q628" t="str">
        <f>TEXT(tbl_working_daily[[#This Row],[ActivityDate]],"mmmm")</f>
        <v>May</v>
      </c>
      <c r="R628">
        <f t="shared" si="18"/>
        <v>321</v>
      </c>
      <c r="S628">
        <f t="shared" si="19"/>
        <v>1440</v>
      </c>
      <c r="T628">
        <f>ROUND(tbl_working_daily[[#This Row],[SedentaryMinutes]]/60,2)</f>
        <v>18.649999999999999</v>
      </c>
      <c r="U628" t="str" cm="1">
        <f t="array" ref="U62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8" t="str" cm="1">
        <f t="array" ref="V628">_xlfn.IFS(tbl_working_daily[[#This Row],[VeryActiveMinutes]]&gt;=30,"Very Active",tbl_working_daily[[#This Row],[VeryActiveMinutes]]&gt;=15,"Moderately Active",tbl_working_daily[[#This Row],[VeryActiveMinutes]]&gt;=1,"Lightly Active",tbl_working_daily[[#This Row],[VeryActiveMinutes]]=0,"Sedentary")</f>
        <v>Very Active</v>
      </c>
      <c r="W628" t="str">
        <f>tbl_working_daily[[#This Row],[Id]]&amp;"|"&amp;TEXT(tbl_working_daily[[#This Row],[ActivityDate]],"yyyy-mm-dd")</f>
        <v>2022484408|2016-05-02</v>
      </c>
      <c r="X628" t="b">
        <f>ISNUMBER(MATCH(tbl_working_daily[[#This Row],[LookupKey]],tbl_working_sleep[LookupKey],0))</f>
        <v>0</v>
      </c>
    </row>
    <row r="629" spans="1:24" x14ac:dyDescent="0.3">
      <c r="A629">
        <v>2022484408</v>
      </c>
      <c r="B629" s="1">
        <v>42493</v>
      </c>
      <c r="C629">
        <v>12183</v>
      </c>
      <c r="D629">
        <v>8.7399997711181605</v>
      </c>
      <c r="E629">
        <v>8.7399997711181605</v>
      </c>
      <c r="F629">
        <v>0</v>
      </c>
      <c r="G629">
        <v>3.9900000095367401</v>
      </c>
      <c r="H629">
        <v>0.46000000834464999</v>
      </c>
      <c r="I629">
        <v>4.2800002098083496</v>
      </c>
      <c r="J629">
        <v>0</v>
      </c>
      <c r="K629">
        <v>72</v>
      </c>
      <c r="L629">
        <v>14</v>
      </c>
      <c r="M629">
        <v>250</v>
      </c>
      <c r="N629">
        <v>1104</v>
      </c>
      <c r="O629">
        <v>2752</v>
      </c>
      <c r="P629" t="str">
        <f>TEXT(tbl_working_daily[[#This Row],[ActivityDate]],"dddd")</f>
        <v>Tuesday</v>
      </c>
      <c r="Q629" t="str">
        <f>TEXT(tbl_working_daily[[#This Row],[ActivityDate]],"mmmm")</f>
        <v>May</v>
      </c>
      <c r="R629">
        <f t="shared" si="18"/>
        <v>336</v>
      </c>
      <c r="S629">
        <f t="shared" si="19"/>
        <v>1440</v>
      </c>
      <c r="T629">
        <f>ROUND(tbl_working_daily[[#This Row],[SedentaryMinutes]]/60,2)</f>
        <v>18.399999999999999</v>
      </c>
      <c r="U629" t="str" cm="1">
        <f t="array" ref="U62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29" t="str" cm="1">
        <f t="array" ref="V629">_xlfn.IFS(tbl_working_daily[[#This Row],[VeryActiveMinutes]]&gt;=30,"Very Active",tbl_working_daily[[#This Row],[VeryActiveMinutes]]&gt;=15,"Moderately Active",tbl_working_daily[[#This Row],[VeryActiveMinutes]]&gt;=1,"Lightly Active",tbl_working_daily[[#This Row],[VeryActiveMinutes]]=0,"Sedentary")</f>
        <v>Very Active</v>
      </c>
      <c r="W629" t="str">
        <f>tbl_working_daily[[#This Row],[Id]]&amp;"|"&amp;TEXT(tbl_working_daily[[#This Row],[ActivityDate]],"yyyy-mm-dd")</f>
        <v>2022484408|2016-05-03</v>
      </c>
      <c r="X629" t="b">
        <f>ISNUMBER(MATCH(tbl_working_daily[[#This Row],[LookupKey]],tbl_working_sleep[LookupKey],0))</f>
        <v>0</v>
      </c>
    </row>
    <row r="630" spans="1:24" x14ac:dyDescent="0.3">
      <c r="A630">
        <v>2022484408</v>
      </c>
      <c r="B630" s="1">
        <v>42494</v>
      </c>
      <c r="C630">
        <v>11768</v>
      </c>
      <c r="D630">
        <v>8.2899999618530291</v>
      </c>
      <c r="E630">
        <v>8.2899999618530291</v>
      </c>
      <c r="F630">
        <v>0</v>
      </c>
      <c r="G630">
        <v>2.5099999904632599</v>
      </c>
      <c r="H630">
        <v>0.93000000715255704</v>
      </c>
      <c r="I630">
        <v>4.8499999046325701</v>
      </c>
      <c r="J630">
        <v>0</v>
      </c>
      <c r="K630">
        <v>36</v>
      </c>
      <c r="L630">
        <v>27</v>
      </c>
      <c r="M630">
        <v>272</v>
      </c>
      <c r="N630">
        <v>1105</v>
      </c>
      <c r="O630">
        <v>2649</v>
      </c>
      <c r="P630" t="str">
        <f>TEXT(tbl_working_daily[[#This Row],[ActivityDate]],"dddd")</f>
        <v>Wednesday</v>
      </c>
      <c r="Q630" t="str">
        <f>TEXT(tbl_working_daily[[#This Row],[ActivityDate]],"mmmm")</f>
        <v>May</v>
      </c>
      <c r="R630">
        <f t="shared" si="18"/>
        <v>335</v>
      </c>
      <c r="S630">
        <f t="shared" si="19"/>
        <v>1440</v>
      </c>
      <c r="T630">
        <f>ROUND(tbl_working_daily[[#This Row],[SedentaryMinutes]]/60,2)</f>
        <v>18.420000000000002</v>
      </c>
      <c r="U630" t="str" cm="1">
        <f t="array" ref="U63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30" t="str" cm="1">
        <f t="array" ref="V630">_xlfn.IFS(tbl_working_daily[[#This Row],[VeryActiveMinutes]]&gt;=30,"Very Active",tbl_working_daily[[#This Row],[VeryActiveMinutes]]&gt;=15,"Moderately Active",tbl_working_daily[[#This Row],[VeryActiveMinutes]]&gt;=1,"Lightly Active",tbl_working_daily[[#This Row],[VeryActiveMinutes]]=0,"Sedentary")</f>
        <v>Very Active</v>
      </c>
      <c r="W630" t="str">
        <f>tbl_working_daily[[#This Row],[Id]]&amp;"|"&amp;TEXT(tbl_working_daily[[#This Row],[ActivityDate]],"yyyy-mm-dd")</f>
        <v>2022484408|2016-05-04</v>
      </c>
      <c r="X630" t="b">
        <f>ISNUMBER(MATCH(tbl_working_daily[[#This Row],[LookupKey]],tbl_working_sleep[LookupKey],0))</f>
        <v>0</v>
      </c>
    </row>
    <row r="631" spans="1:24" x14ac:dyDescent="0.3">
      <c r="A631">
        <v>2022484408</v>
      </c>
      <c r="B631" s="1">
        <v>42495</v>
      </c>
      <c r="C631">
        <v>11895</v>
      </c>
      <c r="D631">
        <v>8.3500003814697301</v>
      </c>
      <c r="E631">
        <v>8.3500003814697301</v>
      </c>
      <c r="F631">
        <v>0</v>
      </c>
      <c r="G631">
        <v>2.78999996185303</v>
      </c>
      <c r="H631">
        <v>0.86000001430511497</v>
      </c>
      <c r="I631">
        <v>4.6999998092651403</v>
      </c>
      <c r="J631">
        <v>0</v>
      </c>
      <c r="K631">
        <v>55</v>
      </c>
      <c r="L631">
        <v>20</v>
      </c>
      <c r="M631">
        <v>253</v>
      </c>
      <c r="N631">
        <v>1112</v>
      </c>
      <c r="O631">
        <v>2609</v>
      </c>
      <c r="P631" t="str">
        <f>TEXT(tbl_working_daily[[#This Row],[ActivityDate]],"dddd")</f>
        <v>Thursday</v>
      </c>
      <c r="Q631" t="str">
        <f>TEXT(tbl_working_daily[[#This Row],[ActivityDate]],"mmmm")</f>
        <v>May</v>
      </c>
      <c r="R631">
        <f t="shared" si="18"/>
        <v>328</v>
      </c>
      <c r="S631">
        <f t="shared" si="19"/>
        <v>1440</v>
      </c>
      <c r="T631">
        <f>ROUND(tbl_working_daily[[#This Row],[SedentaryMinutes]]/60,2)</f>
        <v>18.53</v>
      </c>
      <c r="U631" t="str" cm="1">
        <f t="array" ref="U63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31" t="str" cm="1">
        <f t="array" ref="V631">_xlfn.IFS(tbl_working_daily[[#This Row],[VeryActiveMinutes]]&gt;=30,"Very Active",tbl_working_daily[[#This Row],[VeryActiveMinutes]]&gt;=15,"Moderately Active",tbl_working_daily[[#This Row],[VeryActiveMinutes]]&gt;=1,"Lightly Active",tbl_working_daily[[#This Row],[VeryActiveMinutes]]=0,"Sedentary")</f>
        <v>Very Active</v>
      </c>
      <c r="W631" t="str">
        <f>tbl_working_daily[[#This Row],[Id]]&amp;"|"&amp;TEXT(tbl_working_daily[[#This Row],[ActivityDate]],"yyyy-mm-dd")</f>
        <v>2022484408|2016-05-05</v>
      </c>
      <c r="X631" t="b">
        <f>ISNUMBER(MATCH(tbl_working_daily[[#This Row],[LookupKey]],tbl_working_sleep[LookupKey],0))</f>
        <v>0</v>
      </c>
    </row>
    <row r="632" spans="1:24" x14ac:dyDescent="0.3">
      <c r="A632">
        <v>2022484408</v>
      </c>
      <c r="B632" s="1">
        <v>42496</v>
      </c>
      <c r="C632">
        <v>10227</v>
      </c>
      <c r="D632">
        <v>7.1799998283386204</v>
      </c>
      <c r="E632">
        <v>7.1799998283386204</v>
      </c>
      <c r="F632">
        <v>0</v>
      </c>
      <c r="G632">
        <v>1.87000000476837</v>
      </c>
      <c r="H632">
        <v>0.67000001668930098</v>
      </c>
      <c r="I632">
        <v>4.6399998664856001</v>
      </c>
      <c r="J632">
        <v>0</v>
      </c>
      <c r="K632">
        <v>24</v>
      </c>
      <c r="L632">
        <v>17</v>
      </c>
      <c r="M632">
        <v>295</v>
      </c>
      <c r="N632">
        <v>1104</v>
      </c>
      <c r="O632">
        <v>2498</v>
      </c>
      <c r="P632" t="str">
        <f>TEXT(tbl_working_daily[[#This Row],[ActivityDate]],"dddd")</f>
        <v>Friday</v>
      </c>
      <c r="Q632" t="str">
        <f>TEXT(tbl_working_daily[[#This Row],[ActivityDate]],"mmmm")</f>
        <v>May</v>
      </c>
      <c r="R632">
        <f t="shared" si="18"/>
        <v>336</v>
      </c>
      <c r="S632">
        <f t="shared" si="19"/>
        <v>1440</v>
      </c>
      <c r="T632">
        <f>ROUND(tbl_working_daily[[#This Row],[SedentaryMinutes]]/60,2)</f>
        <v>18.399999999999999</v>
      </c>
      <c r="U632" t="str" cm="1">
        <f t="array" ref="U63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32" t="str" cm="1">
        <f t="array" ref="V632">_xlfn.IFS(tbl_working_daily[[#This Row],[VeryActiveMinutes]]&gt;=30,"Very Active",tbl_working_daily[[#This Row],[VeryActiveMinutes]]&gt;=15,"Moderately Active",tbl_working_daily[[#This Row],[VeryActiveMinutes]]&gt;=1,"Lightly Active",tbl_working_daily[[#This Row],[VeryActiveMinutes]]=0,"Sedentary")</f>
        <v>Moderately Active</v>
      </c>
      <c r="W632" t="str">
        <f>tbl_working_daily[[#This Row],[Id]]&amp;"|"&amp;TEXT(tbl_working_daily[[#This Row],[ActivityDate]],"yyyy-mm-dd")</f>
        <v>2022484408|2016-05-06</v>
      </c>
      <c r="X632" t="b">
        <f>ISNUMBER(MATCH(tbl_working_daily[[#This Row],[LookupKey]],tbl_working_sleep[LookupKey],0))</f>
        <v>0</v>
      </c>
    </row>
    <row r="633" spans="1:24" x14ac:dyDescent="0.3">
      <c r="A633">
        <v>2022484408</v>
      </c>
      <c r="B633" s="1">
        <v>42497</v>
      </c>
      <c r="C633">
        <v>6708</v>
      </c>
      <c r="D633">
        <v>4.71000003814697</v>
      </c>
      <c r="E633">
        <v>4.71000003814697</v>
      </c>
      <c r="F633">
        <v>0</v>
      </c>
      <c r="G633">
        <v>1.6100000143051101</v>
      </c>
      <c r="H633">
        <v>7.9999998211860698E-2</v>
      </c>
      <c r="I633">
        <v>3.0199999809265101</v>
      </c>
      <c r="J633">
        <v>0</v>
      </c>
      <c r="K633">
        <v>20</v>
      </c>
      <c r="L633">
        <v>2</v>
      </c>
      <c r="M633">
        <v>149</v>
      </c>
      <c r="N633">
        <v>1269</v>
      </c>
      <c r="O633">
        <v>1995</v>
      </c>
      <c r="P633" t="str">
        <f>TEXT(tbl_working_daily[[#This Row],[ActivityDate]],"dddd")</f>
        <v>Saturday</v>
      </c>
      <c r="Q633" t="str">
        <f>TEXT(tbl_working_daily[[#This Row],[ActivityDate]],"mmmm")</f>
        <v>May</v>
      </c>
      <c r="R633">
        <f t="shared" si="18"/>
        <v>171</v>
      </c>
      <c r="S633">
        <f t="shared" si="19"/>
        <v>1440</v>
      </c>
      <c r="T633">
        <f>ROUND(tbl_working_daily[[#This Row],[SedentaryMinutes]]/60,2)</f>
        <v>21.15</v>
      </c>
      <c r="U633" t="str" cm="1">
        <f t="array" ref="U63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33" t="str" cm="1">
        <f t="array" ref="V633">_xlfn.IFS(tbl_working_daily[[#This Row],[VeryActiveMinutes]]&gt;=30,"Very Active",tbl_working_daily[[#This Row],[VeryActiveMinutes]]&gt;=15,"Moderately Active",tbl_working_daily[[#This Row],[VeryActiveMinutes]]&gt;=1,"Lightly Active",tbl_working_daily[[#This Row],[VeryActiveMinutes]]=0,"Sedentary")</f>
        <v>Moderately Active</v>
      </c>
      <c r="W633" t="str">
        <f>tbl_working_daily[[#This Row],[Id]]&amp;"|"&amp;TEXT(tbl_working_daily[[#This Row],[ActivityDate]],"yyyy-mm-dd")</f>
        <v>2022484408|2016-05-07</v>
      </c>
      <c r="X633" t="b">
        <f>ISNUMBER(MATCH(tbl_working_daily[[#This Row],[LookupKey]],tbl_working_sleep[LookupKey],0))</f>
        <v>0</v>
      </c>
    </row>
    <row r="634" spans="1:24" x14ac:dyDescent="0.3">
      <c r="A634">
        <v>2022484408</v>
      </c>
      <c r="B634" s="1">
        <v>42498</v>
      </c>
      <c r="C634">
        <v>3292</v>
      </c>
      <c r="D634">
        <v>2.3099999427795401</v>
      </c>
      <c r="E634">
        <v>2.3099999427795401</v>
      </c>
      <c r="F634">
        <v>0</v>
      </c>
      <c r="G634">
        <v>0</v>
      </c>
      <c r="H634">
        <v>0</v>
      </c>
      <c r="I634">
        <v>2.3099999427795401</v>
      </c>
      <c r="J634">
        <v>0</v>
      </c>
      <c r="K634">
        <v>0</v>
      </c>
      <c r="L634">
        <v>0</v>
      </c>
      <c r="M634">
        <v>135</v>
      </c>
      <c r="N634">
        <v>1305</v>
      </c>
      <c r="O634">
        <v>1848</v>
      </c>
      <c r="P634" t="str">
        <f>TEXT(tbl_working_daily[[#This Row],[ActivityDate]],"dddd")</f>
        <v>Sunday</v>
      </c>
      <c r="Q634" t="str">
        <f>TEXT(tbl_working_daily[[#This Row],[ActivityDate]],"mmmm")</f>
        <v>May</v>
      </c>
      <c r="R634">
        <f t="shared" si="18"/>
        <v>135</v>
      </c>
      <c r="S634">
        <f t="shared" si="19"/>
        <v>1440</v>
      </c>
      <c r="T634">
        <f>ROUND(tbl_working_daily[[#This Row],[SedentaryMinutes]]/60,2)</f>
        <v>21.75</v>
      </c>
      <c r="U634" t="str" cm="1">
        <f t="array" ref="U6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34" t="str" cm="1">
        <f t="array" ref="V634">_xlfn.IFS(tbl_working_daily[[#This Row],[VeryActiveMinutes]]&gt;=30,"Very Active",tbl_working_daily[[#This Row],[VeryActiveMinutes]]&gt;=15,"Moderately Active",tbl_working_daily[[#This Row],[VeryActiveMinutes]]&gt;=1,"Lightly Active",tbl_working_daily[[#This Row],[VeryActiveMinutes]]=0,"Sedentary")</f>
        <v>Sedentary</v>
      </c>
      <c r="W634" t="str">
        <f>tbl_working_daily[[#This Row],[Id]]&amp;"|"&amp;TEXT(tbl_working_daily[[#This Row],[ActivityDate]],"yyyy-mm-dd")</f>
        <v>2022484408|2016-05-08</v>
      </c>
      <c r="X634" t="b">
        <f>ISNUMBER(MATCH(tbl_working_daily[[#This Row],[LookupKey]],tbl_working_sleep[LookupKey],0))</f>
        <v>0</v>
      </c>
    </row>
    <row r="635" spans="1:24" x14ac:dyDescent="0.3">
      <c r="A635">
        <v>2022484408</v>
      </c>
      <c r="B635" s="1">
        <v>42499</v>
      </c>
      <c r="C635">
        <v>13379</v>
      </c>
      <c r="D635">
        <v>9.3900003433227504</v>
      </c>
      <c r="E635">
        <v>9.3900003433227504</v>
      </c>
      <c r="F635">
        <v>0</v>
      </c>
      <c r="G635">
        <v>2.1199998855590798</v>
      </c>
      <c r="H635">
        <v>1.62999999523163</v>
      </c>
      <c r="I635">
        <v>5.6399998664856001</v>
      </c>
      <c r="J635">
        <v>0</v>
      </c>
      <c r="K635">
        <v>35</v>
      </c>
      <c r="L635">
        <v>47</v>
      </c>
      <c r="M635">
        <v>297</v>
      </c>
      <c r="N635">
        <v>1061</v>
      </c>
      <c r="O635">
        <v>2709</v>
      </c>
      <c r="P635" t="str">
        <f>TEXT(tbl_working_daily[[#This Row],[ActivityDate]],"dddd")</f>
        <v>Monday</v>
      </c>
      <c r="Q635" t="str">
        <f>TEXT(tbl_working_daily[[#This Row],[ActivityDate]],"mmmm")</f>
        <v>May</v>
      </c>
      <c r="R635">
        <f t="shared" si="18"/>
        <v>379</v>
      </c>
      <c r="S635">
        <f t="shared" si="19"/>
        <v>1440</v>
      </c>
      <c r="T635">
        <f>ROUND(tbl_working_daily[[#This Row],[SedentaryMinutes]]/60,2)</f>
        <v>17.68</v>
      </c>
      <c r="U635" t="str" cm="1">
        <f t="array" ref="U63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35" t="str" cm="1">
        <f t="array" ref="V635">_xlfn.IFS(tbl_working_daily[[#This Row],[VeryActiveMinutes]]&gt;=30,"Very Active",tbl_working_daily[[#This Row],[VeryActiveMinutes]]&gt;=15,"Moderately Active",tbl_working_daily[[#This Row],[VeryActiveMinutes]]&gt;=1,"Lightly Active",tbl_working_daily[[#This Row],[VeryActiveMinutes]]=0,"Sedentary")</f>
        <v>Very Active</v>
      </c>
      <c r="W635" t="str">
        <f>tbl_working_daily[[#This Row],[Id]]&amp;"|"&amp;TEXT(tbl_working_daily[[#This Row],[ActivityDate]],"yyyy-mm-dd")</f>
        <v>2022484408|2016-05-09</v>
      </c>
      <c r="X635" t="b">
        <f>ISNUMBER(MATCH(tbl_working_daily[[#This Row],[LookupKey]],tbl_working_sleep[LookupKey],0))</f>
        <v>0</v>
      </c>
    </row>
    <row r="636" spans="1:24" x14ac:dyDescent="0.3">
      <c r="A636">
        <v>2022484408</v>
      </c>
      <c r="B636" s="1">
        <v>42500</v>
      </c>
      <c r="C636">
        <v>12798</v>
      </c>
      <c r="D636">
        <v>8.9799995422363299</v>
      </c>
      <c r="E636">
        <v>8.9799995422363299</v>
      </c>
      <c r="F636">
        <v>0</v>
      </c>
      <c r="G636">
        <v>2.2200000286102299</v>
      </c>
      <c r="H636">
        <v>1.21000003814697</v>
      </c>
      <c r="I636">
        <v>5.5599999427795401</v>
      </c>
      <c r="J636">
        <v>0</v>
      </c>
      <c r="K636">
        <v>57</v>
      </c>
      <c r="L636">
        <v>28</v>
      </c>
      <c r="M636">
        <v>271</v>
      </c>
      <c r="N636">
        <v>1084</v>
      </c>
      <c r="O636">
        <v>2797</v>
      </c>
      <c r="P636" t="str">
        <f>TEXT(tbl_working_daily[[#This Row],[ActivityDate]],"dddd")</f>
        <v>Tuesday</v>
      </c>
      <c r="Q636" t="str">
        <f>TEXT(tbl_working_daily[[#This Row],[ActivityDate]],"mmmm")</f>
        <v>May</v>
      </c>
      <c r="R636">
        <f t="shared" si="18"/>
        <v>356</v>
      </c>
      <c r="S636">
        <f t="shared" si="19"/>
        <v>1440</v>
      </c>
      <c r="T636">
        <f>ROUND(tbl_working_daily[[#This Row],[SedentaryMinutes]]/60,2)</f>
        <v>18.07</v>
      </c>
      <c r="U636" t="str" cm="1">
        <f t="array" ref="U63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36" t="str" cm="1">
        <f t="array" ref="V636">_xlfn.IFS(tbl_working_daily[[#This Row],[VeryActiveMinutes]]&gt;=30,"Very Active",tbl_working_daily[[#This Row],[VeryActiveMinutes]]&gt;=15,"Moderately Active",tbl_working_daily[[#This Row],[VeryActiveMinutes]]&gt;=1,"Lightly Active",tbl_working_daily[[#This Row],[VeryActiveMinutes]]=0,"Sedentary")</f>
        <v>Very Active</v>
      </c>
      <c r="W636" t="str">
        <f>tbl_working_daily[[#This Row],[Id]]&amp;"|"&amp;TEXT(tbl_working_daily[[#This Row],[ActivityDate]],"yyyy-mm-dd")</f>
        <v>2022484408|2016-05-10</v>
      </c>
      <c r="X636" t="b">
        <f>ISNUMBER(MATCH(tbl_working_daily[[#This Row],[LookupKey]],tbl_working_sleep[LookupKey],0))</f>
        <v>0</v>
      </c>
    </row>
    <row r="637" spans="1:24" x14ac:dyDescent="0.3">
      <c r="A637">
        <v>2022484408</v>
      </c>
      <c r="B637" s="1">
        <v>42501</v>
      </c>
      <c r="C637">
        <v>13272</v>
      </c>
      <c r="D637">
        <v>9.3199996948242205</v>
      </c>
      <c r="E637">
        <v>9.3199996948242205</v>
      </c>
      <c r="F637">
        <v>0</v>
      </c>
      <c r="G637">
        <v>4.1799998283386204</v>
      </c>
      <c r="H637">
        <v>1.1499999761581401</v>
      </c>
      <c r="I637">
        <v>3.9900000095367401</v>
      </c>
      <c r="J637">
        <v>0</v>
      </c>
      <c r="K637">
        <v>58</v>
      </c>
      <c r="L637">
        <v>25</v>
      </c>
      <c r="M637">
        <v>224</v>
      </c>
      <c r="N637">
        <v>1133</v>
      </c>
      <c r="O637">
        <v>2544</v>
      </c>
      <c r="P637" t="str">
        <f>TEXT(tbl_working_daily[[#This Row],[ActivityDate]],"dddd")</f>
        <v>Wednesday</v>
      </c>
      <c r="Q637" t="str">
        <f>TEXT(tbl_working_daily[[#This Row],[ActivityDate]],"mmmm")</f>
        <v>May</v>
      </c>
      <c r="R637">
        <f t="shared" si="18"/>
        <v>307</v>
      </c>
      <c r="S637">
        <f t="shared" si="19"/>
        <v>1440</v>
      </c>
      <c r="T637">
        <f>ROUND(tbl_working_daily[[#This Row],[SedentaryMinutes]]/60,2)</f>
        <v>18.88</v>
      </c>
      <c r="U637" t="str" cm="1">
        <f t="array" ref="U63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637" t="str" cm="1">
        <f t="array" ref="V637">_xlfn.IFS(tbl_working_daily[[#This Row],[VeryActiveMinutes]]&gt;=30,"Very Active",tbl_working_daily[[#This Row],[VeryActiveMinutes]]&gt;=15,"Moderately Active",tbl_working_daily[[#This Row],[VeryActiveMinutes]]&gt;=1,"Lightly Active",tbl_working_daily[[#This Row],[VeryActiveMinutes]]=0,"Sedentary")</f>
        <v>Very Active</v>
      </c>
      <c r="W637" t="str">
        <f>tbl_working_daily[[#This Row],[Id]]&amp;"|"&amp;TEXT(tbl_working_daily[[#This Row],[ActivityDate]],"yyyy-mm-dd")</f>
        <v>2022484408|2016-05-11</v>
      </c>
      <c r="X637" t="b">
        <f>ISNUMBER(MATCH(tbl_working_daily[[#This Row],[LookupKey]],tbl_working_sleep[LookupKey],0))</f>
        <v>0</v>
      </c>
    </row>
    <row r="638" spans="1:24" x14ac:dyDescent="0.3">
      <c r="A638">
        <v>2022484408</v>
      </c>
      <c r="B638" s="1">
        <v>42502</v>
      </c>
      <c r="C638">
        <v>9117</v>
      </c>
      <c r="D638">
        <v>6.4099998474121103</v>
      </c>
      <c r="E638">
        <v>6.4099998474121103</v>
      </c>
      <c r="F638">
        <v>0</v>
      </c>
      <c r="G638">
        <v>1.2799999713897701</v>
      </c>
      <c r="H638">
        <v>0.67000001668930098</v>
      </c>
      <c r="I638">
        <v>4.4400000572204599</v>
      </c>
      <c r="J638">
        <v>0</v>
      </c>
      <c r="K638">
        <v>16</v>
      </c>
      <c r="L638">
        <v>16</v>
      </c>
      <c r="M638">
        <v>236</v>
      </c>
      <c r="N638">
        <v>728</v>
      </c>
      <c r="O638">
        <v>1853</v>
      </c>
      <c r="P638" t="str">
        <f>TEXT(tbl_working_daily[[#This Row],[ActivityDate]],"dddd")</f>
        <v>Thursday</v>
      </c>
      <c r="Q638" t="str">
        <f>TEXT(tbl_working_daily[[#This Row],[ActivityDate]],"mmmm")</f>
        <v>May</v>
      </c>
      <c r="R638">
        <f t="shared" si="18"/>
        <v>268</v>
      </c>
      <c r="S638">
        <f t="shared" si="19"/>
        <v>996</v>
      </c>
      <c r="T638">
        <f>ROUND(tbl_working_daily[[#This Row],[SedentaryMinutes]]/60,2)</f>
        <v>12.13</v>
      </c>
      <c r="U638" t="str" cm="1">
        <f t="array" ref="U63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638" t="str" cm="1">
        <f t="array" ref="V638">_xlfn.IFS(tbl_working_daily[[#This Row],[VeryActiveMinutes]]&gt;=30,"Very Active",tbl_working_daily[[#This Row],[VeryActiveMinutes]]&gt;=15,"Moderately Active",tbl_working_daily[[#This Row],[VeryActiveMinutes]]&gt;=1,"Lightly Active",tbl_working_daily[[#This Row],[VeryActiveMinutes]]=0,"Sedentary")</f>
        <v>Moderately Active</v>
      </c>
      <c r="W638" t="str">
        <f>tbl_working_daily[[#This Row],[Id]]&amp;"|"&amp;TEXT(tbl_working_daily[[#This Row],[ActivityDate]],"yyyy-mm-dd")</f>
        <v>2022484408|2016-05-12</v>
      </c>
      <c r="X638" t="b">
        <f>ISNUMBER(MATCH(tbl_working_daily[[#This Row],[LookupKey]],tbl_working_sleep[LookupKey],0))</f>
        <v>0</v>
      </c>
    </row>
    <row r="639" spans="1:24" x14ac:dyDescent="0.3">
      <c r="A639">
        <v>2026352035</v>
      </c>
      <c r="B639" s="1">
        <v>42473</v>
      </c>
      <c r="C639">
        <v>4993</v>
      </c>
      <c r="D639">
        <v>3.0999999046325701</v>
      </c>
      <c r="E639">
        <v>3.0999999046325701</v>
      </c>
      <c r="F639">
        <v>0</v>
      </c>
      <c r="G639">
        <v>0</v>
      </c>
      <c r="H639">
        <v>0</v>
      </c>
      <c r="I639">
        <v>3.0999999046325701</v>
      </c>
      <c r="J639">
        <v>0</v>
      </c>
      <c r="K639">
        <v>0</v>
      </c>
      <c r="L639">
        <v>0</v>
      </c>
      <c r="M639">
        <v>238</v>
      </c>
      <c r="N639">
        <v>663</v>
      </c>
      <c r="O639">
        <v>1521</v>
      </c>
      <c r="P639" t="str">
        <f>TEXT(tbl_working_daily[[#This Row],[ActivityDate]],"dddd")</f>
        <v>Wednesday</v>
      </c>
      <c r="Q639" t="str">
        <f>TEXT(tbl_working_daily[[#This Row],[ActivityDate]],"mmmm")</f>
        <v>April</v>
      </c>
      <c r="R639">
        <f t="shared" si="18"/>
        <v>238</v>
      </c>
      <c r="S639">
        <f t="shared" si="19"/>
        <v>901</v>
      </c>
      <c r="T639">
        <f>ROUND(tbl_working_daily[[#This Row],[SedentaryMinutes]]/60,2)</f>
        <v>11.05</v>
      </c>
      <c r="U639" t="str" cm="1">
        <f t="array" ref="U6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39" t="str" cm="1">
        <f t="array" ref="V639">_xlfn.IFS(tbl_working_daily[[#This Row],[VeryActiveMinutes]]&gt;=30,"Very Active",tbl_working_daily[[#This Row],[VeryActiveMinutes]]&gt;=15,"Moderately Active",tbl_working_daily[[#This Row],[VeryActiveMinutes]]&gt;=1,"Lightly Active",tbl_working_daily[[#This Row],[VeryActiveMinutes]]=0,"Sedentary")</f>
        <v>Sedentary</v>
      </c>
      <c r="W639" t="str">
        <f>tbl_working_daily[[#This Row],[Id]]&amp;"|"&amp;TEXT(tbl_working_daily[[#This Row],[ActivityDate]],"yyyy-mm-dd")</f>
        <v>2026352035|2016-04-13</v>
      </c>
      <c r="X639" t="b">
        <f>ISNUMBER(MATCH(tbl_working_daily[[#This Row],[LookupKey]],tbl_working_sleep[LookupKey],0))</f>
        <v>1</v>
      </c>
    </row>
    <row r="640" spans="1:24" x14ac:dyDescent="0.3">
      <c r="A640">
        <v>2026352035</v>
      </c>
      <c r="B640" s="1">
        <v>42474</v>
      </c>
      <c r="C640">
        <v>3335</v>
      </c>
      <c r="D640">
        <v>2.0699999332428001</v>
      </c>
      <c r="E640">
        <v>2.0699999332428001</v>
      </c>
      <c r="F640">
        <v>0</v>
      </c>
      <c r="G640">
        <v>0</v>
      </c>
      <c r="H640">
        <v>0</v>
      </c>
      <c r="I640">
        <v>2.0499999523162802</v>
      </c>
      <c r="J640">
        <v>0</v>
      </c>
      <c r="K640">
        <v>0</v>
      </c>
      <c r="L640">
        <v>0</v>
      </c>
      <c r="M640">
        <v>197</v>
      </c>
      <c r="N640">
        <v>653</v>
      </c>
      <c r="O640">
        <v>1431</v>
      </c>
      <c r="P640" t="str">
        <f>TEXT(tbl_working_daily[[#This Row],[ActivityDate]],"dddd")</f>
        <v>Thursday</v>
      </c>
      <c r="Q640" t="str">
        <f>TEXT(tbl_working_daily[[#This Row],[ActivityDate]],"mmmm")</f>
        <v>April</v>
      </c>
      <c r="R640">
        <f t="shared" si="18"/>
        <v>197</v>
      </c>
      <c r="S640">
        <f t="shared" si="19"/>
        <v>850</v>
      </c>
      <c r="T640">
        <f>ROUND(tbl_working_daily[[#This Row],[SedentaryMinutes]]/60,2)</f>
        <v>10.88</v>
      </c>
      <c r="U640" t="str" cm="1">
        <f t="array" ref="U6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0" t="str" cm="1">
        <f t="array" ref="V640">_xlfn.IFS(tbl_working_daily[[#This Row],[VeryActiveMinutes]]&gt;=30,"Very Active",tbl_working_daily[[#This Row],[VeryActiveMinutes]]&gt;=15,"Moderately Active",tbl_working_daily[[#This Row],[VeryActiveMinutes]]&gt;=1,"Lightly Active",tbl_working_daily[[#This Row],[VeryActiveMinutes]]=0,"Sedentary")</f>
        <v>Sedentary</v>
      </c>
      <c r="W640" t="str">
        <f>tbl_working_daily[[#This Row],[Id]]&amp;"|"&amp;TEXT(tbl_working_daily[[#This Row],[ActivityDate]],"yyyy-mm-dd")</f>
        <v>2026352035|2016-04-14</v>
      </c>
      <c r="X640" t="b">
        <f>ISNUMBER(MATCH(tbl_working_daily[[#This Row],[LookupKey]],tbl_working_sleep[LookupKey],0))</f>
        <v>1</v>
      </c>
    </row>
    <row r="641" spans="1:24" x14ac:dyDescent="0.3">
      <c r="A641">
        <v>2026352035</v>
      </c>
      <c r="B641" s="1">
        <v>42475</v>
      </c>
      <c r="C641">
        <v>3821</v>
      </c>
      <c r="D641">
        <v>2.3699998855590798</v>
      </c>
      <c r="E641">
        <v>2.3699998855590798</v>
      </c>
      <c r="F641">
        <v>0</v>
      </c>
      <c r="G641">
        <v>0</v>
      </c>
      <c r="H641">
        <v>0</v>
      </c>
      <c r="I641">
        <v>2.3699998855590798</v>
      </c>
      <c r="J641">
        <v>0</v>
      </c>
      <c r="K641">
        <v>0</v>
      </c>
      <c r="L641">
        <v>0</v>
      </c>
      <c r="M641">
        <v>188</v>
      </c>
      <c r="N641">
        <v>687</v>
      </c>
      <c r="O641">
        <v>1444</v>
      </c>
      <c r="P641" t="str">
        <f>TEXT(tbl_working_daily[[#This Row],[ActivityDate]],"dddd")</f>
        <v>Friday</v>
      </c>
      <c r="Q641" t="str">
        <f>TEXT(tbl_working_daily[[#This Row],[ActivityDate]],"mmmm")</f>
        <v>April</v>
      </c>
      <c r="R641">
        <f t="shared" si="18"/>
        <v>188</v>
      </c>
      <c r="S641">
        <f t="shared" si="19"/>
        <v>875</v>
      </c>
      <c r="T641">
        <f>ROUND(tbl_working_daily[[#This Row],[SedentaryMinutes]]/60,2)</f>
        <v>11.45</v>
      </c>
      <c r="U641" t="str" cm="1">
        <f t="array" ref="U6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1" t="str" cm="1">
        <f t="array" ref="V641">_xlfn.IFS(tbl_working_daily[[#This Row],[VeryActiveMinutes]]&gt;=30,"Very Active",tbl_working_daily[[#This Row],[VeryActiveMinutes]]&gt;=15,"Moderately Active",tbl_working_daily[[#This Row],[VeryActiveMinutes]]&gt;=1,"Lightly Active",tbl_working_daily[[#This Row],[VeryActiveMinutes]]=0,"Sedentary")</f>
        <v>Sedentary</v>
      </c>
      <c r="W641" t="str">
        <f>tbl_working_daily[[#This Row],[Id]]&amp;"|"&amp;TEXT(tbl_working_daily[[#This Row],[ActivityDate]],"yyyy-mm-dd")</f>
        <v>2026352035|2016-04-15</v>
      </c>
      <c r="X641" t="b">
        <f>ISNUMBER(MATCH(tbl_working_daily[[#This Row],[LookupKey]],tbl_working_sleep[LookupKey],0))</f>
        <v>1</v>
      </c>
    </row>
    <row r="642" spans="1:24" x14ac:dyDescent="0.3">
      <c r="A642">
        <v>2026352035</v>
      </c>
      <c r="B642" s="1">
        <v>42476</v>
      </c>
      <c r="C642">
        <v>2547</v>
      </c>
      <c r="D642">
        <v>1.58000004291534</v>
      </c>
      <c r="E642">
        <v>1.58000004291534</v>
      </c>
      <c r="F642">
        <v>0</v>
      </c>
      <c r="G642">
        <v>0</v>
      </c>
      <c r="H642">
        <v>0</v>
      </c>
      <c r="I642">
        <v>1.58000004291534</v>
      </c>
      <c r="J642">
        <v>0</v>
      </c>
      <c r="K642">
        <v>0</v>
      </c>
      <c r="L642">
        <v>0</v>
      </c>
      <c r="M642">
        <v>150</v>
      </c>
      <c r="N642">
        <v>728</v>
      </c>
      <c r="O642">
        <v>1373</v>
      </c>
      <c r="P642" t="str">
        <f>TEXT(tbl_working_daily[[#This Row],[ActivityDate]],"dddd")</f>
        <v>Saturday</v>
      </c>
      <c r="Q642" t="str">
        <f>TEXT(tbl_working_daily[[#This Row],[ActivityDate]],"mmmm")</f>
        <v>April</v>
      </c>
      <c r="R642">
        <f t="shared" ref="R642:R705" si="20">K642+L642+M642</f>
        <v>150</v>
      </c>
      <c r="S642">
        <f t="shared" ref="S642:S705" si="21">R642+N642</f>
        <v>878</v>
      </c>
      <c r="T642">
        <f>ROUND(tbl_working_daily[[#This Row],[SedentaryMinutes]]/60,2)</f>
        <v>12.13</v>
      </c>
      <c r="U642" t="str" cm="1">
        <f t="array" ref="U6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2" t="str" cm="1">
        <f t="array" ref="V642">_xlfn.IFS(tbl_working_daily[[#This Row],[VeryActiveMinutes]]&gt;=30,"Very Active",tbl_working_daily[[#This Row],[VeryActiveMinutes]]&gt;=15,"Moderately Active",tbl_working_daily[[#This Row],[VeryActiveMinutes]]&gt;=1,"Lightly Active",tbl_working_daily[[#This Row],[VeryActiveMinutes]]=0,"Sedentary")</f>
        <v>Sedentary</v>
      </c>
      <c r="W642" t="str">
        <f>tbl_working_daily[[#This Row],[Id]]&amp;"|"&amp;TEXT(tbl_working_daily[[#This Row],[ActivityDate]],"yyyy-mm-dd")</f>
        <v>2026352035|2016-04-16</v>
      </c>
      <c r="X642" t="b">
        <f>ISNUMBER(MATCH(tbl_working_daily[[#This Row],[LookupKey]],tbl_working_sleep[LookupKey],0))</f>
        <v>1</v>
      </c>
    </row>
    <row r="643" spans="1:24" x14ac:dyDescent="0.3">
      <c r="A643">
        <v>2026352035</v>
      </c>
      <c r="B643" s="1">
        <v>42477</v>
      </c>
      <c r="C643">
        <v>838</v>
      </c>
      <c r="D643">
        <v>0.519999980926514</v>
      </c>
      <c r="E643">
        <v>0.519999980926514</v>
      </c>
      <c r="F643">
        <v>0</v>
      </c>
      <c r="G643">
        <v>0</v>
      </c>
      <c r="H643">
        <v>0</v>
      </c>
      <c r="I643">
        <v>0.519999980926514</v>
      </c>
      <c r="J643">
        <v>0</v>
      </c>
      <c r="K643">
        <v>0</v>
      </c>
      <c r="L643">
        <v>0</v>
      </c>
      <c r="M643">
        <v>60</v>
      </c>
      <c r="N643">
        <v>1053</v>
      </c>
      <c r="O643">
        <v>1214</v>
      </c>
      <c r="P643" t="str">
        <f>TEXT(tbl_working_daily[[#This Row],[ActivityDate]],"dddd")</f>
        <v>Sunday</v>
      </c>
      <c r="Q643" t="str">
        <f>TEXT(tbl_working_daily[[#This Row],[ActivityDate]],"mmmm")</f>
        <v>April</v>
      </c>
      <c r="R643">
        <f t="shared" si="20"/>
        <v>60</v>
      </c>
      <c r="S643">
        <f t="shared" si="21"/>
        <v>1113</v>
      </c>
      <c r="T643">
        <f>ROUND(tbl_working_daily[[#This Row],[SedentaryMinutes]]/60,2)</f>
        <v>17.55</v>
      </c>
      <c r="U643" t="str" cm="1">
        <f t="array" ref="U6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3" t="str" cm="1">
        <f t="array" ref="V643">_xlfn.IFS(tbl_working_daily[[#This Row],[VeryActiveMinutes]]&gt;=30,"Very Active",tbl_working_daily[[#This Row],[VeryActiveMinutes]]&gt;=15,"Moderately Active",tbl_working_daily[[#This Row],[VeryActiveMinutes]]&gt;=1,"Lightly Active",tbl_working_daily[[#This Row],[VeryActiveMinutes]]=0,"Sedentary")</f>
        <v>Sedentary</v>
      </c>
      <c r="W643" t="str">
        <f>tbl_working_daily[[#This Row],[Id]]&amp;"|"&amp;TEXT(tbl_working_daily[[#This Row],[ActivityDate]],"yyyy-mm-dd")</f>
        <v>2026352035|2016-04-17</v>
      </c>
      <c r="X643" t="b">
        <f>ISNUMBER(MATCH(tbl_working_daily[[#This Row],[LookupKey]],tbl_working_sleep[LookupKey],0))</f>
        <v>1</v>
      </c>
    </row>
    <row r="644" spans="1:24" x14ac:dyDescent="0.3">
      <c r="A644">
        <v>2026352035</v>
      </c>
      <c r="B644" s="1">
        <v>42478</v>
      </c>
      <c r="C644">
        <v>3325</v>
      </c>
      <c r="D644">
        <v>2.0599999427795401</v>
      </c>
      <c r="E644">
        <v>2.0599999427795401</v>
      </c>
      <c r="F644">
        <v>0</v>
      </c>
      <c r="G644">
        <v>0</v>
      </c>
      <c r="H644">
        <v>0</v>
      </c>
      <c r="I644">
        <v>2.0599999427795401</v>
      </c>
      <c r="J644">
        <v>0</v>
      </c>
      <c r="K644">
        <v>0</v>
      </c>
      <c r="L644">
        <v>0</v>
      </c>
      <c r="M644">
        <v>182</v>
      </c>
      <c r="N644">
        <v>1062</v>
      </c>
      <c r="O644">
        <v>1419</v>
      </c>
      <c r="P644" t="str">
        <f>TEXT(tbl_working_daily[[#This Row],[ActivityDate]],"dddd")</f>
        <v>Monday</v>
      </c>
      <c r="Q644" t="str">
        <f>TEXT(tbl_working_daily[[#This Row],[ActivityDate]],"mmmm")</f>
        <v>April</v>
      </c>
      <c r="R644">
        <f t="shared" si="20"/>
        <v>182</v>
      </c>
      <c r="S644">
        <f t="shared" si="21"/>
        <v>1244</v>
      </c>
      <c r="T644">
        <f>ROUND(tbl_working_daily[[#This Row],[SedentaryMinutes]]/60,2)</f>
        <v>17.7</v>
      </c>
      <c r="U644" t="str" cm="1">
        <f t="array" ref="U6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4" t="str" cm="1">
        <f t="array" ref="V644">_xlfn.IFS(tbl_working_daily[[#This Row],[VeryActiveMinutes]]&gt;=30,"Very Active",tbl_working_daily[[#This Row],[VeryActiveMinutes]]&gt;=15,"Moderately Active",tbl_working_daily[[#This Row],[VeryActiveMinutes]]&gt;=1,"Lightly Active",tbl_working_daily[[#This Row],[VeryActiveMinutes]]=0,"Sedentary")</f>
        <v>Sedentary</v>
      </c>
      <c r="W644" t="str">
        <f>tbl_working_daily[[#This Row],[Id]]&amp;"|"&amp;TEXT(tbl_working_daily[[#This Row],[ActivityDate]],"yyyy-mm-dd")</f>
        <v>2026352035|2016-04-18</v>
      </c>
      <c r="X644" t="b">
        <f>ISNUMBER(MATCH(tbl_working_daily[[#This Row],[LookupKey]],tbl_working_sleep[LookupKey],0))</f>
        <v>0</v>
      </c>
    </row>
    <row r="645" spans="1:24" x14ac:dyDescent="0.3">
      <c r="A645">
        <v>2026352035</v>
      </c>
      <c r="B645" s="1">
        <v>42479</v>
      </c>
      <c r="C645">
        <v>2424</v>
      </c>
      <c r="D645">
        <v>1.5</v>
      </c>
      <c r="E645">
        <v>1.5</v>
      </c>
      <c r="F645">
        <v>0</v>
      </c>
      <c r="G645">
        <v>0</v>
      </c>
      <c r="H645">
        <v>0</v>
      </c>
      <c r="I645">
        <v>1.5</v>
      </c>
      <c r="J645">
        <v>0</v>
      </c>
      <c r="K645">
        <v>0</v>
      </c>
      <c r="L645">
        <v>0</v>
      </c>
      <c r="M645">
        <v>141</v>
      </c>
      <c r="N645">
        <v>785</v>
      </c>
      <c r="O645">
        <v>1356</v>
      </c>
      <c r="P645" t="str">
        <f>TEXT(tbl_working_daily[[#This Row],[ActivityDate]],"dddd")</f>
        <v>Tuesday</v>
      </c>
      <c r="Q645" t="str">
        <f>TEXT(tbl_working_daily[[#This Row],[ActivityDate]],"mmmm")</f>
        <v>April</v>
      </c>
      <c r="R645">
        <f t="shared" si="20"/>
        <v>141</v>
      </c>
      <c r="S645">
        <f t="shared" si="21"/>
        <v>926</v>
      </c>
      <c r="T645">
        <f>ROUND(tbl_working_daily[[#This Row],[SedentaryMinutes]]/60,2)</f>
        <v>13.08</v>
      </c>
      <c r="U645" t="str" cm="1">
        <f t="array" ref="U64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5" t="str" cm="1">
        <f t="array" ref="V645">_xlfn.IFS(tbl_working_daily[[#This Row],[VeryActiveMinutes]]&gt;=30,"Very Active",tbl_working_daily[[#This Row],[VeryActiveMinutes]]&gt;=15,"Moderately Active",tbl_working_daily[[#This Row],[VeryActiveMinutes]]&gt;=1,"Lightly Active",tbl_working_daily[[#This Row],[VeryActiveMinutes]]=0,"Sedentary")</f>
        <v>Sedentary</v>
      </c>
      <c r="W645" t="str">
        <f>tbl_working_daily[[#This Row],[Id]]&amp;"|"&amp;TEXT(tbl_working_daily[[#This Row],[ActivityDate]],"yyyy-mm-dd")</f>
        <v>2026352035|2016-04-19</v>
      </c>
      <c r="X645" t="b">
        <f>ISNUMBER(MATCH(tbl_working_daily[[#This Row],[LookupKey]],tbl_working_sleep[LookupKey],0))</f>
        <v>1</v>
      </c>
    </row>
    <row r="646" spans="1:24" x14ac:dyDescent="0.3">
      <c r="A646">
        <v>2026352035</v>
      </c>
      <c r="B646" s="1">
        <v>42480</v>
      </c>
      <c r="C646">
        <v>7222</v>
      </c>
      <c r="D646">
        <v>4.4800000190734899</v>
      </c>
      <c r="E646">
        <v>4.4800000190734899</v>
      </c>
      <c r="F646">
        <v>0</v>
      </c>
      <c r="G646">
        <v>0</v>
      </c>
      <c r="H646">
        <v>0</v>
      </c>
      <c r="I646">
        <v>4.4800000190734899</v>
      </c>
      <c r="J646">
        <v>0</v>
      </c>
      <c r="K646">
        <v>0</v>
      </c>
      <c r="L646">
        <v>0</v>
      </c>
      <c r="M646">
        <v>327</v>
      </c>
      <c r="N646">
        <v>623</v>
      </c>
      <c r="O646">
        <v>1667</v>
      </c>
      <c r="P646" t="str">
        <f>TEXT(tbl_working_daily[[#This Row],[ActivityDate]],"dddd")</f>
        <v>Wednesday</v>
      </c>
      <c r="Q646" t="str">
        <f>TEXT(tbl_working_daily[[#This Row],[ActivityDate]],"mmmm")</f>
        <v>April</v>
      </c>
      <c r="R646">
        <f t="shared" si="20"/>
        <v>327</v>
      </c>
      <c r="S646">
        <f t="shared" si="21"/>
        <v>950</v>
      </c>
      <c r="T646">
        <f>ROUND(tbl_working_daily[[#This Row],[SedentaryMinutes]]/60,2)</f>
        <v>10.38</v>
      </c>
      <c r="U646" t="str" cm="1">
        <f t="array" ref="U64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46" t="str" cm="1">
        <f t="array" ref="V646">_xlfn.IFS(tbl_working_daily[[#This Row],[VeryActiveMinutes]]&gt;=30,"Very Active",tbl_working_daily[[#This Row],[VeryActiveMinutes]]&gt;=15,"Moderately Active",tbl_working_daily[[#This Row],[VeryActiveMinutes]]&gt;=1,"Lightly Active",tbl_working_daily[[#This Row],[VeryActiveMinutes]]=0,"Sedentary")</f>
        <v>Sedentary</v>
      </c>
      <c r="W646" t="str">
        <f>tbl_working_daily[[#This Row],[Id]]&amp;"|"&amp;TEXT(tbl_working_daily[[#This Row],[ActivityDate]],"yyyy-mm-dd")</f>
        <v>2026352035|2016-04-20</v>
      </c>
      <c r="X646" t="b">
        <f>ISNUMBER(MATCH(tbl_working_daily[[#This Row],[LookupKey]],tbl_working_sleep[LookupKey],0))</f>
        <v>1</v>
      </c>
    </row>
    <row r="647" spans="1:24" x14ac:dyDescent="0.3">
      <c r="A647">
        <v>2026352035</v>
      </c>
      <c r="B647" s="1">
        <v>42481</v>
      </c>
      <c r="C647">
        <v>2467</v>
      </c>
      <c r="D647">
        <v>1.5299999713897701</v>
      </c>
      <c r="E647">
        <v>1.5299999713897701</v>
      </c>
      <c r="F647">
        <v>0</v>
      </c>
      <c r="G647">
        <v>0</v>
      </c>
      <c r="H647">
        <v>0</v>
      </c>
      <c r="I647">
        <v>1.5299999713897701</v>
      </c>
      <c r="J647">
        <v>0</v>
      </c>
      <c r="K647">
        <v>0</v>
      </c>
      <c r="L647">
        <v>0</v>
      </c>
      <c r="M647">
        <v>153</v>
      </c>
      <c r="N647">
        <v>749</v>
      </c>
      <c r="O647">
        <v>1370</v>
      </c>
      <c r="P647" t="str">
        <f>TEXT(tbl_working_daily[[#This Row],[ActivityDate]],"dddd")</f>
        <v>Thursday</v>
      </c>
      <c r="Q647" t="str">
        <f>TEXT(tbl_working_daily[[#This Row],[ActivityDate]],"mmmm")</f>
        <v>April</v>
      </c>
      <c r="R647">
        <f t="shared" si="20"/>
        <v>153</v>
      </c>
      <c r="S647">
        <f t="shared" si="21"/>
        <v>902</v>
      </c>
      <c r="T647">
        <f>ROUND(tbl_working_daily[[#This Row],[SedentaryMinutes]]/60,2)</f>
        <v>12.48</v>
      </c>
      <c r="U647" t="str" cm="1">
        <f t="array" ref="U64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7" t="str" cm="1">
        <f t="array" ref="V647">_xlfn.IFS(tbl_working_daily[[#This Row],[VeryActiveMinutes]]&gt;=30,"Very Active",tbl_working_daily[[#This Row],[VeryActiveMinutes]]&gt;=15,"Moderately Active",tbl_working_daily[[#This Row],[VeryActiveMinutes]]&gt;=1,"Lightly Active",tbl_working_daily[[#This Row],[VeryActiveMinutes]]=0,"Sedentary")</f>
        <v>Sedentary</v>
      </c>
      <c r="W647" t="str">
        <f>tbl_working_daily[[#This Row],[Id]]&amp;"|"&amp;TEXT(tbl_working_daily[[#This Row],[ActivityDate]],"yyyy-mm-dd")</f>
        <v>2026352035|2016-04-21</v>
      </c>
      <c r="X647" t="b">
        <f>ISNUMBER(MATCH(tbl_working_daily[[#This Row],[LookupKey]],tbl_working_sleep[LookupKey],0))</f>
        <v>1</v>
      </c>
    </row>
    <row r="648" spans="1:24" x14ac:dyDescent="0.3">
      <c r="A648">
        <v>2026352035</v>
      </c>
      <c r="B648" s="1">
        <v>42482</v>
      </c>
      <c r="C648">
        <v>2915</v>
      </c>
      <c r="D648">
        <v>1.8099999427795399</v>
      </c>
      <c r="E648">
        <v>1.8099999427795399</v>
      </c>
      <c r="F648">
        <v>0</v>
      </c>
      <c r="G648">
        <v>0</v>
      </c>
      <c r="H648">
        <v>0</v>
      </c>
      <c r="I648">
        <v>1.8099999427795399</v>
      </c>
      <c r="J648">
        <v>0</v>
      </c>
      <c r="K648">
        <v>0</v>
      </c>
      <c r="L648">
        <v>0</v>
      </c>
      <c r="M648">
        <v>162</v>
      </c>
      <c r="N648">
        <v>712</v>
      </c>
      <c r="O648">
        <v>1399</v>
      </c>
      <c r="P648" t="str">
        <f>TEXT(tbl_working_daily[[#This Row],[ActivityDate]],"dddd")</f>
        <v>Friday</v>
      </c>
      <c r="Q648" t="str">
        <f>TEXT(tbl_working_daily[[#This Row],[ActivityDate]],"mmmm")</f>
        <v>April</v>
      </c>
      <c r="R648">
        <f t="shared" si="20"/>
        <v>162</v>
      </c>
      <c r="S648">
        <f t="shared" si="21"/>
        <v>874</v>
      </c>
      <c r="T648">
        <f>ROUND(tbl_working_daily[[#This Row],[SedentaryMinutes]]/60,2)</f>
        <v>11.87</v>
      </c>
      <c r="U648" t="str" cm="1">
        <f t="array" ref="U64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48" t="str" cm="1">
        <f t="array" ref="V648">_xlfn.IFS(tbl_working_daily[[#This Row],[VeryActiveMinutes]]&gt;=30,"Very Active",tbl_working_daily[[#This Row],[VeryActiveMinutes]]&gt;=15,"Moderately Active",tbl_working_daily[[#This Row],[VeryActiveMinutes]]&gt;=1,"Lightly Active",tbl_working_daily[[#This Row],[VeryActiveMinutes]]=0,"Sedentary")</f>
        <v>Sedentary</v>
      </c>
      <c r="W648" t="str">
        <f>tbl_working_daily[[#This Row],[Id]]&amp;"|"&amp;TEXT(tbl_working_daily[[#This Row],[ActivityDate]],"yyyy-mm-dd")</f>
        <v>2026352035|2016-04-22</v>
      </c>
      <c r="X648" t="b">
        <f>ISNUMBER(MATCH(tbl_working_daily[[#This Row],[LookupKey]],tbl_working_sleep[LookupKey],0))</f>
        <v>1</v>
      </c>
    </row>
    <row r="649" spans="1:24" x14ac:dyDescent="0.3">
      <c r="A649">
        <v>2026352035</v>
      </c>
      <c r="B649" s="1">
        <v>42483</v>
      </c>
      <c r="C649">
        <v>12357</v>
      </c>
      <c r="D649">
        <v>7.71000003814697</v>
      </c>
      <c r="E649">
        <v>7.71000003814697</v>
      </c>
      <c r="F649">
        <v>0</v>
      </c>
      <c r="G649">
        <v>0</v>
      </c>
      <c r="H649">
        <v>0</v>
      </c>
      <c r="I649">
        <v>7.71000003814697</v>
      </c>
      <c r="J649">
        <v>0</v>
      </c>
      <c r="K649">
        <v>0</v>
      </c>
      <c r="L649">
        <v>0</v>
      </c>
      <c r="M649">
        <v>432</v>
      </c>
      <c r="N649">
        <v>458</v>
      </c>
      <c r="O649">
        <v>1916</v>
      </c>
      <c r="P649" t="str">
        <f>TEXT(tbl_working_daily[[#This Row],[ActivityDate]],"dddd")</f>
        <v>Saturday</v>
      </c>
      <c r="Q649" t="str">
        <f>TEXT(tbl_working_daily[[#This Row],[ActivityDate]],"mmmm")</f>
        <v>April</v>
      </c>
      <c r="R649">
        <f t="shared" si="20"/>
        <v>432</v>
      </c>
      <c r="S649">
        <f t="shared" si="21"/>
        <v>890</v>
      </c>
      <c r="T649">
        <f>ROUND(tbl_working_daily[[#This Row],[SedentaryMinutes]]/60,2)</f>
        <v>7.63</v>
      </c>
      <c r="U649" t="str" cm="1">
        <f t="array" ref="U64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49" t="str" cm="1">
        <f t="array" ref="V649">_xlfn.IFS(tbl_working_daily[[#This Row],[VeryActiveMinutes]]&gt;=30,"Very Active",tbl_working_daily[[#This Row],[VeryActiveMinutes]]&gt;=15,"Moderately Active",tbl_working_daily[[#This Row],[VeryActiveMinutes]]&gt;=1,"Lightly Active",tbl_working_daily[[#This Row],[VeryActiveMinutes]]=0,"Sedentary")</f>
        <v>Sedentary</v>
      </c>
      <c r="W649" t="str">
        <f>tbl_working_daily[[#This Row],[Id]]&amp;"|"&amp;TEXT(tbl_working_daily[[#This Row],[ActivityDate]],"yyyy-mm-dd")</f>
        <v>2026352035|2016-04-23</v>
      </c>
      <c r="X649" t="b">
        <f>ISNUMBER(MATCH(tbl_working_daily[[#This Row],[LookupKey]],tbl_working_sleep[LookupKey],0))</f>
        <v>1</v>
      </c>
    </row>
    <row r="650" spans="1:24" x14ac:dyDescent="0.3">
      <c r="A650">
        <v>2026352035</v>
      </c>
      <c r="B650" s="1">
        <v>42484</v>
      </c>
      <c r="C650">
        <v>3490</v>
      </c>
      <c r="D650">
        <v>2.1600000858306898</v>
      </c>
      <c r="E650">
        <v>2.1600000858306898</v>
      </c>
      <c r="F650">
        <v>0</v>
      </c>
      <c r="G650">
        <v>0</v>
      </c>
      <c r="H650">
        <v>0</v>
      </c>
      <c r="I650">
        <v>2.1600000858306898</v>
      </c>
      <c r="J650">
        <v>0</v>
      </c>
      <c r="K650">
        <v>0</v>
      </c>
      <c r="L650">
        <v>0</v>
      </c>
      <c r="M650">
        <v>164</v>
      </c>
      <c r="N650">
        <v>704</v>
      </c>
      <c r="O650">
        <v>1401</v>
      </c>
      <c r="P650" t="str">
        <f>TEXT(tbl_working_daily[[#This Row],[ActivityDate]],"dddd")</f>
        <v>Sunday</v>
      </c>
      <c r="Q650" t="str">
        <f>TEXT(tbl_working_daily[[#This Row],[ActivityDate]],"mmmm")</f>
        <v>April</v>
      </c>
      <c r="R650">
        <f t="shared" si="20"/>
        <v>164</v>
      </c>
      <c r="S650">
        <f t="shared" si="21"/>
        <v>868</v>
      </c>
      <c r="T650">
        <f>ROUND(tbl_working_daily[[#This Row],[SedentaryMinutes]]/60,2)</f>
        <v>11.73</v>
      </c>
      <c r="U650" t="str" cm="1">
        <f t="array" ref="U65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50" t="str" cm="1">
        <f t="array" ref="V650">_xlfn.IFS(tbl_working_daily[[#This Row],[VeryActiveMinutes]]&gt;=30,"Very Active",tbl_working_daily[[#This Row],[VeryActiveMinutes]]&gt;=15,"Moderately Active",tbl_working_daily[[#This Row],[VeryActiveMinutes]]&gt;=1,"Lightly Active",tbl_working_daily[[#This Row],[VeryActiveMinutes]]=0,"Sedentary")</f>
        <v>Sedentary</v>
      </c>
      <c r="W650" t="str">
        <f>tbl_working_daily[[#This Row],[Id]]&amp;"|"&amp;TEXT(tbl_working_daily[[#This Row],[ActivityDate]],"yyyy-mm-dd")</f>
        <v>2026352035|2016-04-24</v>
      </c>
      <c r="X650" t="b">
        <f>ISNUMBER(MATCH(tbl_working_daily[[#This Row],[LookupKey]],tbl_working_sleep[LookupKey],0))</f>
        <v>1</v>
      </c>
    </row>
    <row r="651" spans="1:24" x14ac:dyDescent="0.3">
      <c r="A651">
        <v>2026352035</v>
      </c>
      <c r="B651" s="1">
        <v>42485</v>
      </c>
      <c r="C651">
        <v>6017</v>
      </c>
      <c r="D651">
        <v>3.7300000190734899</v>
      </c>
      <c r="E651">
        <v>3.7300000190734899</v>
      </c>
      <c r="F651">
        <v>0</v>
      </c>
      <c r="G651">
        <v>0</v>
      </c>
      <c r="H651">
        <v>0</v>
      </c>
      <c r="I651">
        <v>3.7300000190734899</v>
      </c>
      <c r="J651">
        <v>0</v>
      </c>
      <c r="K651">
        <v>0</v>
      </c>
      <c r="L651">
        <v>0</v>
      </c>
      <c r="M651">
        <v>260</v>
      </c>
      <c r="N651">
        <v>821</v>
      </c>
      <c r="O651">
        <v>1576</v>
      </c>
      <c r="P651" t="str">
        <f>TEXT(tbl_working_daily[[#This Row],[ActivityDate]],"dddd")</f>
        <v>Monday</v>
      </c>
      <c r="Q651" t="str">
        <f>TEXT(tbl_working_daily[[#This Row],[ActivityDate]],"mmmm")</f>
        <v>April</v>
      </c>
      <c r="R651">
        <f t="shared" si="20"/>
        <v>260</v>
      </c>
      <c r="S651">
        <f t="shared" si="21"/>
        <v>1081</v>
      </c>
      <c r="T651">
        <f>ROUND(tbl_working_daily[[#This Row],[SedentaryMinutes]]/60,2)</f>
        <v>13.68</v>
      </c>
      <c r="U651" t="str" cm="1">
        <f t="array" ref="U65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51" t="str" cm="1">
        <f t="array" ref="V651">_xlfn.IFS(tbl_working_daily[[#This Row],[VeryActiveMinutes]]&gt;=30,"Very Active",tbl_working_daily[[#This Row],[VeryActiveMinutes]]&gt;=15,"Moderately Active",tbl_working_daily[[#This Row],[VeryActiveMinutes]]&gt;=1,"Lightly Active",tbl_working_daily[[#This Row],[VeryActiveMinutes]]=0,"Sedentary")</f>
        <v>Sedentary</v>
      </c>
      <c r="W651" t="str">
        <f>tbl_working_daily[[#This Row],[Id]]&amp;"|"&amp;TEXT(tbl_working_daily[[#This Row],[ActivityDate]],"yyyy-mm-dd")</f>
        <v>2026352035|2016-04-25</v>
      </c>
      <c r="X651" t="b">
        <f>ISNUMBER(MATCH(tbl_working_daily[[#This Row],[LookupKey]],tbl_working_sleep[LookupKey],0))</f>
        <v>1</v>
      </c>
    </row>
    <row r="652" spans="1:24" x14ac:dyDescent="0.3">
      <c r="A652">
        <v>2026352035</v>
      </c>
      <c r="B652" s="1">
        <v>42486</v>
      </c>
      <c r="C652">
        <v>5933</v>
      </c>
      <c r="D652">
        <v>3.6800000667571999</v>
      </c>
      <c r="E652">
        <v>3.6800000667571999</v>
      </c>
      <c r="F652">
        <v>0</v>
      </c>
      <c r="G652">
        <v>0</v>
      </c>
      <c r="H652">
        <v>0</v>
      </c>
      <c r="I652">
        <v>3.6800000667571999</v>
      </c>
      <c r="J652">
        <v>0</v>
      </c>
      <c r="K652">
        <v>0</v>
      </c>
      <c r="L652">
        <v>0</v>
      </c>
      <c r="M652">
        <v>288</v>
      </c>
      <c r="N652">
        <v>1018</v>
      </c>
      <c r="O652">
        <v>1595</v>
      </c>
      <c r="P652" t="str">
        <f>TEXT(tbl_working_daily[[#This Row],[ActivityDate]],"dddd")</f>
        <v>Tuesday</v>
      </c>
      <c r="Q652" t="str">
        <f>TEXT(tbl_working_daily[[#This Row],[ActivityDate]],"mmmm")</f>
        <v>April</v>
      </c>
      <c r="R652">
        <f t="shared" si="20"/>
        <v>288</v>
      </c>
      <c r="S652">
        <f t="shared" si="21"/>
        <v>1306</v>
      </c>
      <c r="T652">
        <f>ROUND(tbl_working_daily[[#This Row],[SedentaryMinutes]]/60,2)</f>
        <v>16.97</v>
      </c>
      <c r="U652" t="str" cm="1">
        <f t="array" ref="U65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52" t="str" cm="1">
        <f t="array" ref="V652">_xlfn.IFS(tbl_working_daily[[#This Row],[VeryActiveMinutes]]&gt;=30,"Very Active",tbl_working_daily[[#This Row],[VeryActiveMinutes]]&gt;=15,"Moderately Active",tbl_working_daily[[#This Row],[VeryActiveMinutes]]&gt;=1,"Lightly Active",tbl_working_daily[[#This Row],[VeryActiveMinutes]]=0,"Sedentary")</f>
        <v>Sedentary</v>
      </c>
      <c r="W652" t="str">
        <f>tbl_working_daily[[#This Row],[Id]]&amp;"|"&amp;TEXT(tbl_working_daily[[#This Row],[ActivityDate]],"yyyy-mm-dd")</f>
        <v>2026352035|2016-04-26</v>
      </c>
      <c r="X652" t="b">
        <f>ISNUMBER(MATCH(tbl_working_daily[[#This Row],[LookupKey]],tbl_working_sleep[LookupKey],0))</f>
        <v>0</v>
      </c>
    </row>
    <row r="653" spans="1:24" x14ac:dyDescent="0.3">
      <c r="A653">
        <v>2026352035</v>
      </c>
      <c r="B653" s="1">
        <v>42487</v>
      </c>
      <c r="C653">
        <v>6088</v>
      </c>
      <c r="D653">
        <v>3.7699999809265101</v>
      </c>
      <c r="E653">
        <v>3.7699999809265101</v>
      </c>
      <c r="F653">
        <v>0</v>
      </c>
      <c r="G653">
        <v>0</v>
      </c>
      <c r="H653">
        <v>0</v>
      </c>
      <c r="I653">
        <v>3.7699999809265101</v>
      </c>
      <c r="J653">
        <v>0</v>
      </c>
      <c r="K653">
        <v>0</v>
      </c>
      <c r="L653">
        <v>0</v>
      </c>
      <c r="M653">
        <v>286</v>
      </c>
      <c r="N653">
        <v>586</v>
      </c>
      <c r="O653">
        <v>1593</v>
      </c>
      <c r="P653" t="str">
        <f>TEXT(tbl_working_daily[[#This Row],[ActivityDate]],"dddd")</f>
        <v>Wednesday</v>
      </c>
      <c r="Q653" t="str">
        <f>TEXT(tbl_working_daily[[#This Row],[ActivityDate]],"mmmm")</f>
        <v>April</v>
      </c>
      <c r="R653">
        <f t="shared" si="20"/>
        <v>286</v>
      </c>
      <c r="S653">
        <f t="shared" si="21"/>
        <v>872</v>
      </c>
      <c r="T653">
        <f>ROUND(tbl_working_daily[[#This Row],[SedentaryMinutes]]/60,2)</f>
        <v>9.77</v>
      </c>
      <c r="U653" t="str" cm="1">
        <f t="array" ref="U65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53" t="str" cm="1">
        <f t="array" ref="V653">_xlfn.IFS(tbl_working_daily[[#This Row],[VeryActiveMinutes]]&gt;=30,"Very Active",tbl_working_daily[[#This Row],[VeryActiveMinutes]]&gt;=15,"Moderately Active",tbl_working_daily[[#This Row],[VeryActiveMinutes]]&gt;=1,"Lightly Active",tbl_working_daily[[#This Row],[VeryActiveMinutes]]=0,"Sedentary")</f>
        <v>Sedentary</v>
      </c>
      <c r="W653" t="str">
        <f>tbl_working_daily[[#This Row],[Id]]&amp;"|"&amp;TEXT(tbl_working_daily[[#This Row],[ActivityDate]],"yyyy-mm-dd")</f>
        <v>2026352035|2016-04-27</v>
      </c>
      <c r="X653" t="b">
        <f>ISNUMBER(MATCH(tbl_working_daily[[#This Row],[LookupKey]],tbl_working_sleep[LookupKey],0))</f>
        <v>1</v>
      </c>
    </row>
    <row r="654" spans="1:24" x14ac:dyDescent="0.3">
      <c r="A654">
        <v>2026352035</v>
      </c>
      <c r="B654" s="1">
        <v>42488</v>
      </c>
      <c r="C654">
        <v>6375</v>
      </c>
      <c r="D654">
        <v>3.9500000476837198</v>
      </c>
      <c r="E654">
        <v>3.9500000476837198</v>
      </c>
      <c r="F654">
        <v>0</v>
      </c>
      <c r="G654">
        <v>0</v>
      </c>
      <c r="H654">
        <v>0</v>
      </c>
      <c r="I654">
        <v>3.9500000476837198</v>
      </c>
      <c r="J654">
        <v>0</v>
      </c>
      <c r="K654">
        <v>0</v>
      </c>
      <c r="L654">
        <v>0</v>
      </c>
      <c r="M654">
        <v>331</v>
      </c>
      <c r="N654">
        <v>626</v>
      </c>
      <c r="O654">
        <v>1649</v>
      </c>
      <c r="P654" t="str">
        <f>TEXT(tbl_working_daily[[#This Row],[ActivityDate]],"dddd")</f>
        <v>Thursday</v>
      </c>
      <c r="Q654" t="str">
        <f>TEXT(tbl_working_daily[[#This Row],[ActivityDate]],"mmmm")</f>
        <v>April</v>
      </c>
      <c r="R654">
        <f t="shared" si="20"/>
        <v>331</v>
      </c>
      <c r="S654">
        <f t="shared" si="21"/>
        <v>957</v>
      </c>
      <c r="T654">
        <f>ROUND(tbl_working_daily[[#This Row],[SedentaryMinutes]]/60,2)</f>
        <v>10.43</v>
      </c>
      <c r="U654" t="str" cm="1">
        <f t="array" ref="U65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54" t="str" cm="1">
        <f t="array" ref="V654">_xlfn.IFS(tbl_working_daily[[#This Row],[VeryActiveMinutes]]&gt;=30,"Very Active",tbl_working_daily[[#This Row],[VeryActiveMinutes]]&gt;=15,"Moderately Active",tbl_working_daily[[#This Row],[VeryActiveMinutes]]&gt;=1,"Lightly Active",tbl_working_daily[[#This Row],[VeryActiveMinutes]]=0,"Sedentary")</f>
        <v>Sedentary</v>
      </c>
      <c r="W654" t="str">
        <f>tbl_working_daily[[#This Row],[Id]]&amp;"|"&amp;TEXT(tbl_working_daily[[#This Row],[ActivityDate]],"yyyy-mm-dd")</f>
        <v>2026352035|2016-04-28</v>
      </c>
      <c r="X654" t="b">
        <f>ISNUMBER(MATCH(tbl_working_daily[[#This Row],[LookupKey]],tbl_working_sleep[LookupKey],0))</f>
        <v>1</v>
      </c>
    </row>
    <row r="655" spans="1:24" x14ac:dyDescent="0.3">
      <c r="A655">
        <v>2026352035</v>
      </c>
      <c r="B655" s="1">
        <v>42489</v>
      </c>
      <c r="C655">
        <v>7604</v>
      </c>
      <c r="D655">
        <v>4.71000003814697</v>
      </c>
      <c r="E655">
        <v>4.71000003814697</v>
      </c>
      <c r="F655">
        <v>0</v>
      </c>
      <c r="G655">
        <v>0</v>
      </c>
      <c r="H655">
        <v>0</v>
      </c>
      <c r="I655">
        <v>4.71000003814697</v>
      </c>
      <c r="J655">
        <v>0</v>
      </c>
      <c r="K655">
        <v>0</v>
      </c>
      <c r="L655">
        <v>0</v>
      </c>
      <c r="M655">
        <v>352</v>
      </c>
      <c r="N655">
        <v>492</v>
      </c>
      <c r="O655">
        <v>1692</v>
      </c>
      <c r="P655" t="str">
        <f>TEXT(tbl_working_daily[[#This Row],[ActivityDate]],"dddd")</f>
        <v>Friday</v>
      </c>
      <c r="Q655" t="str">
        <f>TEXT(tbl_working_daily[[#This Row],[ActivityDate]],"mmmm")</f>
        <v>April</v>
      </c>
      <c r="R655">
        <f t="shared" si="20"/>
        <v>352</v>
      </c>
      <c r="S655">
        <f t="shared" si="21"/>
        <v>844</v>
      </c>
      <c r="T655">
        <f>ROUND(tbl_working_daily[[#This Row],[SedentaryMinutes]]/60,2)</f>
        <v>8.1999999999999993</v>
      </c>
      <c r="U655" t="str" cm="1">
        <f t="array" ref="U65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655" t="str" cm="1">
        <f t="array" ref="V655">_xlfn.IFS(tbl_working_daily[[#This Row],[VeryActiveMinutes]]&gt;=30,"Very Active",tbl_working_daily[[#This Row],[VeryActiveMinutes]]&gt;=15,"Moderately Active",tbl_working_daily[[#This Row],[VeryActiveMinutes]]&gt;=1,"Lightly Active",tbl_working_daily[[#This Row],[VeryActiveMinutes]]=0,"Sedentary")</f>
        <v>Sedentary</v>
      </c>
      <c r="W655" t="str">
        <f>tbl_working_daily[[#This Row],[Id]]&amp;"|"&amp;TEXT(tbl_working_daily[[#This Row],[ActivityDate]],"yyyy-mm-dd")</f>
        <v>2026352035|2016-04-29</v>
      </c>
      <c r="X655" t="b">
        <f>ISNUMBER(MATCH(tbl_working_daily[[#This Row],[LookupKey]],tbl_working_sleep[LookupKey],0))</f>
        <v>1</v>
      </c>
    </row>
    <row r="656" spans="1:24" x14ac:dyDescent="0.3">
      <c r="A656">
        <v>2026352035</v>
      </c>
      <c r="B656" s="1">
        <v>42490</v>
      </c>
      <c r="C656">
        <v>4729</v>
      </c>
      <c r="D656">
        <v>2.9300000667571999</v>
      </c>
      <c r="E656">
        <v>2.9300000667571999</v>
      </c>
      <c r="F656">
        <v>0</v>
      </c>
      <c r="G656">
        <v>0</v>
      </c>
      <c r="H656">
        <v>0</v>
      </c>
      <c r="I656">
        <v>2.9300000667571999</v>
      </c>
      <c r="J656">
        <v>0</v>
      </c>
      <c r="K656">
        <v>0</v>
      </c>
      <c r="L656">
        <v>0</v>
      </c>
      <c r="M656">
        <v>233</v>
      </c>
      <c r="N656">
        <v>594</v>
      </c>
      <c r="O656">
        <v>1506</v>
      </c>
      <c r="P656" t="str">
        <f>TEXT(tbl_working_daily[[#This Row],[ActivityDate]],"dddd")</f>
        <v>Saturday</v>
      </c>
      <c r="Q656" t="str">
        <f>TEXT(tbl_working_daily[[#This Row],[ActivityDate]],"mmmm")</f>
        <v>April</v>
      </c>
      <c r="R656">
        <f t="shared" si="20"/>
        <v>233</v>
      </c>
      <c r="S656">
        <f t="shared" si="21"/>
        <v>827</v>
      </c>
      <c r="T656">
        <f>ROUND(tbl_working_daily[[#This Row],[SedentaryMinutes]]/60,2)</f>
        <v>9.9</v>
      </c>
      <c r="U656" t="str" cm="1">
        <f t="array" ref="U65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56" t="str" cm="1">
        <f t="array" ref="V656">_xlfn.IFS(tbl_working_daily[[#This Row],[VeryActiveMinutes]]&gt;=30,"Very Active",tbl_working_daily[[#This Row],[VeryActiveMinutes]]&gt;=15,"Moderately Active",tbl_working_daily[[#This Row],[VeryActiveMinutes]]&gt;=1,"Lightly Active",tbl_working_daily[[#This Row],[VeryActiveMinutes]]=0,"Sedentary")</f>
        <v>Sedentary</v>
      </c>
      <c r="W656" t="str">
        <f>tbl_working_daily[[#This Row],[Id]]&amp;"|"&amp;TEXT(tbl_working_daily[[#This Row],[ActivityDate]],"yyyy-mm-dd")</f>
        <v>2026352035|2016-04-30</v>
      </c>
      <c r="X656" t="b">
        <f>ISNUMBER(MATCH(tbl_working_daily[[#This Row],[LookupKey]],tbl_working_sleep[LookupKey],0))</f>
        <v>1</v>
      </c>
    </row>
    <row r="657" spans="1:24" x14ac:dyDescent="0.3">
      <c r="A657">
        <v>2026352035</v>
      </c>
      <c r="B657" s="1">
        <v>42491</v>
      </c>
      <c r="C657">
        <v>3609</v>
      </c>
      <c r="D657">
        <v>2.2799999713897701</v>
      </c>
      <c r="E657">
        <v>2.2799999713897701</v>
      </c>
      <c r="F657">
        <v>0</v>
      </c>
      <c r="G657">
        <v>0</v>
      </c>
      <c r="H657">
        <v>0</v>
      </c>
      <c r="I657">
        <v>2.2799999713897701</v>
      </c>
      <c r="J657">
        <v>0</v>
      </c>
      <c r="K657">
        <v>0</v>
      </c>
      <c r="L657">
        <v>0</v>
      </c>
      <c r="M657">
        <v>191</v>
      </c>
      <c r="N657">
        <v>716</v>
      </c>
      <c r="O657">
        <v>1447</v>
      </c>
      <c r="P657" t="str">
        <f>TEXT(tbl_working_daily[[#This Row],[ActivityDate]],"dddd")</f>
        <v>Sunday</v>
      </c>
      <c r="Q657" t="str">
        <f>TEXT(tbl_working_daily[[#This Row],[ActivityDate]],"mmmm")</f>
        <v>May</v>
      </c>
      <c r="R657">
        <f t="shared" si="20"/>
        <v>191</v>
      </c>
      <c r="S657">
        <f t="shared" si="21"/>
        <v>907</v>
      </c>
      <c r="T657">
        <f>ROUND(tbl_working_daily[[#This Row],[SedentaryMinutes]]/60,2)</f>
        <v>11.93</v>
      </c>
      <c r="U657" t="str" cm="1">
        <f t="array" ref="U65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57" t="str" cm="1">
        <f t="array" ref="V657">_xlfn.IFS(tbl_working_daily[[#This Row],[VeryActiveMinutes]]&gt;=30,"Very Active",tbl_working_daily[[#This Row],[VeryActiveMinutes]]&gt;=15,"Moderately Active",tbl_working_daily[[#This Row],[VeryActiveMinutes]]&gt;=1,"Lightly Active",tbl_working_daily[[#This Row],[VeryActiveMinutes]]=0,"Sedentary")</f>
        <v>Sedentary</v>
      </c>
      <c r="W657" t="str">
        <f>tbl_working_daily[[#This Row],[Id]]&amp;"|"&amp;TEXT(tbl_working_daily[[#This Row],[ActivityDate]],"yyyy-mm-dd")</f>
        <v>2026352035|2016-05-01</v>
      </c>
      <c r="X657" t="b">
        <f>ISNUMBER(MATCH(tbl_working_daily[[#This Row],[LookupKey]],tbl_working_sleep[LookupKey],0))</f>
        <v>1</v>
      </c>
    </row>
    <row r="658" spans="1:24" x14ac:dyDescent="0.3">
      <c r="A658">
        <v>2026352035</v>
      </c>
      <c r="B658" s="1">
        <v>42492</v>
      </c>
      <c r="C658">
        <v>7018</v>
      </c>
      <c r="D658">
        <v>4.3499999046325701</v>
      </c>
      <c r="E658">
        <v>4.3499999046325701</v>
      </c>
      <c r="F658">
        <v>0</v>
      </c>
      <c r="G658">
        <v>0</v>
      </c>
      <c r="H658">
        <v>0</v>
      </c>
      <c r="I658">
        <v>4.3499999046325701</v>
      </c>
      <c r="J658">
        <v>0</v>
      </c>
      <c r="K658">
        <v>0</v>
      </c>
      <c r="L658">
        <v>0</v>
      </c>
      <c r="M658">
        <v>355</v>
      </c>
      <c r="N658">
        <v>716</v>
      </c>
      <c r="O658">
        <v>1690</v>
      </c>
      <c r="P658" t="str">
        <f>TEXT(tbl_working_daily[[#This Row],[ActivityDate]],"dddd")</f>
        <v>Monday</v>
      </c>
      <c r="Q658" t="str">
        <f>TEXT(tbl_working_daily[[#This Row],[ActivityDate]],"mmmm")</f>
        <v>May</v>
      </c>
      <c r="R658">
        <f t="shared" si="20"/>
        <v>355</v>
      </c>
      <c r="S658">
        <f t="shared" si="21"/>
        <v>1071</v>
      </c>
      <c r="T658">
        <f>ROUND(tbl_working_daily[[#This Row],[SedentaryMinutes]]/60,2)</f>
        <v>11.93</v>
      </c>
      <c r="U658" t="str" cm="1">
        <f t="array" ref="U65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58" t="str" cm="1">
        <f t="array" ref="V658">_xlfn.IFS(tbl_working_daily[[#This Row],[VeryActiveMinutes]]&gt;=30,"Very Active",tbl_working_daily[[#This Row],[VeryActiveMinutes]]&gt;=15,"Moderately Active",tbl_working_daily[[#This Row],[VeryActiveMinutes]]&gt;=1,"Lightly Active",tbl_working_daily[[#This Row],[VeryActiveMinutes]]=0,"Sedentary")</f>
        <v>Sedentary</v>
      </c>
      <c r="W658" t="str">
        <f>tbl_working_daily[[#This Row],[Id]]&amp;"|"&amp;TEXT(tbl_working_daily[[#This Row],[ActivityDate]],"yyyy-mm-dd")</f>
        <v>2026352035|2016-05-02</v>
      </c>
      <c r="X658" t="b">
        <f>ISNUMBER(MATCH(tbl_working_daily[[#This Row],[LookupKey]],tbl_working_sleep[LookupKey],0))</f>
        <v>1</v>
      </c>
    </row>
    <row r="659" spans="1:24" x14ac:dyDescent="0.3">
      <c r="A659">
        <v>2026352035</v>
      </c>
      <c r="B659" s="1">
        <v>42493</v>
      </c>
      <c r="C659">
        <v>5992</v>
      </c>
      <c r="D659">
        <v>3.7200000286102299</v>
      </c>
      <c r="E659">
        <v>3.7200000286102299</v>
      </c>
      <c r="F659">
        <v>0</v>
      </c>
      <c r="G659">
        <v>0</v>
      </c>
      <c r="H659">
        <v>0</v>
      </c>
      <c r="I659">
        <v>3.7200000286102299</v>
      </c>
      <c r="J659">
        <v>0</v>
      </c>
      <c r="K659">
        <v>0</v>
      </c>
      <c r="L659">
        <v>0</v>
      </c>
      <c r="M659">
        <v>304</v>
      </c>
      <c r="N659">
        <v>981</v>
      </c>
      <c r="O659">
        <v>1604</v>
      </c>
      <c r="P659" t="str">
        <f>TEXT(tbl_working_daily[[#This Row],[ActivityDate]],"dddd")</f>
        <v>Tuesday</v>
      </c>
      <c r="Q659" t="str">
        <f>TEXT(tbl_working_daily[[#This Row],[ActivityDate]],"mmmm")</f>
        <v>May</v>
      </c>
      <c r="R659">
        <f t="shared" si="20"/>
        <v>304</v>
      </c>
      <c r="S659">
        <f t="shared" si="21"/>
        <v>1285</v>
      </c>
      <c r="T659">
        <f>ROUND(tbl_working_daily[[#This Row],[SedentaryMinutes]]/60,2)</f>
        <v>16.350000000000001</v>
      </c>
      <c r="U659" t="str" cm="1">
        <f t="array" ref="U65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59" t="str" cm="1">
        <f t="array" ref="V659">_xlfn.IFS(tbl_working_daily[[#This Row],[VeryActiveMinutes]]&gt;=30,"Very Active",tbl_working_daily[[#This Row],[VeryActiveMinutes]]&gt;=15,"Moderately Active",tbl_working_daily[[#This Row],[VeryActiveMinutes]]&gt;=1,"Lightly Active",tbl_working_daily[[#This Row],[VeryActiveMinutes]]=0,"Sedentary")</f>
        <v>Sedentary</v>
      </c>
      <c r="W659" t="str">
        <f>tbl_working_daily[[#This Row],[Id]]&amp;"|"&amp;TEXT(tbl_working_daily[[#This Row],[ActivityDate]],"yyyy-mm-dd")</f>
        <v>2026352035|2016-05-03</v>
      </c>
      <c r="X659" t="b">
        <f>ISNUMBER(MATCH(tbl_working_daily[[#This Row],[LookupKey]],tbl_working_sleep[LookupKey],0))</f>
        <v>0</v>
      </c>
    </row>
    <row r="660" spans="1:24" x14ac:dyDescent="0.3">
      <c r="A660">
        <v>2026352035</v>
      </c>
      <c r="B660" s="1">
        <v>42494</v>
      </c>
      <c r="C660">
        <v>6564</v>
      </c>
      <c r="D660">
        <v>4.0700001716613796</v>
      </c>
      <c r="E660">
        <v>4.0700001716613796</v>
      </c>
      <c r="F660">
        <v>0</v>
      </c>
      <c r="G660">
        <v>0</v>
      </c>
      <c r="H660">
        <v>0</v>
      </c>
      <c r="I660">
        <v>4.0700001716613796</v>
      </c>
      <c r="J660">
        <v>0</v>
      </c>
      <c r="K660">
        <v>0</v>
      </c>
      <c r="L660">
        <v>0</v>
      </c>
      <c r="M660">
        <v>345</v>
      </c>
      <c r="N660">
        <v>530</v>
      </c>
      <c r="O660">
        <v>1658</v>
      </c>
      <c r="P660" t="str">
        <f>TEXT(tbl_working_daily[[#This Row],[ActivityDate]],"dddd")</f>
        <v>Wednesday</v>
      </c>
      <c r="Q660" t="str">
        <f>TEXT(tbl_working_daily[[#This Row],[ActivityDate]],"mmmm")</f>
        <v>May</v>
      </c>
      <c r="R660">
        <f t="shared" si="20"/>
        <v>345</v>
      </c>
      <c r="S660">
        <f t="shared" si="21"/>
        <v>875</v>
      </c>
      <c r="T660">
        <f>ROUND(tbl_working_daily[[#This Row],[SedentaryMinutes]]/60,2)</f>
        <v>8.83</v>
      </c>
      <c r="U660" t="str" cm="1">
        <f t="array" ref="U66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60" t="str" cm="1">
        <f t="array" ref="V660">_xlfn.IFS(tbl_working_daily[[#This Row],[VeryActiveMinutes]]&gt;=30,"Very Active",tbl_working_daily[[#This Row],[VeryActiveMinutes]]&gt;=15,"Moderately Active",tbl_working_daily[[#This Row],[VeryActiveMinutes]]&gt;=1,"Lightly Active",tbl_working_daily[[#This Row],[VeryActiveMinutes]]=0,"Sedentary")</f>
        <v>Sedentary</v>
      </c>
      <c r="W660" t="str">
        <f>tbl_working_daily[[#This Row],[Id]]&amp;"|"&amp;TEXT(tbl_working_daily[[#This Row],[ActivityDate]],"yyyy-mm-dd")</f>
        <v>2026352035|2016-05-04</v>
      </c>
      <c r="X660" t="b">
        <f>ISNUMBER(MATCH(tbl_working_daily[[#This Row],[LookupKey]],tbl_working_sleep[LookupKey],0))</f>
        <v>1</v>
      </c>
    </row>
    <row r="661" spans="1:24" x14ac:dyDescent="0.3">
      <c r="A661">
        <v>2026352035</v>
      </c>
      <c r="B661" s="1">
        <v>42495</v>
      </c>
      <c r="C661">
        <v>12167</v>
      </c>
      <c r="D661">
        <v>7.53999996185303</v>
      </c>
      <c r="E661">
        <v>7.53999996185303</v>
      </c>
      <c r="F661">
        <v>0</v>
      </c>
      <c r="G661">
        <v>0</v>
      </c>
      <c r="H661">
        <v>0</v>
      </c>
      <c r="I661">
        <v>7.53999996185303</v>
      </c>
      <c r="J661">
        <v>0</v>
      </c>
      <c r="K661">
        <v>0</v>
      </c>
      <c r="L661">
        <v>0</v>
      </c>
      <c r="M661">
        <v>475</v>
      </c>
      <c r="N661">
        <v>479</v>
      </c>
      <c r="O661">
        <v>1926</v>
      </c>
      <c r="P661" t="str">
        <f>TEXT(tbl_working_daily[[#This Row],[ActivityDate]],"dddd")</f>
        <v>Thursday</v>
      </c>
      <c r="Q661" t="str">
        <f>TEXT(tbl_working_daily[[#This Row],[ActivityDate]],"mmmm")</f>
        <v>May</v>
      </c>
      <c r="R661">
        <f t="shared" si="20"/>
        <v>475</v>
      </c>
      <c r="S661">
        <f t="shared" si="21"/>
        <v>954</v>
      </c>
      <c r="T661">
        <f>ROUND(tbl_working_daily[[#This Row],[SedentaryMinutes]]/60,2)</f>
        <v>7.98</v>
      </c>
      <c r="U661" t="str" cm="1">
        <f t="array" ref="U66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61" t="str" cm="1">
        <f t="array" ref="V661">_xlfn.IFS(tbl_working_daily[[#This Row],[VeryActiveMinutes]]&gt;=30,"Very Active",tbl_working_daily[[#This Row],[VeryActiveMinutes]]&gt;=15,"Moderately Active",tbl_working_daily[[#This Row],[VeryActiveMinutes]]&gt;=1,"Lightly Active",tbl_working_daily[[#This Row],[VeryActiveMinutes]]=0,"Sedentary")</f>
        <v>Sedentary</v>
      </c>
      <c r="W661" t="str">
        <f>tbl_working_daily[[#This Row],[Id]]&amp;"|"&amp;TEXT(tbl_working_daily[[#This Row],[ActivityDate]],"yyyy-mm-dd")</f>
        <v>2026352035|2016-05-05</v>
      </c>
      <c r="X661" t="b">
        <f>ISNUMBER(MATCH(tbl_working_daily[[#This Row],[LookupKey]],tbl_working_sleep[LookupKey],0))</f>
        <v>1</v>
      </c>
    </row>
    <row r="662" spans="1:24" x14ac:dyDescent="0.3">
      <c r="A662">
        <v>2026352035</v>
      </c>
      <c r="B662" s="1">
        <v>42496</v>
      </c>
      <c r="C662">
        <v>8198</v>
      </c>
      <c r="D662">
        <v>5.0799999237060502</v>
      </c>
      <c r="E662">
        <v>5.0799999237060502</v>
      </c>
      <c r="F662">
        <v>0</v>
      </c>
      <c r="G662">
        <v>0</v>
      </c>
      <c r="H662">
        <v>0</v>
      </c>
      <c r="I662">
        <v>5.0799999237060502</v>
      </c>
      <c r="J662">
        <v>0</v>
      </c>
      <c r="K662">
        <v>0</v>
      </c>
      <c r="L662">
        <v>0</v>
      </c>
      <c r="M662">
        <v>383</v>
      </c>
      <c r="N662">
        <v>511</v>
      </c>
      <c r="O662">
        <v>1736</v>
      </c>
      <c r="P662" t="str">
        <f>TEXT(tbl_working_daily[[#This Row],[ActivityDate]],"dddd")</f>
        <v>Friday</v>
      </c>
      <c r="Q662" t="str">
        <f>TEXT(tbl_working_daily[[#This Row],[ActivityDate]],"mmmm")</f>
        <v>May</v>
      </c>
      <c r="R662">
        <f t="shared" si="20"/>
        <v>383</v>
      </c>
      <c r="S662">
        <f t="shared" si="21"/>
        <v>894</v>
      </c>
      <c r="T662">
        <f>ROUND(tbl_working_daily[[#This Row],[SedentaryMinutes]]/60,2)</f>
        <v>8.52</v>
      </c>
      <c r="U662" t="str" cm="1">
        <f t="array" ref="U66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662" t="str" cm="1">
        <f t="array" ref="V662">_xlfn.IFS(tbl_working_daily[[#This Row],[VeryActiveMinutes]]&gt;=30,"Very Active",tbl_working_daily[[#This Row],[VeryActiveMinutes]]&gt;=15,"Moderately Active",tbl_working_daily[[#This Row],[VeryActiveMinutes]]&gt;=1,"Lightly Active",tbl_working_daily[[#This Row],[VeryActiveMinutes]]=0,"Sedentary")</f>
        <v>Sedentary</v>
      </c>
      <c r="W662" t="str">
        <f>tbl_working_daily[[#This Row],[Id]]&amp;"|"&amp;TEXT(tbl_working_daily[[#This Row],[ActivityDate]],"yyyy-mm-dd")</f>
        <v>2026352035|2016-05-06</v>
      </c>
      <c r="X662" t="b">
        <f>ISNUMBER(MATCH(tbl_working_daily[[#This Row],[LookupKey]],tbl_working_sleep[LookupKey],0))</f>
        <v>1</v>
      </c>
    </row>
    <row r="663" spans="1:24" x14ac:dyDescent="0.3">
      <c r="A663">
        <v>2026352035</v>
      </c>
      <c r="B663" s="1">
        <v>42497</v>
      </c>
      <c r="C663">
        <v>4193</v>
      </c>
      <c r="D663">
        <v>2.5999999046325701</v>
      </c>
      <c r="E663">
        <v>2.5999999046325701</v>
      </c>
      <c r="F663">
        <v>0</v>
      </c>
      <c r="G663">
        <v>0</v>
      </c>
      <c r="H663">
        <v>0</v>
      </c>
      <c r="I663">
        <v>2.5999999046325701</v>
      </c>
      <c r="J663">
        <v>0</v>
      </c>
      <c r="K663">
        <v>0</v>
      </c>
      <c r="L663">
        <v>0</v>
      </c>
      <c r="M663">
        <v>229</v>
      </c>
      <c r="N663">
        <v>665</v>
      </c>
      <c r="O663">
        <v>1491</v>
      </c>
      <c r="P663" t="str">
        <f>TEXT(tbl_working_daily[[#This Row],[ActivityDate]],"dddd")</f>
        <v>Saturday</v>
      </c>
      <c r="Q663" t="str">
        <f>TEXT(tbl_working_daily[[#This Row],[ActivityDate]],"mmmm")</f>
        <v>May</v>
      </c>
      <c r="R663">
        <f t="shared" si="20"/>
        <v>229</v>
      </c>
      <c r="S663">
        <f t="shared" si="21"/>
        <v>894</v>
      </c>
      <c r="T663">
        <f>ROUND(tbl_working_daily[[#This Row],[SedentaryMinutes]]/60,2)</f>
        <v>11.08</v>
      </c>
      <c r="U663" t="str" cm="1">
        <f t="array" ref="U66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63" t="str" cm="1">
        <f t="array" ref="V663">_xlfn.IFS(tbl_working_daily[[#This Row],[VeryActiveMinutes]]&gt;=30,"Very Active",tbl_working_daily[[#This Row],[VeryActiveMinutes]]&gt;=15,"Moderately Active",tbl_working_daily[[#This Row],[VeryActiveMinutes]]&gt;=1,"Lightly Active",tbl_working_daily[[#This Row],[VeryActiveMinutes]]=0,"Sedentary")</f>
        <v>Sedentary</v>
      </c>
      <c r="W663" t="str">
        <f>tbl_working_daily[[#This Row],[Id]]&amp;"|"&amp;TEXT(tbl_working_daily[[#This Row],[ActivityDate]],"yyyy-mm-dd")</f>
        <v>2026352035|2016-05-07</v>
      </c>
      <c r="X663" t="b">
        <f>ISNUMBER(MATCH(tbl_working_daily[[#This Row],[LookupKey]],tbl_working_sleep[LookupKey],0))</f>
        <v>1</v>
      </c>
    </row>
    <row r="664" spans="1:24" x14ac:dyDescent="0.3">
      <c r="A664">
        <v>2026352035</v>
      </c>
      <c r="B664" s="1">
        <v>42498</v>
      </c>
      <c r="C664">
        <v>5528</v>
      </c>
      <c r="D664">
        <v>3.4500000476837198</v>
      </c>
      <c r="E664">
        <v>3.4500000476837198</v>
      </c>
      <c r="F664">
        <v>0</v>
      </c>
      <c r="G664">
        <v>0</v>
      </c>
      <c r="H664">
        <v>0</v>
      </c>
      <c r="I664">
        <v>3.4500000476837198</v>
      </c>
      <c r="J664">
        <v>0</v>
      </c>
      <c r="K664">
        <v>0</v>
      </c>
      <c r="L664">
        <v>0</v>
      </c>
      <c r="M664">
        <v>258</v>
      </c>
      <c r="N664">
        <v>610</v>
      </c>
      <c r="O664">
        <v>1555</v>
      </c>
      <c r="P664" t="str">
        <f>TEXT(tbl_working_daily[[#This Row],[ActivityDate]],"dddd")</f>
        <v>Sunday</v>
      </c>
      <c r="Q664" t="str">
        <f>TEXT(tbl_working_daily[[#This Row],[ActivityDate]],"mmmm")</f>
        <v>May</v>
      </c>
      <c r="R664">
        <f t="shared" si="20"/>
        <v>258</v>
      </c>
      <c r="S664">
        <f t="shared" si="21"/>
        <v>868</v>
      </c>
      <c r="T664">
        <f>ROUND(tbl_working_daily[[#This Row],[SedentaryMinutes]]/60,2)</f>
        <v>10.17</v>
      </c>
      <c r="U664" t="str" cm="1">
        <f t="array" ref="U66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64" t="str" cm="1">
        <f t="array" ref="V664">_xlfn.IFS(tbl_working_daily[[#This Row],[VeryActiveMinutes]]&gt;=30,"Very Active",tbl_working_daily[[#This Row],[VeryActiveMinutes]]&gt;=15,"Moderately Active",tbl_working_daily[[#This Row],[VeryActiveMinutes]]&gt;=1,"Lightly Active",tbl_working_daily[[#This Row],[VeryActiveMinutes]]=0,"Sedentary")</f>
        <v>Sedentary</v>
      </c>
      <c r="W664" t="str">
        <f>tbl_working_daily[[#This Row],[Id]]&amp;"|"&amp;TEXT(tbl_working_daily[[#This Row],[ActivityDate]],"yyyy-mm-dd")</f>
        <v>2026352035|2016-05-08</v>
      </c>
      <c r="X664" t="b">
        <f>ISNUMBER(MATCH(tbl_working_daily[[#This Row],[LookupKey]],tbl_working_sleep[LookupKey],0))</f>
        <v>1</v>
      </c>
    </row>
    <row r="665" spans="1:24" x14ac:dyDescent="0.3">
      <c r="A665">
        <v>2026352035</v>
      </c>
      <c r="B665" s="1">
        <v>42499</v>
      </c>
      <c r="C665">
        <v>10685</v>
      </c>
      <c r="D665">
        <v>6.6199998855590803</v>
      </c>
      <c r="E665">
        <v>6.6199998855590803</v>
      </c>
      <c r="F665">
        <v>0</v>
      </c>
      <c r="G665">
        <v>0</v>
      </c>
      <c r="H665">
        <v>0</v>
      </c>
      <c r="I665">
        <v>6.5999999046325701</v>
      </c>
      <c r="J665">
        <v>0</v>
      </c>
      <c r="K665">
        <v>0</v>
      </c>
      <c r="L665">
        <v>0</v>
      </c>
      <c r="M665">
        <v>401</v>
      </c>
      <c r="N665">
        <v>543</v>
      </c>
      <c r="O665">
        <v>1869</v>
      </c>
      <c r="P665" t="str">
        <f>TEXT(tbl_working_daily[[#This Row],[ActivityDate]],"dddd")</f>
        <v>Monday</v>
      </c>
      <c r="Q665" t="str">
        <f>TEXT(tbl_working_daily[[#This Row],[ActivityDate]],"mmmm")</f>
        <v>May</v>
      </c>
      <c r="R665">
        <f t="shared" si="20"/>
        <v>401</v>
      </c>
      <c r="S665">
        <f t="shared" si="21"/>
        <v>944</v>
      </c>
      <c r="T665">
        <f>ROUND(tbl_working_daily[[#This Row],[SedentaryMinutes]]/60,2)</f>
        <v>9.0500000000000007</v>
      </c>
      <c r="U665" t="str" cm="1">
        <f t="array" ref="U66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65" t="str" cm="1">
        <f t="array" ref="V665">_xlfn.IFS(tbl_working_daily[[#This Row],[VeryActiveMinutes]]&gt;=30,"Very Active",tbl_working_daily[[#This Row],[VeryActiveMinutes]]&gt;=15,"Moderately Active",tbl_working_daily[[#This Row],[VeryActiveMinutes]]&gt;=1,"Lightly Active",tbl_working_daily[[#This Row],[VeryActiveMinutes]]=0,"Sedentary")</f>
        <v>Sedentary</v>
      </c>
      <c r="W665" t="str">
        <f>tbl_working_daily[[#This Row],[Id]]&amp;"|"&amp;TEXT(tbl_working_daily[[#This Row],[ActivityDate]],"yyyy-mm-dd")</f>
        <v>2026352035|2016-05-09</v>
      </c>
      <c r="X665" t="b">
        <f>ISNUMBER(MATCH(tbl_working_daily[[#This Row],[LookupKey]],tbl_working_sleep[LookupKey],0))</f>
        <v>1</v>
      </c>
    </row>
    <row r="666" spans="1:24" x14ac:dyDescent="0.3">
      <c r="A666">
        <v>2026352035</v>
      </c>
      <c r="B666" s="1">
        <v>42500</v>
      </c>
      <c r="C666">
        <v>254</v>
      </c>
      <c r="D666">
        <v>0.15999999642372101</v>
      </c>
      <c r="E666">
        <v>0.15999999642372101</v>
      </c>
      <c r="F666">
        <v>0</v>
      </c>
      <c r="G666">
        <v>0</v>
      </c>
      <c r="H666">
        <v>0</v>
      </c>
      <c r="I666">
        <v>0.15999999642372101</v>
      </c>
      <c r="J666">
        <v>0</v>
      </c>
      <c r="K666">
        <v>0</v>
      </c>
      <c r="L666">
        <v>0</v>
      </c>
      <c r="M666">
        <v>17</v>
      </c>
      <c r="N666">
        <v>1002</v>
      </c>
      <c r="O666">
        <v>1141</v>
      </c>
      <c r="P666" t="str">
        <f>TEXT(tbl_working_daily[[#This Row],[ActivityDate]],"dddd")</f>
        <v>Tuesday</v>
      </c>
      <c r="Q666" t="str">
        <f>TEXT(tbl_working_daily[[#This Row],[ActivityDate]],"mmmm")</f>
        <v>May</v>
      </c>
      <c r="R666">
        <f t="shared" si="20"/>
        <v>17</v>
      </c>
      <c r="S666">
        <f t="shared" si="21"/>
        <v>1019</v>
      </c>
      <c r="T666">
        <f>ROUND(tbl_working_daily[[#This Row],[SedentaryMinutes]]/60,2)</f>
        <v>16.7</v>
      </c>
      <c r="U666" t="str" cm="1">
        <f t="array" ref="U66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66" t="str" cm="1">
        <f t="array" ref="V666">_xlfn.IFS(tbl_working_daily[[#This Row],[VeryActiveMinutes]]&gt;=30,"Very Active",tbl_working_daily[[#This Row],[VeryActiveMinutes]]&gt;=15,"Moderately Active",tbl_working_daily[[#This Row],[VeryActiveMinutes]]&gt;=1,"Lightly Active",tbl_working_daily[[#This Row],[VeryActiveMinutes]]=0,"Sedentary")</f>
        <v>Sedentary</v>
      </c>
      <c r="W666" t="str">
        <f>tbl_working_daily[[#This Row],[Id]]&amp;"|"&amp;TEXT(tbl_working_daily[[#This Row],[ActivityDate]],"yyyy-mm-dd")</f>
        <v>2026352035|2016-05-10</v>
      </c>
      <c r="X666" t="b">
        <f>ISNUMBER(MATCH(tbl_working_daily[[#This Row],[LookupKey]],tbl_working_sleep[LookupKey],0))</f>
        <v>1</v>
      </c>
    </row>
    <row r="667" spans="1:24" x14ac:dyDescent="0.3">
      <c r="A667">
        <v>2026352035</v>
      </c>
      <c r="B667" s="1">
        <v>42501</v>
      </c>
      <c r="C667">
        <v>8580</v>
      </c>
      <c r="D667">
        <v>5.3200001716613796</v>
      </c>
      <c r="E667">
        <v>5.3200001716613796</v>
      </c>
      <c r="F667">
        <v>0</v>
      </c>
      <c r="G667">
        <v>0</v>
      </c>
      <c r="H667">
        <v>0</v>
      </c>
      <c r="I667">
        <v>5.3200001716613796</v>
      </c>
      <c r="J667">
        <v>0</v>
      </c>
      <c r="K667">
        <v>0</v>
      </c>
      <c r="L667">
        <v>0</v>
      </c>
      <c r="M667">
        <v>330</v>
      </c>
      <c r="N667">
        <v>569</v>
      </c>
      <c r="O667">
        <v>1698</v>
      </c>
      <c r="P667" t="str">
        <f>TEXT(tbl_working_daily[[#This Row],[ActivityDate]],"dddd")</f>
        <v>Wednesday</v>
      </c>
      <c r="Q667" t="str">
        <f>TEXT(tbl_working_daily[[#This Row],[ActivityDate]],"mmmm")</f>
        <v>May</v>
      </c>
      <c r="R667">
        <f t="shared" si="20"/>
        <v>330</v>
      </c>
      <c r="S667">
        <f t="shared" si="21"/>
        <v>899</v>
      </c>
      <c r="T667">
        <f>ROUND(tbl_working_daily[[#This Row],[SedentaryMinutes]]/60,2)</f>
        <v>9.48</v>
      </c>
      <c r="U667" t="str" cm="1">
        <f t="array" ref="U66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667" t="str" cm="1">
        <f t="array" ref="V667">_xlfn.IFS(tbl_working_daily[[#This Row],[VeryActiveMinutes]]&gt;=30,"Very Active",tbl_working_daily[[#This Row],[VeryActiveMinutes]]&gt;=15,"Moderately Active",tbl_working_daily[[#This Row],[VeryActiveMinutes]]&gt;=1,"Lightly Active",tbl_working_daily[[#This Row],[VeryActiveMinutes]]=0,"Sedentary")</f>
        <v>Sedentary</v>
      </c>
      <c r="W667" t="str">
        <f>tbl_working_daily[[#This Row],[Id]]&amp;"|"&amp;TEXT(tbl_working_daily[[#This Row],[ActivityDate]],"yyyy-mm-dd")</f>
        <v>2026352035|2016-05-11</v>
      </c>
      <c r="X667" t="b">
        <f>ISNUMBER(MATCH(tbl_working_daily[[#This Row],[LookupKey]],tbl_working_sleep[LookupKey],0))</f>
        <v>1</v>
      </c>
    </row>
    <row r="668" spans="1:24" x14ac:dyDescent="0.3">
      <c r="A668">
        <v>2026352035</v>
      </c>
      <c r="B668" s="1">
        <v>42502</v>
      </c>
      <c r="C668">
        <v>8891</v>
      </c>
      <c r="D668">
        <v>5.5100002288818404</v>
      </c>
      <c r="E668">
        <v>5.5100002288818404</v>
      </c>
      <c r="F668">
        <v>0</v>
      </c>
      <c r="G668">
        <v>0</v>
      </c>
      <c r="H668">
        <v>0</v>
      </c>
      <c r="I668">
        <v>5.5100002288818404</v>
      </c>
      <c r="J668">
        <v>0</v>
      </c>
      <c r="K668">
        <v>0</v>
      </c>
      <c r="L668">
        <v>0</v>
      </c>
      <c r="M668">
        <v>343</v>
      </c>
      <c r="N668">
        <v>330</v>
      </c>
      <c r="O668">
        <v>1364</v>
      </c>
      <c r="P668" t="str">
        <f>TEXT(tbl_working_daily[[#This Row],[ActivityDate]],"dddd")</f>
        <v>Thursday</v>
      </c>
      <c r="Q668" t="str">
        <f>TEXT(tbl_working_daily[[#This Row],[ActivityDate]],"mmmm")</f>
        <v>May</v>
      </c>
      <c r="R668">
        <f t="shared" si="20"/>
        <v>343</v>
      </c>
      <c r="S668">
        <f t="shared" si="21"/>
        <v>673</v>
      </c>
      <c r="T668">
        <f>ROUND(tbl_working_daily[[#This Row],[SedentaryMinutes]]/60,2)</f>
        <v>5.5</v>
      </c>
      <c r="U668" t="str" cm="1">
        <f t="array" ref="U66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668" t="str" cm="1">
        <f t="array" ref="V668">_xlfn.IFS(tbl_working_daily[[#This Row],[VeryActiveMinutes]]&gt;=30,"Very Active",tbl_working_daily[[#This Row],[VeryActiveMinutes]]&gt;=15,"Moderately Active",tbl_working_daily[[#This Row],[VeryActiveMinutes]]&gt;=1,"Lightly Active",tbl_working_daily[[#This Row],[VeryActiveMinutes]]=0,"Sedentary")</f>
        <v>Sedentary</v>
      </c>
      <c r="W668" t="str">
        <f>tbl_working_daily[[#This Row],[Id]]&amp;"|"&amp;TEXT(tbl_working_daily[[#This Row],[ActivityDate]],"yyyy-mm-dd")</f>
        <v>2026352035|2016-05-12</v>
      </c>
      <c r="X668" t="b">
        <f>ISNUMBER(MATCH(tbl_working_daily[[#This Row],[LookupKey]],tbl_working_sleep[LookupKey],0))</f>
        <v>1</v>
      </c>
    </row>
    <row r="669" spans="1:24" x14ac:dyDescent="0.3">
      <c r="A669">
        <v>2320127002</v>
      </c>
      <c r="B669" s="1">
        <v>42473</v>
      </c>
      <c r="C669">
        <v>7275</v>
      </c>
      <c r="D669">
        <v>4.9000000953674299</v>
      </c>
      <c r="E669">
        <v>4.9000000953674299</v>
      </c>
      <c r="F669">
        <v>0</v>
      </c>
      <c r="G669">
        <v>0</v>
      </c>
      <c r="H669">
        <v>0</v>
      </c>
      <c r="I669">
        <v>4.9000000953674299</v>
      </c>
      <c r="J669">
        <v>0</v>
      </c>
      <c r="K669">
        <v>0</v>
      </c>
      <c r="L669">
        <v>0</v>
      </c>
      <c r="M669">
        <v>335</v>
      </c>
      <c r="N669">
        <v>1105</v>
      </c>
      <c r="O669">
        <v>2003</v>
      </c>
      <c r="P669" t="str">
        <f>TEXT(tbl_working_daily[[#This Row],[ActivityDate]],"dddd")</f>
        <v>Wednesday</v>
      </c>
      <c r="Q669" t="str">
        <f>TEXT(tbl_working_daily[[#This Row],[ActivityDate]],"mmmm")</f>
        <v>April</v>
      </c>
      <c r="R669">
        <f t="shared" si="20"/>
        <v>335</v>
      </c>
      <c r="S669">
        <f t="shared" si="21"/>
        <v>1440</v>
      </c>
      <c r="T669">
        <f>ROUND(tbl_working_daily[[#This Row],[SedentaryMinutes]]/60,2)</f>
        <v>18.420000000000002</v>
      </c>
      <c r="U669" t="str" cm="1">
        <f t="array" ref="U66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69" t="str" cm="1">
        <f t="array" ref="V669">_xlfn.IFS(tbl_working_daily[[#This Row],[VeryActiveMinutes]]&gt;=30,"Very Active",tbl_working_daily[[#This Row],[VeryActiveMinutes]]&gt;=15,"Moderately Active",tbl_working_daily[[#This Row],[VeryActiveMinutes]]&gt;=1,"Lightly Active",tbl_working_daily[[#This Row],[VeryActiveMinutes]]=0,"Sedentary")</f>
        <v>Sedentary</v>
      </c>
      <c r="W669" t="str">
        <f>tbl_working_daily[[#This Row],[Id]]&amp;"|"&amp;TEXT(tbl_working_daily[[#This Row],[ActivityDate]],"yyyy-mm-dd")</f>
        <v>2320127002|2016-04-13</v>
      </c>
      <c r="X669" t="b">
        <f>ISNUMBER(MATCH(tbl_working_daily[[#This Row],[LookupKey]],tbl_working_sleep[LookupKey],0))</f>
        <v>0</v>
      </c>
    </row>
    <row r="670" spans="1:24" x14ac:dyDescent="0.3">
      <c r="A670">
        <v>2320127002</v>
      </c>
      <c r="B670" s="1">
        <v>42474</v>
      </c>
      <c r="C670">
        <v>3973</v>
      </c>
      <c r="D670">
        <v>2.6800000667571999</v>
      </c>
      <c r="E670">
        <v>2.6800000667571999</v>
      </c>
      <c r="F670">
        <v>0</v>
      </c>
      <c r="G670">
        <v>0</v>
      </c>
      <c r="H670">
        <v>0</v>
      </c>
      <c r="I670">
        <v>2.6800000667571999</v>
      </c>
      <c r="J670">
        <v>0</v>
      </c>
      <c r="K670">
        <v>0</v>
      </c>
      <c r="L670">
        <v>0</v>
      </c>
      <c r="M670">
        <v>191</v>
      </c>
      <c r="N670">
        <v>1249</v>
      </c>
      <c r="O670">
        <v>1696</v>
      </c>
      <c r="P670" t="str">
        <f>TEXT(tbl_working_daily[[#This Row],[ActivityDate]],"dddd")</f>
        <v>Thursday</v>
      </c>
      <c r="Q670" t="str">
        <f>TEXT(tbl_working_daily[[#This Row],[ActivityDate]],"mmmm")</f>
        <v>April</v>
      </c>
      <c r="R670">
        <f t="shared" si="20"/>
        <v>191</v>
      </c>
      <c r="S670">
        <f t="shared" si="21"/>
        <v>1440</v>
      </c>
      <c r="T670">
        <f>ROUND(tbl_working_daily[[#This Row],[SedentaryMinutes]]/60,2)</f>
        <v>20.82</v>
      </c>
      <c r="U670" t="str" cm="1">
        <f t="array" ref="U67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70" t="str" cm="1">
        <f t="array" ref="V670">_xlfn.IFS(tbl_working_daily[[#This Row],[VeryActiveMinutes]]&gt;=30,"Very Active",tbl_working_daily[[#This Row],[VeryActiveMinutes]]&gt;=15,"Moderately Active",tbl_working_daily[[#This Row],[VeryActiveMinutes]]&gt;=1,"Lightly Active",tbl_working_daily[[#This Row],[VeryActiveMinutes]]=0,"Sedentary")</f>
        <v>Sedentary</v>
      </c>
      <c r="W670" t="str">
        <f>tbl_working_daily[[#This Row],[Id]]&amp;"|"&amp;TEXT(tbl_working_daily[[#This Row],[ActivityDate]],"yyyy-mm-dd")</f>
        <v>2320127002|2016-04-14</v>
      </c>
      <c r="X670" t="b">
        <f>ISNUMBER(MATCH(tbl_working_daily[[#This Row],[LookupKey]],tbl_working_sleep[LookupKey],0))</f>
        <v>0</v>
      </c>
    </row>
    <row r="671" spans="1:24" x14ac:dyDescent="0.3">
      <c r="A671">
        <v>2320127002</v>
      </c>
      <c r="B671" s="1">
        <v>42475</v>
      </c>
      <c r="C671">
        <v>5205</v>
      </c>
      <c r="D671">
        <v>3.5099999904632599</v>
      </c>
      <c r="E671">
        <v>3.5099999904632599</v>
      </c>
      <c r="F671">
        <v>0</v>
      </c>
      <c r="G671">
        <v>0</v>
      </c>
      <c r="H671">
        <v>0</v>
      </c>
      <c r="I671">
        <v>3.5099999904632599</v>
      </c>
      <c r="J671">
        <v>0</v>
      </c>
      <c r="K671">
        <v>0</v>
      </c>
      <c r="L671">
        <v>0</v>
      </c>
      <c r="M671">
        <v>245</v>
      </c>
      <c r="N671">
        <v>1195</v>
      </c>
      <c r="O671">
        <v>1801</v>
      </c>
      <c r="P671" t="str">
        <f>TEXT(tbl_working_daily[[#This Row],[ActivityDate]],"dddd")</f>
        <v>Friday</v>
      </c>
      <c r="Q671" t="str">
        <f>TEXT(tbl_working_daily[[#This Row],[ActivityDate]],"mmmm")</f>
        <v>April</v>
      </c>
      <c r="R671">
        <f t="shared" si="20"/>
        <v>245</v>
      </c>
      <c r="S671">
        <f t="shared" si="21"/>
        <v>1440</v>
      </c>
      <c r="T671">
        <f>ROUND(tbl_working_daily[[#This Row],[SedentaryMinutes]]/60,2)</f>
        <v>19.920000000000002</v>
      </c>
      <c r="U671" t="str" cm="1">
        <f t="array" ref="U67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1" t="str" cm="1">
        <f t="array" ref="V671">_xlfn.IFS(tbl_working_daily[[#This Row],[VeryActiveMinutes]]&gt;=30,"Very Active",tbl_working_daily[[#This Row],[VeryActiveMinutes]]&gt;=15,"Moderately Active",tbl_working_daily[[#This Row],[VeryActiveMinutes]]&gt;=1,"Lightly Active",tbl_working_daily[[#This Row],[VeryActiveMinutes]]=0,"Sedentary")</f>
        <v>Sedentary</v>
      </c>
      <c r="W671" t="str">
        <f>tbl_working_daily[[#This Row],[Id]]&amp;"|"&amp;TEXT(tbl_working_daily[[#This Row],[ActivityDate]],"yyyy-mm-dd")</f>
        <v>2320127002|2016-04-15</v>
      </c>
      <c r="X671" t="b">
        <f>ISNUMBER(MATCH(tbl_working_daily[[#This Row],[LookupKey]],tbl_working_sleep[LookupKey],0))</f>
        <v>0</v>
      </c>
    </row>
    <row r="672" spans="1:24" x14ac:dyDescent="0.3">
      <c r="A672">
        <v>2320127002</v>
      </c>
      <c r="B672" s="1">
        <v>42476</v>
      </c>
      <c r="C672">
        <v>5057</v>
      </c>
      <c r="D672">
        <v>3.4100000858306898</v>
      </c>
      <c r="E672">
        <v>3.4100000858306898</v>
      </c>
      <c r="F672">
        <v>0</v>
      </c>
      <c r="G672">
        <v>0</v>
      </c>
      <c r="H672">
        <v>0</v>
      </c>
      <c r="I672">
        <v>3.4000000953674299</v>
      </c>
      <c r="J672">
        <v>0</v>
      </c>
      <c r="K672">
        <v>0</v>
      </c>
      <c r="L672">
        <v>0</v>
      </c>
      <c r="M672">
        <v>195</v>
      </c>
      <c r="N672">
        <v>1245</v>
      </c>
      <c r="O672">
        <v>1724</v>
      </c>
      <c r="P672" t="str">
        <f>TEXT(tbl_working_daily[[#This Row],[ActivityDate]],"dddd")</f>
        <v>Saturday</v>
      </c>
      <c r="Q672" t="str">
        <f>TEXT(tbl_working_daily[[#This Row],[ActivityDate]],"mmmm")</f>
        <v>April</v>
      </c>
      <c r="R672">
        <f t="shared" si="20"/>
        <v>195</v>
      </c>
      <c r="S672">
        <f t="shared" si="21"/>
        <v>1440</v>
      </c>
      <c r="T672">
        <f>ROUND(tbl_working_daily[[#This Row],[SedentaryMinutes]]/60,2)</f>
        <v>20.75</v>
      </c>
      <c r="U672" t="str" cm="1">
        <f t="array" ref="U67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2" t="str" cm="1">
        <f t="array" ref="V672">_xlfn.IFS(tbl_working_daily[[#This Row],[VeryActiveMinutes]]&gt;=30,"Very Active",tbl_working_daily[[#This Row],[VeryActiveMinutes]]&gt;=15,"Moderately Active",tbl_working_daily[[#This Row],[VeryActiveMinutes]]&gt;=1,"Lightly Active",tbl_working_daily[[#This Row],[VeryActiveMinutes]]=0,"Sedentary")</f>
        <v>Sedentary</v>
      </c>
      <c r="W672" t="str">
        <f>tbl_working_daily[[#This Row],[Id]]&amp;"|"&amp;TEXT(tbl_working_daily[[#This Row],[ActivityDate]],"yyyy-mm-dd")</f>
        <v>2320127002|2016-04-16</v>
      </c>
      <c r="X672" t="b">
        <f>ISNUMBER(MATCH(tbl_working_daily[[#This Row],[LookupKey]],tbl_working_sleep[LookupKey],0))</f>
        <v>0</v>
      </c>
    </row>
    <row r="673" spans="1:24" x14ac:dyDescent="0.3">
      <c r="A673">
        <v>2320127002</v>
      </c>
      <c r="B673" s="1">
        <v>42477</v>
      </c>
      <c r="C673">
        <v>6198</v>
      </c>
      <c r="D673">
        <v>4.1799998283386204</v>
      </c>
      <c r="E673">
        <v>4.1799998283386204</v>
      </c>
      <c r="F673">
        <v>0</v>
      </c>
      <c r="G673">
        <v>0</v>
      </c>
      <c r="H673">
        <v>0</v>
      </c>
      <c r="I673">
        <v>4.1799998283386204</v>
      </c>
      <c r="J673">
        <v>0</v>
      </c>
      <c r="K673">
        <v>0</v>
      </c>
      <c r="L673">
        <v>0</v>
      </c>
      <c r="M673">
        <v>249</v>
      </c>
      <c r="N673">
        <v>1191</v>
      </c>
      <c r="O673">
        <v>1852</v>
      </c>
      <c r="P673" t="str">
        <f>TEXT(tbl_working_daily[[#This Row],[ActivityDate]],"dddd")</f>
        <v>Sunday</v>
      </c>
      <c r="Q673" t="str">
        <f>TEXT(tbl_working_daily[[#This Row],[ActivityDate]],"mmmm")</f>
        <v>April</v>
      </c>
      <c r="R673">
        <f t="shared" si="20"/>
        <v>249</v>
      </c>
      <c r="S673">
        <f t="shared" si="21"/>
        <v>1440</v>
      </c>
      <c r="T673">
        <f>ROUND(tbl_working_daily[[#This Row],[SedentaryMinutes]]/60,2)</f>
        <v>19.850000000000001</v>
      </c>
      <c r="U673" t="str" cm="1">
        <f t="array" ref="U67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3" t="str" cm="1">
        <f t="array" ref="V673">_xlfn.IFS(tbl_working_daily[[#This Row],[VeryActiveMinutes]]&gt;=30,"Very Active",tbl_working_daily[[#This Row],[VeryActiveMinutes]]&gt;=15,"Moderately Active",tbl_working_daily[[#This Row],[VeryActiveMinutes]]&gt;=1,"Lightly Active",tbl_working_daily[[#This Row],[VeryActiveMinutes]]=0,"Sedentary")</f>
        <v>Sedentary</v>
      </c>
      <c r="W673" t="str">
        <f>tbl_working_daily[[#This Row],[Id]]&amp;"|"&amp;TEXT(tbl_working_daily[[#This Row],[ActivityDate]],"yyyy-mm-dd")</f>
        <v>2320127002|2016-04-17</v>
      </c>
      <c r="X673" t="b">
        <f>ISNUMBER(MATCH(tbl_working_daily[[#This Row],[LookupKey]],tbl_working_sleep[LookupKey],0))</f>
        <v>0</v>
      </c>
    </row>
    <row r="674" spans="1:24" x14ac:dyDescent="0.3">
      <c r="A674">
        <v>2320127002</v>
      </c>
      <c r="B674" s="1">
        <v>42478</v>
      </c>
      <c r="C674">
        <v>6559</v>
      </c>
      <c r="D674">
        <v>4.4200000762939498</v>
      </c>
      <c r="E674">
        <v>4.4200000762939498</v>
      </c>
      <c r="F674">
        <v>0</v>
      </c>
      <c r="G674">
        <v>0</v>
      </c>
      <c r="H674">
        <v>0.259999990463257</v>
      </c>
      <c r="I674">
        <v>4.1399998664856001</v>
      </c>
      <c r="J674">
        <v>0</v>
      </c>
      <c r="K674">
        <v>0</v>
      </c>
      <c r="L674">
        <v>7</v>
      </c>
      <c r="M674">
        <v>260</v>
      </c>
      <c r="N674">
        <v>1173</v>
      </c>
      <c r="O674">
        <v>1905</v>
      </c>
      <c r="P674" t="str">
        <f>TEXT(tbl_working_daily[[#This Row],[ActivityDate]],"dddd")</f>
        <v>Monday</v>
      </c>
      <c r="Q674" t="str">
        <f>TEXT(tbl_working_daily[[#This Row],[ActivityDate]],"mmmm")</f>
        <v>April</v>
      </c>
      <c r="R674">
        <f t="shared" si="20"/>
        <v>267</v>
      </c>
      <c r="S674">
        <f t="shared" si="21"/>
        <v>1440</v>
      </c>
      <c r="T674">
        <f>ROUND(tbl_working_daily[[#This Row],[SedentaryMinutes]]/60,2)</f>
        <v>19.55</v>
      </c>
      <c r="U674" t="str" cm="1">
        <f t="array" ref="U67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4" t="str" cm="1">
        <f t="array" ref="V674">_xlfn.IFS(tbl_working_daily[[#This Row],[VeryActiveMinutes]]&gt;=30,"Very Active",tbl_working_daily[[#This Row],[VeryActiveMinutes]]&gt;=15,"Moderately Active",tbl_working_daily[[#This Row],[VeryActiveMinutes]]&gt;=1,"Lightly Active",tbl_working_daily[[#This Row],[VeryActiveMinutes]]=0,"Sedentary")</f>
        <v>Sedentary</v>
      </c>
      <c r="W674" t="str">
        <f>tbl_working_daily[[#This Row],[Id]]&amp;"|"&amp;TEXT(tbl_working_daily[[#This Row],[ActivityDate]],"yyyy-mm-dd")</f>
        <v>2320127002|2016-04-18</v>
      </c>
      <c r="X674" t="b">
        <f>ISNUMBER(MATCH(tbl_working_daily[[#This Row],[LookupKey]],tbl_working_sleep[LookupKey],0))</f>
        <v>0</v>
      </c>
    </row>
    <row r="675" spans="1:24" x14ac:dyDescent="0.3">
      <c r="A675">
        <v>2320127002</v>
      </c>
      <c r="B675" s="1">
        <v>42479</v>
      </c>
      <c r="C675">
        <v>5997</v>
      </c>
      <c r="D675">
        <v>4.03999996185303</v>
      </c>
      <c r="E675">
        <v>4.03999996185303</v>
      </c>
      <c r="F675">
        <v>0</v>
      </c>
      <c r="G675">
        <v>0</v>
      </c>
      <c r="H675">
        <v>0.37999999523162797</v>
      </c>
      <c r="I675">
        <v>3.6600000858306898</v>
      </c>
      <c r="J675">
        <v>0</v>
      </c>
      <c r="K675">
        <v>0</v>
      </c>
      <c r="L675">
        <v>11</v>
      </c>
      <c r="M675">
        <v>228</v>
      </c>
      <c r="N675">
        <v>1201</v>
      </c>
      <c r="O675">
        <v>1811</v>
      </c>
      <c r="P675" t="str">
        <f>TEXT(tbl_working_daily[[#This Row],[ActivityDate]],"dddd")</f>
        <v>Tuesday</v>
      </c>
      <c r="Q675" t="str">
        <f>TEXT(tbl_working_daily[[#This Row],[ActivityDate]],"mmmm")</f>
        <v>April</v>
      </c>
      <c r="R675">
        <f t="shared" si="20"/>
        <v>239</v>
      </c>
      <c r="S675">
        <f t="shared" si="21"/>
        <v>1440</v>
      </c>
      <c r="T675">
        <f>ROUND(tbl_working_daily[[#This Row],[SedentaryMinutes]]/60,2)</f>
        <v>20.02</v>
      </c>
      <c r="U675" t="str" cm="1">
        <f t="array" ref="U67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5" t="str" cm="1">
        <f t="array" ref="V675">_xlfn.IFS(tbl_working_daily[[#This Row],[VeryActiveMinutes]]&gt;=30,"Very Active",tbl_working_daily[[#This Row],[VeryActiveMinutes]]&gt;=15,"Moderately Active",tbl_working_daily[[#This Row],[VeryActiveMinutes]]&gt;=1,"Lightly Active",tbl_working_daily[[#This Row],[VeryActiveMinutes]]=0,"Sedentary")</f>
        <v>Sedentary</v>
      </c>
      <c r="W675" t="str">
        <f>tbl_working_daily[[#This Row],[Id]]&amp;"|"&amp;TEXT(tbl_working_daily[[#This Row],[ActivityDate]],"yyyy-mm-dd")</f>
        <v>2320127002|2016-04-19</v>
      </c>
      <c r="X675" t="b">
        <f>ISNUMBER(MATCH(tbl_working_daily[[#This Row],[LookupKey]],tbl_working_sleep[LookupKey],0))</f>
        <v>0</v>
      </c>
    </row>
    <row r="676" spans="1:24" x14ac:dyDescent="0.3">
      <c r="A676">
        <v>2320127002</v>
      </c>
      <c r="B676" s="1">
        <v>42480</v>
      </c>
      <c r="C676">
        <v>7192</v>
      </c>
      <c r="D676">
        <v>4.8499999046325701</v>
      </c>
      <c r="E676">
        <v>4.8499999046325701</v>
      </c>
      <c r="F676">
        <v>0</v>
      </c>
      <c r="G676">
        <v>0</v>
      </c>
      <c r="H676">
        <v>0.490000009536743</v>
      </c>
      <c r="I676">
        <v>4.3400001525878897</v>
      </c>
      <c r="J676">
        <v>0</v>
      </c>
      <c r="K676">
        <v>0</v>
      </c>
      <c r="L676">
        <v>11</v>
      </c>
      <c r="M676">
        <v>283</v>
      </c>
      <c r="N676">
        <v>1146</v>
      </c>
      <c r="O676">
        <v>1922</v>
      </c>
      <c r="P676" t="str">
        <f>TEXT(tbl_working_daily[[#This Row],[ActivityDate]],"dddd")</f>
        <v>Wednesday</v>
      </c>
      <c r="Q676" t="str">
        <f>TEXT(tbl_working_daily[[#This Row],[ActivityDate]],"mmmm")</f>
        <v>April</v>
      </c>
      <c r="R676">
        <f t="shared" si="20"/>
        <v>294</v>
      </c>
      <c r="S676">
        <f t="shared" si="21"/>
        <v>1440</v>
      </c>
      <c r="T676">
        <f>ROUND(tbl_working_daily[[#This Row],[SedentaryMinutes]]/60,2)</f>
        <v>19.100000000000001</v>
      </c>
      <c r="U676" t="str" cm="1">
        <f t="array" ref="U67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6" t="str" cm="1">
        <f t="array" ref="V676">_xlfn.IFS(tbl_working_daily[[#This Row],[VeryActiveMinutes]]&gt;=30,"Very Active",tbl_working_daily[[#This Row],[VeryActiveMinutes]]&gt;=15,"Moderately Active",tbl_working_daily[[#This Row],[VeryActiveMinutes]]&gt;=1,"Lightly Active",tbl_working_daily[[#This Row],[VeryActiveMinutes]]=0,"Sedentary")</f>
        <v>Sedentary</v>
      </c>
      <c r="W676" t="str">
        <f>tbl_working_daily[[#This Row],[Id]]&amp;"|"&amp;TEXT(tbl_working_daily[[#This Row],[ActivityDate]],"yyyy-mm-dd")</f>
        <v>2320127002|2016-04-20</v>
      </c>
      <c r="X676" t="b">
        <f>ISNUMBER(MATCH(tbl_working_daily[[#This Row],[LookupKey]],tbl_working_sleep[LookupKey],0))</f>
        <v>0</v>
      </c>
    </row>
    <row r="677" spans="1:24" x14ac:dyDescent="0.3">
      <c r="A677">
        <v>2320127002</v>
      </c>
      <c r="B677" s="1">
        <v>42481</v>
      </c>
      <c r="C677">
        <v>3404</v>
      </c>
      <c r="D677">
        <v>2.28999996185303</v>
      </c>
      <c r="E677">
        <v>2.28999996185303</v>
      </c>
      <c r="F677">
        <v>0</v>
      </c>
      <c r="G677">
        <v>5.9999998658895499E-2</v>
      </c>
      <c r="H677">
        <v>0.41999998688697798</v>
      </c>
      <c r="I677">
        <v>1.8099999427795399</v>
      </c>
      <c r="J677">
        <v>0</v>
      </c>
      <c r="K677">
        <v>1</v>
      </c>
      <c r="L677">
        <v>10</v>
      </c>
      <c r="M677">
        <v>127</v>
      </c>
      <c r="N677">
        <v>1302</v>
      </c>
      <c r="O677">
        <v>1610</v>
      </c>
      <c r="P677" t="str">
        <f>TEXT(tbl_working_daily[[#This Row],[ActivityDate]],"dddd")</f>
        <v>Thursday</v>
      </c>
      <c r="Q677" t="str">
        <f>TEXT(tbl_working_daily[[#This Row],[ActivityDate]],"mmmm")</f>
        <v>April</v>
      </c>
      <c r="R677">
        <f t="shared" si="20"/>
        <v>138</v>
      </c>
      <c r="S677">
        <f t="shared" si="21"/>
        <v>1440</v>
      </c>
      <c r="T677">
        <f>ROUND(tbl_working_daily[[#This Row],[SedentaryMinutes]]/60,2)</f>
        <v>21.7</v>
      </c>
      <c r="U677" t="str" cm="1">
        <f t="array" ref="U67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77" t="str" cm="1">
        <f t="array" ref="V677">_xlfn.IFS(tbl_working_daily[[#This Row],[VeryActiveMinutes]]&gt;=30,"Very Active",tbl_working_daily[[#This Row],[VeryActiveMinutes]]&gt;=15,"Moderately Active",tbl_working_daily[[#This Row],[VeryActiveMinutes]]&gt;=1,"Lightly Active",tbl_working_daily[[#This Row],[VeryActiveMinutes]]=0,"Sedentary")</f>
        <v>Lightly Active</v>
      </c>
      <c r="W677" t="str">
        <f>tbl_working_daily[[#This Row],[Id]]&amp;"|"&amp;TEXT(tbl_working_daily[[#This Row],[ActivityDate]],"yyyy-mm-dd")</f>
        <v>2320127002|2016-04-21</v>
      </c>
      <c r="X677" t="b">
        <f>ISNUMBER(MATCH(tbl_working_daily[[#This Row],[LookupKey]],tbl_working_sleep[LookupKey],0))</f>
        <v>0</v>
      </c>
    </row>
    <row r="678" spans="1:24" x14ac:dyDescent="0.3">
      <c r="A678">
        <v>2320127002</v>
      </c>
      <c r="B678" s="1">
        <v>42482</v>
      </c>
      <c r="C678">
        <v>5583</v>
      </c>
      <c r="D678">
        <v>3.7599999904632599</v>
      </c>
      <c r="E678">
        <v>3.7599999904632599</v>
      </c>
      <c r="F678">
        <v>0</v>
      </c>
      <c r="G678">
        <v>0</v>
      </c>
      <c r="H678">
        <v>0</v>
      </c>
      <c r="I678">
        <v>3.7599999904632599</v>
      </c>
      <c r="J678">
        <v>0</v>
      </c>
      <c r="K678">
        <v>0</v>
      </c>
      <c r="L678">
        <v>0</v>
      </c>
      <c r="M678">
        <v>266</v>
      </c>
      <c r="N678">
        <v>1174</v>
      </c>
      <c r="O678">
        <v>1851</v>
      </c>
      <c r="P678" t="str">
        <f>TEXT(tbl_working_daily[[#This Row],[ActivityDate]],"dddd")</f>
        <v>Friday</v>
      </c>
      <c r="Q678" t="str">
        <f>TEXT(tbl_working_daily[[#This Row],[ActivityDate]],"mmmm")</f>
        <v>April</v>
      </c>
      <c r="R678">
        <f t="shared" si="20"/>
        <v>266</v>
      </c>
      <c r="S678">
        <f t="shared" si="21"/>
        <v>1440</v>
      </c>
      <c r="T678">
        <f>ROUND(tbl_working_daily[[#This Row],[SedentaryMinutes]]/60,2)</f>
        <v>19.57</v>
      </c>
      <c r="U678" t="str" cm="1">
        <f t="array" ref="U67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8" t="str" cm="1">
        <f t="array" ref="V678">_xlfn.IFS(tbl_working_daily[[#This Row],[VeryActiveMinutes]]&gt;=30,"Very Active",tbl_working_daily[[#This Row],[VeryActiveMinutes]]&gt;=15,"Moderately Active",tbl_working_daily[[#This Row],[VeryActiveMinutes]]&gt;=1,"Lightly Active",tbl_working_daily[[#This Row],[VeryActiveMinutes]]=0,"Sedentary")</f>
        <v>Sedentary</v>
      </c>
      <c r="W678" t="str">
        <f>tbl_working_daily[[#This Row],[Id]]&amp;"|"&amp;TEXT(tbl_working_daily[[#This Row],[ActivityDate]],"yyyy-mm-dd")</f>
        <v>2320127002|2016-04-22</v>
      </c>
      <c r="X678" t="b">
        <f>ISNUMBER(MATCH(tbl_working_daily[[#This Row],[LookupKey]],tbl_working_sleep[LookupKey],0))</f>
        <v>0</v>
      </c>
    </row>
    <row r="679" spans="1:24" x14ac:dyDescent="0.3">
      <c r="A679">
        <v>2320127002</v>
      </c>
      <c r="B679" s="1">
        <v>42483</v>
      </c>
      <c r="C679">
        <v>5079</v>
      </c>
      <c r="D679">
        <v>3.4200000762939502</v>
      </c>
      <c r="E679">
        <v>3.4200000762939502</v>
      </c>
      <c r="F679">
        <v>0</v>
      </c>
      <c r="G679">
        <v>0</v>
      </c>
      <c r="H679">
        <v>0</v>
      </c>
      <c r="I679">
        <v>3.4200000762939502</v>
      </c>
      <c r="J679">
        <v>0</v>
      </c>
      <c r="K679">
        <v>0</v>
      </c>
      <c r="L679">
        <v>0</v>
      </c>
      <c r="M679">
        <v>242</v>
      </c>
      <c r="N679">
        <v>1129</v>
      </c>
      <c r="O679">
        <v>1804</v>
      </c>
      <c r="P679" t="str">
        <f>TEXT(tbl_working_daily[[#This Row],[ActivityDate]],"dddd")</f>
        <v>Saturday</v>
      </c>
      <c r="Q679" t="str">
        <f>TEXT(tbl_working_daily[[#This Row],[ActivityDate]],"mmmm")</f>
        <v>April</v>
      </c>
      <c r="R679">
        <f t="shared" si="20"/>
        <v>242</v>
      </c>
      <c r="S679">
        <f t="shared" si="21"/>
        <v>1371</v>
      </c>
      <c r="T679">
        <f>ROUND(tbl_working_daily[[#This Row],[SedentaryMinutes]]/60,2)</f>
        <v>18.82</v>
      </c>
      <c r="U679" t="str" cm="1">
        <f t="array" ref="U67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79" t="str" cm="1">
        <f t="array" ref="V679">_xlfn.IFS(tbl_working_daily[[#This Row],[VeryActiveMinutes]]&gt;=30,"Very Active",tbl_working_daily[[#This Row],[VeryActiveMinutes]]&gt;=15,"Moderately Active",tbl_working_daily[[#This Row],[VeryActiveMinutes]]&gt;=1,"Lightly Active",tbl_working_daily[[#This Row],[VeryActiveMinutes]]=0,"Sedentary")</f>
        <v>Sedentary</v>
      </c>
      <c r="W679" t="str">
        <f>tbl_working_daily[[#This Row],[Id]]&amp;"|"&amp;TEXT(tbl_working_daily[[#This Row],[ActivityDate]],"yyyy-mm-dd")</f>
        <v>2320127002|2016-04-23</v>
      </c>
      <c r="X679" t="b">
        <f>ISNUMBER(MATCH(tbl_working_daily[[#This Row],[LookupKey]],tbl_working_sleep[LookupKey],0))</f>
        <v>1</v>
      </c>
    </row>
    <row r="680" spans="1:24" x14ac:dyDescent="0.3">
      <c r="A680">
        <v>2320127002</v>
      </c>
      <c r="B680" s="1">
        <v>42484</v>
      </c>
      <c r="C680">
        <v>4165</v>
      </c>
      <c r="D680">
        <v>2.8099999427795401</v>
      </c>
      <c r="E680">
        <v>2.8099999427795401</v>
      </c>
      <c r="F680">
        <v>0</v>
      </c>
      <c r="G680">
        <v>0</v>
      </c>
      <c r="H680">
        <v>0</v>
      </c>
      <c r="I680">
        <v>2.7999999523162802</v>
      </c>
      <c r="J680">
        <v>0</v>
      </c>
      <c r="K680">
        <v>0</v>
      </c>
      <c r="L680">
        <v>0</v>
      </c>
      <c r="M680">
        <v>204</v>
      </c>
      <c r="N680">
        <v>1236</v>
      </c>
      <c r="O680">
        <v>1725</v>
      </c>
      <c r="P680" t="str">
        <f>TEXT(tbl_working_daily[[#This Row],[ActivityDate]],"dddd")</f>
        <v>Sunday</v>
      </c>
      <c r="Q680" t="str">
        <f>TEXT(tbl_working_daily[[#This Row],[ActivityDate]],"mmmm")</f>
        <v>April</v>
      </c>
      <c r="R680">
        <f t="shared" si="20"/>
        <v>204</v>
      </c>
      <c r="S680">
        <f t="shared" si="21"/>
        <v>1440</v>
      </c>
      <c r="T680">
        <f>ROUND(tbl_working_daily[[#This Row],[SedentaryMinutes]]/60,2)</f>
        <v>20.6</v>
      </c>
      <c r="U680" t="str" cm="1">
        <f t="array" ref="U68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0" t="str" cm="1">
        <f t="array" ref="V680">_xlfn.IFS(tbl_working_daily[[#This Row],[VeryActiveMinutes]]&gt;=30,"Very Active",tbl_working_daily[[#This Row],[VeryActiveMinutes]]&gt;=15,"Moderately Active",tbl_working_daily[[#This Row],[VeryActiveMinutes]]&gt;=1,"Lightly Active",tbl_working_daily[[#This Row],[VeryActiveMinutes]]=0,"Sedentary")</f>
        <v>Sedentary</v>
      </c>
      <c r="W680" t="str">
        <f>tbl_working_daily[[#This Row],[Id]]&amp;"|"&amp;TEXT(tbl_working_daily[[#This Row],[ActivityDate]],"yyyy-mm-dd")</f>
        <v>2320127002|2016-04-24</v>
      </c>
      <c r="X680" t="b">
        <f>ISNUMBER(MATCH(tbl_working_daily[[#This Row],[LookupKey]],tbl_working_sleep[LookupKey],0))</f>
        <v>0</v>
      </c>
    </row>
    <row r="681" spans="1:24" x14ac:dyDescent="0.3">
      <c r="A681">
        <v>2320127002</v>
      </c>
      <c r="B681" s="1">
        <v>42485</v>
      </c>
      <c r="C681">
        <v>3588</v>
      </c>
      <c r="D681">
        <v>2.4200000762939502</v>
      </c>
      <c r="E681">
        <v>2.4200000762939502</v>
      </c>
      <c r="F681">
        <v>0</v>
      </c>
      <c r="G681">
        <v>0.230000004172325</v>
      </c>
      <c r="H681">
        <v>0.20000000298023199</v>
      </c>
      <c r="I681">
        <v>1.9900000095367401</v>
      </c>
      <c r="J681">
        <v>0</v>
      </c>
      <c r="K681">
        <v>3</v>
      </c>
      <c r="L681">
        <v>5</v>
      </c>
      <c r="M681">
        <v>152</v>
      </c>
      <c r="N681">
        <v>1280</v>
      </c>
      <c r="O681">
        <v>1654</v>
      </c>
      <c r="P681" t="str">
        <f>TEXT(tbl_working_daily[[#This Row],[ActivityDate]],"dddd")</f>
        <v>Monday</v>
      </c>
      <c r="Q681" t="str">
        <f>TEXT(tbl_working_daily[[#This Row],[ActivityDate]],"mmmm")</f>
        <v>April</v>
      </c>
      <c r="R681">
        <f t="shared" si="20"/>
        <v>160</v>
      </c>
      <c r="S681">
        <f t="shared" si="21"/>
        <v>1440</v>
      </c>
      <c r="T681">
        <f>ROUND(tbl_working_daily[[#This Row],[SedentaryMinutes]]/60,2)</f>
        <v>21.33</v>
      </c>
      <c r="U681" t="str" cm="1">
        <f t="array" ref="U68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1" t="str" cm="1">
        <f t="array" ref="V681">_xlfn.IFS(tbl_working_daily[[#This Row],[VeryActiveMinutes]]&gt;=30,"Very Active",tbl_working_daily[[#This Row],[VeryActiveMinutes]]&gt;=15,"Moderately Active",tbl_working_daily[[#This Row],[VeryActiveMinutes]]&gt;=1,"Lightly Active",tbl_working_daily[[#This Row],[VeryActiveMinutes]]=0,"Sedentary")</f>
        <v>Lightly Active</v>
      </c>
      <c r="W681" t="str">
        <f>tbl_working_daily[[#This Row],[Id]]&amp;"|"&amp;TEXT(tbl_working_daily[[#This Row],[ActivityDate]],"yyyy-mm-dd")</f>
        <v>2320127002|2016-04-25</v>
      </c>
      <c r="X681" t="b">
        <f>ISNUMBER(MATCH(tbl_working_daily[[#This Row],[LookupKey]],tbl_working_sleep[LookupKey],0))</f>
        <v>0</v>
      </c>
    </row>
    <row r="682" spans="1:24" x14ac:dyDescent="0.3">
      <c r="A682">
        <v>2320127002</v>
      </c>
      <c r="B682" s="1">
        <v>42486</v>
      </c>
      <c r="C682">
        <v>3409</v>
      </c>
      <c r="D682">
        <v>2.2999999523162802</v>
      </c>
      <c r="E682">
        <v>2.2999999523162802</v>
      </c>
      <c r="F682">
        <v>0</v>
      </c>
      <c r="G682">
        <v>0</v>
      </c>
      <c r="H682">
        <v>0</v>
      </c>
      <c r="I682">
        <v>2.2999999523162802</v>
      </c>
      <c r="J682">
        <v>0</v>
      </c>
      <c r="K682">
        <v>0</v>
      </c>
      <c r="L682">
        <v>0</v>
      </c>
      <c r="M682">
        <v>147</v>
      </c>
      <c r="N682">
        <v>1293</v>
      </c>
      <c r="O682">
        <v>1632</v>
      </c>
      <c r="P682" t="str">
        <f>TEXT(tbl_working_daily[[#This Row],[ActivityDate]],"dddd")</f>
        <v>Tuesday</v>
      </c>
      <c r="Q682" t="str">
        <f>TEXT(tbl_working_daily[[#This Row],[ActivityDate]],"mmmm")</f>
        <v>April</v>
      </c>
      <c r="R682">
        <f t="shared" si="20"/>
        <v>147</v>
      </c>
      <c r="S682">
        <f t="shared" si="21"/>
        <v>1440</v>
      </c>
      <c r="T682">
        <f>ROUND(tbl_working_daily[[#This Row],[SedentaryMinutes]]/60,2)</f>
        <v>21.55</v>
      </c>
      <c r="U682" t="str" cm="1">
        <f t="array" ref="U68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2" t="str" cm="1">
        <f t="array" ref="V682">_xlfn.IFS(tbl_working_daily[[#This Row],[VeryActiveMinutes]]&gt;=30,"Very Active",tbl_working_daily[[#This Row],[VeryActiveMinutes]]&gt;=15,"Moderately Active",tbl_working_daily[[#This Row],[VeryActiveMinutes]]&gt;=1,"Lightly Active",tbl_working_daily[[#This Row],[VeryActiveMinutes]]=0,"Sedentary")</f>
        <v>Sedentary</v>
      </c>
      <c r="W682" t="str">
        <f>tbl_working_daily[[#This Row],[Id]]&amp;"|"&amp;TEXT(tbl_working_daily[[#This Row],[ActivityDate]],"yyyy-mm-dd")</f>
        <v>2320127002|2016-04-26</v>
      </c>
      <c r="X682" t="b">
        <f>ISNUMBER(MATCH(tbl_working_daily[[#This Row],[LookupKey]],tbl_working_sleep[LookupKey],0))</f>
        <v>0</v>
      </c>
    </row>
    <row r="683" spans="1:24" x14ac:dyDescent="0.3">
      <c r="A683">
        <v>2320127002</v>
      </c>
      <c r="B683" s="1">
        <v>42487</v>
      </c>
      <c r="C683">
        <v>1715</v>
      </c>
      <c r="D683">
        <v>1.1599999666214</v>
      </c>
      <c r="E683">
        <v>1.1599999666214</v>
      </c>
      <c r="F683">
        <v>0</v>
      </c>
      <c r="G683">
        <v>0</v>
      </c>
      <c r="H683">
        <v>0</v>
      </c>
      <c r="I683">
        <v>1.1599999666214</v>
      </c>
      <c r="J683">
        <v>0</v>
      </c>
      <c r="K683">
        <v>0</v>
      </c>
      <c r="L683">
        <v>0</v>
      </c>
      <c r="M683">
        <v>82</v>
      </c>
      <c r="N683">
        <v>1358</v>
      </c>
      <c r="O683">
        <v>1481</v>
      </c>
      <c r="P683" t="str">
        <f>TEXT(tbl_working_daily[[#This Row],[ActivityDate]],"dddd")</f>
        <v>Wednesday</v>
      </c>
      <c r="Q683" t="str">
        <f>TEXT(tbl_working_daily[[#This Row],[ActivityDate]],"mmmm")</f>
        <v>April</v>
      </c>
      <c r="R683">
        <f t="shared" si="20"/>
        <v>82</v>
      </c>
      <c r="S683">
        <f t="shared" si="21"/>
        <v>1440</v>
      </c>
      <c r="T683">
        <f>ROUND(tbl_working_daily[[#This Row],[SedentaryMinutes]]/60,2)</f>
        <v>22.63</v>
      </c>
      <c r="U683" t="str" cm="1">
        <f t="array" ref="U68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3" t="str" cm="1">
        <f t="array" ref="V683">_xlfn.IFS(tbl_working_daily[[#This Row],[VeryActiveMinutes]]&gt;=30,"Very Active",tbl_working_daily[[#This Row],[VeryActiveMinutes]]&gt;=15,"Moderately Active",tbl_working_daily[[#This Row],[VeryActiveMinutes]]&gt;=1,"Lightly Active",tbl_working_daily[[#This Row],[VeryActiveMinutes]]=0,"Sedentary")</f>
        <v>Sedentary</v>
      </c>
      <c r="W683" t="str">
        <f>tbl_working_daily[[#This Row],[Id]]&amp;"|"&amp;TEXT(tbl_working_daily[[#This Row],[ActivityDate]],"yyyy-mm-dd")</f>
        <v>2320127002|2016-04-27</v>
      </c>
      <c r="X683" t="b">
        <f>ISNUMBER(MATCH(tbl_working_daily[[#This Row],[LookupKey]],tbl_working_sleep[LookupKey],0))</f>
        <v>0</v>
      </c>
    </row>
    <row r="684" spans="1:24" x14ac:dyDescent="0.3">
      <c r="A684">
        <v>2320127002</v>
      </c>
      <c r="B684" s="1">
        <v>42488</v>
      </c>
      <c r="C684">
        <v>1532</v>
      </c>
      <c r="D684">
        <v>1.0299999713897701</v>
      </c>
      <c r="E684">
        <v>1.0299999713897701</v>
      </c>
      <c r="F684">
        <v>0</v>
      </c>
      <c r="G684">
        <v>0</v>
      </c>
      <c r="H684">
        <v>0</v>
      </c>
      <c r="I684">
        <v>1.0299999713897701</v>
      </c>
      <c r="J684">
        <v>0</v>
      </c>
      <c r="K684">
        <v>0</v>
      </c>
      <c r="L684">
        <v>0</v>
      </c>
      <c r="M684">
        <v>76</v>
      </c>
      <c r="N684">
        <v>1364</v>
      </c>
      <c r="O684">
        <v>1473</v>
      </c>
      <c r="P684" t="str">
        <f>TEXT(tbl_working_daily[[#This Row],[ActivityDate]],"dddd")</f>
        <v>Thursday</v>
      </c>
      <c r="Q684" t="str">
        <f>TEXT(tbl_working_daily[[#This Row],[ActivityDate]],"mmmm")</f>
        <v>April</v>
      </c>
      <c r="R684">
        <f t="shared" si="20"/>
        <v>76</v>
      </c>
      <c r="S684">
        <f t="shared" si="21"/>
        <v>1440</v>
      </c>
      <c r="T684">
        <f>ROUND(tbl_working_daily[[#This Row],[SedentaryMinutes]]/60,2)</f>
        <v>22.73</v>
      </c>
      <c r="U684" t="str" cm="1">
        <f t="array" ref="U68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4" t="str" cm="1">
        <f t="array" ref="V684">_xlfn.IFS(tbl_working_daily[[#This Row],[VeryActiveMinutes]]&gt;=30,"Very Active",tbl_working_daily[[#This Row],[VeryActiveMinutes]]&gt;=15,"Moderately Active",tbl_working_daily[[#This Row],[VeryActiveMinutes]]&gt;=1,"Lightly Active",tbl_working_daily[[#This Row],[VeryActiveMinutes]]=0,"Sedentary")</f>
        <v>Sedentary</v>
      </c>
      <c r="W684" t="str">
        <f>tbl_working_daily[[#This Row],[Id]]&amp;"|"&amp;TEXT(tbl_working_daily[[#This Row],[ActivityDate]],"yyyy-mm-dd")</f>
        <v>2320127002|2016-04-28</v>
      </c>
      <c r="X684" t="b">
        <f>ISNUMBER(MATCH(tbl_working_daily[[#This Row],[LookupKey]],tbl_working_sleep[LookupKey],0))</f>
        <v>0</v>
      </c>
    </row>
    <row r="685" spans="1:24" x14ac:dyDescent="0.3">
      <c r="A685">
        <v>2320127002</v>
      </c>
      <c r="B685" s="1">
        <v>42489</v>
      </c>
      <c r="C685">
        <v>924</v>
      </c>
      <c r="D685">
        <v>0.62000000476837203</v>
      </c>
      <c r="E685">
        <v>0.62000000476837203</v>
      </c>
      <c r="F685">
        <v>0</v>
      </c>
      <c r="G685">
        <v>0</v>
      </c>
      <c r="H685">
        <v>0</v>
      </c>
      <c r="I685">
        <v>0.62000000476837203</v>
      </c>
      <c r="J685">
        <v>0</v>
      </c>
      <c r="K685">
        <v>0</v>
      </c>
      <c r="L685">
        <v>0</v>
      </c>
      <c r="M685">
        <v>45</v>
      </c>
      <c r="N685">
        <v>1395</v>
      </c>
      <c r="O685">
        <v>1410</v>
      </c>
      <c r="P685" t="str">
        <f>TEXT(tbl_working_daily[[#This Row],[ActivityDate]],"dddd")</f>
        <v>Friday</v>
      </c>
      <c r="Q685" t="str">
        <f>TEXT(tbl_working_daily[[#This Row],[ActivityDate]],"mmmm")</f>
        <v>April</v>
      </c>
      <c r="R685">
        <f t="shared" si="20"/>
        <v>45</v>
      </c>
      <c r="S685">
        <f t="shared" si="21"/>
        <v>1440</v>
      </c>
      <c r="T685">
        <f>ROUND(tbl_working_daily[[#This Row],[SedentaryMinutes]]/60,2)</f>
        <v>23.25</v>
      </c>
      <c r="U685" t="str" cm="1">
        <f t="array" ref="U68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5" t="str" cm="1">
        <f t="array" ref="V685">_xlfn.IFS(tbl_working_daily[[#This Row],[VeryActiveMinutes]]&gt;=30,"Very Active",tbl_working_daily[[#This Row],[VeryActiveMinutes]]&gt;=15,"Moderately Active",tbl_working_daily[[#This Row],[VeryActiveMinutes]]&gt;=1,"Lightly Active",tbl_working_daily[[#This Row],[VeryActiveMinutes]]=0,"Sedentary")</f>
        <v>Sedentary</v>
      </c>
      <c r="W685" t="str">
        <f>tbl_working_daily[[#This Row],[Id]]&amp;"|"&amp;TEXT(tbl_working_daily[[#This Row],[ActivityDate]],"yyyy-mm-dd")</f>
        <v>2320127002|2016-04-29</v>
      </c>
      <c r="X685" t="b">
        <f>ISNUMBER(MATCH(tbl_working_daily[[#This Row],[LookupKey]],tbl_working_sleep[LookupKey],0))</f>
        <v>0</v>
      </c>
    </row>
    <row r="686" spans="1:24" x14ac:dyDescent="0.3">
      <c r="A686">
        <v>2320127002</v>
      </c>
      <c r="B686" s="1">
        <v>42490</v>
      </c>
      <c r="C686">
        <v>4571</v>
      </c>
      <c r="D686">
        <v>3.0799999237060498</v>
      </c>
      <c r="E686">
        <v>3.0799999237060498</v>
      </c>
      <c r="F686">
        <v>0</v>
      </c>
      <c r="G686">
        <v>0</v>
      </c>
      <c r="H686">
        <v>0</v>
      </c>
      <c r="I686">
        <v>3.0699999332428001</v>
      </c>
      <c r="J686">
        <v>0</v>
      </c>
      <c r="K686">
        <v>0</v>
      </c>
      <c r="L686">
        <v>0</v>
      </c>
      <c r="M686">
        <v>234</v>
      </c>
      <c r="N686">
        <v>1206</v>
      </c>
      <c r="O686">
        <v>1779</v>
      </c>
      <c r="P686" t="str">
        <f>TEXT(tbl_working_daily[[#This Row],[ActivityDate]],"dddd")</f>
        <v>Saturday</v>
      </c>
      <c r="Q686" t="str">
        <f>TEXT(tbl_working_daily[[#This Row],[ActivityDate]],"mmmm")</f>
        <v>April</v>
      </c>
      <c r="R686">
        <f t="shared" si="20"/>
        <v>234</v>
      </c>
      <c r="S686">
        <f t="shared" si="21"/>
        <v>1440</v>
      </c>
      <c r="T686">
        <f>ROUND(tbl_working_daily[[#This Row],[SedentaryMinutes]]/60,2)</f>
        <v>20.100000000000001</v>
      </c>
      <c r="U686" t="str" cm="1">
        <f t="array" ref="U68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6" t="str" cm="1">
        <f t="array" ref="V686">_xlfn.IFS(tbl_working_daily[[#This Row],[VeryActiveMinutes]]&gt;=30,"Very Active",tbl_working_daily[[#This Row],[VeryActiveMinutes]]&gt;=15,"Moderately Active",tbl_working_daily[[#This Row],[VeryActiveMinutes]]&gt;=1,"Lightly Active",tbl_working_daily[[#This Row],[VeryActiveMinutes]]=0,"Sedentary")</f>
        <v>Sedentary</v>
      </c>
      <c r="W686" t="str">
        <f>tbl_working_daily[[#This Row],[Id]]&amp;"|"&amp;TEXT(tbl_working_daily[[#This Row],[ActivityDate]],"yyyy-mm-dd")</f>
        <v>2320127002|2016-04-30</v>
      </c>
      <c r="X686" t="b">
        <f>ISNUMBER(MATCH(tbl_working_daily[[#This Row],[LookupKey]],tbl_working_sleep[LookupKey],0))</f>
        <v>0</v>
      </c>
    </row>
    <row r="687" spans="1:24" x14ac:dyDescent="0.3">
      <c r="A687">
        <v>2320127002</v>
      </c>
      <c r="B687" s="1">
        <v>42491</v>
      </c>
      <c r="C687">
        <v>772</v>
      </c>
      <c r="D687">
        <v>0.519999980926514</v>
      </c>
      <c r="E687">
        <v>0.519999980926514</v>
      </c>
      <c r="F687">
        <v>0</v>
      </c>
      <c r="G687">
        <v>0</v>
      </c>
      <c r="H687">
        <v>0</v>
      </c>
      <c r="I687">
        <v>0.519999980926514</v>
      </c>
      <c r="J687">
        <v>0</v>
      </c>
      <c r="K687">
        <v>0</v>
      </c>
      <c r="L687">
        <v>0</v>
      </c>
      <c r="M687">
        <v>40</v>
      </c>
      <c r="N687">
        <v>1400</v>
      </c>
      <c r="O687">
        <v>1403</v>
      </c>
      <c r="P687" t="str">
        <f>TEXT(tbl_working_daily[[#This Row],[ActivityDate]],"dddd")</f>
        <v>Sunday</v>
      </c>
      <c r="Q687" t="str">
        <f>TEXT(tbl_working_daily[[#This Row],[ActivityDate]],"mmmm")</f>
        <v>May</v>
      </c>
      <c r="R687">
        <f t="shared" si="20"/>
        <v>40</v>
      </c>
      <c r="S687">
        <f t="shared" si="21"/>
        <v>1440</v>
      </c>
      <c r="T687">
        <f>ROUND(tbl_working_daily[[#This Row],[SedentaryMinutes]]/60,2)</f>
        <v>23.33</v>
      </c>
      <c r="U687" t="str" cm="1">
        <f t="array" ref="U68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7" t="str" cm="1">
        <f t="array" ref="V687">_xlfn.IFS(tbl_working_daily[[#This Row],[VeryActiveMinutes]]&gt;=30,"Very Active",tbl_working_daily[[#This Row],[VeryActiveMinutes]]&gt;=15,"Moderately Active",tbl_working_daily[[#This Row],[VeryActiveMinutes]]&gt;=1,"Lightly Active",tbl_working_daily[[#This Row],[VeryActiveMinutes]]=0,"Sedentary")</f>
        <v>Sedentary</v>
      </c>
      <c r="W687" t="str">
        <f>tbl_working_daily[[#This Row],[Id]]&amp;"|"&amp;TEXT(tbl_working_daily[[#This Row],[ActivityDate]],"yyyy-mm-dd")</f>
        <v>2320127002|2016-05-01</v>
      </c>
      <c r="X687" t="b">
        <f>ISNUMBER(MATCH(tbl_working_daily[[#This Row],[LookupKey]],tbl_working_sleep[LookupKey],0))</f>
        <v>0</v>
      </c>
    </row>
    <row r="688" spans="1:24" x14ac:dyDescent="0.3">
      <c r="A688">
        <v>2320127002</v>
      </c>
      <c r="B688" s="1">
        <v>42492</v>
      </c>
      <c r="C688">
        <v>3634</v>
      </c>
      <c r="D688">
        <v>2.4500000476837198</v>
      </c>
      <c r="E688">
        <v>2.4500000476837198</v>
      </c>
      <c r="F688">
        <v>0</v>
      </c>
      <c r="G688">
        <v>0.36000001430511502</v>
      </c>
      <c r="H688">
        <v>0.20999999344348899</v>
      </c>
      <c r="I688">
        <v>1.87999999523163</v>
      </c>
      <c r="J688">
        <v>0</v>
      </c>
      <c r="K688">
        <v>5</v>
      </c>
      <c r="L688">
        <v>6</v>
      </c>
      <c r="M688">
        <v>123</v>
      </c>
      <c r="N688">
        <v>1306</v>
      </c>
      <c r="O688">
        <v>1613</v>
      </c>
      <c r="P688" t="str">
        <f>TEXT(tbl_working_daily[[#This Row],[ActivityDate]],"dddd")</f>
        <v>Monday</v>
      </c>
      <c r="Q688" t="str">
        <f>TEXT(tbl_working_daily[[#This Row],[ActivityDate]],"mmmm")</f>
        <v>May</v>
      </c>
      <c r="R688">
        <f t="shared" si="20"/>
        <v>134</v>
      </c>
      <c r="S688">
        <f t="shared" si="21"/>
        <v>1440</v>
      </c>
      <c r="T688">
        <f>ROUND(tbl_working_daily[[#This Row],[SedentaryMinutes]]/60,2)</f>
        <v>21.77</v>
      </c>
      <c r="U688" t="str" cm="1">
        <f t="array" ref="U6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88" t="str" cm="1">
        <f t="array" ref="V688">_xlfn.IFS(tbl_working_daily[[#This Row],[VeryActiveMinutes]]&gt;=30,"Very Active",tbl_working_daily[[#This Row],[VeryActiveMinutes]]&gt;=15,"Moderately Active",tbl_working_daily[[#This Row],[VeryActiveMinutes]]&gt;=1,"Lightly Active",tbl_working_daily[[#This Row],[VeryActiveMinutes]]=0,"Sedentary")</f>
        <v>Lightly Active</v>
      </c>
      <c r="W688" t="str">
        <f>tbl_working_daily[[#This Row],[Id]]&amp;"|"&amp;TEXT(tbl_working_daily[[#This Row],[ActivityDate]],"yyyy-mm-dd")</f>
        <v>2320127002|2016-05-02</v>
      </c>
      <c r="X688" t="b">
        <f>ISNUMBER(MATCH(tbl_working_daily[[#This Row],[LookupKey]],tbl_working_sleep[LookupKey],0))</f>
        <v>0</v>
      </c>
    </row>
    <row r="689" spans="1:24" x14ac:dyDescent="0.3">
      <c r="A689">
        <v>2320127002</v>
      </c>
      <c r="B689" s="1">
        <v>42493</v>
      </c>
      <c r="C689">
        <v>7443</v>
      </c>
      <c r="D689">
        <v>5.0199999809265101</v>
      </c>
      <c r="E689">
        <v>5.0199999809265101</v>
      </c>
      <c r="F689">
        <v>0</v>
      </c>
      <c r="G689">
        <v>1.4900000095367401</v>
      </c>
      <c r="H689">
        <v>0.37000000476837203</v>
      </c>
      <c r="I689">
        <v>3.1600000858306898</v>
      </c>
      <c r="J689">
        <v>0</v>
      </c>
      <c r="K689">
        <v>20</v>
      </c>
      <c r="L689">
        <v>10</v>
      </c>
      <c r="M689">
        <v>206</v>
      </c>
      <c r="N689">
        <v>1204</v>
      </c>
      <c r="O689">
        <v>1878</v>
      </c>
      <c r="P689" t="str">
        <f>TEXT(tbl_working_daily[[#This Row],[ActivityDate]],"dddd")</f>
        <v>Tuesday</v>
      </c>
      <c r="Q689" t="str">
        <f>TEXT(tbl_working_daily[[#This Row],[ActivityDate]],"mmmm")</f>
        <v>May</v>
      </c>
      <c r="R689">
        <f t="shared" si="20"/>
        <v>236</v>
      </c>
      <c r="S689">
        <f t="shared" si="21"/>
        <v>1440</v>
      </c>
      <c r="T689">
        <f>ROUND(tbl_working_daily[[#This Row],[SedentaryMinutes]]/60,2)</f>
        <v>20.07</v>
      </c>
      <c r="U689" t="str" cm="1">
        <f t="array" ref="U68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89" t="str" cm="1">
        <f t="array" ref="V689">_xlfn.IFS(tbl_working_daily[[#This Row],[VeryActiveMinutes]]&gt;=30,"Very Active",tbl_working_daily[[#This Row],[VeryActiveMinutes]]&gt;=15,"Moderately Active",tbl_working_daily[[#This Row],[VeryActiveMinutes]]&gt;=1,"Lightly Active",tbl_working_daily[[#This Row],[VeryActiveMinutes]]=0,"Sedentary")</f>
        <v>Moderately Active</v>
      </c>
      <c r="W689" t="str">
        <f>tbl_working_daily[[#This Row],[Id]]&amp;"|"&amp;TEXT(tbl_working_daily[[#This Row],[ActivityDate]],"yyyy-mm-dd")</f>
        <v>2320127002|2016-05-03</v>
      </c>
      <c r="X689" t="b">
        <f>ISNUMBER(MATCH(tbl_working_daily[[#This Row],[LookupKey]],tbl_working_sleep[LookupKey],0))</f>
        <v>0</v>
      </c>
    </row>
    <row r="690" spans="1:24" x14ac:dyDescent="0.3">
      <c r="A690">
        <v>2320127002</v>
      </c>
      <c r="B690" s="1">
        <v>42494</v>
      </c>
      <c r="C690">
        <v>1201</v>
      </c>
      <c r="D690">
        <v>0.81000000238418601</v>
      </c>
      <c r="E690">
        <v>0.81000000238418601</v>
      </c>
      <c r="F690">
        <v>0</v>
      </c>
      <c r="G690">
        <v>0</v>
      </c>
      <c r="H690">
        <v>0</v>
      </c>
      <c r="I690">
        <v>0.81000000238418601</v>
      </c>
      <c r="J690">
        <v>0</v>
      </c>
      <c r="K690">
        <v>0</v>
      </c>
      <c r="L690">
        <v>0</v>
      </c>
      <c r="M690">
        <v>52</v>
      </c>
      <c r="N690">
        <v>1388</v>
      </c>
      <c r="O690">
        <v>1426</v>
      </c>
      <c r="P690" t="str">
        <f>TEXT(tbl_working_daily[[#This Row],[ActivityDate]],"dddd")</f>
        <v>Wednesday</v>
      </c>
      <c r="Q690" t="str">
        <f>TEXT(tbl_working_daily[[#This Row],[ActivityDate]],"mmmm")</f>
        <v>May</v>
      </c>
      <c r="R690">
        <f t="shared" si="20"/>
        <v>52</v>
      </c>
      <c r="S690">
        <f t="shared" si="21"/>
        <v>1440</v>
      </c>
      <c r="T690">
        <f>ROUND(tbl_working_daily[[#This Row],[SedentaryMinutes]]/60,2)</f>
        <v>23.13</v>
      </c>
      <c r="U690" t="str" cm="1">
        <f t="array" ref="U69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90" t="str" cm="1">
        <f t="array" ref="V690">_xlfn.IFS(tbl_working_daily[[#This Row],[VeryActiveMinutes]]&gt;=30,"Very Active",tbl_working_daily[[#This Row],[VeryActiveMinutes]]&gt;=15,"Moderately Active",tbl_working_daily[[#This Row],[VeryActiveMinutes]]&gt;=1,"Lightly Active",tbl_working_daily[[#This Row],[VeryActiveMinutes]]=0,"Sedentary")</f>
        <v>Sedentary</v>
      </c>
      <c r="W690" t="str">
        <f>tbl_working_daily[[#This Row],[Id]]&amp;"|"&amp;TEXT(tbl_working_daily[[#This Row],[ActivityDate]],"yyyy-mm-dd")</f>
        <v>2320127002|2016-05-04</v>
      </c>
      <c r="X690" t="b">
        <f>ISNUMBER(MATCH(tbl_working_daily[[#This Row],[LookupKey]],tbl_working_sleep[LookupKey],0))</f>
        <v>0</v>
      </c>
    </row>
    <row r="691" spans="1:24" x14ac:dyDescent="0.3">
      <c r="A691">
        <v>2320127002</v>
      </c>
      <c r="B691" s="1">
        <v>42495</v>
      </c>
      <c r="C691">
        <v>5202</v>
      </c>
      <c r="D691">
        <v>3.5099999904632599</v>
      </c>
      <c r="E691">
        <v>3.5099999904632599</v>
      </c>
      <c r="F691">
        <v>0</v>
      </c>
      <c r="G691">
        <v>0</v>
      </c>
      <c r="H691">
        <v>0.38999998569488498</v>
      </c>
      <c r="I691">
        <v>3.1099998950958301</v>
      </c>
      <c r="J691">
        <v>0</v>
      </c>
      <c r="K691">
        <v>0</v>
      </c>
      <c r="L691">
        <v>11</v>
      </c>
      <c r="M691">
        <v>223</v>
      </c>
      <c r="N691">
        <v>1206</v>
      </c>
      <c r="O691">
        <v>1780</v>
      </c>
      <c r="P691" t="str">
        <f>TEXT(tbl_working_daily[[#This Row],[ActivityDate]],"dddd")</f>
        <v>Thursday</v>
      </c>
      <c r="Q691" t="str">
        <f>TEXT(tbl_working_daily[[#This Row],[ActivityDate]],"mmmm")</f>
        <v>May</v>
      </c>
      <c r="R691">
        <f t="shared" si="20"/>
        <v>234</v>
      </c>
      <c r="S691">
        <f t="shared" si="21"/>
        <v>1440</v>
      </c>
      <c r="T691">
        <f>ROUND(tbl_working_daily[[#This Row],[SedentaryMinutes]]/60,2)</f>
        <v>20.100000000000001</v>
      </c>
      <c r="U691" t="str" cm="1">
        <f t="array" ref="U69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91" t="str" cm="1">
        <f t="array" ref="V691">_xlfn.IFS(tbl_working_daily[[#This Row],[VeryActiveMinutes]]&gt;=30,"Very Active",tbl_working_daily[[#This Row],[VeryActiveMinutes]]&gt;=15,"Moderately Active",tbl_working_daily[[#This Row],[VeryActiveMinutes]]&gt;=1,"Lightly Active",tbl_working_daily[[#This Row],[VeryActiveMinutes]]=0,"Sedentary")</f>
        <v>Sedentary</v>
      </c>
      <c r="W691" t="str">
        <f>tbl_working_daily[[#This Row],[Id]]&amp;"|"&amp;TEXT(tbl_working_daily[[#This Row],[ActivityDate]],"yyyy-mm-dd")</f>
        <v>2320127002|2016-05-05</v>
      </c>
      <c r="X691" t="b">
        <f>ISNUMBER(MATCH(tbl_working_daily[[#This Row],[LookupKey]],tbl_working_sleep[LookupKey],0))</f>
        <v>0</v>
      </c>
    </row>
    <row r="692" spans="1:24" x14ac:dyDescent="0.3">
      <c r="A692">
        <v>2320127002</v>
      </c>
      <c r="B692" s="1">
        <v>42496</v>
      </c>
      <c r="C692">
        <v>4878</v>
      </c>
      <c r="D692">
        <v>3.28999996185303</v>
      </c>
      <c r="E692">
        <v>3.28999996185303</v>
      </c>
      <c r="F692">
        <v>0</v>
      </c>
      <c r="G692">
        <v>0</v>
      </c>
      <c r="H692">
        <v>0</v>
      </c>
      <c r="I692">
        <v>3.28999996185303</v>
      </c>
      <c r="J692">
        <v>0</v>
      </c>
      <c r="K692">
        <v>0</v>
      </c>
      <c r="L692">
        <v>0</v>
      </c>
      <c r="M692">
        <v>204</v>
      </c>
      <c r="N692">
        <v>1236</v>
      </c>
      <c r="O692">
        <v>1742</v>
      </c>
      <c r="P692" t="str">
        <f>TEXT(tbl_working_daily[[#This Row],[ActivityDate]],"dddd")</f>
        <v>Friday</v>
      </c>
      <c r="Q692" t="str">
        <f>TEXT(tbl_working_daily[[#This Row],[ActivityDate]],"mmmm")</f>
        <v>May</v>
      </c>
      <c r="R692">
        <f t="shared" si="20"/>
        <v>204</v>
      </c>
      <c r="S692">
        <f t="shared" si="21"/>
        <v>1440</v>
      </c>
      <c r="T692">
        <f>ROUND(tbl_working_daily[[#This Row],[SedentaryMinutes]]/60,2)</f>
        <v>20.6</v>
      </c>
      <c r="U692" t="str" cm="1">
        <f t="array" ref="U69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92" t="str" cm="1">
        <f t="array" ref="V692">_xlfn.IFS(tbl_working_daily[[#This Row],[VeryActiveMinutes]]&gt;=30,"Very Active",tbl_working_daily[[#This Row],[VeryActiveMinutes]]&gt;=15,"Moderately Active",tbl_working_daily[[#This Row],[VeryActiveMinutes]]&gt;=1,"Lightly Active",tbl_working_daily[[#This Row],[VeryActiveMinutes]]=0,"Sedentary")</f>
        <v>Sedentary</v>
      </c>
      <c r="W692" t="str">
        <f>tbl_working_daily[[#This Row],[Id]]&amp;"|"&amp;TEXT(tbl_working_daily[[#This Row],[ActivityDate]],"yyyy-mm-dd")</f>
        <v>2320127002|2016-05-06</v>
      </c>
      <c r="X692" t="b">
        <f>ISNUMBER(MATCH(tbl_working_daily[[#This Row],[LookupKey]],tbl_working_sleep[LookupKey],0))</f>
        <v>0</v>
      </c>
    </row>
    <row r="693" spans="1:24" x14ac:dyDescent="0.3">
      <c r="A693">
        <v>2320127002</v>
      </c>
      <c r="B693" s="1">
        <v>42497</v>
      </c>
      <c r="C693">
        <v>7379</v>
      </c>
      <c r="D693">
        <v>4.9699997901916504</v>
      </c>
      <c r="E693">
        <v>4.9699997901916504</v>
      </c>
      <c r="F693">
        <v>0</v>
      </c>
      <c r="G693">
        <v>0</v>
      </c>
      <c r="H693">
        <v>0</v>
      </c>
      <c r="I693">
        <v>4.9699997901916504</v>
      </c>
      <c r="J693">
        <v>0</v>
      </c>
      <c r="K693">
        <v>0</v>
      </c>
      <c r="L693">
        <v>0</v>
      </c>
      <c r="M693">
        <v>319</v>
      </c>
      <c r="N693">
        <v>1121</v>
      </c>
      <c r="O693">
        <v>1972</v>
      </c>
      <c r="P693" t="str">
        <f>TEXT(tbl_working_daily[[#This Row],[ActivityDate]],"dddd")</f>
        <v>Saturday</v>
      </c>
      <c r="Q693" t="str">
        <f>TEXT(tbl_working_daily[[#This Row],[ActivityDate]],"mmmm")</f>
        <v>May</v>
      </c>
      <c r="R693">
        <f t="shared" si="20"/>
        <v>319</v>
      </c>
      <c r="S693">
        <f t="shared" si="21"/>
        <v>1440</v>
      </c>
      <c r="T693">
        <f>ROUND(tbl_working_daily[[#This Row],[SedentaryMinutes]]/60,2)</f>
        <v>18.68</v>
      </c>
      <c r="U693" t="str" cm="1">
        <f t="array" ref="U69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93" t="str" cm="1">
        <f t="array" ref="V693">_xlfn.IFS(tbl_working_daily[[#This Row],[VeryActiveMinutes]]&gt;=30,"Very Active",tbl_working_daily[[#This Row],[VeryActiveMinutes]]&gt;=15,"Moderately Active",tbl_working_daily[[#This Row],[VeryActiveMinutes]]&gt;=1,"Lightly Active",tbl_working_daily[[#This Row],[VeryActiveMinutes]]=0,"Sedentary")</f>
        <v>Sedentary</v>
      </c>
      <c r="W693" t="str">
        <f>tbl_working_daily[[#This Row],[Id]]&amp;"|"&amp;TEXT(tbl_working_daily[[#This Row],[ActivityDate]],"yyyy-mm-dd")</f>
        <v>2320127002|2016-05-07</v>
      </c>
      <c r="X693" t="b">
        <f>ISNUMBER(MATCH(tbl_working_daily[[#This Row],[LookupKey]],tbl_working_sleep[LookupKey],0))</f>
        <v>0</v>
      </c>
    </row>
    <row r="694" spans="1:24" x14ac:dyDescent="0.3">
      <c r="A694">
        <v>2320127002</v>
      </c>
      <c r="B694" s="1">
        <v>42498</v>
      </c>
      <c r="C694">
        <v>5161</v>
      </c>
      <c r="D694">
        <v>3.4800000190734899</v>
      </c>
      <c r="E694">
        <v>3.4800000190734899</v>
      </c>
      <c r="F694">
        <v>0</v>
      </c>
      <c r="G694">
        <v>0</v>
      </c>
      <c r="H694">
        <v>0</v>
      </c>
      <c r="I694">
        <v>3.4700000286102299</v>
      </c>
      <c r="J694">
        <v>0</v>
      </c>
      <c r="K694">
        <v>0</v>
      </c>
      <c r="L694">
        <v>0</v>
      </c>
      <c r="M694">
        <v>247</v>
      </c>
      <c r="N694">
        <v>1193</v>
      </c>
      <c r="O694">
        <v>1821</v>
      </c>
      <c r="P694" t="str">
        <f>TEXT(tbl_working_daily[[#This Row],[ActivityDate]],"dddd")</f>
        <v>Sunday</v>
      </c>
      <c r="Q694" t="str">
        <f>TEXT(tbl_working_daily[[#This Row],[ActivityDate]],"mmmm")</f>
        <v>May</v>
      </c>
      <c r="R694">
        <f t="shared" si="20"/>
        <v>247</v>
      </c>
      <c r="S694">
        <f t="shared" si="21"/>
        <v>1440</v>
      </c>
      <c r="T694">
        <f>ROUND(tbl_working_daily[[#This Row],[SedentaryMinutes]]/60,2)</f>
        <v>19.88</v>
      </c>
      <c r="U694" t="str" cm="1">
        <f t="array" ref="U69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94" t="str" cm="1">
        <f t="array" ref="V694">_xlfn.IFS(tbl_working_daily[[#This Row],[VeryActiveMinutes]]&gt;=30,"Very Active",tbl_working_daily[[#This Row],[VeryActiveMinutes]]&gt;=15,"Moderately Active",tbl_working_daily[[#This Row],[VeryActiveMinutes]]&gt;=1,"Lightly Active",tbl_working_daily[[#This Row],[VeryActiveMinutes]]=0,"Sedentary")</f>
        <v>Sedentary</v>
      </c>
      <c r="W694" t="str">
        <f>tbl_working_daily[[#This Row],[Id]]&amp;"|"&amp;TEXT(tbl_working_daily[[#This Row],[ActivityDate]],"yyyy-mm-dd")</f>
        <v>2320127002|2016-05-08</v>
      </c>
      <c r="X694" t="b">
        <f>ISNUMBER(MATCH(tbl_working_daily[[#This Row],[LookupKey]],tbl_working_sleep[LookupKey],0))</f>
        <v>0</v>
      </c>
    </row>
    <row r="695" spans="1:24" x14ac:dyDescent="0.3">
      <c r="A695">
        <v>2320127002</v>
      </c>
      <c r="B695" s="1">
        <v>42499</v>
      </c>
      <c r="C695">
        <v>3090</v>
      </c>
      <c r="D695">
        <v>2.0799999237060498</v>
      </c>
      <c r="E695">
        <v>2.0799999237060498</v>
      </c>
      <c r="F695">
        <v>0</v>
      </c>
      <c r="G695">
        <v>0</v>
      </c>
      <c r="H695">
        <v>0</v>
      </c>
      <c r="I695">
        <v>2.0799999237060498</v>
      </c>
      <c r="J695">
        <v>0</v>
      </c>
      <c r="K695">
        <v>0</v>
      </c>
      <c r="L695">
        <v>0</v>
      </c>
      <c r="M695">
        <v>145</v>
      </c>
      <c r="N695">
        <v>1295</v>
      </c>
      <c r="O695">
        <v>1630</v>
      </c>
      <c r="P695" t="str">
        <f>TEXT(tbl_working_daily[[#This Row],[ActivityDate]],"dddd")</f>
        <v>Monday</v>
      </c>
      <c r="Q695" t="str">
        <f>TEXT(tbl_working_daily[[#This Row],[ActivityDate]],"mmmm")</f>
        <v>May</v>
      </c>
      <c r="R695">
        <f t="shared" si="20"/>
        <v>145</v>
      </c>
      <c r="S695">
        <f t="shared" si="21"/>
        <v>1440</v>
      </c>
      <c r="T695">
        <f>ROUND(tbl_working_daily[[#This Row],[SedentaryMinutes]]/60,2)</f>
        <v>21.58</v>
      </c>
      <c r="U695" t="str" cm="1">
        <f t="array" ref="U69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95" t="str" cm="1">
        <f t="array" ref="V695">_xlfn.IFS(tbl_working_daily[[#This Row],[VeryActiveMinutes]]&gt;=30,"Very Active",tbl_working_daily[[#This Row],[VeryActiveMinutes]]&gt;=15,"Moderately Active",tbl_working_daily[[#This Row],[VeryActiveMinutes]]&gt;=1,"Lightly Active",tbl_working_daily[[#This Row],[VeryActiveMinutes]]=0,"Sedentary")</f>
        <v>Sedentary</v>
      </c>
      <c r="W695" t="str">
        <f>tbl_working_daily[[#This Row],[Id]]&amp;"|"&amp;TEXT(tbl_working_daily[[#This Row],[ActivityDate]],"yyyy-mm-dd")</f>
        <v>2320127002|2016-05-09</v>
      </c>
      <c r="X695" t="b">
        <f>ISNUMBER(MATCH(tbl_working_daily[[#This Row],[LookupKey]],tbl_working_sleep[LookupKey],0))</f>
        <v>0</v>
      </c>
    </row>
    <row r="696" spans="1:24" x14ac:dyDescent="0.3">
      <c r="A696">
        <v>2320127002</v>
      </c>
      <c r="B696" s="1">
        <v>42500</v>
      </c>
      <c r="C696">
        <v>6227</v>
      </c>
      <c r="D696">
        <v>4.1999998092651403</v>
      </c>
      <c r="E696">
        <v>4.1999998092651403</v>
      </c>
      <c r="F696">
        <v>0</v>
      </c>
      <c r="G696">
        <v>0</v>
      </c>
      <c r="H696">
        <v>0</v>
      </c>
      <c r="I696">
        <v>4.1999998092651403</v>
      </c>
      <c r="J696">
        <v>0</v>
      </c>
      <c r="K696">
        <v>0</v>
      </c>
      <c r="L696">
        <v>0</v>
      </c>
      <c r="M696">
        <v>290</v>
      </c>
      <c r="N696">
        <v>1150</v>
      </c>
      <c r="O696">
        <v>1899</v>
      </c>
      <c r="P696" t="str">
        <f>TEXT(tbl_working_daily[[#This Row],[ActivityDate]],"dddd")</f>
        <v>Tuesday</v>
      </c>
      <c r="Q696" t="str">
        <f>TEXT(tbl_working_daily[[#This Row],[ActivityDate]],"mmmm")</f>
        <v>May</v>
      </c>
      <c r="R696">
        <f t="shared" si="20"/>
        <v>290</v>
      </c>
      <c r="S696">
        <f t="shared" si="21"/>
        <v>1440</v>
      </c>
      <c r="T696">
        <f>ROUND(tbl_working_daily[[#This Row],[SedentaryMinutes]]/60,2)</f>
        <v>19.170000000000002</v>
      </c>
      <c r="U696" t="str" cm="1">
        <f t="array" ref="U69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96" t="str" cm="1">
        <f t="array" ref="V696">_xlfn.IFS(tbl_working_daily[[#This Row],[VeryActiveMinutes]]&gt;=30,"Very Active",tbl_working_daily[[#This Row],[VeryActiveMinutes]]&gt;=15,"Moderately Active",tbl_working_daily[[#This Row],[VeryActiveMinutes]]&gt;=1,"Lightly Active",tbl_working_daily[[#This Row],[VeryActiveMinutes]]=0,"Sedentary")</f>
        <v>Sedentary</v>
      </c>
      <c r="W696" t="str">
        <f>tbl_working_daily[[#This Row],[Id]]&amp;"|"&amp;TEXT(tbl_working_daily[[#This Row],[ActivityDate]],"yyyy-mm-dd")</f>
        <v>2320127002|2016-05-10</v>
      </c>
      <c r="X696" t="b">
        <f>ISNUMBER(MATCH(tbl_working_daily[[#This Row],[LookupKey]],tbl_working_sleep[LookupKey],0))</f>
        <v>0</v>
      </c>
    </row>
    <row r="697" spans="1:24" x14ac:dyDescent="0.3">
      <c r="A697">
        <v>2320127002</v>
      </c>
      <c r="B697" s="1">
        <v>42501</v>
      </c>
      <c r="C697">
        <v>6424</v>
      </c>
      <c r="D697">
        <v>4.3299999237060502</v>
      </c>
      <c r="E697">
        <v>4.3299999237060502</v>
      </c>
      <c r="F697">
        <v>0</v>
      </c>
      <c r="G697">
        <v>0</v>
      </c>
      <c r="H697">
        <v>0</v>
      </c>
      <c r="I697">
        <v>4.3299999237060502</v>
      </c>
      <c r="J697">
        <v>0</v>
      </c>
      <c r="K697">
        <v>0</v>
      </c>
      <c r="L697">
        <v>0</v>
      </c>
      <c r="M697">
        <v>300</v>
      </c>
      <c r="N697">
        <v>1140</v>
      </c>
      <c r="O697">
        <v>1903</v>
      </c>
      <c r="P697" t="str">
        <f>TEXT(tbl_working_daily[[#This Row],[ActivityDate]],"dddd")</f>
        <v>Wednesday</v>
      </c>
      <c r="Q697" t="str">
        <f>TEXT(tbl_working_daily[[#This Row],[ActivityDate]],"mmmm")</f>
        <v>May</v>
      </c>
      <c r="R697">
        <f t="shared" si="20"/>
        <v>300</v>
      </c>
      <c r="S697">
        <f t="shared" si="21"/>
        <v>1440</v>
      </c>
      <c r="T697">
        <f>ROUND(tbl_working_daily[[#This Row],[SedentaryMinutes]]/60,2)</f>
        <v>19</v>
      </c>
      <c r="U697" t="str" cm="1">
        <f t="array" ref="U69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697" t="str" cm="1">
        <f t="array" ref="V697">_xlfn.IFS(tbl_working_daily[[#This Row],[VeryActiveMinutes]]&gt;=30,"Very Active",tbl_working_daily[[#This Row],[VeryActiveMinutes]]&gt;=15,"Moderately Active",tbl_working_daily[[#This Row],[VeryActiveMinutes]]&gt;=1,"Lightly Active",tbl_working_daily[[#This Row],[VeryActiveMinutes]]=0,"Sedentary")</f>
        <v>Sedentary</v>
      </c>
      <c r="W697" t="str">
        <f>tbl_working_daily[[#This Row],[Id]]&amp;"|"&amp;TEXT(tbl_working_daily[[#This Row],[ActivityDate]],"yyyy-mm-dd")</f>
        <v>2320127002|2016-05-11</v>
      </c>
      <c r="X697" t="b">
        <f>ISNUMBER(MATCH(tbl_working_daily[[#This Row],[LookupKey]],tbl_working_sleep[LookupKey],0))</f>
        <v>0</v>
      </c>
    </row>
    <row r="698" spans="1:24" x14ac:dyDescent="0.3">
      <c r="A698">
        <v>2320127002</v>
      </c>
      <c r="B698" s="1">
        <v>42502</v>
      </c>
      <c r="C698">
        <v>2661</v>
      </c>
      <c r="D698">
        <v>1.78999996185303</v>
      </c>
      <c r="E698">
        <v>1.78999996185303</v>
      </c>
      <c r="F698">
        <v>0</v>
      </c>
      <c r="G698">
        <v>0</v>
      </c>
      <c r="H698">
        <v>0</v>
      </c>
      <c r="I698">
        <v>1.78999996185303</v>
      </c>
      <c r="J698">
        <v>0</v>
      </c>
      <c r="K698">
        <v>0</v>
      </c>
      <c r="L698">
        <v>0</v>
      </c>
      <c r="M698">
        <v>128</v>
      </c>
      <c r="N698">
        <v>830</v>
      </c>
      <c r="O698">
        <v>1125</v>
      </c>
      <c r="P698" t="str">
        <f>TEXT(tbl_working_daily[[#This Row],[ActivityDate]],"dddd")</f>
        <v>Thursday</v>
      </c>
      <c r="Q698" t="str">
        <f>TEXT(tbl_working_daily[[#This Row],[ActivityDate]],"mmmm")</f>
        <v>May</v>
      </c>
      <c r="R698">
        <f t="shared" si="20"/>
        <v>128</v>
      </c>
      <c r="S698">
        <f t="shared" si="21"/>
        <v>958</v>
      </c>
      <c r="T698">
        <f>ROUND(tbl_working_daily[[#This Row],[SedentaryMinutes]]/60,2)</f>
        <v>13.83</v>
      </c>
      <c r="U698" t="str" cm="1">
        <f t="array" ref="U6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698" t="str" cm="1">
        <f t="array" ref="V698">_xlfn.IFS(tbl_working_daily[[#This Row],[VeryActiveMinutes]]&gt;=30,"Very Active",tbl_working_daily[[#This Row],[VeryActiveMinutes]]&gt;=15,"Moderately Active",tbl_working_daily[[#This Row],[VeryActiveMinutes]]&gt;=1,"Lightly Active",tbl_working_daily[[#This Row],[VeryActiveMinutes]]=0,"Sedentary")</f>
        <v>Sedentary</v>
      </c>
      <c r="W698" t="str">
        <f>tbl_working_daily[[#This Row],[Id]]&amp;"|"&amp;TEXT(tbl_working_daily[[#This Row],[ActivityDate]],"yyyy-mm-dd")</f>
        <v>2320127002|2016-05-12</v>
      </c>
      <c r="X698" t="b">
        <f>ISNUMBER(MATCH(tbl_working_daily[[#This Row],[LookupKey]],tbl_working_sleep[LookupKey],0))</f>
        <v>0</v>
      </c>
    </row>
    <row r="699" spans="1:24" x14ac:dyDescent="0.3">
      <c r="A699">
        <v>2347167796</v>
      </c>
      <c r="B699" s="1">
        <v>42473</v>
      </c>
      <c r="C699">
        <v>10352</v>
      </c>
      <c r="D699">
        <v>7.0100002288818404</v>
      </c>
      <c r="E699">
        <v>7.0100002288818404</v>
      </c>
      <c r="F699">
        <v>0</v>
      </c>
      <c r="G699">
        <v>1.6599999666214</v>
      </c>
      <c r="H699">
        <v>1.9400000572204601</v>
      </c>
      <c r="I699">
        <v>3.4100000858306898</v>
      </c>
      <c r="J699">
        <v>0</v>
      </c>
      <c r="K699">
        <v>19</v>
      </c>
      <c r="L699">
        <v>32</v>
      </c>
      <c r="M699">
        <v>195</v>
      </c>
      <c r="N699">
        <v>676</v>
      </c>
      <c r="O699">
        <v>2038</v>
      </c>
      <c r="P699" t="str">
        <f>TEXT(tbl_working_daily[[#This Row],[ActivityDate]],"dddd")</f>
        <v>Wednesday</v>
      </c>
      <c r="Q699" t="str">
        <f>TEXT(tbl_working_daily[[#This Row],[ActivityDate]],"mmmm")</f>
        <v>April</v>
      </c>
      <c r="R699">
        <f t="shared" si="20"/>
        <v>246</v>
      </c>
      <c r="S699">
        <f t="shared" si="21"/>
        <v>922</v>
      </c>
      <c r="T699">
        <f>ROUND(tbl_working_daily[[#This Row],[SedentaryMinutes]]/60,2)</f>
        <v>11.27</v>
      </c>
      <c r="U699" t="str" cm="1">
        <f t="array" ref="U69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699" t="str" cm="1">
        <f t="array" ref="V699">_xlfn.IFS(tbl_working_daily[[#This Row],[VeryActiveMinutes]]&gt;=30,"Very Active",tbl_working_daily[[#This Row],[VeryActiveMinutes]]&gt;=15,"Moderately Active",tbl_working_daily[[#This Row],[VeryActiveMinutes]]&gt;=1,"Lightly Active",tbl_working_daily[[#This Row],[VeryActiveMinutes]]=0,"Sedentary")</f>
        <v>Moderately Active</v>
      </c>
      <c r="W699" t="str">
        <f>tbl_working_daily[[#This Row],[Id]]&amp;"|"&amp;TEXT(tbl_working_daily[[#This Row],[ActivityDate]],"yyyy-mm-dd")</f>
        <v>2347167796|2016-04-13</v>
      </c>
      <c r="X699" t="b">
        <f>ISNUMBER(MATCH(tbl_working_daily[[#This Row],[LookupKey]],tbl_working_sleep[LookupKey],0))</f>
        <v>1</v>
      </c>
    </row>
    <row r="700" spans="1:24" x14ac:dyDescent="0.3">
      <c r="A700">
        <v>2347167796</v>
      </c>
      <c r="B700" s="1">
        <v>42474</v>
      </c>
      <c r="C700">
        <v>10129</v>
      </c>
      <c r="D700">
        <v>6.6999998092651403</v>
      </c>
      <c r="E700">
        <v>6.6999998092651403</v>
      </c>
      <c r="F700">
        <v>0</v>
      </c>
      <c r="G700">
        <v>1.9999999552965199E-2</v>
      </c>
      <c r="H700">
        <v>2.7400000095367401</v>
      </c>
      <c r="I700">
        <v>3.9400000572204599</v>
      </c>
      <c r="J700">
        <v>0</v>
      </c>
      <c r="K700">
        <v>1</v>
      </c>
      <c r="L700">
        <v>48</v>
      </c>
      <c r="M700">
        <v>206</v>
      </c>
      <c r="N700">
        <v>705</v>
      </c>
      <c r="O700">
        <v>2010</v>
      </c>
      <c r="P700" t="str">
        <f>TEXT(tbl_working_daily[[#This Row],[ActivityDate]],"dddd")</f>
        <v>Thursday</v>
      </c>
      <c r="Q700" t="str">
        <f>TEXT(tbl_working_daily[[#This Row],[ActivityDate]],"mmmm")</f>
        <v>April</v>
      </c>
      <c r="R700">
        <f t="shared" si="20"/>
        <v>255</v>
      </c>
      <c r="S700">
        <f t="shared" si="21"/>
        <v>960</v>
      </c>
      <c r="T700">
        <f>ROUND(tbl_working_daily[[#This Row],[SedentaryMinutes]]/60,2)</f>
        <v>11.75</v>
      </c>
      <c r="U700" t="str" cm="1">
        <f t="array" ref="U70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00" t="str" cm="1">
        <f t="array" ref="V700">_xlfn.IFS(tbl_working_daily[[#This Row],[VeryActiveMinutes]]&gt;=30,"Very Active",tbl_working_daily[[#This Row],[VeryActiveMinutes]]&gt;=15,"Moderately Active",tbl_working_daily[[#This Row],[VeryActiveMinutes]]&gt;=1,"Lightly Active",tbl_working_daily[[#This Row],[VeryActiveMinutes]]=0,"Sedentary")</f>
        <v>Lightly Active</v>
      </c>
      <c r="W700" t="str">
        <f>tbl_working_daily[[#This Row],[Id]]&amp;"|"&amp;TEXT(tbl_working_daily[[#This Row],[ActivityDate]],"yyyy-mm-dd")</f>
        <v>2347167796|2016-04-14</v>
      </c>
      <c r="X700" t="b">
        <f>ISNUMBER(MATCH(tbl_working_daily[[#This Row],[LookupKey]],tbl_working_sleep[LookupKey],0))</f>
        <v>1</v>
      </c>
    </row>
    <row r="701" spans="1:24" x14ac:dyDescent="0.3">
      <c r="A701">
        <v>2347167796</v>
      </c>
      <c r="B701" s="1">
        <v>42475</v>
      </c>
      <c r="C701">
        <v>10465</v>
      </c>
      <c r="D701">
        <v>6.9200000762939498</v>
      </c>
      <c r="E701">
        <v>6.9200000762939498</v>
      </c>
      <c r="F701">
        <v>0</v>
      </c>
      <c r="G701">
        <v>7.0000000298023196E-2</v>
      </c>
      <c r="H701">
        <v>1.41999995708466</v>
      </c>
      <c r="I701">
        <v>5.4299998283386204</v>
      </c>
      <c r="J701">
        <v>0</v>
      </c>
      <c r="K701">
        <v>1</v>
      </c>
      <c r="L701">
        <v>24</v>
      </c>
      <c r="M701">
        <v>284</v>
      </c>
      <c r="N701">
        <v>720</v>
      </c>
      <c r="O701">
        <v>2133</v>
      </c>
      <c r="P701" t="str">
        <f>TEXT(tbl_working_daily[[#This Row],[ActivityDate]],"dddd")</f>
        <v>Friday</v>
      </c>
      <c r="Q701" t="str">
        <f>TEXT(tbl_working_daily[[#This Row],[ActivityDate]],"mmmm")</f>
        <v>April</v>
      </c>
      <c r="R701">
        <f t="shared" si="20"/>
        <v>309</v>
      </c>
      <c r="S701">
        <f t="shared" si="21"/>
        <v>1029</v>
      </c>
      <c r="T701">
        <f>ROUND(tbl_working_daily[[#This Row],[SedentaryMinutes]]/60,2)</f>
        <v>12</v>
      </c>
      <c r="U701" t="str" cm="1">
        <f t="array" ref="U70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01" t="str" cm="1">
        <f t="array" ref="V701">_xlfn.IFS(tbl_working_daily[[#This Row],[VeryActiveMinutes]]&gt;=30,"Very Active",tbl_working_daily[[#This Row],[VeryActiveMinutes]]&gt;=15,"Moderately Active",tbl_working_daily[[#This Row],[VeryActiveMinutes]]&gt;=1,"Lightly Active",tbl_working_daily[[#This Row],[VeryActiveMinutes]]=0,"Sedentary")</f>
        <v>Lightly Active</v>
      </c>
      <c r="W701" t="str">
        <f>tbl_working_daily[[#This Row],[Id]]&amp;"|"&amp;TEXT(tbl_working_daily[[#This Row],[ActivityDate]],"yyyy-mm-dd")</f>
        <v>2347167796|2016-04-15</v>
      </c>
      <c r="X701" t="b">
        <f>ISNUMBER(MATCH(tbl_working_daily[[#This Row],[LookupKey]],tbl_working_sleep[LookupKey],0))</f>
        <v>1</v>
      </c>
    </row>
    <row r="702" spans="1:24" x14ac:dyDescent="0.3">
      <c r="A702">
        <v>2347167796</v>
      </c>
      <c r="B702" s="1">
        <v>42476</v>
      </c>
      <c r="C702">
        <v>22244</v>
      </c>
      <c r="D702">
        <v>15.079999923706101</v>
      </c>
      <c r="E702">
        <v>15.079999923706101</v>
      </c>
      <c r="F702">
        <v>0</v>
      </c>
      <c r="G702">
        <v>5.4499998092651403</v>
      </c>
      <c r="H702">
        <v>4.0999999046325701</v>
      </c>
      <c r="I702">
        <v>5.5300002098083496</v>
      </c>
      <c r="J702">
        <v>0</v>
      </c>
      <c r="K702">
        <v>66</v>
      </c>
      <c r="L702">
        <v>72</v>
      </c>
      <c r="M702">
        <v>268</v>
      </c>
      <c r="N702">
        <v>968</v>
      </c>
      <c r="O702">
        <v>2670</v>
      </c>
      <c r="P702" t="str">
        <f>TEXT(tbl_working_daily[[#This Row],[ActivityDate]],"dddd")</f>
        <v>Saturday</v>
      </c>
      <c r="Q702" t="str">
        <f>TEXT(tbl_working_daily[[#This Row],[ActivityDate]],"mmmm")</f>
        <v>April</v>
      </c>
      <c r="R702">
        <f t="shared" si="20"/>
        <v>406</v>
      </c>
      <c r="S702">
        <f t="shared" si="21"/>
        <v>1374</v>
      </c>
      <c r="T702">
        <f>ROUND(tbl_working_daily[[#This Row],[SedentaryMinutes]]/60,2)</f>
        <v>16.13</v>
      </c>
      <c r="U702" t="str" cm="1">
        <f t="array" ref="U70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02" t="str" cm="1">
        <f t="array" ref="V702">_xlfn.IFS(tbl_working_daily[[#This Row],[VeryActiveMinutes]]&gt;=30,"Very Active",tbl_working_daily[[#This Row],[VeryActiveMinutes]]&gt;=15,"Moderately Active",tbl_working_daily[[#This Row],[VeryActiveMinutes]]&gt;=1,"Lightly Active",tbl_working_daily[[#This Row],[VeryActiveMinutes]]=0,"Sedentary")</f>
        <v>Very Active</v>
      </c>
      <c r="W702" t="str">
        <f>tbl_working_daily[[#This Row],[Id]]&amp;"|"&amp;TEXT(tbl_working_daily[[#This Row],[ActivityDate]],"yyyy-mm-dd")</f>
        <v>2347167796|2016-04-16</v>
      </c>
      <c r="X702" t="b">
        <f>ISNUMBER(MATCH(tbl_working_daily[[#This Row],[LookupKey]],tbl_working_sleep[LookupKey],0))</f>
        <v>0</v>
      </c>
    </row>
    <row r="703" spans="1:24" x14ac:dyDescent="0.3">
      <c r="A703">
        <v>2347167796</v>
      </c>
      <c r="B703" s="1">
        <v>42477</v>
      </c>
      <c r="C703">
        <v>5472</v>
      </c>
      <c r="D703">
        <v>3.6199998855590798</v>
      </c>
      <c r="E703">
        <v>3.6199998855590798</v>
      </c>
      <c r="F703">
        <v>0</v>
      </c>
      <c r="G703">
        <v>7.9999998211860698E-2</v>
      </c>
      <c r="H703">
        <v>0.28000000119209301</v>
      </c>
      <c r="I703">
        <v>3.2599999904632599</v>
      </c>
      <c r="J703">
        <v>0</v>
      </c>
      <c r="K703">
        <v>1</v>
      </c>
      <c r="L703">
        <v>7</v>
      </c>
      <c r="M703">
        <v>249</v>
      </c>
      <c r="N703">
        <v>508</v>
      </c>
      <c r="O703">
        <v>1882</v>
      </c>
      <c r="P703" t="str">
        <f>TEXT(tbl_working_daily[[#This Row],[ActivityDate]],"dddd")</f>
        <v>Sunday</v>
      </c>
      <c r="Q703" t="str">
        <f>TEXT(tbl_working_daily[[#This Row],[ActivityDate]],"mmmm")</f>
        <v>April</v>
      </c>
      <c r="R703">
        <f t="shared" si="20"/>
        <v>257</v>
      </c>
      <c r="S703">
        <f t="shared" si="21"/>
        <v>765</v>
      </c>
      <c r="T703">
        <f>ROUND(tbl_working_daily[[#This Row],[SedentaryMinutes]]/60,2)</f>
        <v>8.4700000000000006</v>
      </c>
      <c r="U703" t="str" cm="1">
        <f t="array" ref="U70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03" t="str" cm="1">
        <f t="array" ref="V703">_xlfn.IFS(tbl_working_daily[[#This Row],[VeryActiveMinutes]]&gt;=30,"Very Active",tbl_working_daily[[#This Row],[VeryActiveMinutes]]&gt;=15,"Moderately Active",tbl_working_daily[[#This Row],[VeryActiveMinutes]]&gt;=1,"Lightly Active",tbl_working_daily[[#This Row],[VeryActiveMinutes]]=0,"Sedentary")</f>
        <v>Lightly Active</v>
      </c>
      <c r="W703" t="str">
        <f>tbl_working_daily[[#This Row],[Id]]&amp;"|"&amp;TEXT(tbl_working_daily[[#This Row],[ActivityDate]],"yyyy-mm-dd")</f>
        <v>2347167796|2016-04-17</v>
      </c>
      <c r="X703" t="b">
        <f>ISNUMBER(MATCH(tbl_working_daily[[#This Row],[LookupKey]],tbl_working_sleep[LookupKey],0))</f>
        <v>1</v>
      </c>
    </row>
    <row r="704" spans="1:24" x14ac:dyDescent="0.3">
      <c r="A704">
        <v>2347167796</v>
      </c>
      <c r="B704" s="1">
        <v>42478</v>
      </c>
      <c r="C704">
        <v>8247</v>
      </c>
      <c r="D704">
        <v>5.4499998092651403</v>
      </c>
      <c r="E704">
        <v>5.4499998092651403</v>
      </c>
      <c r="F704">
        <v>0</v>
      </c>
      <c r="G704">
        <v>0.79000002145767201</v>
      </c>
      <c r="H704">
        <v>0.86000001430511497</v>
      </c>
      <c r="I704">
        <v>3.78999996185303</v>
      </c>
      <c r="J704">
        <v>0</v>
      </c>
      <c r="K704">
        <v>11</v>
      </c>
      <c r="L704">
        <v>16</v>
      </c>
      <c r="M704">
        <v>206</v>
      </c>
      <c r="N704">
        <v>678</v>
      </c>
      <c r="O704">
        <v>1944</v>
      </c>
      <c r="P704" t="str">
        <f>TEXT(tbl_working_daily[[#This Row],[ActivityDate]],"dddd")</f>
        <v>Monday</v>
      </c>
      <c r="Q704" t="str">
        <f>TEXT(tbl_working_daily[[#This Row],[ActivityDate]],"mmmm")</f>
        <v>April</v>
      </c>
      <c r="R704">
        <f t="shared" si="20"/>
        <v>233</v>
      </c>
      <c r="S704">
        <f t="shared" si="21"/>
        <v>911</v>
      </c>
      <c r="T704">
        <f>ROUND(tbl_working_daily[[#This Row],[SedentaryMinutes]]/60,2)</f>
        <v>11.3</v>
      </c>
      <c r="U704" t="str" cm="1">
        <f t="array" ref="U70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04" t="str" cm="1">
        <f t="array" ref="V704">_xlfn.IFS(tbl_working_daily[[#This Row],[VeryActiveMinutes]]&gt;=30,"Very Active",tbl_working_daily[[#This Row],[VeryActiveMinutes]]&gt;=15,"Moderately Active",tbl_working_daily[[#This Row],[VeryActiveMinutes]]&gt;=1,"Lightly Active",tbl_working_daily[[#This Row],[VeryActiveMinutes]]=0,"Sedentary")</f>
        <v>Lightly Active</v>
      </c>
      <c r="W704" t="str">
        <f>tbl_working_daily[[#This Row],[Id]]&amp;"|"&amp;TEXT(tbl_working_daily[[#This Row],[ActivityDate]],"yyyy-mm-dd")</f>
        <v>2347167796|2016-04-18</v>
      </c>
      <c r="X704" t="b">
        <f>ISNUMBER(MATCH(tbl_working_daily[[#This Row],[LookupKey]],tbl_working_sleep[LookupKey],0))</f>
        <v>1</v>
      </c>
    </row>
    <row r="705" spans="1:24" x14ac:dyDescent="0.3">
      <c r="A705">
        <v>2347167796</v>
      </c>
      <c r="B705" s="1">
        <v>42479</v>
      </c>
      <c r="C705">
        <v>6711</v>
      </c>
      <c r="D705">
        <v>4.4400000572204599</v>
      </c>
      <c r="E705">
        <v>4.4400000572204599</v>
      </c>
      <c r="F705">
        <v>0</v>
      </c>
      <c r="G705">
        <v>0</v>
      </c>
      <c r="H705">
        <v>0</v>
      </c>
      <c r="I705">
        <v>4.4400000572204599</v>
      </c>
      <c r="J705">
        <v>0</v>
      </c>
      <c r="K705">
        <v>0</v>
      </c>
      <c r="L705">
        <v>7</v>
      </c>
      <c r="M705">
        <v>382</v>
      </c>
      <c r="N705">
        <v>648</v>
      </c>
      <c r="O705">
        <v>2346</v>
      </c>
      <c r="P705" t="str">
        <f>TEXT(tbl_working_daily[[#This Row],[ActivityDate]],"dddd")</f>
        <v>Tuesday</v>
      </c>
      <c r="Q705" t="str">
        <f>TEXT(tbl_working_daily[[#This Row],[ActivityDate]],"mmmm")</f>
        <v>April</v>
      </c>
      <c r="R705">
        <f t="shared" si="20"/>
        <v>389</v>
      </c>
      <c r="S705">
        <f t="shared" si="21"/>
        <v>1037</v>
      </c>
      <c r="T705">
        <f>ROUND(tbl_working_daily[[#This Row],[SedentaryMinutes]]/60,2)</f>
        <v>10.8</v>
      </c>
      <c r="U705" t="str" cm="1">
        <f t="array" ref="U70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05" t="str" cm="1">
        <f t="array" ref="V705">_xlfn.IFS(tbl_working_daily[[#This Row],[VeryActiveMinutes]]&gt;=30,"Very Active",tbl_working_daily[[#This Row],[VeryActiveMinutes]]&gt;=15,"Moderately Active",tbl_working_daily[[#This Row],[VeryActiveMinutes]]&gt;=1,"Lightly Active",tbl_working_daily[[#This Row],[VeryActiveMinutes]]=0,"Sedentary")</f>
        <v>Sedentary</v>
      </c>
      <c r="W705" t="str">
        <f>tbl_working_daily[[#This Row],[Id]]&amp;"|"&amp;TEXT(tbl_working_daily[[#This Row],[ActivityDate]],"yyyy-mm-dd")</f>
        <v>2347167796|2016-04-19</v>
      </c>
      <c r="X705" t="b">
        <f>ISNUMBER(MATCH(tbl_working_daily[[#This Row],[LookupKey]],tbl_working_sleep[LookupKey],0))</f>
        <v>1</v>
      </c>
    </row>
    <row r="706" spans="1:24" x14ac:dyDescent="0.3">
      <c r="A706">
        <v>2347167796</v>
      </c>
      <c r="B706" s="1">
        <v>42480</v>
      </c>
      <c r="C706">
        <v>10999</v>
      </c>
      <c r="D706">
        <v>7.2699999809265101</v>
      </c>
      <c r="E706">
        <v>7.2699999809265101</v>
      </c>
      <c r="F706">
        <v>0</v>
      </c>
      <c r="G706">
        <v>0.68000000715255704</v>
      </c>
      <c r="H706">
        <v>1.8099999427795399</v>
      </c>
      <c r="I706">
        <v>4.7800002098083496</v>
      </c>
      <c r="J706">
        <v>0</v>
      </c>
      <c r="K706">
        <v>11</v>
      </c>
      <c r="L706">
        <v>43</v>
      </c>
      <c r="M706">
        <v>269</v>
      </c>
      <c r="N706">
        <v>1011</v>
      </c>
      <c r="O706">
        <v>2198</v>
      </c>
      <c r="P706" t="str">
        <f>TEXT(tbl_working_daily[[#This Row],[ActivityDate]],"dddd")</f>
        <v>Wednesday</v>
      </c>
      <c r="Q706" t="str">
        <f>TEXT(tbl_working_daily[[#This Row],[ActivityDate]],"mmmm")</f>
        <v>April</v>
      </c>
      <c r="R706">
        <f t="shared" ref="R706:R769" si="22">K706+L706+M706</f>
        <v>323</v>
      </c>
      <c r="S706">
        <f t="shared" ref="S706:S769" si="23">R706+N706</f>
        <v>1334</v>
      </c>
      <c r="T706">
        <f>ROUND(tbl_working_daily[[#This Row],[SedentaryMinutes]]/60,2)</f>
        <v>16.850000000000001</v>
      </c>
      <c r="U706" t="str" cm="1">
        <f t="array" ref="U70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06" t="str" cm="1">
        <f t="array" ref="V706">_xlfn.IFS(tbl_working_daily[[#This Row],[VeryActiveMinutes]]&gt;=30,"Very Active",tbl_working_daily[[#This Row],[VeryActiveMinutes]]&gt;=15,"Moderately Active",tbl_working_daily[[#This Row],[VeryActiveMinutes]]&gt;=1,"Lightly Active",tbl_working_daily[[#This Row],[VeryActiveMinutes]]=0,"Sedentary")</f>
        <v>Lightly Active</v>
      </c>
      <c r="W706" t="str">
        <f>tbl_working_daily[[#This Row],[Id]]&amp;"|"&amp;TEXT(tbl_working_daily[[#This Row],[ActivityDate]],"yyyy-mm-dd")</f>
        <v>2347167796|2016-04-20</v>
      </c>
      <c r="X706" t="b">
        <f>ISNUMBER(MATCH(tbl_working_daily[[#This Row],[LookupKey]],tbl_working_sleep[LookupKey],0))</f>
        <v>0</v>
      </c>
    </row>
    <row r="707" spans="1:24" x14ac:dyDescent="0.3">
      <c r="A707">
        <v>2347167796</v>
      </c>
      <c r="B707" s="1">
        <v>42481</v>
      </c>
      <c r="C707">
        <v>10080</v>
      </c>
      <c r="D707">
        <v>6.75</v>
      </c>
      <c r="E707">
        <v>6.75</v>
      </c>
      <c r="F707">
        <v>0</v>
      </c>
      <c r="G707">
        <v>1.8500000238418599</v>
      </c>
      <c r="H707">
        <v>1.5299999713897701</v>
      </c>
      <c r="I707">
        <v>3.3800001144409202</v>
      </c>
      <c r="J707">
        <v>0</v>
      </c>
      <c r="K707">
        <v>23</v>
      </c>
      <c r="L707">
        <v>26</v>
      </c>
      <c r="M707">
        <v>208</v>
      </c>
      <c r="N707">
        <v>761</v>
      </c>
      <c r="O707">
        <v>2048</v>
      </c>
      <c r="P707" t="str">
        <f>TEXT(tbl_working_daily[[#This Row],[ActivityDate]],"dddd")</f>
        <v>Thursday</v>
      </c>
      <c r="Q707" t="str">
        <f>TEXT(tbl_working_daily[[#This Row],[ActivityDate]],"mmmm")</f>
        <v>April</v>
      </c>
      <c r="R707">
        <f t="shared" si="22"/>
        <v>257</v>
      </c>
      <c r="S707">
        <f t="shared" si="23"/>
        <v>1018</v>
      </c>
      <c r="T707">
        <f>ROUND(tbl_working_daily[[#This Row],[SedentaryMinutes]]/60,2)</f>
        <v>12.68</v>
      </c>
      <c r="U707" t="str" cm="1">
        <f t="array" ref="U70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07" t="str" cm="1">
        <f t="array" ref="V707">_xlfn.IFS(tbl_working_daily[[#This Row],[VeryActiveMinutes]]&gt;=30,"Very Active",tbl_working_daily[[#This Row],[VeryActiveMinutes]]&gt;=15,"Moderately Active",tbl_working_daily[[#This Row],[VeryActiveMinutes]]&gt;=1,"Lightly Active",tbl_working_daily[[#This Row],[VeryActiveMinutes]]=0,"Sedentary")</f>
        <v>Moderately Active</v>
      </c>
      <c r="W707" t="str">
        <f>tbl_working_daily[[#This Row],[Id]]&amp;"|"&amp;TEXT(tbl_working_daily[[#This Row],[ActivityDate]],"yyyy-mm-dd")</f>
        <v>2347167796|2016-04-21</v>
      </c>
      <c r="X707" t="b">
        <f>ISNUMBER(MATCH(tbl_working_daily[[#This Row],[LookupKey]],tbl_working_sleep[LookupKey],0))</f>
        <v>1</v>
      </c>
    </row>
    <row r="708" spans="1:24" x14ac:dyDescent="0.3">
      <c r="A708">
        <v>2347167796</v>
      </c>
      <c r="B708" s="1">
        <v>42482</v>
      </c>
      <c r="C708">
        <v>7804</v>
      </c>
      <c r="D708">
        <v>5.1599998474121103</v>
      </c>
      <c r="E708">
        <v>5.1599998474121103</v>
      </c>
      <c r="F708">
        <v>0</v>
      </c>
      <c r="G708">
        <v>0.56000000238418601</v>
      </c>
      <c r="H708">
        <v>1.6799999475479099</v>
      </c>
      <c r="I708">
        <v>2.9200000762939502</v>
      </c>
      <c r="J708">
        <v>0</v>
      </c>
      <c r="K708">
        <v>9</v>
      </c>
      <c r="L708">
        <v>27</v>
      </c>
      <c r="M708">
        <v>206</v>
      </c>
      <c r="N708">
        <v>781</v>
      </c>
      <c r="O708">
        <v>1946</v>
      </c>
      <c r="P708" t="str">
        <f>TEXT(tbl_working_daily[[#This Row],[ActivityDate]],"dddd")</f>
        <v>Friday</v>
      </c>
      <c r="Q708" t="str">
        <f>TEXT(tbl_working_daily[[#This Row],[ActivityDate]],"mmmm")</f>
        <v>April</v>
      </c>
      <c r="R708">
        <f t="shared" si="22"/>
        <v>242</v>
      </c>
      <c r="S708">
        <f t="shared" si="23"/>
        <v>1023</v>
      </c>
      <c r="T708">
        <f>ROUND(tbl_working_daily[[#This Row],[SedentaryMinutes]]/60,2)</f>
        <v>13.02</v>
      </c>
      <c r="U708" t="str" cm="1">
        <f t="array" ref="U70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08" t="str" cm="1">
        <f t="array" ref="V708">_xlfn.IFS(tbl_working_daily[[#This Row],[VeryActiveMinutes]]&gt;=30,"Very Active",tbl_working_daily[[#This Row],[VeryActiveMinutes]]&gt;=15,"Moderately Active",tbl_working_daily[[#This Row],[VeryActiveMinutes]]&gt;=1,"Lightly Active",tbl_working_daily[[#This Row],[VeryActiveMinutes]]=0,"Sedentary")</f>
        <v>Lightly Active</v>
      </c>
      <c r="W708" t="str">
        <f>tbl_working_daily[[#This Row],[Id]]&amp;"|"&amp;TEXT(tbl_working_daily[[#This Row],[ActivityDate]],"yyyy-mm-dd")</f>
        <v>2347167796|2016-04-22</v>
      </c>
      <c r="X708" t="b">
        <f>ISNUMBER(MATCH(tbl_working_daily[[#This Row],[LookupKey]],tbl_working_sleep[LookupKey],0))</f>
        <v>1</v>
      </c>
    </row>
    <row r="709" spans="1:24" x14ac:dyDescent="0.3">
      <c r="A709">
        <v>2347167796</v>
      </c>
      <c r="B709" s="1">
        <v>42483</v>
      </c>
      <c r="C709">
        <v>16901</v>
      </c>
      <c r="D709">
        <v>11.3699998855591</v>
      </c>
      <c r="E709">
        <v>11.3699998855591</v>
      </c>
      <c r="F709">
        <v>0</v>
      </c>
      <c r="G709">
        <v>2.7799999713897701</v>
      </c>
      <c r="H709">
        <v>1.45000004768372</v>
      </c>
      <c r="I709">
        <v>7.1500000953674299</v>
      </c>
      <c r="J709">
        <v>0</v>
      </c>
      <c r="K709">
        <v>32</v>
      </c>
      <c r="L709">
        <v>35</v>
      </c>
      <c r="M709">
        <v>360</v>
      </c>
      <c r="N709">
        <v>591</v>
      </c>
      <c r="O709">
        <v>2629</v>
      </c>
      <c r="P709" t="str">
        <f>TEXT(tbl_working_daily[[#This Row],[ActivityDate]],"dddd")</f>
        <v>Saturday</v>
      </c>
      <c r="Q709" t="str">
        <f>TEXT(tbl_working_daily[[#This Row],[ActivityDate]],"mmmm")</f>
        <v>April</v>
      </c>
      <c r="R709">
        <f t="shared" si="22"/>
        <v>427</v>
      </c>
      <c r="S709">
        <f t="shared" si="23"/>
        <v>1018</v>
      </c>
      <c r="T709">
        <f>ROUND(tbl_working_daily[[#This Row],[SedentaryMinutes]]/60,2)</f>
        <v>9.85</v>
      </c>
      <c r="U709" t="str" cm="1">
        <f t="array" ref="U70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09" t="str" cm="1">
        <f t="array" ref="V709">_xlfn.IFS(tbl_working_daily[[#This Row],[VeryActiveMinutes]]&gt;=30,"Very Active",tbl_working_daily[[#This Row],[VeryActiveMinutes]]&gt;=15,"Moderately Active",tbl_working_daily[[#This Row],[VeryActiveMinutes]]&gt;=1,"Lightly Active",tbl_working_daily[[#This Row],[VeryActiveMinutes]]=0,"Sedentary")</f>
        <v>Very Active</v>
      </c>
      <c r="W709" t="str">
        <f>tbl_working_daily[[#This Row],[Id]]&amp;"|"&amp;TEXT(tbl_working_daily[[#This Row],[ActivityDate]],"yyyy-mm-dd")</f>
        <v>2347167796|2016-04-23</v>
      </c>
      <c r="X709" t="b">
        <f>ISNUMBER(MATCH(tbl_working_daily[[#This Row],[LookupKey]],tbl_working_sleep[LookupKey],0))</f>
        <v>1</v>
      </c>
    </row>
    <row r="710" spans="1:24" x14ac:dyDescent="0.3">
      <c r="A710">
        <v>2347167796</v>
      </c>
      <c r="B710" s="1">
        <v>42484</v>
      </c>
      <c r="C710">
        <v>9471</v>
      </c>
      <c r="D710">
        <v>6.2600002288818404</v>
      </c>
      <c r="E710">
        <v>6.2600002288818404</v>
      </c>
      <c r="F710">
        <v>0</v>
      </c>
      <c r="G710">
        <v>0</v>
      </c>
      <c r="H710">
        <v>0</v>
      </c>
      <c r="I710">
        <v>6.2600002288818404</v>
      </c>
      <c r="J710">
        <v>0</v>
      </c>
      <c r="K710">
        <v>0</v>
      </c>
      <c r="L710">
        <v>0</v>
      </c>
      <c r="M710">
        <v>360</v>
      </c>
      <c r="N710">
        <v>584</v>
      </c>
      <c r="O710">
        <v>2187</v>
      </c>
      <c r="P710" t="str">
        <f>TEXT(tbl_working_daily[[#This Row],[ActivityDate]],"dddd")</f>
        <v>Sunday</v>
      </c>
      <c r="Q710" t="str">
        <f>TEXT(tbl_working_daily[[#This Row],[ActivityDate]],"mmmm")</f>
        <v>April</v>
      </c>
      <c r="R710">
        <f t="shared" si="22"/>
        <v>360</v>
      </c>
      <c r="S710">
        <f t="shared" si="23"/>
        <v>944</v>
      </c>
      <c r="T710">
        <f>ROUND(tbl_working_daily[[#This Row],[SedentaryMinutes]]/60,2)</f>
        <v>9.73</v>
      </c>
      <c r="U710" t="str" cm="1">
        <f t="array" ref="U71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10" t="str" cm="1">
        <f t="array" ref="V710">_xlfn.IFS(tbl_working_daily[[#This Row],[VeryActiveMinutes]]&gt;=30,"Very Active",tbl_working_daily[[#This Row],[VeryActiveMinutes]]&gt;=15,"Moderately Active",tbl_working_daily[[#This Row],[VeryActiveMinutes]]&gt;=1,"Lightly Active",tbl_working_daily[[#This Row],[VeryActiveMinutes]]=0,"Sedentary")</f>
        <v>Sedentary</v>
      </c>
      <c r="W710" t="str">
        <f>tbl_working_daily[[#This Row],[Id]]&amp;"|"&amp;TEXT(tbl_working_daily[[#This Row],[ActivityDate]],"yyyy-mm-dd")</f>
        <v>2347167796|2016-04-24</v>
      </c>
      <c r="X710" t="b">
        <f>ISNUMBER(MATCH(tbl_working_daily[[#This Row],[LookupKey]],tbl_working_sleep[LookupKey],0))</f>
        <v>1</v>
      </c>
    </row>
    <row r="711" spans="1:24" x14ac:dyDescent="0.3">
      <c r="A711">
        <v>2347167796</v>
      </c>
      <c r="B711" s="1">
        <v>42485</v>
      </c>
      <c r="C711">
        <v>9482</v>
      </c>
      <c r="D711">
        <v>6.3800001144409197</v>
      </c>
      <c r="E711">
        <v>6.3800001144409197</v>
      </c>
      <c r="F711">
        <v>0</v>
      </c>
      <c r="G711">
        <v>1.2699999809265099</v>
      </c>
      <c r="H711">
        <v>0.519999980926514</v>
      </c>
      <c r="I711">
        <v>4.5999999046325701</v>
      </c>
      <c r="J711">
        <v>0</v>
      </c>
      <c r="K711">
        <v>15</v>
      </c>
      <c r="L711">
        <v>11</v>
      </c>
      <c r="M711">
        <v>277</v>
      </c>
      <c r="N711">
        <v>653</v>
      </c>
      <c r="O711">
        <v>2095</v>
      </c>
      <c r="P711" t="str">
        <f>TEXT(tbl_working_daily[[#This Row],[ActivityDate]],"dddd")</f>
        <v>Monday</v>
      </c>
      <c r="Q711" t="str">
        <f>TEXT(tbl_working_daily[[#This Row],[ActivityDate]],"mmmm")</f>
        <v>April</v>
      </c>
      <c r="R711">
        <f t="shared" si="22"/>
        <v>303</v>
      </c>
      <c r="S711">
        <f t="shared" si="23"/>
        <v>956</v>
      </c>
      <c r="T711">
        <f>ROUND(tbl_working_daily[[#This Row],[SedentaryMinutes]]/60,2)</f>
        <v>10.88</v>
      </c>
      <c r="U711" t="str" cm="1">
        <f t="array" ref="U71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11" t="str" cm="1">
        <f t="array" ref="V711">_xlfn.IFS(tbl_working_daily[[#This Row],[VeryActiveMinutes]]&gt;=30,"Very Active",tbl_working_daily[[#This Row],[VeryActiveMinutes]]&gt;=15,"Moderately Active",tbl_working_daily[[#This Row],[VeryActiveMinutes]]&gt;=1,"Lightly Active",tbl_working_daily[[#This Row],[VeryActiveMinutes]]=0,"Sedentary")</f>
        <v>Moderately Active</v>
      </c>
      <c r="W711" t="str">
        <f>tbl_working_daily[[#This Row],[Id]]&amp;"|"&amp;TEXT(tbl_working_daily[[#This Row],[ActivityDate]],"yyyy-mm-dd")</f>
        <v>2347167796|2016-04-25</v>
      </c>
      <c r="X711" t="b">
        <f>ISNUMBER(MATCH(tbl_working_daily[[#This Row],[LookupKey]],tbl_working_sleep[LookupKey],0))</f>
        <v>1</v>
      </c>
    </row>
    <row r="712" spans="1:24" x14ac:dyDescent="0.3">
      <c r="A712">
        <v>2347167796</v>
      </c>
      <c r="B712" s="1">
        <v>42486</v>
      </c>
      <c r="C712">
        <v>5980</v>
      </c>
      <c r="D712">
        <v>3.9500000476837198</v>
      </c>
      <c r="E712">
        <v>3.9500000476837198</v>
      </c>
      <c r="F712">
        <v>0</v>
      </c>
      <c r="G712">
        <v>0</v>
      </c>
      <c r="H712">
        <v>0</v>
      </c>
      <c r="I712">
        <v>3.9500000476837198</v>
      </c>
      <c r="J712">
        <v>0</v>
      </c>
      <c r="K712">
        <v>0</v>
      </c>
      <c r="L712">
        <v>0</v>
      </c>
      <c r="M712">
        <v>227</v>
      </c>
      <c r="N712">
        <v>732</v>
      </c>
      <c r="O712">
        <v>1861</v>
      </c>
      <c r="P712" t="str">
        <f>TEXT(tbl_working_daily[[#This Row],[ActivityDate]],"dddd")</f>
        <v>Tuesday</v>
      </c>
      <c r="Q712" t="str">
        <f>TEXT(tbl_working_daily[[#This Row],[ActivityDate]],"mmmm")</f>
        <v>April</v>
      </c>
      <c r="R712">
        <f t="shared" si="22"/>
        <v>227</v>
      </c>
      <c r="S712">
        <f t="shared" si="23"/>
        <v>959</v>
      </c>
      <c r="T712">
        <f>ROUND(tbl_working_daily[[#This Row],[SedentaryMinutes]]/60,2)</f>
        <v>12.2</v>
      </c>
      <c r="U712" t="str" cm="1">
        <f t="array" ref="U71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12" t="str" cm="1">
        <f t="array" ref="V712">_xlfn.IFS(tbl_working_daily[[#This Row],[VeryActiveMinutes]]&gt;=30,"Very Active",tbl_working_daily[[#This Row],[VeryActiveMinutes]]&gt;=15,"Moderately Active",tbl_working_daily[[#This Row],[VeryActiveMinutes]]&gt;=1,"Lightly Active",tbl_working_daily[[#This Row],[VeryActiveMinutes]]=0,"Sedentary")</f>
        <v>Sedentary</v>
      </c>
      <c r="W712" t="str">
        <f>tbl_working_daily[[#This Row],[Id]]&amp;"|"&amp;TEXT(tbl_working_daily[[#This Row],[ActivityDate]],"yyyy-mm-dd")</f>
        <v>2347167796|2016-04-26</v>
      </c>
      <c r="X712" t="b">
        <f>ISNUMBER(MATCH(tbl_working_daily[[#This Row],[LookupKey]],tbl_working_sleep[LookupKey],0))</f>
        <v>1</v>
      </c>
    </row>
    <row r="713" spans="1:24" x14ac:dyDescent="0.3">
      <c r="A713">
        <v>2347167796</v>
      </c>
      <c r="B713" s="1">
        <v>42487</v>
      </c>
      <c r="C713">
        <v>11423</v>
      </c>
      <c r="D713">
        <v>7.5799999237060502</v>
      </c>
      <c r="E713">
        <v>7.5799999237060502</v>
      </c>
      <c r="F713">
        <v>0</v>
      </c>
      <c r="G713">
        <v>1.8600000143051101</v>
      </c>
      <c r="H713">
        <v>0.40000000596046398</v>
      </c>
      <c r="I713">
        <v>5.3200001716613796</v>
      </c>
      <c r="J713">
        <v>0</v>
      </c>
      <c r="K713">
        <v>26</v>
      </c>
      <c r="L713">
        <v>9</v>
      </c>
      <c r="M713">
        <v>295</v>
      </c>
      <c r="N713">
        <v>623</v>
      </c>
      <c r="O713">
        <v>2194</v>
      </c>
      <c r="P713" t="str">
        <f>TEXT(tbl_working_daily[[#This Row],[ActivityDate]],"dddd")</f>
        <v>Wednesday</v>
      </c>
      <c r="Q713" t="str">
        <f>TEXT(tbl_working_daily[[#This Row],[ActivityDate]],"mmmm")</f>
        <v>April</v>
      </c>
      <c r="R713">
        <f t="shared" si="22"/>
        <v>330</v>
      </c>
      <c r="S713">
        <f t="shared" si="23"/>
        <v>953</v>
      </c>
      <c r="T713">
        <f>ROUND(tbl_working_daily[[#This Row],[SedentaryMinutes]]/60,2)</f>
        <v>10.38</v>
      </c>
      <c r="U713" t="str" cm="1">
        <f t="array" ref="U71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13" t="str" cm="1">
        <f t="array" ref="V713">_xlfn.IFS(tbl_working_daily[[#This Row],[VeryActiveMinutes]]&gt;=30,"Very Active",tbl_working_daily[[#This Row],[VeryActiveMinutes]]&gt;=15,"Moderately Active",tbl_working_daily[[#This Row],[VeryActiveMinutes]]&gt;=1,"Lightly Active",tbl_working_daily[[#This Row],[VeryActiveMinutes]]=0,"Sedentary")</f>
        <v>Moderately Active</v>
      </c>
      <c r="W713" t="str">
        <f>tbl_working_daily[[#This Row],[Id]]&amp;"|"&amp;TEXT(tbl_working_daily[[#This Row],[ActivityDate]],"yyyy-mm-dd")</f>
        <v>2347167796|2016-04-27</v>
      </c>
      <c r="X713" t="b">
        <f>ISNUMBER(MATCH(tbl_working_daily[[#This Row],[LookupKey]],tbl_working_sleep[LookupKey],0))</f>
        <v>1</v>
      </c>
    </row>
    <row r="714" spans="1:24" x14ac:dyDescent="0.3">
      <c r="A714">
        <v>2347167796</v>
      </c>
      <c r="B714" s="1">
        <v>42488</v>
      </c>
      <c r="C714">
        <v>5439</v>
      </c>
      <c r="D714">
        <v>3.5999999046325701</v>
      </c>
      <c r="E714">
        <v>3.5999999046325701</v>
      </c>
      <c r="F714">
        <v>0</v>
      </c>
      <c r="G714">
        <v>0</v>
      </c>
      <c r="H714">
        <v>0</v>
      </c>
      <c r="I714">
        <v>3.5999999046325701</v>
      </c>
      <c r="J714">
        <v>0</v>
      </c>
      <c r="K714">
        <v>0</v>
      </c>
      <c r="L714">
        <v>0</v>
      </c>
      <c r="M714">
        <v>229</v>
      </c>
      <c r="N714">
        <v>764</v>
      </c>
      <c r="O714">
        <v>1854</v>
      </c>
      <c r="P714" t="str">
        <f>TEXT(tbl_working_daily[[#This Row],[ActivityDate]],"dddd")</f>
        <v>Thursday</v>
      </c>
      <c r="Q714" t="str">
        <f>TEXT(tbl_working_daily[[#This Row],[ActivityDate]],"mmmm")</f>
        <v>April</v>
      </c>
      <c r="R714">
        <f t="shared" si="22"/>
        <v>229</v>
      </c>
      <c r="S714">
        <f t="shared" si="23"/>
        <v>993</v>
      </c>
      <c r="T714">
        <f>ROUND(tbl_working_daily[[#This Row],[SedentaryMinutes]]/60,2)</f>
        <v>12.73</v>
      </c>
      <c r="U714" t="str" cm="1">
        <f t="array" ref="U71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14" t="str" cm="1">
        <f t="array" ref="V714">_xlfn.IFS(tbl_working_daily[[#This Row],[VeryActiveMinutes]]&gt;=30,"Very Active",tbl_working_daily[[#This Row],[VeryActiveMinutes]]&gt;=15,"Moderately Active",tbl_working_daily[[#This Row],[VeryActiveMinutes]]&gt;=1,"Lightly Active",tbl_working_daily[[#This Row],[VeryActiveMinutes]]=0,"Sedentary")</f>
        <v>Sedentary</v>
      </c>
      <c r="W714" t="str">
        <f>tbl_working_daily[[#This Row],[Id]]&amp;"|"&amp;TEXT(tbl_working_daily[[#This Row],[ActivityDate]],"yyyy-mm-dd")</f>
        <v>2347167796|2016-04-28</v>
      </c>
      <c r="X714" t="b">
        <f>ISNUMBER(MATCH(tbl_working_daily[[#This Row],[LookupKey]],tbl_working_sleep[LookupKey],0))</f>
        <v>1</v>
      </c>
    </row>
    <row r="715" spans="1:24" x14ac:dyDescent="0.3">
      <c r="A715">
        <v>2347167796</v>
      </c>
      <c r="B715" s="1">
        <v>42489</v>
      </c>
      <c r="C715">
        <v>42</v>
      </c>
      <c r="D715">
        <v>2.9999999329447701E-2</v>
      </c>
      <c r="E715">
        <v>2.9999999329447701E-2</v>
      </c>
      <c r="F715">
        <v>0</v>
      </c>
      <c r="G715">
        <v>0</v>
      </c>
      <c r="H715">
        <v>0</v>
      </c>
      <c r="I715">
        <v>2.9999999329447701E-2</v>
      </c>
      <c r="J715">
        <v>0</v>
      </c>
      <c r="K715">
        <v>0</v>
      </c>
      <c r="L715">
        <v>0</v>
      </c>
      <c r="M715">
        <v>4</v>
      </c>
      <c r="N715">
        <v>2</v>
      </c>
      <c r="O715">
        <v>403</v>
      </c>
      <c r="P715" t="str">
        <f>TEXT(tbl_working_daily[[#This Row],[ActivityDate]],"dddd")</f>
        <v>Friday</v>
      </c>
      <c r="Q715" t="str">
        <f>TEXT(tbl_working_daily[[#This Row],[ActivityDate]],"mmmm")</f>
        <v>April</v>
      </c>
      <c r="R715">
        <f t="shared" si="22"/>
        <v>4</v>
      </c>
      <c r="S715">
        <f t="shared" si="23"/>
        <v>6</v>
      </c>
      <c r="T715">
        <f>ROUND(tbl_working_daily[[#This Row],[SedentaryMinutes]]/60,2)</f>
        <v>0.03</v>
      </c>
      <c r="U715" t="str" cm="1">
        <f t="array" ref="U71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15" t="str" cm="1">
        <f t="array" ref="V715">_xlfn.IFS(tbl_working_daily[[#This Row],[VeryActiveMinutes]]&gt;=30,"Very Active",tbl_working_daily[[#This Row],[VeryActiveMinutes]]&gt;=15,"Moderately Active",tbl_working_daily[[#This Row],[VeryActiveMinutes]]&gt;=1,"Lightly Active",tbl_working_daily[[#This Row],[VeryActiveMinutes]]=0,"Sedentary")</f>
        <v>Sedentary</v>
      </c>
      <c r="W715" t="str">
        <f>tbl_working_daily[[#This Row],[Id]]&amp;"|"&amp;TEXT(tbl_working_daily[[#This Row],[ActivityDate]],"yyyy-mm-dd")</f>
        <v>2347167796|2016-04-29</v>
      </c>
      <c r="X715" t="b">
        <f>ISNUMBER(MATCH(tbl_working_daily[[#This Row],[LookupKey]],tbl_working_sleep[LookupKey],0))</f>
        <v>1</v>
      </c>
    </row>
    <row r="716" spans="1:24" x14ac:dyDescent="0.3">
      <c r="A716">
        <v>2873212765</v>
      </c>
      <c r="B716" s="1">
        <v>42473</v>
      </c>
      <c r="C716">
        <v>7618</v>
      </c>
      <c r="D716">
        <v>5.1199998855590803</v>
      </c>
      <c r="E716">
        <v>5.1199998855590803</v>
      </c>
      <c r="F716">
        <v>0</v>
      </c>
      <c r="G716">
        <v>0</v>
      </c>
      <c r="H716">
        <v>0.21999999880790699</v>
      </c>
      <c r="I716">
        <v>4.8800001144409197</v>
      </c>
      <c r="J716">
        <v>1.9999999552965199E-2</v>
      </c>
      <c r="K716">
        <v>0</v>
      </c>
      <c r="L716">
        <v>8</v>
      </c>
      <c r="M716">
        <v>404</v>
      </c>
      <c r="N716">
        <v>1028</v>
      </c>
      <c r="O716">
        <v>2004</v>
      </c>
      <c r="P716" t="str">
        <f>TEXT(tbl_working_daily[[#This Row],[ActivityDate]],"dddd")</f>
        <v>Wednesday</v>
      </c>
      <c r="Q716" t="str">
        <f>TEXT(tbl_working_daily[[#This Row],[ActivityDate]],"mmmm")</f>
        <v>April</v>
      </c>
      <c r="R716">
        <f t="shared" si="22"/>
        <v>412</v>
      </c>
      <c r="S716">
        <f t="shared" si="23"/>
        <v>1440</v>
      </c>
      <c r="T716">
        <f>ROUND(tbl_working_daily[[#This Row],[SedentaryMinutes]]/60,2)</f>
        <v>17.13</v>
      </c>
      <c r="U716" t="str" cm="1">
        <f t="array" ref="U71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16" t="str" cm="1">
        <f t="array" ref="V716">_xlfn.IFS(tbl_working_daily[[#This Row],[VeryActiveMinutes]]&gt;=30,"Very Active",tbl_working_daily[[#This Row],[VeryActiveMinutes]]&gt;=15,"Moderately Active",tbl_working_daily[[#This Row],[VeryActiveMinutes]]&gt;=1,"Lightly Active",tbl_working_daily[[#This Row],[VeryActiveMinutes]]=0,"Sedentary")</f>
        <v>Sedentary</v>
      </c>
      <c r="W716" t="str">
        <f>tbl_working_daily[[#This Row],[Id]]&amp;"|"&amp;TEXT(tbl_working_daily[[#This Row],[ActivityDate]],"yyyy-mm-dd")</f>
        <v>2873212765|2016-04-13</v>
      </c>
      <c r="X716" t="b">
        <f>ISNUMBER(MATCH(tbl_working_daily[[#This Row],[LookupKey]],tbl_working_sleep[LookupKey],0))</f>
        <v>0</v>
      </c>
    </row>
    <row r="717" spans="1:24" x14ac:dyDescent="0.3">
      <c r="A717">
        <v>2873212765</v>
      </c>
      <c r="B717" s="1">
        <v>42474</v>
      </c>
      <c r="C717">
        <v>7910</v>
      </c>
      <c r="D717">
        <v>5.3200001716613796</v>
      </c>
      <c r="E717">
        <v>5.3200001716613796</v>
      </c>
      <c r="F717">
        <v>0</v>
      </c>
      <c r="G717">
        <v>0</v>
      </c>
      <c r="H717">
        <v>0</v>
      </c>
      <c r="I717">
        <v>5.3200001716613796</v>
      </c>
      <c r="J717">
        <v>0</v>
      </c>
      <c r="K717">
        <v>0</v>
      </c>
      <c r="L717">
        <v>0</v>
      </c>
      <c r="M717">
        <v>331</v>
      </c>
      <c r="N717">
        <v>1109</v>
      </c>
      <c r="O717">
        <v>1893</v>
      </c>
      <c r="P717" t="str">
        <f>TEXT(tbl_working_daily[[#This Row],[ActivityDate]],"dddd")</f>
        <v>Thursday</v>
      </c>
      <c r="Q717" t="str">
        <f>TEXT(tbl_working_daily[[#This Row],[ActivityDate]],"mmmm")</f>
        <v>April</v>
      </c>
      <c r="R717">
        <f t="shared" si="22"/>
        <v>331</v>
      </c>
      <c r="S717">
        <f t="shared" si="23"/>
        <v>1440</v>
      </c>
      <c r="T717">
        <f>ROUND(tbl_working_daily[[#This Row],[SedentaryMinutes]]/60,2)</f>
        <v>18.48</v>
      </c>
      <c r="U717" t="str" cm="1">
        <f t="array" ref="U71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17" t="str" cm="1">
        <f t="array" ref="V717">_xlfn.IFS(tbl_working_daily[[#This Row],[VeryActiveMinutes]]&gt;=30,"Very Active",tbl_working_daily[[#This Row],[VeryActiveMinutes]]&gt;=15,"Moderately Active",tbl_working_daily[[#This Row],[VeryActiveMinutes]]&gt;=1,"Lightly Active",tbl_working_daily[[#This Row],[VeryActiveMinutes]]=0,"Sedentary")</f>
        <v>Sedentary</v>
      </c>
      <c r="W717" t="str">
        <f>tbl_working_daily[[#This Row],[Id]]&amp;"|"&amp;TEXT(tbl_working_daily[[#This Row],[ActivityDate]],"yyyy-mm-dd")</f>
        <v>2873212765|2016-04-14</v>
      </c>
      <c r="X717" t="b">
        <f>ISNUMBER(MATCH(tbl_working_daily[[#This Row],[LookupKey]],tbl_working_sleep[LookupKey],0))</f>
        <v>0</v>
      </c>
    </row>
    <row r="718" spans="1:24" x14ac:dyDescent="0.3">
      <c r="A718">
        <v>2873212765</v>
      </c>
      <c r="B718" s="1">
        <v>42475</v>
      </c>
      <c r="C718">
        <v>8482</v>
      </c>
      <c r="D718">
        <v>5.6999998092651403</v>
      </c>
      <c r="E718">
        <v>5.6999998092651403</v>
      </c>
      <c r="F718">
        <v>0</v>
      </c>
      <c r="G718">
        <v>0</v>
      </c>
      <c r="H718">
        <v>0</v>
      </c>
      <c r="I718">
        <v>5.6900000572204599</v>
      </c>
      <c r="J718">
        <v>9.9999997764825804E-3</v>
      </c>
      <c r="K718">
        <v>0</v>
      </c>
      <c r="L718">
        <v>0</v>
      </c>
      <c r="M718">
        <v>448</v>
      </c>
      <c r="N718">
        <v>992</v>
      </c>
      <c r="O718">
        <v>2063</v>
      </c>
      <c r="P718" t="str">
        <f>TEXT(tbl_working_daily[[#This Row],[ActivityDate]],"dddd")</f>
        <v>Friday</v>
      </c>
      <c r="Q718" t="str">
        <f>TEXT(tbl_working_daily[[#This Row],[ActivityDate]],"mmmm")</f>
        <v>April</v>
      </c>
      <c r="R718">
        <f t="shared" si="22"/>
        <v>448</v>
      </c>
      <c r="S718">
        <f t="shared" si="23"/>
        <v>1440</v>
      </c>
      <c r="T718">
        <f>ROUND(tbl_working_daily[[#This Row],[SedentaryMinutes]]/60,2)</f>
        <v>16.53</v>
      </c>
      <c r="U718" t="str" cm="1">
        <f t="array" ref="U71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18" t="str" cm="1">
        <f t="array" ref="V718">_xlfn.IFS(tbl_working_daily[[#This Row],[VeryActiveMinutes]]&gt;=30,"Very Active",tbl_working_daily[[#This Row],[VeryActiveMinutes]]&gt;=15,"Moderately Active",tbl_working_daily[[#This Row],[VeryActiveMinutes]]&gt;=1,"Lightly Active",tbl_working_daily[[#This Row],[VeryActiveMinutes]]=0,"Sedentary")</f>
        <v>Sedentary</v>
      </c>
      <c r="W718" t="str">
        <f>tbl_working_daily[[#This Row],[Id]]&amp;"|"&amp;TEXT(tbl_working_daily[[#This Row],[ActivityDate]],"yyyy-mm-dd")</f>
        <v>2873212765|2016-04-15</v>
      </c>
      <c r="X718" t="b">
        <f>ISNUMBER(MATCH(tbl_working_daily[[#This Row],[LookupKey]],tbl_working_sleep[LookupKey],0))</f>
        <v>0</v>
      </c>
    </row>
    <row r="719" spans="1:24" x14ac:dyDescent="0.3">
      <c r="A719">
        <v>2873212765</v>
      </c>
      <c r="B719" s="1">
        <v>42476</v>
      </c>
      <c r="C719">
        <v>9685</v>
      </c>
      <c r="D719">
        <v>6.6500000953674299</v>
      </c>
      <c r="E719">
        <v>6.6500000953674299</v>
      </c>
      <c r="F719">
        <v>0</v>
      </c>
      <c r="G719">
        <v>3.1099998950958301</v>
      </c>
      <c r="H719">
        <v>1.9999999552965199E-2</v>
      </c>
      <c r="I719">
        <v>3.5099999904632599</v>
      </c>
      <c r="J719">
        <v>9.9999997764825804E-3</v>
      </c>
      <c r="K719">
        <v>47</v>
      </c>
      <c r="L719">
        <v>1</v>
      </c>
      <c r="M719">
        <v>305</v>
      </c>
      <c r="N719">
        <v>1087</v>
      </c>
      <c r="O719">
        <v>2148</v>
      </c>
      <c r="P719" t="str">
        <f>TEXT(tbl_working_daily[[#This Row],[ActivityDate]],"dddd")</f>
        <v>Saturday</v>
      </c>
      <c r="Q719" t="str">
        <f>TEXT(tbl_working_daily[[#This Row],[ActivityDate]],"mmmm")</f>
        <v>April</v>
      </c>
      <c r="R719">
        <f t="shared" si="22"/>
        <v>353</v>
      </c>
      <c r="S719">
        <f t="shared" si="23"/>
        <v>1440</v>
      </c>
      <c r="T719">
        <f>ROUND(tbl_working_daily[[#This Row],[SedentaryMinutes]]/60,2)</f>
        <v>18.12</v>
      </c>
      <c r="U719" t="str" cm="1">
        <f t="array" ref="U71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19" t="str" cm="1">
        <f t="array" ref="V719">_xlfn.IFS(tbl_working_daily[[#This Row],[VeryActiveMinutes]]&gt;=30,"Very Active",tbl_working_daily[[#This Row],[VeryActiveMinutes]]&gt;=15,"Moderately Active",tbl_working_daily[[#This Row],[VeryActiveMinutes]]&gt;=1,"Lightly Active",tbl_working_daily[[#This Row],[VeryActiveMinutes]]=0,"Sedentary")</f>
        <v>Very Active</v>
      </c>
      <c r="W719" t="str">
        <f>tbl_working_daily[[#This Row],[Id]]&amp;"|"&amp;TEXT(tbl_working_daily[[#This Row],[ActivityDate]],"yyyy-mm-dd")</f>
        <v>2873212765|2016-04-16</v>
      </c>
      <c r="X719" t="b">
        <f>ISNUMBER(MATCH(tbl_working_daily[[#This Row],[LookupKey]],tbl_working_sleep[LookupKey],0))</f>
        <v>0</v>
      </c>
    </row>
    <row r="720" spans="1:24" x14ac:dyDescent="0.3">
      <c r="A720">
        <v>2873212765</v>
      </c>
      <c r="B720" s="1">
        <v>42477</v>
      </c>
      <c r="C720">
        <v>2524</v>
      </c>
      <c r="D720">
        <v>1.70000004768372</v>
      </c>
      <c r="E720">
        <v>1.70000004768372</v>
      </c>
      <c r="F720">
        <v>0</v>
      </c>
      <c r="G720">
        <v>0</v>
      </c>
      <c r="H720">
        <v>0.34999999403953602</v>
      </c>
      <c r="I720">
        <v>1.3400000333786</v>
      </c>
      <c r="J720">
        <v>0</v>
      </c>
      <c r="K720">
        <v>0</v>
      </c>
      <c r="L720">
        <v>8</v>
      </c>
      <c r="M720">
        <v>160</v>
      </c>
      <c r="N720">
        <v>1272</v>
      </c>
      <c r="O720">
        <v>1529</v>
      </c>
      <c r="P720" t="str">
        <f>TEXT(tbl_working_daily[[#This Row],[ActivityDate]],"dddd")</f>
        <v>Sunday</v>
      </c>
      <c r="Q720" t="str">
        <f>TEXT(tbl_working_daily[[#This Row],[ActivityDate]],"mmmm")</f>
        <v>April</v>
      </c>
      <c r="R720">
        <f t="shared" si="22"/>
        <v>168</v>
      </c>
      <c r="S720">
        <f t="shared" si="23"/>
        <v>1440</v>
      </c>
      <c r="T720">
        <f>ROUND(tbl_working_daily[[#This Row],[SedentaryMinutes]]/60,2)</f>
        <v>21.2</v>
      </c>
      <c r="U720" t="str" cm="1">
        <f t="array" ref="U72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20" t="str" cm="1">
        <f t="array" ref="V720">_xlfn.IFS(tbl_working_daily[[#This Row],[VeryActiveMinutes]]&gt;=30,"Very Active",tbl_working_daily[[#This Row],[VeryActiveMinutes]]&gt;=15,"Moderately Active",tbl_working_daily[[#This Row],[VeryActiveMinutes]]&gt;=1,"Lightly Active",tbl_working_daily[[#This Row],[VeryActiveMinutes]]=0,"Sedentary")</f>
        <v>Sedentary</v>
      </c>
      <c r="W720" t="str">
        <f>tbl_working_daily[[#This Row],[Id]]&amp;"|"&amp;TEXT(tbl_working_daily[[#This Row],[ActivityDate]],"yyyy-mm-dd")</f>
        <v>2873212765|2016-04-17</v>
      </c>
      <c r="X720" t="b">
        <f>ISNUMBER(MATCH(tbl_working_daily[[#This Row],[LookupKey]],tbl_working_sleep[LookupKey],0))</f>
        <v>0</v>
      </c>
    </row>
    <row r="721" spans="1:24" x14ac:dyDescent="0.3">
      <c r="A721">
        <v>2873212765</v>
      </c>
      <c r="B721" s="1">
        <v>42478</v>
      </c>
      <c r="C721">
        <v>7762</v>
      </c>
      <c r="D721">
        <v>5.2399997711181596</v>
      </c>
      <c r="E721">
        <v>5.2399997711181596</v>
      </c>
      <c r="F721">
        <v>0</v>
      </c>
      <c r="G721">
        <v>7.0000000298023196E-2</v>
      </c>
      <c r="H721">
        <v>0.28000000119209301</v>
      </c>
      <c r="I721">
        <v>4.8899998664856001</v>
      </c>
      <c r="J721">
        <v>0</v>
      </c>
      <c r="K721">
        <v>1</v>
      </c>
      <c r="L721">
        <v>6</v>
      </c>
      <c r="M721">
        <v>311</v>
      </c>
      <c r="N721">
        <v>1122</v>
      </c>
      <c r="O721">
        <v>1890</v>
      </c>
      <c r="P721" t="str">
        <f>TEXT(tbl_working_daily[[#This Row],[ActivityDate]],"dddd")</f>
        <v>Monday</v>
      </c>
      <c r="Q721" t="str">
        <f>TEXT(tbl_working_daily[[#This Row],[ActivityDate]],"mmmm")</f>
        <v>April</v>
      </c>
      <c r="R721">
        <f t="shared" si="22"/>
        <v>318</v>
      </c>
      <c r="S721">
        <f t="shared" si="23"/>
        <v>1440</v>
      </c>
      <c r="T721">
        <f>ROUND(tbl_working_daily[[#This Row],[SedentaryMinutes]]/60,2)</f>
        <v>18.7</v>
      </c>
      <c r="U721" t="str" cm="1">
        <f t="array" ref="U72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21" t="str" cm="1">
        <f t="array" ref="V721">_xlfn.IFS(tbl_working_daily[[#This Row],[VeryActiveMinutes]]&gt;=30,"Very Active",tbl_working_daily[[#This Row],[VeryActiveMinutes]]&gt;=15,"Moderately Active",tbl_working_daily[[#This Row],[VeryActiveMinutes]]&gt;=1,"Lightly Active",tbl_working_daily[[#This Row],[VeryActiveMinutes]]=0,"Sedentary")</f>
        <v>Lightly Active</v>
      </c>
      <c r="W721" t="str">
        <f>tbl_working_daily[[#This Row],[Id]]&amp;"|"&amp;TEXT(tbl_working_daily[[#This Row],[ActivityDate]],"yyyy-mm-dd")</f>
        <v>2873212765|2016-04-18</v>
      </c>
      <c r="X721" t="b">
        <f>ISNUMBER(MATCH(tbl_working_daily[[#This Row],[LookupKey]],tbl_working_sleep[LookupKey],0))</f>
        <v>0</v>
      </c>
    </row>
    <row r="722" spans="1:24" x14ac:dyDescent="0.3">
      <c r="A722">
        <v>2873212765</v>
      </c>
      <c r="B722" s="1">
        <v>42479</v>
      </c>
      <c r="C722">
        <v>7948</v>
      </c>
      <c r="D722">
        <v>5.3699998855590803</v>
      </c>
      <c r="E722">
        <v>5.3699998855590803</v>
      </c>
      <c r="F722">
        <v>0</v>
      </c>
      <c r="G722">
        <v>0</v>
      </c>
      <c r="H722">
        <v>0</v>
      </c>
      <c r="I722">
        <v>5.3600001335143999</v>
      </c>
      <c r="J722">
        <v>0</v>
      </c>
      <c r="K722">
        <v>0</v>
      </c>
      <c r="L722">
        <v>0</v>
      </c>
      <c r="M722">
        <v>389</v>
      </c>
      <c r="N722">
        <v>1051</v>
      </c>
      <c r="O722">
        <v>1956</v>
      </c>
      <c r="P722" t="str">
        <f>TEXT(tbl_working_daily[[#This Row],[ActivityDate]],"dddd")</f>
        <v>Tuesday</v>
      </c>
      <c r="Q722" t="str">
        <f>TEXT(tbl_working_daily[[#This Row],[ActivityDate]],"mmmm")</f>
        <v>April</v>
      </c>
      <c r="R722">
        <f t="shared" si="22"/>
        <v>389</v>
      </c>
      <c r="S722">
        <f t="shared" si="23"/>
        <v>1440</v>
      </c>
      <c r="T722">
        <f>ROUND(tbl_working_daily[[#This Row],[SedentaryMinutes]]/60,2)</f>
        <v>17.52</v>
      </c>
      <c r="U722" t="str" cm="1">
        <f t="array" ref="U72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22" t="str" cm="1">
        <f t="array" ref="V722">_xlfn.IFS(tbl_working_daily[[#This Row],[VeryActiveMinutes]]&gt;=30,"Very Active",tbl_working_daily[[#This Row],[VeryActiveMinutes]]&gt;=15,"Moderately Active",tbl_working_daily[[#This Row],[VeryActiveMinutes]]&gt;=1,"Lightly Active",tbl_working_daily[[#This Row],[VeryActiveMinutes]]=0,"Sedentary")</f>
        <v>Sedentary</v>
      </c>
      <c r="W722" t="str">
        <f>tbl_working_daily[[#This Row],[Id]]&amp;"|"&amp;TEXT(tbl_working_daily[[#This Row],[ActivityDate]],"yyyy-mm-dd")</f>
        <v>2873212765|2016-04-19</v>
      </c>
      <c r="X722" t="b">
        <f>ISNUMBER(MATCH(tbl_working_daily[[#This Row],[LookupKey]],tbl_working_sleep[LookupKey],0))</f>
        <v>0</v>
      </c>
    </row>
    <row r="723" spans="1:24" x14ac:dyDescent="0.3">
      <c r="A723">
        <v>2873212765</v>
      </c>
      <c r="B723" s="1">
        <v>42480</v>
      </c>
      <c r="C723">
        <v>9202</v>
      </c>
      <c r="D723">
        <v>6.3000001907348597</v>
      </c>
      <c r="E723">
        <v>6.3000001907348597</v>
      </c>
      <c r="F723">
        <v>0</v>
      </c>
      <c r="G723">
        <v>1.5099999904632599</v>
      </c>
      <c r="H723">
        <v>0.119999997317791</v>
      </c>
      <c r="I723">
        <v>4.6599998474121103</v>
      </c>
      <c r="J723">
        <v>9.9999997764825804E-3</v>
      </c>
      <c r="K723">
        <v>22</v>
      </c>
      <c r="L723">
        <v>5</v>
      </c>
      <c r="M723">
        <v>378</v>
      </c>
      <c r="N723">
        <v>1035</v>
      </c>
      <c r="O723">
        <v>2094</v>
      </c>
      <c r="P723" t="str">
        <f>TEXT(tbl_working_daily[[#This Row],[ActivityDate]],"dddd")</f>
        <v>Wednesday</v>
      </c>
      <c r="Q723" t="str">
        <f>TEXT(tbl_working_daily[[#This Row],[ActivityDate]],"mmmm")</f>
        <v>April</v>
      </c>
      <c r="R723">
        <f t="shared" si="22"/>
        <v>405</v>
      </c>
      <c r="S723">
        <f t="shared" si="23"/>
        <v>1440</v>
      </c>
      <c r="T723">
        <f>ROUND(tbl_working_daily[[#This Row],[SedentaryMinutes]]/60,2)</f>
        <v>17.25</v>
      </c>
      <c r="U723" t="str" cm="1">
        <f t="array" ref="U72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23" t="str" cm="1">
        <f t="array" ref="V723">_xlfn.IFS(tbl_working_daily[[#This Row],[VeryActiveMinutes]]&gt;=30,"Very Active",tbl_working_daily[[#This Row],[VeryActiveMinutes]]&gt;=15,"Moderately Active",tbl_working_daily[[#This Row],[VeryActiveMinutes]]&gt;=1,"Lightly Active",tbl_working_daily[[#This Row],[VeryActiveMinutes]]=0,"Sedentary")</f>
        <v>Moderately Active</v>
      </c>
      <c r="W723" t="str">
        <f>tbl_working_daily[[#This Row],[Id]]&amp;"|"&amp;TEXT(tbl_working_daily[[#This Row],[ActivityDate]],"yyyy-mm-dd")</f>
        <v>2873212765|2016-04-20</v>
      </c>
      <c r="X723" t="b">
        <f>ISNUMBER(MATCH(tbl_working_daily[[#This Row],[LookupKey]],tbl_working_sleep[LookupKey],0))</f>
        <v>0</v>
      </c>
    </row>
    <row r="724" spans="1:24" x14ac:dyDescent="0.3">
      <c r="A724">
        <v>2873212765</v>
      </c>
      <c r="B724" s="1">
        <v>42481</v>
      </c>
      <c r="C724">
        <v>8859</v>
      </c>
      <c r="D724">
        <v>5.9800000190734899</v>
      </c>
      <c r="E724">
        <v>5.9800000190734899</v>
      </c>
      <c r="F724">
        <v>0</v>
      </c>
      <c r="G724">
        <v>0.129999995231628</v>
      </c>
      <c r="H724">
        <v>0.37000000476837203</v>
      </c>
      <c r="I724">
        <v>5.4699997901916504</v>
      </c>
      <c r="J724">
        <v>9.9999997764825804E-3</v>
      </c>
      <c r="K724">
        <v>2</v>
      </c>
      <c r="L724">
        <v>10</v>
      </c>
      <c r="M724">
        <v>371</v>
      </c>
      <c r="N724">
        <v>1057</v>
      </c>
      <c r="O724">
        <v>1970</v>
      </c>
      <c r="P724" t="str">
        <f>TEXT(tbl_working_daily[[#This Row],[ActivityDate]],"dddd")</f>
        <v>Thursday</v>
      </c>
      <c r="Q724" t="str">
        <f>TEXT(tbl_working_daily[[#This Row],[ActivityDate]],"mmmm")</f>
        <v>April</v>
      </c>
      <c r="R724">
        <f t="shared" si="22"/>
        <v>383</v>
      </c>
      <c r="S724">
        <f t="shared" si="23"/>
        <v>1440</v>
      </c>
      <c r="T724">
        <f>ROUND(tbl_working_daily[[#This Row],[SedentaryMinutes]]/60,2)</f>
        <v>17.62</v>
      </c>
      <c r="U724" t="str" cm="1">
        <f t="array" ref="U72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24" t="str" cm="1">
        <f t="array" ref="V724">_xlfn.IFS(tbl_working_daily[[#This Row],[VeryActiveMinutes]]&gt;=30,"Very Active",tbl_working_daily[[#This Row],[VeryActiveMinutes]]&gt;=15,"Moderately Active",tbl_working_daily[[#This Row],[VeryActiveMinutes]]&gt;=1,"Lightly Active",tbl_working_daily[[#This Row],[VeryActiveMinutes]]=0,"Sedentary")</f>
        <v>Lightly Active</v>
      </c>
      <c r="W724" t="str">
        <f>tbl_working_daily[[#This Row],[Id]]&amp;"|"&amp;TEXT(tbl_working_daily[[#This Row],[ActivityDate]],"yyyy-mm-dd")</f>
        <v>2873212765|2016-04-21</v>
      </c>
      <c r="X724" t="b">
        <f>ISNUMBER(MATCH(tbl_working_daily[[#This Row],[LookupKey]],tbl_working_sleep[LookupKey],0))</f>
        <v>0</v>
      </c>
    </row>
    <row r="725" spans="1:24" x14ac:dyDescent="0.3">
      <c r="A725">
        <v>2873212765</v>
      </c>
      <c r="B725" s="1">
        <v>42482</v>
      </c>
      <c r="C725">
        <v>7286</v>
      </c>
      <c r="D725">
        <v>4.9000000953674299</v>
      </c>
      <c r="E725">
        <v>4.9000000953674299</v>
      </c>
      <c r="F725">
        <v>0</v>
      </c>
      <c r="G725">
        <v>0.46000000834464999</v>
      </c>
      <c r="H725">
        <v>0</v>
      </c>
      <c r="I725">
        <v>4.4200000762939498</v>
      </c>
      <c r="J725">
        <v>1.9999999552965199E-2</v>
      </c>
      <c r="K725">
        <v>46</v>
      </c>
      <c r="L725">
        <v>0</v>
      </c>
      <c r="M725">
        <v>366</v>
      </c>
      <c r="N725">
        <v>1028</v>
      </c>
      <c r="O725">
        <v>2241</v>
      </c>
      <c r="P725" t="str">
        <f>TEXT(tbl_working_daily[[#This Row],[ActivityDate]],"dddd")</f>
        <v>Friday</v>
      </c>
      <c r="Q725" t="str">
        <f>TEXT(tbl_working_daily[[#This Row],[ActivityDate]],"mmmm")</f>
        <v>April</v>
      </c>
      <c r="R725">
        <f t="shared" si="22"/>
        <v>412</v>
      </c>
      <c r="S725">
        <f t="shared" si="23"/>
        <v>1440</v>
      </c>
      <c r="T725">
        <f>ROUND(tbl_working_daily[[#This Row],[SedentaryMinutes]]/60,2)</f>
        <v>17.13</v>
      </c>
      <c r="U725" t="str" cm="1">
        <f t="array" ref="U72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25" t="str" cm="1">
        <f t="array" ref="V725">_xlfn.IFS(tbl_working_daily[[#This Row],[VeryActiveMinutes]]&gt;=30,"Very Active",tbl_working_daily[[#This Row],[VeryActiveMinutes]]&gt;=15,"Moderately Active",tbl_working_daily[[#This Row],[VeryActiveMinutes]]&gt;=1,"Lightly Active",tbl_working_daily[[#This Row],[VeryActiveMinutes]]=0,"Sedentary")</f>
        <v>Very Active</v>
      </c>
      <c r="W725" t="str">
        <f>tbl_working_daily[[#This Row],[Id]]&amp;"|"&amp;TEXT(tbl_working_daily[[#This Row],[ActivityDate]],"yyyy-mm-dd")</f>
        <v>2873212765|2016-04-22</v>
      </c>
      <c r="X725" t="b">
        <f>ISNUMBER(MATCH(tbl_working_daily[[#This Row],[LookupKey]],tbl_working_sleep[LookupKey],0))</f>
        <v>0</v>
      </c>
    </row>
    <row r="726" spans="1:24" x14ac:dyDescent="0.3">
      <c r="A726">
        <v>2873212765</v>
      </c>
      <c r="B726" s="1">
        <v>42483</v>
      </c>
      <c r="C726">
        <v>9317</v>
      </c>
      <c r="D726">
        <v>6.3499999046325701</v>
      </c>
      <c r="E726">
        <v>6.3499999046325701</v>
      </c>
      <c r="F726">
        <v>0</v>
      </c>
      <c r="G726">
        <v>2.0899999141693102</v>
      </c>
      <c r="H726">
        <v>0.230000004172325</v>
      </c>
      <c r="I726">
        <v>4.0199999809265101</v>
      </c>
      <c r="J726">
        <v>9.9999997764825804E-3</v>
      </c>
      <c r="K726">
        <v>28</v>
      </c>
      <c r="L726">
        <v>5</v>
      </c>
      <c r="M726">
        <v>330</v>
      </c>
      <c r="N726">
        <v>1077</v>
      </c>
      <c r="O726">
        <v>2021</v>
      </c>
      <c r="P726" t="str">
        <f>TEXT(tbl_working_daily[[#This Row],[ActivityDate]],"dddd")</f>
        <v>Saturday</v>
      </c>
      <c r="Q726" t="str">
        <f>TEXT(tbl_working_daily[[#This Row],[ActivityDate]],"mmmm")</f>
        <v>April</v>
      </c>
      <c r="R726">
        <f t="shared" si="22"/>
        <v>363</v>
      </c>
      <c r="S726">
        <f t="shared" si="23"/>
        <v>1440</v>
      </c>
      <c r="T726">
        <f>ROUND(tbl_working_daily[[#This Row],[SedentaryMinutes]]/60,2)</f>
        <v>17.95</v>
      </c>
      <c r="U726" t="str" cm="1">
        <f t="array" ref="U72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26" t="str" cm="1">
        <f t="array" ref="V726">_xlfn.IFS(tbl_working_daily[[#This Row],[VeryActiveMinutes]]&gt;=30,"Very Active",tbl_working_daily[[#This Row],[VeryActiveMinutes]]&gt;=15,"Moderately Active",tbl_working_daily[[#This Row],[VeryActiveMinutes]]&gt;=1,"Lightly Active",tbl_working_daily[[#This Row],[VeryActiveMinutes]]=0,"Sedentary")</f>
        <v>Moderately Active</v>
      </c>
      <c r="W726" t="str">
        <f>tbl_working_daily[[#This Row],[Id]]&amp;"|"&amp;TEXT(tbl_working_daily[[#This Row],[ActivityDate]],"yyyy-mm-dd")</f>
        <v>2873212765|2016-04-23</v>
      </c>
      <c r="X726" t="b">
        <f>ISNUMBER(MATCH(tbl_working_daily[[#This Row],[LookupKey]],tbl_working_sleep[LookupKey],0))</f>
        <v>0</v>
      </c>
    </row>
    <row r="727" spans="1:24" x14ac:dyDescent="0.3">
      <c r="A727">
        <v>2873212765</v>
      </c>
      <c r="B727" s="1">
        <v>42484</v>
      </c>
      <c r="C727">
        <v>6873</v>
      </c>
      <c r="D727">
        <v>4.6799998283386204</v>
      </c>
      <c r="E727">
        <v>4.6799998283386204</v>
      </c>
      <c r="F727">
        <v>0</v>
      </c>
      <c r="G727">
        <v>3</v>
      </c>
      <c r="H727">
        <v>5.9999998658895499E-2</v>
      </c>
      <c r="I727">
        <v>1.62000000476837</v>
      </c>
      <c r="J727">
        <v>0</v>
      </c>
      <c r="K727">
        <v>46</v>
      </c>
      <c r="L727">
        <v>1</v>
      </c>
      <c r="M727">
        <v>190</v>
      </c>
      <c r="N727">
        <v>1203</v>
      </c>
      <c r="O727">
        <v>1898</v>
      </c>
      <c r="P727" t="str">
        <f>TEXT(tbl_working_daily[[#This Row],[ActivityDate]],"dddd")</f>
        <v>Sunday</v>
      </c>
      <c r="Q727" t="str">
        <f>TEXT(tbl_working_daily[[#This Row],[ActivityDate]],"mmmm")</f>
        <v>April</v>
      </c>
      <c r="R727">
        <f t="shared" si="22"/>
        <v>237</v>
      </c>
      <c r="S727">
        <f t="shared" si="23"/>
        <v>1440</v>
      </c>
      <c r="T727">
        <f>ROUND(tbl_working_daily[[#This Row],[SedentaryMinutes]]/60,2)</f>
        <v>20.05</v>
      </c>
      <c r="U727" t="str" cm="1">
        <f t="array" ref="U72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27" t="str" cm="1">
        <f t="array" ref="V727">_xlfn.IFS(tbl_working_daily[[#This Row],[VeryActiveMinutes]]&gt;=30,"Very Active",tbl_working_daily[[#This Row],[VeryActiveMinutes]]&gt;=15,"Moderately Active",tbl_working_daily[[#This Row],[VeryActiveMinutes]]&gt;=1,"Lightly Active",tbl_working_daily[[#This Row],[VeryActiveMinutes]]=0,"Sedentary")</f>
        <v>Very Active</v>
      </c>
      <c r="W727" t="str">
        <f>tbl_working_daily[[#This Row],[Id]]&amp;"|"&amp;TEXT(tbl_working_daily[[#This Row],[ActivityDate]],"yyyy-mm-dd")</f>
        <v>2873212765|2016-04-24</v>
      </c>
      <c r="X727" t="b">
        <f>ISNUMBER(MATCH(tbl_working_daily[[#This Row],[LookupKey]],tbl_working_sleep[LookupKey],0))</f>
        <v>0</v>
      </c>
    </row>
    <row r="728" spans="1:24" x14ac:dyDescent="0.3">
      <c r="A728">
        <v>2873212765</v>
      </c>
      <c r="B728" s="1">
        <v>42485</v>
      </c>
      <c r="C728">
        <v>7373</v>
      </c>
      <c r="D728">
        <v>4.9499998092651403</v>
      </c>
      <c r="E728">
        <v>4.9499998092651403</v>
      </c>
      <c r="F728">
        <v>0</v>
      </c>
      <c r="G728">
        <v>0</v>
      </c>
      <c r="H728">
        <v>0</v>
      </c>
      <c r="I728">
        <v>4.9499998092651403</v>
      </c>
      <c r="J728">
        <v>0</v>
      </c>
      <c r="K728">
        <v>0</v>
      </c>
      <c r="L728">
        <v>0</v>
      </c>
      <c r="M728">
        <v>359</v>
      </c>
      <c r="N728">
        <v>1081</v>
      </c>
      <c r="O728">
        <v>1907</v>
      </c>
      <c r="P728" t="str">
        <f>TEXT(tbl_working_daily[[#This Row],[ActivityDate]],"dddd")</f>
        <v>Monday</v>
      </c>
      <c r="Q728" t="str">
        <f>TEXT(tbl_working_daily[[#This Row],[ActivityDate]],"mmmm")</f>
        <v>April</v>
      </c>
      <c r="R728">
        <f t="shared" si="22"/>
        <v>359</v>
      </c>
      <c r="S728">
        <f t="shared" si="23"/>
        <v>1440</v>
      </c>
      <c r="T728">
        <f>ROUND(tbl_working_daily[[#This Row],[SedentaryMinutes]]/60,2)</f>
        <v>18.02</v>
      </c>
      <c r="U728" t="str" cm="1">
        <f t="array" ref="U72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28" t="str" cm="1">
        <f t="array" ref="V728">_xlfn.IFS(tbl_working_daily[[#This Row],[VeryActiveMinutes]]&gt;=30,"Very Active",tbl_working_daily[[#This Row],[VeryActiveMinutes]]&gt;=15,"Moderately Active",tbl_working_daily[[#This Row],[VeryActiveMinutes]]&gt;=1,"Lightly Active",tbl_working_daily[[#This Row],[VeryActiveMinutes]]=0,"Sedentary")</f>
        <v>Sedentary</v>
      </c>
      <c r="W728" t="str">
        <f>tbl_working_daily[[#This Row],[Id]]&amp;"|"&amp;TEXT(tbl_working_daily[[#This Row],[ActivityDate]],"yyyy-mm-dd")</f>
        <v>2873212765|2016-04-25</v>
      </c>
      <c r="X728" t="b">
        <f>ISNUMBER(MATCH(tbl_working_daily[[#This Row],[LookupKey]],tbl_working_sleep[LookupKey],0))</f>
        <v>0</v>
      </c>
    </row>
    <row r="729" spans="1:24" x14ac:dyDescent="0.3">
      <c r="A729">
        <v>2873212765</v>
      </c>
      <c r="B729" s="1">
        <v>42486</v>
      </c>
      <c r="C729">
        <v>8242</v>
      </c>
      <c r="D729">
        <v>5.53999996185303</v>
      </c>
      <c r="E729">
        <v>5.53999996185303</v>
      </c>
      <c r="F729">
        <v>0</v>
      </c>
      <c r="G729">
        <v>0.119999997317791</v>
      </c>
      <c r="H729">
        <v>0.18000000715255701</v>
      </c>
      <c r="I729">
        <v>5.2399997711181596</v>
      </c>
      <c r="J729">
        <v>0</v>
      </c>
      <c r="K729">
        <v>2</v>
      </c>
      <c r="L729">
        <v>5</v>
      </c>
      <c r="M729">
        <v>309</v>
      </c>
      <c r="N729">
        <v>1124</v>
      </c>
      <c r="O729">
        <v>1882</v>
      </c>
      <c r="P729" t="str">
        <f>TEXT(tbl_working_daily[[#This Row],[ActivityDate]],"dddd")</f>
        <v>Tuesday</v>
      </c>
      <c r="Q729" t="str">
        <f>TEXT(tbl_working_daily[[#This Row],[ActivityDate]],"mmmm")</f>
        <v>April</v>
      </c>
      <c r="R729">
        <f t="shared" si="22"/>
        <v>316</v>
      </c>
      <c r="S729">
        <f t="shared" si="23"/>
        <v>1440</v>
      </c>
      <c r="T729">
        <f>ROUND(tbl_working_daily[[#This Row],[SedentaryMinutes]]/60,2)</f>
        <v>18.73</v>
      </c>
      <c r="U729" t="str" cm="1">
        <f t="array" ref="U72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29" t="str" cm="1">
        <f t="array" ref="V729">_xlfn.IFS(tbl_working_daily[[#This Row],[VeryActiveMinutes]]&gt;=30,"Very Active",tbl_working_daily[[#This Row],[VeryActiveMinutes]]&gt;=15,"Moderately Active",tbl_working_daily[[#This Row],[VeryActiveMinutes]]&gt;=1,"Lightly Active",tbl_working_daily[[#This Row],[VeryActiveMinutes]]=0,"Sedentary")</f>
        <v>Lightly Active</v>
      </c>
      <c r="W729" t="str">
        <f>tbl_working_daily[[#This Row],[Id]]&amp;"|"&amp;TEXT(tbl_working_daily[[#This Row],[ActivityDate]],"yyyy-mm-dd")</f>
        <v>2873212765|2016-04-26</v>
      </c>
      <c r="X729" t="b">
        <f>ISNUMBER(MATCH(tbl_working_daily[[#This Row],[LookupKey]],tbl_working_sleep[LookupKey],0))</f>
        <v>0</v>
      </c>
    </row>
    <row r="730" spans="1:24" x14ac:dyDescent="0.3">
      <c r="A730">
        <v>2873212765</v>
      </c>
      <c r="B730" s="1">
        <v>42487</v>
      </c>
      <c r="C730">
        <v>3516</v>
      </c>
      <c r="D730">
        <v>2.3599998950958301</v>
      </c>
      <c r="E730">
        <v>2.3599998950958301</v>
      </c>
      <c r="F730">
        <v>0</v>
      </c>
      <c r="G730">
        <v>0</v>
      </c>
      <c r="H730">
        <v>0</v>
      </c>
      <c r="I730">
        <v>2.3599998950958301</v>
      </c>
      <c r="J730">
        <v>0</v>
      </c>
      <c r="K730">
        <v>46</v>
      </c>
      <c r="L730">
        <v>0</v>
      </c>
      <c r="M730">
        <v>197</v>
      </c>
      <c r="N730">
        <v>1197</v>
      </c>
      <c r="O730">
        <v>1966</v>
      </c>
      <c r="P730" t="str">
        <f>TEXT(tbl_working_daily[[#This Row],[ActivityDate]],"dddd")</f>
        <v>Wednesday</v>
      </c>
      <c r="Q730" t="str">
        <f>TEXT(tbl_working_daily[[#This Row],[ActivityDate]],"mmmm")</f>
        <v>April</v>
      </c>
      <c r="R730">
        <f t="shared" si="22"/>
        <v>243</v>
      </c>
      <c r="S730">
        <f t="shared" si="23"/>
        <v>1440</v>
      </c>
      <c r="T730">
        <f>ROUND(tbl_working_daily[[#This Row],[SedentaryMinutes]]/60,2)</f>
        <v>19.95</v>
      </c>
      <c r="U730" t="str" cm="1">
        <f t="array" ref="U73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30" t="str" cm="1">
        <f t="array" ref="V730">_xlfn.IFS(tbl_working_daily[[#This Row],[VeryActiveMinutes]]&gt;=30,"Very Active",tbl_working_daily[[#This Row],[VeryActiveMinutes]]&gt;=15,"Moderately Active",tbl_working_daily[[#This Row],[VeryActiveMinutes]]&gt;=1,"Lightly Active",tbl_working_daily[[#This Row],[VeryActiveMinutes]]=0,"Sedentary")</f>
        <v>Very Active</v>
      </c>
      <c r="W730" t="str">
        <f>tbl_working_daily[[#This Row],[Id]]&amp;"|"&amp;TEXT(tbl_working_daily[[#This Row],[ActivityDate]],"yyyy-mm-dd")</f>
        <v>2873212765|2016-04-27</v>
      </c>
      <c r="X730" t="b">
        <f>ISNUMBER(MATCH(tbl_working_daily[[#This Row],[LookupKey]],tbl_working_sleep[LookupKey],0))</f>
        <v>0</v>
      </c>
    </row>
    <row r="731" spans="1:24" x14ac:dyDescent="0.3">
      <c r="A731">
        <v>2873212765</v>
      </c>
      <c r="B731" s="1">
        <v>42488</v>
      </c>
      <c r="C731">
        <v>7913</v>
      </c>
      <c r="D731">
        <v>5.4099998474121103</v>
      </c>
      <c r="E731">
        <v>5.4099998474121103</v>
      </c>
      <c r="F731">
        <v>0</v>
      </c>
      <c r="G731">
        <v>2.1600000858306898</v>
      </c>
      <c r="H731">
        <v>0.34000000357627902</v>
      </c>
      <c r="I731">
        <v>2.9100000858306898</v>
      </c>
      <c r="J731">
        <v>0</v>
      </c>
      <c r="K731">
        <v>28</v>
      </c>
      <c r="L731">
        <v>7</v>
      </c>
      <c r="M731">
        <v>213</v>
      </c>
      <c r="N731">
        <v>1192</v>
      </c>
      <c r="O731">
        <v>1835</v>
      </c>
      <c r="P731" t="str">
        <f>TEXT(tbl_working_daily[[#This Row],[ActivityDate]],"dddd")</f>
        <v>Thursday</v>
      </c>
      <c r="Q731" t="str">
        <f>TEXT(tbl_working_daily[[#This Row],[ActivityDate]],"mmmm")</f>
        <v>April</v>
      </c>
      <c r="R731">
        <f t="shared" si="22"/>
        <v>248</v>
      </c>
      <c r="S731">
        <f t="shared" si="23"/>
        <v>1440</v>
      </c>
      <c r="T731">
        <f>ROUND(tbl_working_daily[[#This Row],[SedentaryMinutes]]/60,2)</f>
        <v>19.87</v>
      </c>
      <c r="U731" t="str" cm="1">
        <f t="array" ref="U73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31" t="str" cm="1">
        <f t="array" ref="V731">_xlfn.IFS(tbl_working_daily[[#This Row],[VeryActiveMinutes]]&gt;=30,"Very Active",tbl_working_daily[[#This Row],[VeryActiveMinutes]]&gt;=15,"Moderately Active",tbl_working_daily[[#This Row],[VeryActiveMinutes]]&gt;=1,"Lightly Active",tbl_working_daily[[#This Row],[VeryActiveMinutes]]=0,"Sedentary")</f>
        <v>Moderately Active</v>
      </c>
      <c r="W731" t="str">
        <f>tbl_working_daily[[#This Row],[Id]]&amp;"|"&amp;TEXT(tbl_working_daily[[#This Row],[ActivityDate]],"yyyy-mm-dd")</f>
        <v>2873212765|2016-04-28</v>
      </c>
      <c r="X731" t="b">
        <f>ISNUMBER(MATCH(tbl_working_daily[[#This Row],[LookupKey]],tbl_working_sleep[LookupKey],0))</f>
        <v>0</v>
      </c>
    </row>
    <row r="732" spans="1:24" x14ac:dyDescent="0.3">
      <c r="A732">
        <v>2873212765</v>
      </c>
      <c r="B732" s="1">
        <v>42489</v>
      </c>
      <c r="C732">
        <v>7365</v>
      </c>
      <c r="D732">
        <v>4.9499998092651403</v>
      </c>
      <c r="E732">
        <v>4.9499998092651403</v>
      </c>
      <c r="F732">
        <v>0</v>
      </c>
      <c r="G732">
        <v>1.3600000143051101</v>
      </c>
      <c r="H732">
        <v>1.4099999666214</v>
      </c>
      <c r="I732">
        <v>2.1800000667571999</v>
      </c>
      <c r="J732">
        <v>0</v>
      </c>
      <c r="K732">
        <v>20</v>
      </c>
      <c r="L732">
        <v>23</v>
      </c>
      <c r="M732">
        <v>206</v>
      </c>
      <c r="N732">
        <v>1191</v>
      </c>
      <c r="O732">
        <v>1780</v>
      </c>
      <c r="P732" t="str">
        <f>TEXT(tbl_working_daily[[#This Row],[ActivityDate]],"dddd")</f>
        <v>Friday</v>
      </c>
      <c r="Q732" t="str">
        <f>TEXT(tbl_working_daily[[#This Row],[ActivityDate]],"mmmm")</f>
        <v>April</v>
      </c>
      <c r="R732">
        <f t="shared" si="22"/>
        <v>249</v>
      </c>
      <c r="S732">
        <f t="shared" si="23"/>
        <v>1440</v>
      </c>
      <c r="T732">
        <f>ROUND(tbl_working_daily[[#This Row],[SedentaryMinutes]]/60,2)</f>
        <v>19.850000000000001</v>
      </c>
      <c r="U732" t="str" cm="1">
        <f t="array" ref="U73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32" t="str" cm="1">
        <f t="array" ref="V732">_xlfn.IFS(tbl_working_daily[[#This Row],[VeryActiveMinutes]]&gt;=30,"Very Active",tbl_working_daily[[#This Row],[VeryActiveMinutes]]&gt;=15,"Moderately Active",tbl_working_daily[[#This Row],[VeryActiveMinutes]]&gt;=1,"Lightly Active",tbl_working_daily[[#This Row],[VeryActiveMinutes]]=0,"Sedentary")</f>
        <v>Moderately Active</v>
      </c>
      <c r="W732" t="str">
        <f>tbl_working_daily[[#This Row],[Id]]&amp;"|"&amp;TEXT(tbl_working_daily[[#This Row],[ActivityDate]],"yyyy-mm-dd")</f>
        <v>2873212765|2016-04-29</v>
      </c>
      <c r="X732" t="b">
        <f>ISNUMBER(MATCH(tbl_working_daily[[#This Row],[LookupKey]],tbl_working_sleep[LookupKey],0))</f>
        <v>0</v>
      </c>
    </row>
    <row r="733" spans="1:24" x14ac:dyDescent="0.3">
      <c r="A733">
        <v>2873212765</v>
      </c>
      <c r="B733" s="1">
        <v>42490</v>
      </c>
      <c r="C733">
        <v>8452</v>
      </c>
      <c r="D733">
        <v>5.6799998283386204</v>
      </c>
      <c r="E733">
        <v>5.6799998283386204</v>
      </c>
      <c r="F733">
        <v>0</v>
      </c>
      <c r="G733">
        <v>0.33000001311302202</v>
      </c>
      <c r="H733">
        <v>1.08000004291534</v>
      </c>
      <c r="I733">
        <v>4.2600002288818404</v>
      </c>
      <c r="J733">
        <v>9.9999997764825804E-3</v>
      </c>
      <c r="K733">
        <v>5</v>
      </c>
      <c r="L733">
        <v>20</v>
      </c>
      <c r="M733">
        <v>248</v>
      </c>
      <c r="N733">
        <v>1167</v>
      </c>
      <c r="O733">
        <v>1830</v>
      </c>
      <c r="P733" t="str">
        <f>TEXT(tbl_working_daily[[#This Row],[ActivityDate]],"dddd")</f>
        <v>Saturday</v>
      </c>
      <c r="Q733" t="str">
        <f>TEXT(tbl_working_daily[[#This Row],[ActivityDate]],"mmmm")</f>
        <v>April</v>
      </c>
      <c r="R733">
        <f t="shared" si="22"/>
        <v>273</v>
      </c>
      <c r="S733">
        <f t="shared" si="23"/>
        <v>1440</v>
      </c>
      <c r="T733">
        <f>ROUND(tbl_working_daily[[#This Row],[SedentaryMinutes]]/60,2)</f>
        <v>19.45</v>
      </c>
      <c r="U733" t="str" cm="1">
        <f t="array" ref="U73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33" t="str" cm="1">
        <f t="array" ref="V733">_xlfn.IFS(tbl_working_daily[[#This Row],[VeryActiveMinutes]]&gt;=30,"Very Active",tbl_working_daily[[#This Row],[VeryActiveMinutes]]&gt;=15,"Moderately Active",tbl_working_daily[[#This Row],[VeryActiveMinutes]]&gt;=1,"Lightly Active",tbl_working_daily[[#This Row],[VeryActiveMinutes]]=0,"Sedentary")</f>
        <v>Lightly Active</v>
      </c>
      <c r="W733" t="str">
        <f>tbl_working_daily[[#This Row],[Id]]&amp;"|"&amp;TEXT(tbl_working_daily[[#This Row],[ActivityDate]],"yyyy-mm-dd")</f>
        <v>2873212765|2016-04-30</v>
      </c>
      <c r="X733" t="b">
        <f>ISNUMBER(MATCH(tbl_working_daily[[#This Row],[LookupKey]],tbl_working_sleep[LookupKey],0))</f>
        <v>0</v>
      </c>
    </row>
    <row r="734" spans="1:24" x14ac:dyDescent="0.3">
      <c r="A734">
        <v>2873212765</v>
      </c>
      <c r="B734" s="1">
        <v>42491</v>
      </c>
      <c r="C734">
        <v>7399</v>
      </c>
      <c r="D734">
        <v>4.9699997901916504</v>
      </c>
      <c r="E734">
        <v>4.9699997901916504</v>
      </c>
      <c r="F734">
        <v>0</v>
      </c>
      <c r="G734">
        <v>0.490000009536743</v>
      </c>
      <c r="H734">
        <v>1.03999996185303</v>
      </c>
      <c r="I734">
        <v>3.4400000572204599</v>
      </c>
      <c r="J734">
        <v>0</v>
      </c>
      <c r="K734">
        <v>7</v>
      </c>
      <c r="L734">
        <v>18</v>
      </c>
      <c r="M734">
        <v>196</v>
      </c>
      <c r="N734">
        <v>1219</v>
      </c>
      <c r="O734">
        <v>1739</v>
      </c>
      <c r="P734" t="str">
        <f>TEXT(tbl_working_daily[[#This Row],[ActivityDate]],"dddd")</f>
        <v>Sunday</v>
      </c>
      <c r="Q734" t="str">
        <f>TEXT(tbl_working_daily[[#This Row],[ActivityDate]],"mmmm")</f>
        <v>May</v>
      </c>
      <c r="R734">
        <f t="shared" si="22"/>
        <v>221</v>
      </c>
      <c r="S734">
        <f t="shared" si="23"/>
        <v>1440</v>
      </c>
      <c r="T734">
        <f>ROUND(tbl_working_daily[[#This Row],[SedentaryMinutes]]/60,2)</f>
        <v>20.32</v>
      </c>
      <c r="U734" t="str" cm="1">
        <f t="array" ref="U73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34" t="str" cm="1">
        <f t="array" ref="V734">_xlfn.IFS(tbl_working_daily[[#This Row],[VeryActiveMinutes]]&gt;=30,"Very Active",tbl_working_daily[[#This Row],[VeryActiveMinutes]]&gt;=15,"Moderately Active",tbl_working_daily[[#This Row],[VeryActiveMinutes]]&gt;=1,"Lightly Active",tbl_working_daily[[#This Row],[VeryActiveMinutes]]=0,"Sedentary")</f>
        <v>Lightly Active</v>
      </c>
      <c r="W734" t="str">
        <f>tbl_working_daily[[#This Row],[Id]]&amp;"|"&amp;TEXT(tbl_working_daily[[#This Row],[ActivityDate]],"yyyy-mm-dd")</f>
        <v>2873212765|2016-05-01</v>
      </c>
      <c r="X734" t="b">
        <f>ISNUMBER(MATCH(tbl_working_daily[[#This Row],[LookupKey]],tbl_working_sleep[LookupKey],0))</f>
        <v>0</v>
      </c>
    </row>
    <row r="735" spans="1:24" x14ac:dyDescent="0.3">
      <c r="A735">
        <v>2873212765</v>
      </c>
      <c r="B735" s="1">
        <v>42492</v>
      </c>
      <c r="C735">
        <v>7525</v>
      </c>
      <c r="D735">
        <v>5.0599999427795401</v>
      </c>
      <c r="E735">
        <v>5.0599999427795401</v>
      </c>
      <c r="F735">
        <v>0</v>
      </c>
      <c r="G735">
        <v>0</v>
      </c>
      <c r="H735">
        <v>0.20999999344348899</v>
      </c>
      <c r="I735">
        <v>4.8299999237060502</v>
      </c>
      <c r="J735">
        <v>1.9999999552965199E-2</v>
      </c>
      <c r="K735">
        <v>0</v>
      </c>
      <c r="L735">
        <v>7</v>
      </c>
      <c r="M735">
        <v>334</v>
      </c>
      <c r="N735">
        <v>1099</v>
      </c>
      <c r="O735">
        <v>1878</v>
      </c>
      <c r="P735" t="str">
        <f>TEXT(tbl_working_daily[[#This Row],[ActivityDate]],"dddd")</f>
        <v>Monday</v>
      </c>
      <c r="Q735" t="str">
        <f>TEXT(tbl_working_daily[[#This Row],[ActivityDate]],"mmmm")</f>
        <v>May</v>
      </c>
      <c r="R735">
        <f t="shared" si="22"/>
        <v>341</v>
      </c>
      <c r="S735">
        <f t="shared" si="23"/>
        <v>1440</v>
      </c>
      <c r="T735">
        <f>ROUND(tbl_working_daily[[#This Row],[SedentaryMinutes]]/60,2)</f>
        <v>18.32</v>
      </c>
      <c r="U735" t="str" cm="1">
        <f t="array" ref="U73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35" t="str" cm="1">
        <f t="array" ref="V735">_xlfn.IFS(tbl_working_daily[[#This Row],[VeryActiveMinutes]]&gt;=30,"Very Active",tbl_working_daily[[#This Row],[VeryActiveMinutes]]&gt;=15,"Moderately Active",tbl_working_daily[[#This Row],[VeryActiveMinutes]]&gt;=1,"Lightly Active",tbl_working_daily[[#This Row],[VeryActiveMinutes]]=0,"Sedentary")</f>
        <v>Sedentary</v>
      </c>
      <c r="W735" t="str">
        <f>tbl_working_daily[[#This Row],[Id]]&amp;"|"&amp;TEXT(tbl_working_daily[[#This Row],[ActivityDate]],"yyyy-mm-dd")</f>
        <v>2873212765|2016-05-02</v>
      </c>
      <c r="X735" t="b">
        <f>ISNUMBER(MATCH(tbl_working_daily[[#This Row],[LookupKey]],tbl_working_sleep[LookupKey],0))</f>
        <v>0</v>
      </c>
    </row>
    <row r="736" spans="1:24" x14ac:dyDescent="0.3">
      <c r="A736">
        <v>2873212765</v>
      </c>
      <c r="B736" s="1">
        <v>42493</v>
      </c>
      <c r="C736">
        <v>7412</v>
      </c>
      <c r="D736">
        <v>4.9800000190734899</v>
      </c>
      <c r="E736">
        <v>4.9800000190734899</v>
      </c>
      <c r="F736">
        <v>0</v>
      </c>
      <c r="G736">
        <v>5.9999998658895499E-2</v>
      </c>
      <c r="H736">
        <v>0.25</v>
      </c>
      <c r="I736">
        <v>4.6599998474121103</v>
      </c>
      <c r="J736">
        <v>9.9999997764825804E-3</v>
      </c>
      <c r="K736">
        <v>1</v>
      </c>
      <c r="L736">
        <v>6</v>
      </c>
      <c r="M736">
        <v>363</v>
      </c>
      <c r="N736">
        <v>1070</v>
      </c>
      <c r="O736">
        <v>1906</v>
      </c>
      <c r="P736" t="str">
        <f>TEXT(tbl_working_daily[[#This Row],[ActivityDate]],"dddd")</f>
        <v>Tuesday</v>
      </c>
      <c r="Q736" t="str">
        <f>TEXT(tbl_working_daily[[#This Row],[ActivityDate]],"mmmm")</f>
        <v>May</v>
      </c>
      <c r="R736">
        <f t="shared" si="22"/>
        <v>370</v>
      </c>
      <c r="S736">
        <f t="shared" si="23"/>
        <v>1440</v>
      </c>
      <c r="T736">
        <f>ROUND(tbl_working_daily[[#This Row],[SedentaryMinutes]]/60,2)</f>
        <v>17.829999999999998</v>
      </c>
      <c r="U736" t="str" cm="1">
        <f t="array" ref="U73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36" t="str" cm="1">
        <f t="array" ref="V736">_xlfn.IFS(tbl_working_daily[[#This Row],[VeryActiveMinutes]]&gt;=30,"Very Active",tbl_working_daily[[#This Row],[VeryActiveMinutes]]&gt;=15,"Moderately Active",tbl_working_daily[[#This Row],[VeryActiveMinutes]]&gt;=1,"Lightly Active",tbl_working_daily[[#This Row],[VeryActiveMinutes]]=0,"Sedentary")</f>
        <v>Lightly Active</v>
      </c>
      <c r="W736" t="str">
        <f>tbl_working_daily[[#This Row],[Id]]&amp;"|"&amp;TEXT(tbl_working_daily[[#This Row],[ActivityDate]],"yyyy-mm-dd")</f>
        <v>2873212765|2016-05-03</v>
      </c>
      <c r="X736" t="b">
        <f>ISNUMBER(MATCH(tbl_working_daily[[#This Row],[LookupKey]],tbl_working_sleep[LookupKey],0))</f>
        <v>0</v>
      </c>
    </row>
    <row r="737" spans="1:24" x14ac:dyDescent="0.3">
      <c r="A737">
        <v>2873212765</v>
      </c>
      <c r="B737" s="1">
        <v>42494</v>
      </c>
      <c r="C737">
        <v>8278</v>
      </c>
      <c r="D737">
        <v>5.5599999427795401</v>
      </c>
      <c r="E737">
        <v>5.5599999427795401</v>
      </c>
      <c r="F737">
        <v>0</v>
      </c>
      <c r="G737">
        <v>0</v>
      </c>
      <c r="H737">
        <v>0</v>
      </c>
      <c r="I737">
        <v>5.5599999427795401</v>
      </c>
      <c r="J737">
        <v>0</v>
      </c>
      <c r="K737">
        <v>0</v>
      </c>
      <c r="L737">
        <v>0</v>
      </c>
      <c r="M737">
        <v>420</v>
      </c>
      <c r="N737">
        <v>1020</v>
      </c>
      <c r="O737">
        <v>2015</v>
      </c>
      <c r="P737" t="str">
        <f>TEXT(tbl_working_daily[[#This Row],[ActivityDate]],"dddd")</f>
        <v>Wednesday</v>
      </c>
      <c r="Q737" t="str">
        <f>TEXT(tbl_working_daily[[#This Row],[ActivityDate]],"mmmm")</f>
        <v>May</v>
      </c>
      <c r="R737">
        <f t="shared" si="22"/>
        <v>420</v>
      </c>
      <c r="S737">
        <f t="shared" si="23"/>
        <v>1440</v>
      </c>
      <c r="T737">
        <f>ROUND(tbl_working_daily[[#This Row],[SedentaryMinutes]]/60,2)</f>
        <v>17</v>
      </c>
      <c r="U737" t="str" cm="1">
        <f t="array" ref="U73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37" t="str" cm="1">
        <f t="array" ref="V737">_xlfn.IFS(tbl_working_daily[[#This Row],[VeryActiveMinutes]]&gt;=30,"Very Active",tbl_working_daily[[#This Row],[VeryActiveMinutes]]&gt;=15,"Moderately Active",tbl_working_daily[[#This Row],[VeryActiveMinutes]]&gt;=1,"Lightly Active",tbl_working_daily[[#This Row],[VeryActiveMinutes]]=0,"Sedentary")</f>
        <v>Sedentary</v>
      </c>
      <c r="W737" t="str">
        <f>tbl_working_daily[[#This Row],[Id]]&amp;"|"&amp;TEXT(tbl_working_daily[[#This Row],[ActivityDate]],"yyyy-mm-dd")</f>
        <v>2873212765|2016-05-04</v>
      </c>
      <c r="X737" t="b">
        <f>ISNUMBER(MATCH(tbl_working_daily[[#This Row],[LookupKey]],tbl_working_sleep[LookupKey],0))</f>
        <v>0</v>
      </c>
    </row>
    <row r="738" spans="1:24" x14ac:dyDescent="0.3">
      <c r="A738">
        <v>2873212765</v>
      </c>
      <c r="B738" s="1">
        <v>42495</v>
      </c>
      <c r="C738">
        <v>8314</v>
      </c>
      <c r="D738">
        <v>5.6100001335143999</v>
      </c>
      <c r="E738">
        <v>5.6100001335143999</v>
      </c>
      <c r="F738">
        <v>0</v>
      </c>
      <c r="G738">
        <v>0.77999997138977095</v>
      </c>
      <c r="H738">
        <v>0.80000001192092896</v>
      </c>
      <c r="I738">
        <v>4.0300002098083496</v>
      </c>
      <c r="J738">
        <v>0</v>
      </c>
      <c r="K738">
        <v>13</v>
      </c>
      <c r="L738">
        <v>23</v>
      </c>
      <c r="M738">
        <v>311</v>
      </c>
      <c r="N738">
        <v>1093</v>
      </c>
      <c r="O738">
        <v>1971</v>
      </c>
      <c r="P738" t="str">
        <f>TEXT(tbl_working_daily[[#This Row],[ActivityDate]],"dddd")</f>
        <v>Thursday</v>
      </c>
      <c r="Q738" t="str">
        <f>TEXT(tbl_working_daily[[#This Row],[ActivityDate]],"mmmm")</f>
        <v>May</v>
      </c>
      <c r="R738">
        <f t="shared" si="22"/>
        <v>347</v>
      </c>
      <c r="S738">
        <f t="shared" si="23"/>
        <v>1440</v>
      </c>
      <c r="T738">
        <f>ROUND(tbl_working_daily[[#This Row],[SedentaryMinutes]]/60,2)</f>
        <v>18.22</v>
      </c>
      <c r="U738" t="str" cm="1">
        <f t="array" ref="U73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38" t="str" cm="1">
        <f t="array" ref="V738">_xlfn.IFS(tbl_working_daily[[#This Row],[VeryActiveMinutes]]&gt;=30,"Very Active",tbl_working_daily[[#This Row],[VeryActiveMinutes]]&gt;=15,"Moderately Active",tbl_working_daily[[#This Row],[VeryActiveMinutes]]&gt;=1,"Lightly Active",tbl_working_daily[[#This Row],[VeryActiveMinutes]]=0,"Sedentary")</f>
        <v>Lightly Active</v>
      </c>
      <c r="W738" t="str">
        <f>tbl_working_daily[[#This Row],[Id]]&amp;"|"&amp;TEXT(tbl_working_daily[[#This Row],[ActivityDate]],"yyyy-mm-dd")</f>
        <v>2873212765|2016-05-05</v>
      </c>
      <c r="X738" t="b">
        <f>ISNUMBER(MATCH(tbl_working_daily[[#This Row],[LookupKey]],tbl_working_sleep[LookupKey],0))</f>
        <v>0</v>
      </c>
    </row>
    <row r="739" spans="1:24" x14ac:dyDescent="0.3">
      <c r="A739">
        <v>2873212765</v>
      </c>
      <c r="B739" s="1">
        <v>42496</v>
      </c>
      <c r="C739">
        <v>7063</v>
      </c>
      <c r="D739">
        <v>4.75</v>
      </c>
      <c r="E739">
        <v>4.75</v>
      </c>
      <c r="F739">
        <v>0</v>
      </c>
      <c r="G739">
        <v>0</v>
      </c>
      <c r="H739">
        <v>0.119999997317791</v>
      </c>
      <c r="I739">
        <v>4.6100001335143999</v>
      </c>
      <c r="J739">
        <v>9.9999997764825804E-3</v>
      </c>
      <c r="K739">
        <v>0</v>
      </c>
      <c r="L739">
        <v>5</v>
      </c>
      <c r="M739">
        <v>370</v>
      </c>
      <c r="N739">
        <v>1065</v>
      </c>
      <c r="O739">
        <v>1910</v>
      </c>
      <c r="P739" t="str">
        <f>TEXT(tbl_working_daily[[#This Row],[ActivityDate]],"dddd")</f>
        <v>Friday</v>
      </c>
      <c r="Q739" t="str">
        <f>TEXT(tbl_working_daily[[#This Row],[ActivityDate]],"mmmm")</f>
        <v>May</v>
      </c>
      <c r="R739">
        <f t="shared" si="22"/>
        <v>375</v>
      </c>
      <c r="S739">
        <f t="shared" si="23"/>
        <v>1440</v>
      </c>
      <c r="T739">
        <f>ROUND(tbl_working_daily[[#This Row],[SedentaryMinutes]]/60,2)</f>
        <v>17.75</v>
      </c>
      <c r="U739" t="str" cm="1">
        <f t="array" ref="U73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39" t="str" cm="1">
        <f t="array" ref="V739">_xlfn.IFS(tbl_working_daily[[#This Row],[VeryActiveMinutes]]&gt;=30,"Very Active",tbl_working_daily[[#This Row],[VeryActiveMinutes]]&gt;=15,"Moderately Active",tbl_working_daily[[#This Row],[VeryActiveMinutes]]&gt;=1,"Lightly Active",tbl_working_daily[[#This Row],[VeryActiveMinutes]]=0,"Sedentary")</f>
        <v>Sedentary</v>
      </c>
      <c r="W739" t="str">
        <f>tbl_working_daily[[#This Row],[Id]]&amp;"|"&amp;TEXT(tbl_working_daily[[#This Row],[ActivityDate]],"yyyy-mm-dd")</f>
        <v>2873212765|2016-05-06</v>
      </c>
      <c r="X739" t="b">
        <f>ISNUMBER(MATCH(tbl_working_daily[[#This Row],[LookupKey]],tbl_working_sleep[LookupKey],0))</f>
        <v>0</v>
      </c>
    </row>
    <row r="740" spans="1:24" x14ac:dyDescent="0.3">
      <c r="A740">
        <v>2873212765</v>
      </c>
      <c r="B740" s="1">
        <v>42497</v>
      </c>
      <c r="C740">
        <v>4940</v>
      </c>
      <c r="D740">
        <v>3.3800001144409202</v>
      </c>
      <c r="E740">
        <v>3.3800001144409202</v>
      </c>
      <c r="F740">
        <v>0</v>
      </c>
      <c r="G740">
        <v>2.2799999713897701</v>
      </c>
      <c r="H740">
        <v>0.55000001192092896</v>
      </c>
      <c r="I740">
        <v>0.55000001192092896</v>
      </c>
      <c r="J740">
        <v>0</v>
      </c>
      <c r="K740">
        <v>75</v>
      </c>
      <c r="L740">
        <v>11</v>
      </c>
      <c r="M740">
        <v>52</v>
      </c>
      <c r="N740">
        <v>1302</v>
      </c>
      <c r="O740">
        <v>1897</v>
      </c>
      <c r="P740" t="str">
        <f>TEXT(tbl_working_daily[[#This Row],[ActivityDate]],"dddd")</f>
        <v>Saturday</v>
      </c>
      <c r="Q740" t="str">
        <f>TEXT(tbl_working_daily[[#This Row],[ActivityDate]],"mmmm")</f>
        <v>May</v>
      </c>
      <c r="R740">
        <f t="shared" si="22"/>
        <v>138</v>
      </c>
      <c r="S740">
        <f t="shared" si="23"/>
        <v>1440</v>
      </c>
      <c r="T740">
        <f>ROUND(tbl_working_daily[[#This Row],[SedentaryMinutes]]/60,2)</f>
        <v>21.7</v>
      </c>
      <c r="U740" t="str" cm="1">
        <f t="array" ref="U7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40" t="str" cm="1">
        <f t="array" ref="V740">_xlfn.IFS(tbl_working_daily[[#This Row],[VeryActiveMinutes]]&gt;=30,"Very Active",tbl_working_daily[[#This Row],[VeryActiveMinutes]]&gt;=15,"Moderately Active",tbl_working_daily[[#This Row],[VeryActiveMinutes]]&gt;=1,"Lightly Active",tbl_working_daily[[#This Row],[VeryActiveMinutes]]=0,"Sedentary")</f>
        <v>Very Active</v>
      </c>
      <c r="W740" t="str">
        <f>tbl_working_daily[[#This Row],[Id]]&amp;"|"&amp;TEXT(tbl_working_daily[[#This Row],[ActivityDate]],"yyyy-mm-dd")</f>
        <v>2873212765|2016-05-07</v>
      </c>
      <c r="X740" t="b">
        <f>ISNUMBER(MATCH(tbl_working_daily[[#This Row],[LookupKey]],tbl_working_sleep[LookupKey],0))</f>
        <v>0</v>
      </c>
    </row>
    <row r="741" spans="1:24" x14ac:dyDescent="0.3">
      <c r="A741">
        <v>2873212765</v>
      </c>
      <c r="B741" s="1">
        <v>42498</v>
      </c>
      <c r="C741">
        <v>8168</v>
      </c>
      <c r="D741">
        <v>5.53999996185303</v>
      </c>
      <c r="E741">
        <v>5.53999996185303</v>
      </c>
      <c r="F741">
        <v>0</v>
      </c>
      <c r="G741">
        <v>2.9000000953674299</v>
      </c>
      <c r="H741">
        <v>0</v>
      </c>
      <c r="I741">
        <v>2.6400001049041699</v>
      </c>
      <c r="J741">
        <v>0</v>
      </c>
      <c r="K741">
        <v>46</v>
      </c>
      <c r="L741">
        <v>0</v>
      </c>
      <c r="M741">
        <v>326</v>
      </c>
      <c r="N741">
        <v>1068</v>
      </c>
      <c r="O741">
        <v>2096</v>
      </c>
      <c r="P741" t="str">
        <f>TEXT(tbl_working_daily[[#This Row],[ActivityDate]],"dddd")</f>
        <v>Sunday</v>
      </c>
      <c r="Q741" t="str">
        <f>TEXT(tbl_working_daily[[#This Row],[ActivityDate]],"mmmm")</f>
        <v>May</v>
      </c>
      <c r="R741">
        <f t="shared" si="22"/>
        <v>372</v>
      </c>
      <c r="S741">
        <f t="shared" si="23"/>
        <v>1440</v>
      </c>
      <c r="T741">
        <f>ROUND(tbl_working_daily[[#This Row],[SedentaryMinutes]]/60,2)</f>
        <v>17.8</v>
      </c>
      <c r="U741" t="str" cm="1">
        <f t="array" ref="U74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41" t="str" cm="1">
        <f t="array" ref="V741">_xlfn.IFS(tbl_working_daily[[#This Row],[VeryActiveMinutes]]&gt;=30,"Very Active",tbl_working_daily[[#This Row],[VeryActiveMinutes]]&gt;=15,"Moderately Active",tbl_working_daily[[#This Row],[VeryActiveMinutes]]&gt;=1,"Lightly Active",tbl_working_daily[[#This Row],[VeryActiveMinutes]]=0,"Sedentary")</f>
        <v>Very Active</v>
      </c>
      <c r="W741" t="str">
        <f>tbl_working_daily[[#This Row],[Id]]&amp;"|"&amp;TEXT(tbl_working_daily[[#This Row],[ActivityDate]],"yyyy-mm-dd")</f>
        <v>2873212765|2016-05-08</v>
      </c>
      <c r="X741" t="b">
        <f>ISNUMBER(MATCH(tbl_working_daily[[#This Row],[LookupKey]],tbl_working_sleep[LookupKey],0))</f>
        <v>0</v>
      </c>
    </row>
    <row r="742" spans="1:24" x14ac:dyDescent="0.3">
      <c r="A742">
        <v>2873212765</v>
      </c>
      <c r="B742" s="1">
        <v>42499</v>
      </c>
      <c r="C742">
        <v>7726</v>
      </c>
      <c r="D742">
        <v>5.1900000572204599</v>
      </c>
      <c r="E742">
        <v>5.1900000572204599</v>
      </c>
      <c r="F742">
        <v>0</v>
      </c>
      <c r="G742">
        <v>0</v>
      </c>
      <c r="H742">
        <v>0</v>
      </c>
      <c r="I742">
        <v>5.1900000572204599</v>
      </c>
      <c r="J742">
        <v>0</v>
      </c>
      <c r="K742">
        <v>0</v>
      </c>
      <c r="L742">
        <v>0</v>
      </c>
      <c r="M742">
        <v>345</v>
      </c>
      <c r="N742">
        <v>1095</v>
      </c>
      <c r="O742">
        <v>1906</v>
      </c>
      <c r="P742" t="str">
        <f>TEXT(tbl_working_daily[[#This Row],[ActivityDate]],"dddd")</f>
        <v>Monday</v>
      </c>
      <c r="Q742" t="str">
        <f>TEXT(tbl_working_daily[[#This Row],[ActivityDate]],"mmmm")</f>
        <v>May</v>
      </c>
      <c r="R742">
        <f t="shared" si="22"/>
        <v>345</v>
      </c>
      <c r="S742">
        <f t="shared" si="23"/>
        <v>1440</v>
      </c>
      <c r="T742">
        <f>ROUND(tbl_working_daily[[#This Row],[SedentaryMinutes]]/60,2)</f>
        <v>18.25</v>
      </c>
      <c r="U742" t="str" cm="1">
        <f t="array" ref="U74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42" t="str" cm="1">
        <f t="array" ref="V742">_xlfn.IFS(tbl_working_daily[[#This Row],[VeryActiveMinutes]]&gt;=30,"Very Active",tbl_working_daily[[#This Row],[VeryActiveMinutes]]&gt;=15,"Moderately Active",tbl_working_daily[[#This Row],[VeryActiveMinutes]]&gt;=1,"Lightly Active",tbl_working_daily[[#This Row],[VeryActiveMinutes]]=0,"Sedentary")</f>
        <v>Sedentary</v>
      </c>
      <c r="W742" t="str">
        <f>tbl_working_daily[[#This Row],[Id]]&amp;"|"&amp;TEXT(tbl_working_daily[[#This Row],[ActivityDate]],"yyyy-mm-dd")</f>
        <v>2873212765|2016-05-09</v>
      </c>
      <c r="X742" t="b">
        <f>ISNUMBER(MATCH(tbl_working_daily[[#This Row],[LookupKey]],tbl_working_sleep[LookupKey],0))</f>
        <v>0</v>
      </c>
    </row>
    <row r="743" spans="1:24" x14ac:dyDescent="0.3">
      <c r="A743">
        <v>2873212765</v>
      </c>
      <c r="B743" s="1">
        <v>42500</v>
      </c>
      <c r="C743">
        <v>8275</v>
      </c>
      <c r="D743">
        <v>5.5599999427795401</v>
      </c>
      <c r="E743">
        <v>5.5599999427795401</v>
      </c>
      <c r="F743">
        <v>0</v>
      </c>
      <c r="G743">
        <v>0</v>
      </c>
      <c r="H743">
        <v>0</v>
      </c>
      <c r="I743">
        <v>5.5500001907348597</v>
      </c>
      <c r="J743">
        <v>9.9999997764825804E-3</v>
      </c>
      <c r="K743">
        <v>0</v>
      </c>
      <c r="L743">
        <v>0</v>
      </c>
      <c r="M743">
        <v>373</v>
      </c>
      <c r="N743">
        <v>1067</v>
      </c>
      <c r="O743">
        <v>1962</v>
      </c>
      <c r="P743" t="str">
        <f>TEXT(tbl_working_daily[[#This Row],[ActivityDate]],"dddd")</f>
        <v>Tuesday</v>
      </c>
      <c r="Q743" t="str">
        <f>TEXT(tbl_working_daily[[#This Row],[ActivityDate]],"mmmm")</f>
        <v>May</v>
      </c>
      <c r="R743">
        <f t="shared" si="22"/>
        <v>373</v>
      </c>
      <c r="S743">
        <f t="shared" si="23"/>
        <v>1440</v>
      </c>
      <c r="T743">
        <f>ROUND(tbl_working_daily[[#This Row],[SedentaryMinutes]]/60,2)</f>
        <v>17.78</v>
      </c>
      <c r="U743" t="str" cm="1">
        <f t="array" ref="U74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43" t="str" cm="1">
        <f t="array" ref="V743">_xlfn.IFS(tbl_working_daily[[#This Row],[VeryActiveMinutes]]&gt;=30,"Very Active",tbl_working_daily[[#This Row],[VeryActiveMinutes]]&gt;=15,"Moderately Active",tbl_working_daily[[#This Row],[VeryActiveMinutes]]&gt;=1,"Lightly Active",tbl_working_daily[[#This Row],[VeryActiveMinutes]]=0,"Sedentary")</f>
        <v>Sedentary</v>
      </c>
      <c r="W743" t="str">
        <f>tbl_working_daily[[#This Row],[Id]]&amp;"|"&amp;TEXT(tbl_working_daily[[#This Row],[ActivityDate]],"yyyy-mm-dd")</f>
        <v>2873212765|2016-05-10</v>
      </c>
      <c r="X743" t="b">
        <f>ISNUMBER(MATCH(tbl_working_daily[[#This Row],[LookupKey]],tbl_working_sleep[LookupKey],0))</f>
        <v>0</v>
      </c>
    </row>
    <row r="744" spans="1:24" x14ac:dyDescent="0.3">
      <c r="A744">
        <v>2873212765</v>
      </c>
      <c r="B744" s="1">
        <v>42501</v>
      </c>
      <c r="C744">
        <v>6440</v>
      </c>
      <c r="D744">
        <v>4.3299999237060502</v>
      </c>
      <c r="E744">
        <v>4.3299999237060502</v>
      </c>
      <c r="F744">
        <v>0</v>
      </c>
      <c r="G744">
        <v>0</v>
      </c>
      <c r="H744">
        <v>0</v>
      </c>
      <c r="I744">
        <v>4.3200001716613796</v>
      </c>
      <c r="J744">
        <v>9.9999997764825804E-3</v>
      </c>
      <c r="K744">
        <v>0</v>
      </c>
      <c r="L744">
        <v>0</v>
      </c>
      <c r="M744">
        <v>319</v>
      </c>
      <c r="N744">
        <v>1121</v>
      </c>
      <c r="O744">
        <v>1826</v>
      </c>
      <c r="P744" t="str">
        <f>TEXT(tbl_working_daily[[#This Row],[ActivityDate]],"dddd")</f>
        <v>Wednesday</v>
      </c>
      <c r="Q744" t="str">
        <f>TEXT(tbl_working_daily[[#This Row],[ActivityDate]],"mmmm")</f>
        <v>May</v>
      </c>
      <c r="R744">
        <f t="shared" si="22"/>
        <v>319</v>
      </c>
      <c r="S744">
        <f t="shared" si="23"/>
        <v>1440</v>
      </c>
      <c r="T744">
        <f>ROUND(tbl_working_daily[[#This Row],[SedentaryMinutes]]/60,2)</f>
        <v>18.68</v>
      </c>
      <c r="U744" t="str" cm="1">
        <f t="array" ref="U74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44" t="str" cm="1">
        <f t="array" ref="V744">_xlfn.IFS(tbl_working_daily[[#This Row],[VeryActiveMinutes]]&gt;=30,"Very Active",tbl_working_daily[[#This Row],[VeryActiveMinutes]]&gt;=15,"Moderately Active",tbl_working_daily[[#This Row],[VeryActiveMinutes]]&gt;=1,"Lightly Active",tbl_working_daily[[#This Row],[VeryActiveMinutes]]=0,"Sedentary")</f>
        <v>Sedentary</v>
      </c>
      <c r="W744" t="str">
        <f>tbl_working_daily[[#This Row],[Id]]&amp;"|"&amp;TEXT(tbl_working_daily[[#This Row],[ActivityDate]],"yyyy-mm-dd")</f>
        <v>2873212765|2016-05-11</v>
      </c>
      <c r="X744" t="b">
        <f>ISNUMBER(MATCH(tbl_working_daily[[#This Row],[LookupKey]],tbl_working_sleep[LookupKey],0))</f>
        <v>0</v>
      </c>
    </row>
    <row r="745" spans="1:24" x14ac:dyDescent="0.3">
      <c r="A745">
        <v>2873212765</v>
      </c>
      <c r="B745" s="1">
        <v>42502</v>
      </c>
      <c r="C745">
        <v>7566</v>
      </c>
      <c r="D745">
        <v>5.1100001335143999</v>
      </c>
      <c r="E745">
        <v>5.1100001335143999</v>
      </c>
      <c r="F745">
        <v>0</v>
      </c>
      <c r="G745">
        <v>0</v>
      </c>
      <c r="H745">
        <v>0</v>
      </c>
      <c r="I745">
        <v>5.1100001335143999</v>
      </c>
      <c r="J745">
        <v>0</v>
      </c>
      <c r="K745">
        <v>0</v>
      </c>
      <c r="L745">
        <v>0</v>
      </c>
      <c r="M745">
        <v>268</v>
      </c>
      <c r="N745">
        <v>720</v>
      </c>
      <c r="O745">
        <v>1431</v>
      </c>
      <c r="P745" t="str">
        <f>TEXT(tbl_working_daily[[#This Row],[ActivityDate]],"dddd")</f>
        <v>Thursday</v>
      </c>
      <c r="Q745" t="str">
        <f>TEXT(tbl_working_daily[[#This Row],[ActivityDate]],"mmmm")</f>
        <v>May</v>
      </c>
      <c r="R745">
        <f t="shared" si="22"/>
        <v>268</v>
      </c>
      <c r="S745">
        <f t="shared" si="23"/>
        <v>988</v>
      </c>
      <c r="T745">
        <f>ROUND(tbl_working_daily[[#This Row],[SedentaryMinutes]]/60,2)</f>
        <v>12</v>
      </c>
      <c r="U745" t="str" cm="1">
        <f t="array" ref="U74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45" t="str" cm="1">
        <f t="array" ref="V745">_xlfn.IFS(tbl_working_daily[[#This Row],[VeryActiveMinutes]]&gt;=30,"Very Active",tbl_working_daily[[#This Row],[VeryActiveMinutes]]&gt;=15,"Moderately Active",tbl_working_daily[[#This Row],[VeryActiveMinutes]]&gt;=1,"Lightly Active",tbl_working_daily[[#This Row],[VeryActiveMinutes]]=0,"Sedentary")</f>
        <v>Sedentary</v>
      </c>
      <c r="W745" t="str">
        <f>tbl_working_daily[[#This Row],[Id]]&amp;"|"&amp;TEXT(tbl_working_daily[[#This Row],[ActivityDate]],"yyyy-mm-dd")</f>
        <v>2873212765|2016-05-12</v>
      </c>
      <c r="X745" t="b">
        <f>ISNUMBER(MATCH(tbl_working_daily[[#This Row],[LookupKey]],tbl_working_sleep[LookupKey],0))</f>
        <v>0</v>
      </c>
    </row>
    <row r="746" spans="1:24" x14ac:dyDescent="0.3">
      <c r="A746">
        <v>3372868164</v>
      </c>
      <c r="B746" s="1">
        <v>42472</v>
      </c>
      <c r="C746">
        <v>4747</v>
      </c>
      <c r="D746">
        <v>3.2400000095367401</v>
      </c>
      <c r="E746">
        <v>3.2400000095367401</v>
      </c>
      <c r="F746">
        <v>0</v>
      </c>
      <c r="G746">
        <v>0</v>
      </c>
      <c r="H746">
        <v>0</v>
      </c>
      <c r="I746">
        <v>3.2300000190734899</v>
      </c>
      <c r="J746">
        <v>9.9999997764825804E-3</v>
      </c>
      <c r="K746">
        <v>0</v>
      </c>
      <c r="L746">
        <v>0</v>
      </c>
      <c r="M746">
        <v>280</v>
      </c>
      <c r="N746">
        <v>1160</v>
      </c>
      <c r="O746">
        <v>1788</v>
      </c>
      <c r="P746" t="str">
        <f>TEXT(tbl_working_daily[[#This Row],[ActivityDate]],"dddd")</f>
        <v>Tuesday</v>
      </c>
      <c r="Q746" t="str">
        <f>TEXT(tbl_working_daily[[#This Row],[ActivityDate]],"mmmm")</f>
        <v>April</v>
      </c>
      <c r="R746">
        <f t="shared" si="22"/>
        <v>280</v>
      </c>
      <c r="S746">
        <f t="shared" si="23"/>
        <v>1440</v>
      </c>
      <c r="T746">
        <f>ROUND(tbl_working_daily[[#This Row],[SedentaryMinutes]]/60,2)</f>
        <v>19.329999999999998</v>
      </c>
      <c r="U746" t="str" cm="1">
        <f t="array" ref="U74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46" t="str" cm="1">
        <f t="array" ref="V746">_xlfn.IFS(tbl_working_daily[[#This Row],[VeryActiveMinutes]]&gt;=30,"Very Active",tbl_working_daily[[#This Row],[VeryActiveMinutes]]&gt;=15,"Moderately Active",tbl_working_daily[[#This Row],[VeryActiveMinutes]]&gt;=1,"Lightly Active",tbl_working_daily[[#This Row],[VeryActiveMinutes]]=0,"Sedentary")</f>
        <v>Sedentary</v>
      </c>
      <c r="W746" t="str">
        <f>tbl_working_daily[[#This Row],[Id]]&amp;"|"&amp;TEXT(tbl_working_daily[[#This Row],[ActivityDate]],"yyyy-mm-dd")</f>
        <v>3372868164|2016-04-12</v>
      </c>
      <c r="X746" t="b">
        <f>ISNUMBER(MATCH(tbl_working_daily[[#This Row],[LookupKey]],tbl_working_sleep[LookupKey],0))</f>
        <v>0</v>
      </c>
    </row>
    <row r="747" spans="1:24" x14ac:dyDescent="0.3">
      <c r="A747">
        <v>3372868164</v>
      </c>
      <c r="B747" s="1">
        <v>42473</v>
      </c>
      <c r="C747">
        <v>9715</v>
      </c>
      <c r="D747">
        <v>6.6300001144409197</v>
      </c>
      <c r="E747">
        <v>6.6300001144409197</v>
      </c>
      <c r="F747">
        <v>0</v>
      </c>
      <c r="G747">
        <v>0.99000000953674305</v>
      </c>
      <c r="H747">
        <v>0.34000000357627902</v>
      </c>
      <c r="I747">
        <v>5.2699999809265101</v>
      </c>
      <c r="J747">
        <v>1.9999999552965199E-2</v>
      </c>
      <c r="K747">
        <v>16</v>
      </c>
      <c r="L747">
        <v>8</v>
      </c>
      <c r="M747">
        <v>371</v>
      </c>
      <c r="N747">
        <v>1045</v>
      </c>
      <c r="O747">
        <v>2093</v>
      </c>
      <c r="P747" t="str">
        <f>TEXT(tbl_working_daily[[#This Row],[ActivityDate]],"dddd")</f>
        <v>Wednesday</v>
      </c>
      <c r="Q747" t="str">
        <f>TEXT(tbl_working_daily[[#This Row],[ActivityDate]],"mmmm")</f>
        <v>April</v>
      </c>
      <c r="R747">
        <f t="shared" si="22"/>
        <v>395</v>
      </c>
      <c r="S747">
        <f t="shared" si="23"/>
        <v>1440</v>
      </c>
      <c r="T747">
        <f>ROUND(tbl_working_daily[[#This Row],[SedentaryMinutes]]/60,2)</f>
        <v>17.420000000000002</v>
      </c>
      <c r="U747" t="str" cm="1">
        <f t="array" ref="U74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47" t="str" cm="1">
        <f t="array" ref="V747">_xlfn.IFS(tbl_working_daily[[#This Row],[VeryActiveMinutes]]&gt;=30,"Very Active",tbl_working_daily[[#This Row],[VeryActiveMinutes]]&gt;=15,"Moderately Active",tbl_working_daily[[#This Row],[VeryActiveMinutes]]&gt;=1,"Lightly Active",tbl_working_daily[[#This Row],[VeryActiveMinutes]]=0,"Sedentary")</f>
        <v>Moderately Active</v>
      </c>
      <c r="W747" t="str">
        <f>tbl_working_daily[[#This Row],[Id]]&amp;"|"&amp;TEXT(tbl_working_daily[[#This Row],[ActivityDate]],"yyyy-mm-dd")</f>
        <v>3372868164|2016-04-13</v>
      </c>
      <c r="X747" t="b">
        <f>ISNUMBER(MATCH(tbl_working_daily[[#This Row],[LookupKey]],tbl_working_sleep[LookupKey],0))</f>
        <v>0</v>
      </c>
    </row>
    <row r="748" spans="1:24" x14ac:dyDescent="0.3">
      <c r="A748">
        <v>3372868164</v>
      </c>
      <c r="B748" s="1">
        <v>42474</v>
      </c>
      <c r="C748">
        <v>8844</v>
      </c>
      <c r="D748">
        <v>6.0300002098083496</v>
      </c>
      <c r="E748">
        <v>6.0300002098083496</v>
      </c>
      <c r="F748">
        <v>0</v>
      </c>
      <c r="G748">
        <v>0.34000000357627902</v>
      </c>
      <c r="H748">
        <v>1.0299999713897701</v>
      </c>
      <c r="I748">
        <v>4.6500000953674299</v>
      </c>
      <c r="J748">
        <v>9.9999997764825804E-3</v>
      </c>
      <c r="K748">
        <v>6</v>
      </c>
      <c r="L748">
        <v>25</v>
      </c>
      <c r="M748">
        <v>370</v>
      </c>
      <c r="N748">
        <v>1039</v>
      </c>
      <c r="O748">
        <v>2065</v>
      </c>
      <c r="P748" t="str">
        <f>TEXT(tbl_working_daily[[#This Row],[ActivityDate]],"dddd")</f>
        <v>Thursday</v>
      </c>
      <c r="Q748" t="str">
        <f>TEXT(tbl_working_daily[[#This Row],[ActivityDate]],"mmmm")</f>
        <v>April</v>
      </c>
      <c r="R748">
        <f t="shared" si="22"/>
        <v>401</v>
      </c>
      <c r="S748">
        <f t="shared" si="23"/>
        <v>1440</v>
      </c>
      <c r="T748">
        <f>ROUND(tbl_working_daily[[#This Row],[SedentaryMinutes]]/60,2)</f>
        <v>17.32</v>
      </c>
      <c r="U748" t="str" cm="1">
        <f t="array" ref="U74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48" t="str" cm="1">
        <f t="array" ref="V748">_xlfn.IFS(tbl_working_daily[[#This Row],[VeryActiveMinutes]]&gt;=30,"Very Active",tbl_working_daily[[#This Row],[VeryActiveMinutes]]&gt;=15,"Moderately Active",tbl_working_daily[[#This Row],[VeryActiveMinutes]]&gt;=1,"Lightly Active",tbl_working_daily[[#This Row],[VeryActiveMinutes]]=0,"Sedentary")</f>
        <v>Lightly Active</v>
      </c>
      <c r="W748" t="str">
        <f>tbl_working_daily[[#This Row],[Id]]&amp;"|"&amp;TEXT(tbl_working_daily[[#This Row],[ActivityDate]],"yyyy-mm-dd")</f>
        <v>3372868164|2016-04-14</v>
      </c>
      <c r="X748" t="b">
        <f>ISNUMBER(MATCH(tbl_working_daily[[#This Row],[LookupKey]],tbl_working_sleep[LookupKey],0))</f>
        <v>0</v>
      </c>
    </row>
    <row r="749" spans="1:24" x14ac:dyDescent="0.3">
      <c r="A749">
        <v>3372868164</v>
      </c>
      <c r="B749" s="1">
        <v>42475</v>
      </c>
      <c r="C749">
        <v>7451</v>
      </c>
      <c r="D749">
        <v>5.0799999237060502</v>
      </c>
      <c r="E749">
        <v>5.0799999237060502</v>
      </c>
      <c r="F749">
        <v>0</v>
      </c>
      <c r="G749">
        <v>0</v>
      </c>
      <c r="H749">
        <v>0</v>
      </c>
      <c r="I749">
        <v>5.0599999427795401</v>
      </c>
      <c r="J749">
        <v>1.9999999552965199E-2</v>
      </c>
      <c r="K749">
        <v>0</v>
      </c>
      <c r="L749">
        <v>0</v>
      </c>
      <c r="M749">
        <v>335</v>
      </c>
      <c r="N749">
        <v>1105</v>
      </c>
      <c r="O749">
        <v>1908</v>
      </c>
      <c r="P749" t="str">
        <f>TEXT(tbl_working_daily[[#This Row],[ActivityDate]],"dddd")</f>
        <v>Friday</v>
      </c>
      <c r="Q749" t="str">
        <f>TEXT(tbl_working_daily[[#This Row],[ActivityDate]],"mmmm")</f>
        <v>April</v>
      </c>
      <c r="R749">
        <f t="shared" si="22"/>
        <v>335</v>
      </c>
      <c r="S749">
        <f t="shared" si="23"/>
        <v>1440</v>
      </c>
      <c r="T749">
        <f>ROUND(tbl_working_daily[[#This Row],[SedentaryMinutes]]/60,2)</f>
        <v>18.420000000000002</v>
      </c>
      <c r="U749" t="str" cm="1">
        <f t="array" ref="U74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49" t="str" cm="1">
        <f t="array" ref="V749">_xlfn.IFS(tbl_working_daily[[#This Row],[VeryActiveMinutes]]&gt;=30,"Very Active",tbl_working_daily[[#This Row],[VeryActiveMinutes]]&gt;=15,"Moderately Active",tbl_working_daily[[#This Row],[VeryActiveMinutes]]&gt;=1,"Lightly Active",tbl_working_daily[[#This Row],[VeryActiveMinutes]]=0,"Sedentary")</f>
        <v>Sedentary</v>
      </c>
      <c r="W749" t="str">
        <f>tbl_working_daily[[#This Row],[Id]]&amp;"|"&amp;TEXT(tbl_working_daily[[#This Row],[ActivityDate]],"yyyy-mm-dd")</f>
        <v>3372868164|2016-04-15</v>
      </c>
      <c r="X749" t="b">
        <f>ISNUMBER(MATCH(tbl_working_daily[[#This Row],[LookupKey]],tbl_working_sleep[LookupKey],0))</f>
        <v>0</v>
      </c>
    </row>
    <row r="750" spans="1:24" x14ac:dyDescent="0.3">
      <c r="A750">
        <v>3372868164</v>
      </c>
      <c r="B750" s="1">
        <v>42476</v>
      </c>
      <c r="C750">
        <v>6905</v>
      </c>
      <c r="D750">
        <v>4.7300000190734899</v>
      </c>
      <c r="E750">
        <v>4.7300000190734899</v>
      </c>
      <c r="F750">
        <v>0</v>
      </c>
      <c r="G750">
        <v>0</v>
      </c>
      <c r="H750">
        <v>0</v>
      </c>
      <c r="I750">
        <v>4.6999998092651403</v>
      </c>
      <c r="J750">
        <v>2.9999999329447701E-2</v>
      </c>
      <c r="K750">
        <v>0</v>
      </c>
      <c r="L750">
        <v>0</v>
      </c>
      <c r="M750">
        <v>356</v>
      </c>
      <c r="N750">
        <v>1084</v>
      </c>
      <c r="O750">
        <v>1908</v>
      </c>
      <c r="P750" t="str">
        <f>TEXT(tbl_working_daily[[#This Row],[ActivityDate]],"dddd")</f>
        <v>Saturday</v>
      </c>
      <c r="Q750" t="str">
        <f>TEXT(tbl_working_daily[[#This Row],[ActivityDate]],"mmmm")</f>
        <v>April</v>
      </c>
      <c r="R750">
        <f t="shared" si="22"/>
        <v>356</v>
      </c>
      <c r="S750">
        <f t="shared" si="23"/>
        <v>1440</v>
      </c>
      <c r="T750">
        <f>ROUND(tbl_working_daily[[#This Row],[SedentaryMinutes]]/60,2)</f>
        <v>18.07</v>
      </c>
      <c r="U750" t="str" cm="1">
        <f t="array" ref="U75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50" t="str" cm="1">
        <f t="array" ref="V750">_xlfn.IFS(tbl_working_daily[[#This Row],[VeryActiveMinutes]]&gt;=30,"Very Active",tbl_working_daily[[#This Row],[VeryActiveMinutes]]&gt;=15,"Moderately Active",tbl_working_daily[[#This Row],[VeryActiveMinutes]]&gt;=1,"Lightly Active",tbl_working_daily[[#This Row],[VeryActiveMinutes]]=0,"Sedentary")</f>
        <v>Sedentary</v>
      </c>
      <c r="W750" t="str">
        <f>tbl_working_daily[[#This Row],[Id]]&amp;"|"&amp;TEXT(tbl_working_daily[[#This Row],[ActivityDate]],"yyyy-mm-dd")</f>
        <v>3372868164|2016-04-16</v>
      </c>
      <c r="X750" t="b">
        <f>ISNUMBER(MATCH(tbl_working_daily[[#This Row],[LookupKey]],tbl_working_sleep[LookupKey],0))</f>
        <v>0</v>
      </c>
    </row>
    <row r="751" spans="1:24" x14ac:dyDescent="0.3">
      <c r="A751">
        <v>3372868164</v>
      </c>
      <c r="B751" s="1">
        <v>42477</v>
      </c>
      <c r="C751">
        <v>8199</v>
      </c>
      <c r="D751">
        <v>5.8800001144409197</v>
      </c>
      <c r="E751">
        <v>5.8800001144409197</v>
      </c>
      <c r="F751">
        <v>0</v>
      </c>
      <c r="G751">
        <v>1.4099999666214</v>
      </c>
      <c r="H751">
        <v>0.10000000149011599</v>
      </c>
      <c r="I751">
        <v>4.3600001335143999</v>
      </c>
      <c r="J751">
        <v>9.9999997764825804E-3</v>
      </c>
      <c r="K751">
        <v>11</v>
      </c>
      <c r="L751">
        <v>2</v>
      </c>
      <c r="M751">
        <v>322</v>
      </c>
      <c r="N751">
        <v>1105</v>
      </c>
      <c r="O751">
        <v>1964</v>
      </c>
      <c r="P751" t="str">
        <f>TEXT(tbl_working_daily[[#This Row],[ActivityDate]],"dddd")</f>
        <v>Sunday</v>
      </c>
      <c r="Q751" t="str">
        <f>TEXT(tbl_working_daily[[#This Row],[ActivityDate]],"mmmm")</f>
        <v>April</v>
      </c>
      <c r="R751">
        <f t="shared" si="22"/>
        <v>335</v>
      </c>
      <c r="S751">
        <f t="shared" si="23"/>
        <v>1440</v>
      </c>
      <c r="T751">
        <f>ROUND(tbl_working_daily[[#This Row],[SedentaryMinutes]]/60,2)</f>
        <v>18.420000000000002</v>
      </c>
      <c r="U751" t="str" cm="1">
        <f t="array" ref="U75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51" t="str" cm="1">
        <f t="array" ref="V751">_xlfn.IFS(tbl_working_daily[[#This Row],[VeryActiveMinutes]]&gt;=30,"Very Active",tbl_working_daily[[#This Row],[VeryActiveMinutes]]&gt;=15,"Moderately Active",tbl_working_daily[[#This Row],[VeryActiveMinutes]]&gt;=1,"Lightly Active",tbl_working_daily[[#This Row],[VeryActiveMinutes]]=0,"Sedentary")</f>
        <v>Lightly Active</v>
      </c>
      <c r="W751" t="str">
        <f>tbl_working_daily[[#This Row],[Id]]&amp;"|"&amp;TEXT(tbl_working_daily[[#This Row],[ActivityDate]],"yyyy-mm-dd")</f>
        <v>3372868164|2016-04-17</v>
      </c>
      <c r="X751" t="b">
        <f>ISNUMBER(MATCH(tbl_working_daily[[#This Row],[LookupKey]],tbl_working_sleep[LookupKey],0))</f>
        <v>0</v>
      </c>
    </row>
    <row r="752" spans="1:24" x14ac:dyDescent="0.3">
      <c r="A752">
        <v>3372868164</v>
      </c>
      <c r="B752" s="1">
        <v>42478</v>
      </c>
      <c r="C752">
        <v>6798</v>
      </c>
      <c r="D752">
        <v>4.6399998664856001</v>
      </c>
      <c r="E752">
        <v>4.6399998664856001</v>
      </c>
      <c r="F752">
        <v>0</v>
      </c>
      <c r="G752">
        <v>1.08000004291534</v>
      </c>
      <c r="H752">
        <v>0.20000000298023199</v>
      </c>
      <c r="I752">
        <v>3.3499999046325701</v>
      </c>
      <c r="J752">
        <v>0</v>
      </c>
      <c r="K752">
        <v>20</v>
      </c>
      <c r="L752">
        <v>7</v>
      </c>
      <c r="M752">
        <v>343</v>
      </c>
      <c r="N752">
        <v>1070</v>
      </c>
      <c r="O752">
        <v>2014</v>
      </c>
      <c r="P752" t="str">
        <f>TEXT(tbl_working_daily[[#This Row],[ActivityDate]],"dddd")</f>
        <v>Monday</v>
      </c>
      <c r="Q752" t="str">
        <f>TEXT(tbl_working_daily[[#This Row],[ActivityDate]],"mmmm")</f>
        <v>April</v>
      </c>
      <c r="R752">
        <f t="shared" si="22"/>
        <v>370</v>
      </c>
      <c r="S752">
        <f t="shared" si="23"/>
        <v>1440</v>
      </c>
      <c r="T752">
        <f>ROUND(tbl_working_daily[[#This Row],[SedentaryMinutes]]/60,2)</f>
        <v>17.829999999999998</v>
      </c>
      <c r="U752" t="str" cm="1">
        <f t="array" ref="U75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52" t="str" cm="1">
        <f t="array" ref="V752">_xlfn.IFS(tbl_working_daily[[#This Row],[VeryActiveMinutes]]&gt;=30,"Very Active",tbl_working_daily[[#This Row],[VeryActiveMinutes]]&gt;=15,"Moderately Active",tbl_working_daily[[#This Row],[VeryActiveMinutes]]&gt;=1,"Lightly Active",tbl_working_daily[[#This Row],[VeryActiveMinutes]]=0,"Sedentary")</f>
        <v>Moderately Active</v>
      </c>
      <c r="W752" t="str">
        <f>tbl_working_daily[[#This Row],[Id]]&amp;"|"&amp;TEXT(tbl_working_daily[[#This Row],[ActivityDate]],"yyyy-mm-dd")</f>
        <v>3372868164|2016-04-18</v>
      </c>
      <c r="X752" t="b">
        <f>ISNUMBER(MATCH(tbl_working_daily[[#This Row],[LookupKey]],tbl_working_sleep[LookupKey],0))</f>
        <v>0</v>
      </c>
    </row>
    <row r="753" spans="1:24" x14ac:dyDescent="0.3">
      <c r="A753">
        <v>3372868164</v>
      </c>
      <c r="B753" s="1">
        <v>42479</v>
      </c>
      <c r="C753">
        <v>7711</v>
      </c>
      <c r="D753">
        <v>5.2600002288818404</v>
      </c>
      <c r="E753">
        <v>5.2600002288818404</v>
      </c>
      <c r="F753">
        <v>0</v>
      </c>
      <c r="G753">
        <v>0</v>
      </c>
      <c r="H753">
        <v>0</v>
      </c>
      <c r="I753">
        <v>5.2399997711181596</v>
      </c>
      <c r="J753">
        <v>1.9999999552965199E-2</v>
      </c>
      <c r="K753">
        <v>0</v>
      </c>
      <c r="L753">
        <v>0</v>
      </c>
      <c r="M753">
        <v>376</v>
      </c>
      <c r="N753">
        <v>1064</v>
      </c>
      <c r="O753">
        <v>1985</v>
      </c>
      <c r="P753" t="str">
        <f>TEXT(tbl_working_daily[[#This Row],[ActivityDate]],"dddd")</f>
        <v>Tuesday</v>
      </c>
      <c r="Q753" t="str">
        <f>TEXT(tbl_working_daily[[#This Row],[ActivityDate]],"mmmm")</f>
        <v>April</v>
      </c>
      <c r="R753">
        <f t="shared" si="22"/>
        <v>376</v>
      </c>
      <c r="S753">
        <f t="shared" si="23"/>
        <v>1440</v>
      </c>
      <c r="T753">
        <f>ROUND(tbl_working_daily[[#This Row],[SedentaryMinutes]]/60,2)</f>
        <v>17.73</v>
      </c>
      <c r="U753" t="str" cm="1">
        <f t="array" ref="U75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53" t="str" cm="1">
        <f t="array" ref="V753">_xlfn.IFS(tbl_working_daily[[#This Row],[VeryActiveMinutes]]&gt;=30,"Very Active",tbl_working_daily[[#This Row],[VeryActiveMinutes]]&gt;=15,"Moderately Active",tbl_working_daily[[#This Row],[VeryActiveMinutes]]&gt;=1,"Lightly Active",tbl_working_daily[[#This Row],[VeryActiveMinutes]]=0,"Sedentary")</f>
        <v>Sedentary</v>
      </c>
      <c r="W753" t="str">
        <f>tbl_working_daily[[#This Row],[Id]]&amp;"|"&amp;TEXT(tbl_working_daily[[#This Row],[ActivityDate]],"yyyy-mm-dd")</f>
        <v>3372868164|2016-04-19</v>
      </c>
      <c r="X753" t="b">
        <f>ISNUMBER(MATCH(tbl_working_daily[[#This Row],[LookupKey]],tbl_working_sleep[LookupKey],0))</f>
        <v>0</v>
      </c>
    </row>
    <row r="754" spans="1:24" x14ac:dyDescent="0.3">
      <c r="A754">
        <v>3372868164</v>
      </c>
      <c r="B754" s="1">
        <v>42480</v>
      </c>
      <c r="C754">
        <v>4880</v>
      </c>
      <c r="D754">
        <v>3.3299999237060498</v>
      </c>
      <c r="E754">
        <v>3.3299999237060498</v>
      </c>
      <c r="F754">
        <v>0</v>
      </c>
      <c r="G754">
        <v>0.83999997377395597</v>
      </c>
      <c r="H754">
        <v>9.00000035762787E-2</v>
      </c>
      <c r="I754">
        <v>2.3800001144409202</v>
      </c>
      <c r="J754">
        <v>1.9999999552965199E-2</v>
      </c>
      <c r="K754">
        <v>15</v>
      </c>
      <c r="L754">
        <v>3</v>
      </c>
      <c r="M754">
        <v>274</v>
      </c>
      <c r="N754">
        <v>1148</v>
      </c>
      <c r="O754">
        <v>1867</v>
      </c>
      <c r="P754" t="str">
        <f>TEXT(tbl_working_daily[[#This Row],[ActivityDate]],"dddd")</f>
        <v>Wednesday</v>
      </c>
      <c r="Q754" t="str">
        <f>TEXT(tbl_working_daily[[#This Row],[ActivityDate]],"mmmm")</f>
        <v>April</v>
      </c>
      <c r="R754">
        <f t="shared" si="22"/>
        <v>292</v>
      </c>
      <c r="S754">
        <f t="shared" si="23"/>
        <v>1440</v>
      </c>
      <c r="T754">
        <f>ROUND(tbl_working_daily[[#This Row],[SedentaryMinutes]]/60,2)</f>
        <v>19.13</v>
      </c>
      <c r="U754" t="str" cm="1">
        <f t="array" ref="U75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54" t="str" cm="1">
        <f t="array" ref="V754">_xlfn.IFS(tbl_working_daily[[#This Row],[VeryActiveMinutes]]&gt;=30,"Very Active",tbl_working_daily[[#This Row],[VeryActiveMinutes]]&gt;=15,"Moderately Active",tbl_working_daily[[#This Row],[VeryActiveMinutes]]&gt;=1,"Lightly Active",tbl_working_daily[[#This Row],[VeryActiveMinutes]]=0,"Sedentary")</f>
        <v>Moderately Active</v>
      </c>
      <c r="W754" t="str">
        <f>tbl_working_daily[[#This Row],[Id]]&amp;"|"&amp;TEXT(tbl_working_daily[[#This Row],[ActivityDate]],"yyyy-mm-dd")</f>
        <v>3372868164|2016-04-20</v>
      </c>
      <c r="X754" t="b">
        <f>ISNUMBER(MATCH(tbl_working_daily[[#This Row],[LookupKey]],tbl_working_sleep[LookupKey],0))</f>
        <v>0</v>
      </c>
    </row>
    <row r="755" spans="1:24" x14ac:dyDescent="0.3">
      <c r="A755">
        <v>3372868164</v>
      </c>
      <c r="B755" s="1">
        <v>42481</v>
      </c>
      <c r="C755">
        <v>8857</v>
      </c>
      <c r="D755">
        <v>6.0700001716613796</v>
      </c>
      <c r="E755">
        <v>6.0700001716613796</v>
      </c>
      <c r="F755">
        <v>0</v>
      </c>
      <c r="G755">
        <v>1.1499999761581401</v>
      </c>
      <c r="H755">
        <v>0.259999990463257</v>
      </c>
      <c r="I755">
        <v>4.6399998664856001</v>
      </c>
      <c r="J755">
        <v>9.9999997764825804E-3</v>
      </c>
      <c r="K755">
        <v>18</v>
      </c>
      <c r="L755">
        <v>9</v>
      </c>
      <c r="M755">
        <v>376</v>
      </c>
      <c r="N755">
        <v>1037</v>
      </c>
      <c r="O755">
        <v>2124</v>
      </c>
      <c r="P755" t="str">
        <f>TEXT(tbl_working_daily[[#This Row],[ActivityDate]],"dddd")</f>
        <v>Thursday</v>
      </c>
      <c r="Q755" t="str">
        <f>TEXT(tbl_working_daily[[#This Row],[ActivityDate]],"mmmm")</f>
        <v>April</v>
      </c>
      <c r="R755">
        <f t="shared" si="22"/>
        <v>403</v>
      </c>
      <c r="S755">
        <f t="shared" si="23"/>
        <v>1440</v>
      </c>
      <c r="T755">
        <f>ROUND(tbl_working_daily[[#This Row],[SedentaryMinutes]]/60,2)</f>
        <v>17.28</v>
      </c>
      <c r="U755" t="str" cm="1">
        <f t="array" ref="U75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55" t="str" cm="1">
        <f t="array" ref="V755">_xlfn.IFS(tbl_working_daily[[#This Row],[VeryActiveMinutes]]&gt;=30,"Very Active",tbl_working_daily[[#This Row],[VeryActiveMinutes]]&gt;=15,"Moderately Active",tbl_working_daily[[#This Row],[VeryActiveMinutes]]&gt;=1,"Lightly Active",tbl_working_daily[[#This Row],[VeryActiveMinutes]]=0,"Sedentary")</f>
        <v>Moderately Active</v>
      </c>
      <c r="W755" t="str">
        <f>tbl_working_daily[[#This Row],[Id]]&amp;"|"&amp;TEXT(tbl_working_daily[[#This Row],[ActivityDate]],"yyyy-mm-dd")</f>
        <v>3372868164|2016-04-21</v>
      </c>
      <c r="X755" t="b">
        <f>ISNUMBER(MATCH(tbl_working_daily[[#This Row],[LookupKey]],tbl_working_sleep[LookupKey],0))</f>
        <v>0</v>
      </c>
    </row>
    <row r="756" spans="1:24" x14ac:dyDescent="0.3">
      <c r="A756">
        <v>3372868164</v>
      </c>
      <c r="B756" s="1">
        <v>42482</v>
      </c>
      <c r="C756">
        <v>3843</v>
      </c>
      <c r="D756">
        <v>2.6199998855590798</v>
      </c>
      <c r="E756">
        <v>2.6199998855590798</v>
      </c>
      <c r="F756">
        <v>0</v>
      </c>
      <c r="G756">
        <v>0</v>
      </c>
      <c r="H756">
        <v>0</v>
      </c>
      <c r="I756">
        <v>2.6099998950958301</v>
      </c>
      <c r="J756">
        <v>9.9999997764825804E-3</v>
      </c>
      <c r="K756">
        <v>0</v>
      </c>
      <c r="L756">
        <v>0</v>
      </c>
      <c r="M756">
        <v>206</v>
      </c>
      <c r="N756">
        <v>1234</v>
      </c>
      <c r="O756">
        <v>1669</v>
      </c>
      <c r="P756" t="str">
        <f>TEXT(tbl_working_daily[[#This Row],[ActivityDate]],"dddd")</f>
        <v>Friday</v>
      </c>
      <c r="Q756" t="str">
        <f>TEXT(tbl_working_daily[[#This Row],[ActivityDate]],"mmmm")</f>
        <v>April</v>
      </c>
      <c r="R756">
        <f t="shared" si="22"/>
        <v>206</v>
      </c>
      <c r="S756">
        <f t="shared" si="23"/>
        <v>1440</v>
      </c>
      <c r="T756">
        <f>ROUND(tbl_working_daily[[#This Row],[SedentaryMinutes]]/60,2)</f>
        <v>20.57</v>
      </c>
      <c r="U756" t="str" cm="1">
        <f t="array" ref="U75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56" t="str" cm="1">
        <f t="array" ref="V756">_xlfn.IFS(tbl_working_daily[[#This Row],[VeryActiveMinutes]]&gt;=30,"Very Active",tbl_working_daily[[#This Row],[VeryActiveMinutes]]&gt;=15,"Moderately Active",tbl_working_daily[[#This Row],[VeryActiveMinutes]]&gt;=1,"Lightly Active",tbl_working_daily[[#This Row],[VeryActiveMinutes]]=0,"Sedentary")</f>
        <v>Sedentary</v>
      </c>
      <c r="W756" t="str">
        <f>tbl_working_daily[[#This Row],[Id]]&amp;"|"&amp;TEXT(tbl_working_daily[[#This Row],[ActivityDate]],"yyyy-mm-dd")</f>
        <v>3372868164|2016-04-22</v>
      </c>
      <c r="X756" t="b">
        <f>ISNUMBER(MATCH(tbl_working_daily[[#This Row],[LookupKey]],tbl_working_sleep[LookupKey],0))</f>
        <v>0</v>
      </c>
    </row>
    <row r="757" spans="1:24" x14ac:dyDescent="0.3">
      <c r="A757">
        <v>3372868164</v>
      </c>
      <c r="B757" s="1">
        <v>42483</v>
      </c>
      <c r="C757">
        <v>7396</v>
      </c>
      <c r="D757">
        <v>5.0700001716613796</v>
      </c>
      <c r="E757">
        <v>5.0700001716613796</v>
      </c>
      <c r="F757">
        <v>0</v>
      </c>
      <c r="G757">
        <v>1.3999999761581401</v>
      </c>
      <c r="H757">
        <v>7.9999998211860698E-2</v>
      </c>
      <c r="I757">
        <v>3.5799999237060498</v>
      </c>
      <c r="J757">
        <v>0</v>
      </c>
      <c r="K757">
        <v>20</v>
      </c>
      <c r="L757">
        <v>2</v>
      </c>
      <c r="M757">
        <v>303</v>
      </c>
      <c r="N757">
        <v>1115</v>
      </c>
      <c r="O757">
        <v>1995</v>
      </c>
      <c r="P757" t="str">
        <f>TEXT(tbl_working_daily[[#This Row],[ActivityDate]],"dddd")</f>
        <v>Saturday</v>
      </c>
      <c r="Q757" t="str">
        <f>TEXT(tbl_working_daily[[#This Row],[ActivityDate]],"mmmm")</f>
        <v>April</v>
      </c>
      <c r="R757">
        <f t="shared" si="22"/>
        <v>325</v>
      </c>
      <c r="S757">
        <f t="shared" si="23"/>
        <v>1440</v>
      </c>
      <c r="T757">
        <f>ROUND(tbl_working_daily[[#This Row],[SedentaryMinutes]]/60,2)</f>
        <v>18.579999999999998</v>
      </c>
      <c r="U757" t="str" cm="1">
        <f t="array" ref="U75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57" t="str" cm="1">
        <f t="array" ref="V757">_xlfn.IFS(tbl_working_daily[[#This Row],[VeryActiveMinutes]]&gt;=30,"Very Active",tbl_working_daily[[#This Row],[VeryActiveMinutes]]&gt;=15,"Moderately Active",tbl_working_daily[[#This Row],[VeryActiveMinutes]]&gt;=1,"Lightly Active",tbl_working_daily[[#This Row],[VeryActiveMinutes]]=0,"Sedentary")</f>
        <v>Moderately Active</v>
      </c>
      <c r="W757" t="str">
        <f>tbl_working_daily[[#This Row],[Id]]&amp;"|"&amp;TEXT(tbl_working_daily[[#This Row],[ActivityDate]],"yyyy-mm-dd")</f>
        <v>3372868164|2016-04-23</v>
      </c>
      <c r="X757" t="b">
        <f>ISNUMBER(MATCH(tbl_working_daily[[#This Row],[LookupKey]],tbl_working_sleep[LookupKey],0))</f>
        <v>0</v>
      </c>
    </row>
    <row r="758" spans="1:24" x14ac:dyDescent="0.3">
      <c r="A758">
        <v>3372868164</v>
      </c>
      <c r="B758" s="1">
        <v>42484</v>
      </c>
      <c r="C758">
        <v>6731</v>
      </c>
      <c r="D758">
        <v>4.5900001525878897</v>
      </c>
      <c r="E758">
        <v>4.5900001525878897</v>
      </c>
      <c r="F758">
        <v>0</v>
      </c>
      <c r="G758">
        <v>0.88999998569488503</v>
      </c>
      <c r="H758">
        <v>0.18999999761581399</v>
      </c>
      <c r="I758">
        <v>3.4900000095367401</v>
      </c>
      <c r="J758">
        <v>1.9999999552965199E-2</v>
      </c>
      <c r="K758">
        <v>14</v>
      </c>
      <c r="L758">
        <v>7</v>
      </c>
      <c r="M758">
        <v>292</v>
      </c>
      <c r="N758">
        <v>1127</v>
      </c>
      <c r="O758">
        <v>1921</v>
      </c>
      <c r="P758" t="str">
        <f>TEXT(tbl_working_daily[[#This Row],[ActivityDate]],"dddd")</f>
        <v>Sunday</v>
      </c>
      <c r="Q758" t="str">
        <f>TEXT(tbl_working_daily[[#This Row],[ActivityDate]],"mmmm")</f>
        <v>April</v>
      </c>
      <c r="R758">
        <f t="shared" si="22"/>
        <v>313</v>
      </c>
      <c r="S758">
        <f t="shared" si="23"/>
        <v>1440</v>
      </c>
      <c r="T758">
        <f>ROUND(tbl_working_daily[[#This Row],[SedentaryMinutes]]/60,2)</f>
        <v>18.78</v>
      </c>
      <c r="U758" t="str" cm="1">
        <f t="array" ref="U75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58" t="str" cm="1">
        <f t="array" ref="V758">_xlfn.IFS(tbl_working_daily[[#This Row],[VeryActiveMinutes]]&gt;=30,"Very Active",tbl_working_daily[[#This Row],[VeryActiveMinutes]]&gt;=15,"Moderately Active",tbl_working_daily[[#This Row],[VeryActiveMinutes]]&gt;=1,"Lightly Active",tbl_working_daily[[#This Row],[VeryActiveMinutes]]=0,"Sedentary")</f>
        <v>Lightly Active</v>
      </c>
      <c r="W758" t="str">
        <f>tbl_working_daily[[#This Row],[Id]]&amp;"|"&amp;TEXT(tbl_working_daily[[#This Row],[ActivityDate]],"yyyy-mm-dd")</f>
        <v>3372868164|2016-04-24</v>
      </c>
      <c r="X758" t="b">
        <f>ISNUMBER(MATCH(tbl_working_daily[[#This Row],[LookupKey]],tbl_working_sleep[LookupKey],0))</f>
        <v>0</v>
      </c>
    </row>
    <row r="759" spans="1:24" x14ac:dyDescent="0.3">
      <c r="A759">
        <v>3372868164</v>
      </c>
      <c r="B759" s="1">
        <v>42485</v>
      </c>
      <c r="C759">
        <v>5995</v>
      </c>
      <c r="D759">
        <v>4.0900001525878897</v>
      </c>
      <c r="E759">
        <v>4.0900001525878897</v>
      </c>
      <c r="F759">
        <v>0</v>
      </c>
      <c r="G759">
        <v>0</v>
      </c>
      <c r="H759">
        <v>0</v>
      </c>
      <c r="I759">
        <v>4.0900001525878897</v>
      </c>
      <c r="J759">
        <v>0</v>
      </c>
      <c r="K759">
        <v>0</v>
      </c>
      <c r="L759">
        <v>0</v>
      </c>
      <c r="M759">
        <v>416</v>
      </c>
      <c r="N759">
        <v>1024</v>
      </c>
      <c r="O759">
        <v>2010</v>
      </c>
      <c r="P759" t="str">
        <f>TEXT(tbl_working_daily[[#This Row],[ActivityDate]],"dddd")</f>
        <v>Monday</v>
      </c>
      <c r="Q759" t="str">
        <f>TEXT(tbl_working_daily[[#This Row],[ActivityDate]],"mmmm")</f>
        <v>April</v>
      </c>
      <c r="R759">
        <f t="shared" si="22"/>
        <v>416</v>
      </c>
      <c r="S759">
        <f t="shared" si="23"/>
        <v>1440</v>
      </c>
      <c r="T759">
        <f>ROUND(tbl_working_daily[[#This Row],[SedentaryMinutes]]/60,2)</f>
        <v>17.07</v>
      </c>
      <c r="U759" t="str" cm="1">
        <f t="array" ref="U75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59" t="str" cm="1">
        <f t="array" ref="V759">_xlfn.IFS(tbl_working_daily[[#This Row],[VeryActiveMinutes]]&gt;=30,"Very Active",tbl_working_daily[[#This Row],[VeryActiveMinutes]]&gt;=15,"Moderately Active",tbl_working_daily[[#This Row],[VeryActiveMinutes]]&gt;=1,"Lightly Active",tbl_working_daily[[#This Row],[VeryActiveMinutes]]=0,"Sedentary")</f>
        <v>Sedentary</v>
      </c>
      <c r="W759" t="str">
        <f>tbl_working_daily[[#This Row],[Id]]&amp;"|"&amp;TEXT(tbl_working_daily[[#This Row],[ActivityDate]],"yyyy-mm-dd")</f>
        <v>3372868164|2016-04-25</v>
      </c>
      <c r="X759" t="b">
        <f>ISNUMBER(MATCH(tbl_working_daily[[#This Row],[LookupKey]],tbl_working_sleep[LookupKey],0))</f>
        <v>0</v>
      </c>
    </row>
    <row r="760" spans="1:24" x14ac:dyDescent="0.3">
      <c r="A760">
        <v>3372868164</v>
      </c>
      <c r="B760" s="1">
        <v>42486</v>
      </c>
      <c r="C760">
        <v>8283</v>
      </c>
      <c r="D760">
        <v>5.78999996185303</v>
      </c>
      <c r="E760">
        <v>5.78999996185303</v>
      </c>
      <c r="F760">
        <v>0</v>
      </c>
      <c r="G760">
        <v>1.8500000238418599</v>
      </c>
      <c r="H760">
        <v>5.0000000745058101E-2</v>
      </c>
      <c r="I760">
        <v>3.8699998855590798</v>
      </c>
      <c r="J760">
        <v>9.9999997764825804E-3</v>
      </c>
      <c r="K760">
        <v>22</v>
      </c>
      <c r="L760">
        <v>2</v>
      </c>
      <c r="M760">
        <v>333</v>
      </c>
      <c r="N760">
        <v>1083</v>
      </c>
      <c r="O760">
        <v>2057</v>
      </c>
      <c r="P760" t="str">
        <f>TEXT(tbl_working_daily[[#This Row],[ActivityDate]],"dddd")</f>
        <v>Tuesday</v>
      </c>
      <c r="Q760" t="str">
        <f>TEXT(tbl_working_daily[[#This Row],[ActivityDate]],"mmmm")</f>
        <v>April</v>
      </c>
      <c r="R760">
        <f t="shared" si="22"/>
        <v>357</v>
      </c>
      <c r="S760">
        <f t="shared" si="23"/>
        <v>1440</v>
      </c>
      <c r="T760">
        <f>ROUND(tbl_working_daily[[#This Row],[SedentaryMinutes]]/60,2)</f>
        <v>18.05</v>
      </c>
      <c r="U760" t="str" cm="1">
        <f t="array" ref="U76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60" t="str" cm="1">
        <f t="array" ref="V760">_xlfn.IFS(tbl_working_daily[[#This Row],[VeryActiveMinutes]]&gt;=30,"Very Active",tbl_working_daily[[#This Row],[VeryActiveMinutes]]&gt;=15,"Moderately Active",tbl_working_daily[[#This Row],[VeryActiveMinutes]]&gt;=1,"Lightly Active",tbl_working_daily[[#This Row],[VeryActiveMinutes]]=0,"Sedentary")</f>
        <v>Moderately Active</v>
      </c>
      <c r="W760" t="str">
        <f>tbl_working_daily[[#This Row],[Id]]&amp;"|"&amp;TEXT(tbl_working_daily[[#This Row],[ActivityDate]],"yyyy-mm-dd")</f>
        <v>3372868164|2016-04-26</v>
      </c>
      <c r="X760" t="b">
        <f>ISNUMBER(MATCH(tbl_working_daily[[#This Row],[LookupKey]],tbl_working_sleep[LookupKey],0))</f>
        <v>0</v>
      </c>
    </row>
    <row r="761" spans="1:24" x14ac:dyDescent="0.3">
      <c r="A761">
        <v>3372868164</v>
      </c>
      <c r="B761" s="1">
        <v>42487</v>
      </c>
      <c r="C761">
        <v>7904</v>
      </c>
      <c r="D761">
        <v>5.4200000762939498</v>
      </c>
      <c r="E761">
        <v>5.4200000762939498</v>
      </c>
      <c r="F761">
        <v>0</v>
      </c>
      <c r="G761">
        <v>1.58000004291534</v>
      </c>
      <c r="H761">
        <v>0.62999999523162797</v>
      </c>
      <c r="I761">
        <v>3.1900000572204599</v>
      </c>
      <c r="J761">
        <v>9.9999997764825804E-3</v>
      </c>
      <c r="K761">
        <v>24</v>
      </c>
      <c r="L761">
        <v>13</v>
      </c>
      <c r="M761">
        <v>346</v>
      </c>
      <c r="N761">
        <v>1057</v>
      </c>
      <c r="O761">
        <v>2095</v>
      </c>
      <c r="P761" t="str">
        <f>TEXT(tbl_working_daily[[#This Row],[ActivityDate]],"dddd")</f>
        <v>Wednesday</v>
      </c>
      <c r="Q761" t="str">
        <f>TEXT(tbl_working_daily[[#This Row],[ActivityDate]],"mmmm")</f>
        <v>April</v>
      </c>
      <c r="R761">
        <f t="shared" si="22"/>
        <v>383</v>
      </c>
      <c r="S761">
        <f t="shared" si="23"/>
        <v>1440</v>
      </c>
      <c r="T761">
        <f>ROUND(tbl_working_daily[[#This Row],[SedentaryMinutes]]/60,2)</f>
        <v>17.62</v>
      </c>
      <c r="U761" t="str" cm="1">
        <f t="array" ref="U76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61" t="str" cm="1">
        <f t="array" ref="V761">_xlfn.IFS(tbl_working_daily[[#This Row],[VeryActiveMinutes]]&gt;=30,"Very Active",tbl_working_daily[[#This Row],[VeryActiveMinutes]]&gt;=15,"Moderately Active",tbl_working_daily[[#This Row],[VeryActiveMinutes]]&gt;=1,"Lightly Active",tbl_working_daily[[#This Row],[VeryActiveMinutes]]=0,"Sedentary")</f>
        <v>Moderately Active</v>
      </c>
      <c r="W761" t="str">
        <f>tbl_working_daily[[#This Row],[Id]]&amp;"|"&amp;TEXT(tbl_working_daily[[#This Row],[ActivityDate]],"yyyy-mm-dd")</f>
        <v>3372868164|2016-04-27</v>
      </c>
      <c r="X761" t="b">
        <f>ISNUMBER(MATCH(tbl_working_daily[[#This Row],[LookupKey]],tbl_working_sleep[LookupKey],0))</f>
        <v>0</v>
      </c>
    </row>
    <row r="762" spans="1:24" x14ac:dyDescent="0.3">
      <c r="A762">
        <v>3372868164</v>
      </c>
      <c r="B762" s="1">
        <v>42488</v>
      </c>
      <c r="C762">
        <v>5512</v>
      </c>
      <c r="D762">
        <v>3.7599999904632599</v>
      </c>
      <c r="E762">
        <v>3.7599999904632599</v>
      </c>
      <c r="F762">
        <v>0</v>
      </c>
      <c r="G762">
        <v>0</v>
      </c>
      <c r="H762">
        <v>0</v>
      </c>
      <c r="I762">
        <v>3.7599999904632599</v>
      </c>
      <c r="J762">
        <v>0</v>
      </c>
      <c r="K762">
        <v>0</v>
      </c>
      <c r="L762">
        <v>0</v>
      </c>
      <c r="M762">
        <v>385</v>
      </c>
      <c r="N762">
        <v>1055</v>
      </c>
      <c r="O762">
        <v>1972</v>
      </c>
      <c r="P762" t="str">
        <f>TEXT(tbl_working_daily[[#This Row],[ActivityDate]],"dddd")</f>
        <v>Thursday</v>
      </c>
      <c r="Q762" t="str">
        <f>TEXT(tbl_working_daily[[#This Row],[ActivityDate]],"mmmm")</f>
        <v>April</v>
      </c>
      <c r="R762">
        <f t="shared" si="22"/>
        <v>385</v>
      </c>
      <c r="S762">
        <f t="shared" si="23"/>
        <v>1440</v>
      </c>
      <c r="T762">
        <f>ROUND(tbl_working_daily[[#This Row],[SedentaryMinutes]]/60,2)</f>
        <v>17.579999999999998</v>
      </c>
      <c r="U762" t="str" cm="1">
        <f t="array" ref="U76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62" t="str" cm="1">
        <f t="array" ref="V762">_xlfn.IFS(tbl_working_daily[[#This Row],[VeryActiveMinutes]]&gt;=30,"Very Active",tbl_working_daily[[#This Row],[VeryActiveMinutes]]&gt;=15,"Moderately Active",tbl_working_daily[[#This Row],[VeryActiveMinutes]]&gt;=1,"Lightly Active",tbl_working_daily[[#This Row],[VeryActiveMinutes]]=0,"Sedentary")</f>
        <v>Sedentary</v>
      </c>
      <c r="W762" t="str">
        <f>tbl_working_daily[[#This Row],[Id]]&amp;"|"&amp;TEXT(tbl_working_daily[[#This Row],[ActivityDate]],"yyyy-mm-dd")</f>
        <v>3372868164|2016-04-28</v>
      </c>
      <c r="X762" t="b">
        <f>ISNUMBER(MATCH(tbl_working_daily[[#This Row],[LookupKey]],tbl_working_sleep[LookupKey],0))</f>
        <v>0</v>
      </c>
    </row>
    <row r="763" spans="1:24" x14ac:dyDescent="0.3">
      <c r="A763">
        <v>3372868164</v>
      </c>
      <c r="B763" s="1">
        <v>42489</v>
      </c>
      <c r="C763">
        <v>9135</v>
      </c>
      <c r="D763">
        <v>6.2300000190734899</v>
      </c>
      <c r="E763">
        <v>6.2300000190734899</v>
      </c>
      <c r="F763">
        <v>0</v>
      </c>
      <c r="G763">
        <v>0</v>
      </c>
      <c r="H763">
        <v>0</v>
      </c>
      <c r="I763">
        <v>6.2199997901916504</v>
      </c>
      <c r="J763">
        <v>9.9999997764825804E-3</v>
      </c>
      <c r="K763">
        <v>0</v>
      </c>
      <c r="L763">
        <v>0</v>
      </c>
      <c r="M763">
        <v>402</v>
      </c>
      <c r="N763">
        <v>1038</v>
      </c>
      <c r="O763">
        <v>2044</v>
      </c>
      <c r="P763" t="str">
        <f>TEXT(tbl_working_daily[[#This Row],[ActivityDate]],"dddd")</f>
        <v>Friday</v>
      </c>
      <c r="Q763" t="str">
        <f>TEXT(tbl_working_daily[[#This Row],[ActivityDate]],"mmmm")</f>
        <v>April</v>
      </c>
      <c r="R763">
        <f t="shared" si="22"/>
        <v>402</v>
      </c>
      <c r="S763">
        <f t="shared" si="23"/>
        <v>1440</v>
      </c>
      <c r="T763">
        <f>ROUND(tbl_working_daily[[#This Row],[SedentaryMinutes]]/60,2)</f>
        <v>17.3</v>
      </c>
      <c r="U763" t="str" cm="1">
        <f t="array" ref="U76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63" t="str" cm="1">
        <f t="array" ref="V763">_xlfn.IFS(tbl_working_daily[[#This Row],[VeryActiveMinutes]]&gt;=30,"Very Active",tbl_working_daily[[#This Row],[VeryActiveMinutes]]&gt;=15,"Moderately Active",tbl_working_daily[[#This Row],[VeryActiveMinutes]]&gt;=1,"Lightly Active",tbl_working_daily[[#This Row],[VeryActiveMinutes]]=0,"Sedentary")</f>
        <v>Sedentary</v>
      </c>
      <c r="W763" t="str">
        <f>tbl_working_daily[[#This Row],[Id]]&amp;"|"&amp;TEXT(tbl_working_daily[[#This Row],[ActivityDate]],"yyyy-mm-dd")</f>
        <v>3372868164|2016-04-29</v>
      </c>
      <c r="X763" t="b">
        <f>ISNUMBER(MATCH(tbl_working_daily[[#This Row],[LookupKey]],tbl_working_sleep[LookupKey],0))</f>
        <v>0</v>
      </c>
    </row>
    <row r="764" spans="1:24" x14ac:dyDescent="0.3">
      <c r="A764">
        <v>3372868164</v>
      </c>
      <c r="B764" s="1">
        <v>42490</v>
      </c>
      <c r="C764">
        <v>5250</v>
      </c>
      <c r="D764">
        <v>3.5799999237060498</v>
      </c>
      <c r="E764">
        <v>3.5799999237060498</v>
      </c>
      <c r="F764">
        <v>0</v>
      </c>
      <c r="G764">
        <v>1.0599999427795399</v>
      </c>
      <c r="H764">
        <v>9.00000035762787E-2</v>
      </c>
      <c r="I764">
        <v>2.4200000762939502</v>
      </c>
      <c r="J764">
        <v>9.9999997764825804E-3</v>
      </c>
      <c r="K764">
        <v>17</v>
      </c>
      <c r="L764">
        <v>4</v>
      </c>
      <c r="M764">
        <v>300</v>
      </c>
      <c r="N764">
        <v>1119</v>
      </c>
      <c r="O764">
        <v>1946</v>
      </c>
      <c r="P764" t="str">
        <f>TEXT(tbl_working_daily[[#This Row],[ActivityDate]],"dddd")</f>
        <v>Saturday</v>
      </c>
      <c r="Q764" t="str">
        <f>TEXT(tbl_working_daily[[#This Row],[ActivityDate]],"mmmm")</f>
        <v>April</v>
      </c>
      <c r="R764">
        <f t="shared" si="22"/>
        <v>321</v>
      </c>
      <c r="S764">
        <f t="shared" si="23"/>
        <v>1440</v>
      </c>
      <c r="T764">
        <f>ROUND(tbl_working_daily[[#This Row],[SedentaryMinutes]]/60,2)</f>
        <v>18.649999999999999</v>
      </c>
      <c r="U764" t="str" cm="1">
        <f t="array" ref="U76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64" t="str" cm="1">
        <f t="array" ref="V764">_xlfn.IFS(tbl_working_daily[[#This Row],[VeryActiveMinutes]]&gt;=30,"Very Active",tbl_working_daily[[#This Row],[VeryActiveMinutes]]&gt;=15,"Moderately Active",tbl_working_daily[[#This Row],[VeryActiveMinutes]]&gt;=1,"Lightly Active",tbl_working_daily[[#This Row],[VeryActiveMinutes]]=0,"Sedentary")</f>
        <v>Moderately Active</v>
      </c>
      <c r="W764" t="str">
        <f>tbl_working_daily[[#This Row],[Id]]&amp;"|"&amp;TEXT(tbl_working_daily[[#This Row],[ActivityDate]],"yyyy-mm-dd")</f>
        <v>3372868164|2016-04-30</v>
      </c>
      <c r="X764" t="b">
        <f>ISNUMBER(MATCH(tbl_working_daily[[#This Row],[LookupKey]],tbl_working_sleep[LookupKey],0))</f>
        <v>0</v>
      </c>
    </row>
    <row r="765" spans="1:24" x14ac:dyDescent="0.3">
      <c r="A765">
        <v>3372868164</v>
      </c>
      <c r="B765" s="1">
        <v>42491</v>
      </c>
      <c r="C765">
        <v>3077</v>
      </c>
      <c r="D765">
        <v>2.0999999046325701</v>
      </c>
      <c r="E765">
        <v>2.0999999046325701</v>
      </c>
      <c r="F765">
        <v>0</v>
      </c>
      <c r="G765">
        <v>0</v>
      </c>
      <c r="H765">
        <v>0</v>
      </c>
      <c r="I765">
        <v>2.0899999141693102</v>
      </c>
      <c r="J765">
        <v>0</v>
      </c>
      <c r="K765">
        <v>0</v>
      </c>
      <c r="L765">
        <v>0</v>
      </c>
      <c r="M765">
        <v>172</v>
      </c>
      <c r="N765">
        <v>842</v>
      </c>
      <c r="O765">
        <v>1237</v>
      </c>
      <c r="P765" t="str">
        <f>TEXT(tbl_working_daily[[#This Row],[ActivityDate]],"dddd")</f>
        <v>Sunday</v>
      </c>
      <c r="Q765" t="str">
        <f>TEXT(tbl_working_daily[[#This Row],[ActivityDate]],"mmmm")</f>
        <v>May</v>
      </c>
      <c r="R765">
        <f t="shared" si="22"/>
        <v>172</v>
      </c>
      <c r="S765">
        <f t="shared" si="23"/>
        <v>1014</v>
      </c>
      <c r="T765">
        <f>ROUND(tbl_working_daily[[#This Row],[SedentaryMinutes]]/60,2)</f>
        <v>14.03</v>
      </c>
      <c r="U765" t="str" cm="1">
        <f t="array" ref="U76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65" t="str" cm="1">
        <f t="array" ref="V765">_xlfn.IFS(tbl_working_daily[[#This Row],[VeryActiveMinutes]]&gt;=30,"Very Active",tbl_working_daily[[#This Row],[VeryActiveMinutes]]&gt;=15,"Moderately Active",tbl_working_daily[[#This Row],[VeryActiveMinutes]]&gt;=1,"Lightly Active",tbl_working_daily[[#This Row],[VeryActiveMinutes]]=0,"Sedentary")</f>
        <v>Sedentary</v>
      </c>
      <c r="W765" t="str">
        <f>tbl_working_daily[[#This Row],[Id]]&amp;"|"&amp;TEXT(tbl_working_daily[[#This Row],[ActivityDate]],"yyyy-mm-dd")</f>
        <v>3372868164|2016-05-01</v>
      </c>
      <c r="X765" t="b">
        <f>ISNUMBER(MATCH(tbl_working_daily[[#This Row],[LookupKey]],tbl_working_sleep[LookupKey],0))</f>
        <v>0</v>
      </c>
    </row>
    <row r="766" spans="1:24" x14ac:dyDescent="0.3">
      <c r="A766">
        <v>3977333714</v>
      </c>
      <c r="B766" s="1">
        <v>42473</v>
      </c>
      <c r="C766">
        <v>10035</v>
      </c>
      <c r="D766">
        <v>6.71000003814697</v>
      </c>
      <c r="E766">
        <v>6.71000003814697</v>
      </c>
      <c r="F766">
        <v>0</v>
      </c>
      <c r="G766">
        <v>2.0299999713897701</v>
      </c>
      <c r="H766">
        <v>2.1300001144409202</v>
      </c>
      <c r="I766">
        <v>2.5499999523162802</v>
      </c>
      <c r="J766">
        <v>0</v>
      </c>
      <c r="K766">
        <v>31</v>
      </c>
      <c r="L766">
        <v>46</v>
      </c>
      <c r="M766">
        <v>153</v>
      </c>
      <c r="N766">
        <v>754</v>
      </c>
      <c r="O766">
        <v>1495</v>
      </c>
      <c r="P766" t="str">
        <f>TEXT(tbl_working_daily[[#This Row],[ActivityDate]],"dddd")</f>
        <v>Wednesday</v>
      </c>
      <c r="Q766" t="str">
        <f>TEXT(tbl_working_daily[[#This Row],[ActivityDate]],"mmmm")</f>
        <v>April</v>
      </c>
      <c r="R766">
        <f t="shared" si="22"/>
        <v>230</v>
      </c>
      <c r="S766">
        <f t="shared" si="23"/>
        <v>984</v>
      </c>
      <c r="T766">
        <f>ROUND(tbl_working_daily[[#This Row],[SedentaryMinutes]]/60,2)</f>
        <v>12.57</v>
      </c>
      <c r="U766" t="str" cm="1">
        <f t="array" ref="U76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66" t="str" cm="1">
        <f t="array" ref="V766">_xlfn.IFS(tbl_working_daily[[#This Row],[VeryActiveMinutes]]&gt;=30,"Very Active",tbl_working_daily[[#This Row],[VeryActiveMinutes]]&gt;=15,"Moderately Active",tbl_working_daily[[#This Row],[VeryActiveMinutes]]&gt;=1,"Lightly Active",tbl_working_daily[[#This Row],[VeryActiveMinutes]]=0,"Sedentary")</f>
        <v>Very Active</v>
      </c>
      <c r="W766" t="str">
        <f>tbl_working_daily[[#This Row],[Id]]&amp;"|"&amp;TEXT(tbl_working_daily[[#This Row],[ActivityDate]],"yyyy-mm-dd")</f>
        <v>3977333714|2016-04-13</v>
      </c>
      <c r="X766" t="b">
        <f>ISNUMBER(MATCH(tbl_working_daily[[#This Row],[LookupKey]],tbl_working_sleep[LookupKey],0))</f>
        <v>1</v>
      </c>
    </row>
    <row r="767" spans="1:24" x14ac:dyDescent="0.3">
      <c r="A767">
        <v>3977333714</v>
      </c>
      <c r="B767" s="1">
        <v>42474</v>
      </c>
      <c r="C767">
        <v>7641</v>
      </c>
      <c r="D767">
        <v>5.1100001335143999</v>
      </c>
      <c r="E767">
        <v>5.1100001335143999</v>
      </c>
      <c r="F767">
        <v>0</v>
      </c>
      <c r="G767">
        <v>0.31999999284744302</v>
      </c>
      <c r="H767">
        <v>0.97000002861022905</v>
      </c>
      <c r="I767">
        <v>3.8199999332428001</v>
      </c>
      <c r="J767">
        <v>0</v>
      </c>
      <c r="K767">
        <v>5</v>
      </c>
      <c r="L767">
        <v>23</v>
      </c>
      <c r="M767">
        <v>214</v>
      </c>
      <c r="N767">
        <v>801</v>
      </c>
      <c r="O767">
        <v>1433</v>
      </c>
      <c r="P767" t="str">
        <f>TEXT(tbl_working_daily[[#This Row],[ActivityDate]],"dddd")</f>
        <v>Thursday</v>
      </c>
      <c r="Q767" t="str">
        <f>TEXT(tbl_working_daily[[#This Row],[ActivityDate]],"mmmm")</f>
        <v>April</v>
      </c>
      <c r="R767">
        <f t="shared" si="22"/>
        <v>242</v>
      </c>
      <c r="S767">
        <f t="shared" si="23"/>
        <v>1043</v>
      </c>
      <c r="T767">
        <f>ROUND(tbl_working_daily[[#This Row],[SedentaryMinutes]]/60,2)</f>
        <v>13.35</v>
      </c>
      <c r="U767" t="str" cm="1">
        <f t="array" ref="U76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67" t="str" cm="1">
        <f t="array" ref="V767">_xlfn.IFS(tbl_working_daily[[#This Row],[VeryActiveMinutes]]&gt;=30,"Very Active",tbl_working_daily[[#This Row],[VeryActiveMinutes]]&gt;=15,"Moderately Active",tbl_working_daily[[#This Row],[VeryActiveMinutes]]&gt;=1,"Lightly Active",tbl_working_daily[[#This Row],[VeryActiveMinutes]]=0,"Sedentary")</f>
        <v>Lightly Active</v>
      </c>
      <c r="W767" t="str">
        <f>tbl_working_daily[[#This Row],[Id]]&amp;"|"&amp;TEXT(tbl_working_daily[[#This Row],[ActivityDate]],"yyyy-mm-dd")</f>
        <v>3977333714|2016-04-14</v>
      </c>
      <c r="X767" t="b">
        <f>ISNUMBER(MATCH(tbl_working_daily[[#This Row],[LookupKey]],tbl_working_sleep[LookupKey],0))</f>
        <v>1</v>
      </c>
    </row>
    <row r="768" spans="1:24" x14ac:dyDescent="0.3">
      <c r="A768">
        <v>3977333714</v>
      </c>
      <c r="B768" s="1">
        <v>42475</v>
      </c>
      <c r="C768">
        <v>9010</v>
      </c>
      <c r="D768">
        <v>6.0599999427795401</v>
      </c>
      <c r="E768">
        <v>6.0599999427795401</v>
      </c>
      <c r="F768">
        <v>0</v>
      </c>
      <c r="G768">
        <v>1.04999995231628</v>
      </c>
      <c r="H768">
        <v>1.75</v>
      </c>
      <c r="I768">
        <v>3.2599999904632599</v>
      </c>
      <c r="J768">
        <v>0</v>
      </c>
      <c r="K768">
        <v>15</v>
      </c>
      <c r="L768">
        <v>42</v>
      </c>
      <c r="M768">
        <v>183</v>
      </c>
      <c r="N768">
        <v>644</v>
      </c>
      <c r="O768">
        <v>1468</v>
      </c>
      <c r="P768" t="str">
        <f>TEXT(tbl_working_daily[[#This Row],[ActivityDate]],"dddd")</f>
        <v>Friday</v>
      </c>
      <c r="Q768" t="str">
        <f>TEXT(tbl_working_daily[[#This Row],[ActivityDate]],"mmmm")</f>
        <v>April</v>
      </c>
      <c r="R768">
        <f t="shared" si="22"/>
        <v>240</v>
      </c>
      <c r="S768">
        <f t="shared" si="23"/>
        <v>884</v>
      </c>
      <c r="T768">
        <f>ROUND(tbl_working_daily[[#This Row],[SedentaryMinutes]]/60,2)</f>
        <v>10.73</v>
      </c>
      <c r="U768" t="str" cm="1">
        <f t="array" ref="U76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68" t="str" cm="1">
        <f t="array" ref="V768">_xlfn.IFS(tbl_working_daily[[#This Row],[VeryActiveMinutes]]&gt;=30,"Very Active",tbl_working_daily[[#This Row],[VeryActiveMinutes]]&gt;=15,"Moderately Active",tbl_working_daily[[#This Row],[VeryActiveMinutes]]&gt;=1,"Lightly Active",tbl_working_daily[[#This Row],[VeryActiveMinutes]]=0,"Sedentary")</f>
        <v>Moderately Active</v>
      </c>
      <c r="W768" t="str">
        <f>tbl_working_daily[[#This Row],[Id]]&amp;"|"&amp;TEXT(tbl_working_daily[[#This Row],[ActivityDate]],"yyyy-mm-dd")</f>
        <v>3977333714|2016-04-15</v>
      </c>
      <c r="X768" t="b">
        <f>ISNUMBER(MATCH(tbl_working_daily[[#This Row],[LookupKey]],tbl_working_sleep[LookupKey],0))</f>
        <v>1</v>
      </c>
    </row>
    <row r="769" spans="1:24" x14ac:dyDescent="0.3">
      <c r="A769">
        <v>3977333714</v>
      </c>
      <c r="B769" s="1">
        <v>42476</v>
      </c>
      <c r="C769">
        <v>13459</v>
      </c>
      <c r="D769">
        <v>9</v>
      </c>
      <c r="E769">
        <v>9</v>
      </c>
      <c r="F769">
        <v>0</v>
      </c>
      <c r="G769">
        <v>2.0299999713897701</v>
      </c>
      <c r="H769">
        <v>4</v>
      </c>
      <c r="I769">
        <v>2.9700000286102299</v>
      </c>
      <c r="J769">
        <v>0</v>
      </c>
      <c r="K769">
        <v>31</v>
      </c>
      <c r="L769">
        <v>83</v>
      </c>
      <c r="M769">
        <v>153</v>
      </c>
      <c r="N769">
        <v>663</v>
      </c>
      <c r="O769">
        <v>1625</v>
      </c>
      <c r="P769" t="str">
        <f>TEXT(tbl_working_daily[[#This Row],[ActivityDate]],"dddd")</f>
        <v>Saturday</v>
      </c>
      <c r="Q769" t="str">
        <f>TEXT(tbl_working_daily[[#This Row],[ActivityDate]],"mmmm")</f>
        <v>April</v>
      </c>
      <c r="R769">
        <f t="shared" si="22"/>
        <v>267</v>
      </c>
      <c r="S769">
        <f t="shared" si="23"/>
        <v>930</v>
      </c>
      <c r="T769">
        <f>ROUND(tbl_working_daily[[#This Row],[SedentaryMinutes]]/60,2)</f>
        <v>11.05</v>
      </c>
      <c r="U769" t="str" cm="1">
        <f t="array" ref="U76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69" t="str" cm="1">
        <f t="array" ref="V769">_xlfn.IFS(tbl_working_daily[[#This Row],[VeryActiveMinutes]]&gt;=30,"Very Active",tbl_working_daily[[#This Row],[VeryActiveMinutes]]&gt;=15,"Moderately Active",tbl_working_daily[[#This Row],[VeryActiveMinutes]]&gt;=1,"Lightly Active",tbl_working_daily[[#This Row],[VeryActiveMinutes]]=0,"Sedentary")</f>
        <v>Very Active</v>
      </c>
      <c r="W769" t="str">
        <f>tbl_working_daily[[#This Row],[Id]]&amp;"|"&amp;TEXT(tbl_working_daily[[#This Row],[ActivityDate]],"yyyy-mm-dd")</f>
        <v>3977333714|2016-04-16</v>
      </c>
      <c r="X769" t="b">
        <f>ISNUMBER(MATCH(tbl_working_daily[[#This Row],[LookupKey]],tbl_working_sleep[LookupKey],0))</f>
        <v>1</v>
      </c>
    </row>
    <row r="770" spans="1:24" x14ac:dyDescent="0.3">
      <c r="A770">
        <v>3977333714</v>
      </c>
      <c r="B770" s="1">
        <v>42477</v>
      </c>
      <c r="C770">
        <v>10415</v>
      </c>
      <c r="D770">
        <v>6.9699997901916504</v>
      </c>
      <c r="E770">
        <v>6.9699997901916504</v>
      </c>
      <c r="F770">
        <v>0</v>
      </c>
      <c r="G770">
        <v>0.69999998807907104</v>
      </c>
      <c r="H770">
        <v>2.3499999046325701</v>
      </c>
      <c r="I770">
        <v>3.9200000762939502</v>
      </c>
      <c r="J770">
        <v>0</v>
      </c>
      <c r="K770">
        <v>11</v>
      </c>
      <c r="L770">
        <v>58</v>
      </c>
      <c r="M770">
        <v>205</v>
      </c>
      <c r="N770">
        <v>600</v>
      </c>
      <c r="O770">
        <v>1529</v>
      </c>
      <c r="P770" t="str">
        <f>TEXT(tbl_working_daily[[#This Row],[ActivityDate]],"dddd")</f>
        <v>Sunday</v>
      </c>
      <c r="Q770" t="str">
        <f>TEXT(tbl_working_daily[[#This Row],[ActivityDate]],"mmmm")</f>
        <v>April</v>
      </c>
      <c r="R770">
        <f t="shared" ref="R770:R833" si="24">K770+L770+M770</f>
        <v>274</v>
      </c>
      <c r="S770">
        <f t="shared" ref="S770:S833" si="25">R770+N770</f>
        <v>874</v>
      </c>
      <c r="T770">
        <f>ROUND(tbl_working_daily[[#This Row],[SedentaryMinutes]]/60,2)</f>
        <v>10</v>
      </c>
      <c r="U770" t="str" cm="1">
        <f t="array" ref="U77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0" t="str" cm="1">
        <f t="array" ref="V770">_xlfn.IFS(tbl_working_daily[[#This Row],[VeryActiveMinutes]]&gt;=30,"Very Active",tbl_working_daily[[#This Row],[VeryActiveMinutes]]&gt;=15,"Moderately Active",tbl_working_daily[[#This Row],[VeryActiveMinutes]]&gt;=1,"Lightly Active",tbl_working_daily[[#This Row],[VeryActiveMinutes]]=0,"Sedentary")</f>
        <v>Lightly Active</v>
      </c>
      <c r="W770" t="str">
        <f>tbl_working_daily[[#This Row],[Id]]&amp;"|"&amp;TEXT(tbl_working_daily[[#This Row],[ActivityDate]],"yyyy-mm-dd")</f>
        <v>3977333714|2016-04-17</v>
      </c>
      <c r="X770" t="b">
        <f>ISNUMBER(MATCH(tbl_working_daily[[#This Row],[LookupKey]],tbl_working_sleep[LookupKey],0))</f>
        <v>1</v>
      </c>
    </row>
    <row r="771" spans="1:24" x14ac:dyDescent="0.3">
      <c r="A771">
        <v>3977333714</v>
      </c>
      <c r="B771" s="1">
        <v>42478</v>
      </c>
      <c r="C771">
        <v>11663</v>
      </c>
      <c r="D771">
        <v>7.8000001907348597</v>
      </c>
      <c r="E771">
        <v>7.8000001907348597</v>
      </c>
      <c r="F771">
        <v>0</v>
      </c>
      <c r="G771">
        <v>0.25</v>
      </c>
      <c r="H771">
        <v>3.7300000190734899</v>
      </c>
      <c r="I771">
        <v>3.8199999332428001</v>
      </c>
      <c r="J771">
        <v>0</v>
      </c>
      <c r="K771">
        <v>4</v>
      </c>
      <c r="L771">
        <v>95</v>
      </c>
      <c r="M771">
        <v>214</v>
      </c>
      <c r="N771">
        <v>605</v>
      </c>
      <c r="O771">
        <v>1584</v>
      </c>
      <c r="P771" t="str">
        <f>TEXT(tbl_working_daily[[#This Row],[ActivityDate]],"dddd")</f>
        <v>Monday</v>
      </c>
      <c r="Q771" t="str">
        <f>TEXT(tbl_working_daily[[#This Row],[ActivityDate]],"mmmm")</f>
        <v>April</v>
      </c>
      <c r="R771">
        <f t="shared" si="24"/>
        <v>313</v>
      </c>
      <c r="S771">
        <f t="shared" si="25"/>
        <v>918</v>
      </c>
      <c r="T771">
        <f>ROUND(tbl_working_daily[[#This Row],[SedentaryMinutes]]/60,2)</f>
        <v>10.08</v>
      </c>
      <c r="U771" t="str" cm="1">
        <f t="array" ref="U77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1" t="str" cm="1">
        <f t="array" ref="V771">_xlfn.IFS(tbl_working_daily[[#This Row],[VeryActiveMinutes]]&gt;=30,"Very Active",tbl_working_daily[[#This Row],[VeryActiveMinutes]]&gt;=15,"Moderately Active",tbl_working_daily[[#This Row],[VeryActiveMinutes]]&gt;=1,"Lightly Active",tbl_working_daily[[#This Row],[VeryActiveMinutes]]=0,"Sedentary")</f>
        <v>Lightly Active</v>
      </c>
      <c r="W771" t="str">
        <f>tbl_working_daily[[#This Row],[Id]]&amp;"|"&amp;TEXT(tbl_working_daily[[#This Row],[ActivityDate]],"yyyy-mm-dd")</f>
        <v>3977333714|2016-04-18</v>
      </c>
      <c r="X771" t="b">
        <f>ISNUMBER(MATCH(tbl_working_daily[[#This Row],[LookupKey]],tbl_working_sleep[LookupKey],0))</f>
        <v>1</v>
      </c>
    </row>
    <row r="772" spans="1:24" x14ac:dyDescent="0.3">
      <c r="A772">
        <v>3977333714</v>
      </c>
      <c r="B772" s="1">
        <v>42479</v>
      </c>
      <c r="C772">
        <v>12414</v>
      </c>
      <c r="D772">
        <v>8.7799997329711896</v>
      </c>
      <c r="E772">
        <v>8.7799997329711896</v>
      </c>
      <c r="F772">
        <v>0</v>
      </c>
      <c r="G772">
        <v>2.2400000095367401</v>
      </c>
      <c r="H772">
        <v>2.4500000476837198</v>
      </c>
      <c r="I772">
        <v>3.96000003814697</v>
      </c>
      <c r="J772">
        <v>0</v>
      </c>
      <c r="K772">
        <v>19</v>
      </c>
      <c r="L772">
        <v>67</v>
      </c>
      <c r="M772">
        <v>221</v>
      </c>
      <c r="N772">
        <v>738</v>
      </c>
      <c r="O772">
        <v>1638</v>
      </c>
      <c r="P772" t="str">
        <f>TEXT(tbl_working_daily[[#This Row],[ActivityDate]],"dddd")</f>
        <v>Tuesday</v>
      </c>
      <c r="Q772" t="str">
        <f>TEXT(tbl_working_daily[[#This Row],[ActivityDate]],"mmmm")</f>
        <v>April</v>
      </c>
      <c r="R772">
        <f t="shared" si="24"/>
        <v>307</v>
      </c>
      <c r="S772">
        <f t="shared" si="25"/>
        <v>1045</v>
      </c>
      <c r="T772">
        <f>ROUND(tbl_working_daily[[#This Row],[SedentaryMinutes]]/60,2)</f>
        <v>12.3</v>
      </c>
      <c r="U772" t="str" cm="1">
        <f t="array" ref="U77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2" t="str" cm="1">
        <f t="array" ref="V772">_xlfn.IFS(tbl_working_daily[[#This Row],[VeryActiveMinutes]]&gt;=30,"Very Active",tbl_working_daily[[#This Row],[VeryActiveMinutes]]&gt;=15,"Moderately Active",tbl_working_daily[[#This Row],[VeryActiveMinutes]]&gt;=1,"Lightly Active",tbl_working_daily[[#This Row],[VeryActiveMinutes]]=0,"Sedentary")</f>
        <v>Moderately Active</v>
      </c>
      <c r="W772" t="str">
        <f>tbl_working_daily[[#This Row],[Id]]&amp;"|"&amp;TEXT(tbl_working_daily[[#This Row],[ActivityDate]],"yyyy-mm-dd")</f>
        <v>3977333714|2016-04-19</v>
      </c>
      <c r="X772" t="b">
        <f>ISNUMBER(MATCH(tbl_working_daily[[#This Row],[LookupKey]],tbl_working_sleep[LookupKey],0))</f>
        <v>1</v>
      </c>
    </row>
    <row r="773" spans="1:24" x14ac:dyDescent="0.3">
      <c r="A773">
        <v>3977333714</v>
      </c>
      <c r="B773" s="1">
        <v>42480</v>
      </c>
      <c r="C773">
        <v>11658</v>
      </c>
      <c r="D773">
        <v>7.8299999237060502</v>
      </c>
      <c r="E773">
        <v>7.8299999237060502</v>
      </c>
      <c r="F773">
        <v>0</v>
      </c>
      <c r="G773">
        <v>0.20000000298023199</v>
      </c>
      <c r="H773">
        <v>4.3499999046325701</v>
      </c>
      <c r="I773">
        <v>3.2799999713897701</v>
      </c>
      <c r="J773">
        <v>0</v>
      </c>
      <c r="K773">
        <v>2</v>
      </c>
      <c r="L773">
        <v>98</v>
      </c>
      <c r="M773">
        <v>164</v>
      </c>
      <c r="N773">
        <v>845</v>
      </c>
      <c r="O773">
        <v>1554</v>
      </c>
      <c r="P773" t="str">
        <f>TEXT(tbl_working_daily[[#This Row],[ActivityDate]],"dddd")</f>
        <v>Wednesday</v>
      </c>
      <c r="Q773" t="str">
        <f>TEXT(tbl_working_daily[[#This Row],[ActivityDate]],"mmmm")</f>
        <v>April</v>
      </c>
      <c r="R773">
        <f t="shared" si="24"/>
        <v>264</v>
      </c>
      <c r="S773">
        <f t="shared" si="25"/>
        <v>1109</v>
      </c>
      <c r="T773">
        <f>ROUND(tbl_working_daily[[#This Row],[SedentaryMinutes]]/60,2)</f>
        <v>14.08</v>
      </c>
      <c r="U773" t="str" cm="1">
        <f t="array" ref="U77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3" t="str" cm="1">
        <f t="array" ref="V773">_xlfn.IFS(tbl_working_daily[[#This Row],[VeryActiveMinutes]]&gt;=30,"Very Active",tbl_working_daily[[#This Row],[VeryActiveMinutes]]&gt;=15,"Moderately Active",tbl_working_daily[[#This Row],[VeryActiveMinutes]]&gt;=1,"Lightly Active",tbl_working_daily[[#This Row],[VeryActiveMinutes]]=0,"Sedentary")</f>
        <v>Lightly Active</v>
      </c>
      <c r="W773" t="str">
        <f>tbl_working_daily[[#This Row],[Id]]&amp;"|"&amp;TEXT(tbl_working_daily[[#This Row],[ActivityDate]],"yyyy-mm-dd")</f>
        <v>3977333714|2016-04-20</v>
      </c>
      <c r="X773" t="b">
        <f>ISNUMBER(MATCH(tbl_working_daily[[#This Row],[LookupKey]],tbl_working_sleep[LookupKey],0))</f>
        <v>1</v>
      </c>
    </row>
    <row r="774" spans="1:24" x14ac:dyDescent="0.3">
      <c r="A774">
        <v>3977333714</v>
      </c>
      <c r="B774" s="1">
        <v>42481</v>
      </c>
      <c r="C774">
        <v>6093</v>
      </c>
      <c r="D774">
        <v>4.0799999237060502</v>
      </c>
      <c r="E774">
        <v>4.0799999237060502</v>
      </c>
      <c r="F774">
        <v>0</v>
      </c>
      <c r="G774">
        <v>0</v>
      </c>
      <c r="H774">
        <v>0</v>
      </c>
      <c r="I774">
        <v>4.0599999427795401</v>
      </c>
      <c r="J774">
        <v>0</v>
      </c>
      <c r="K774">
        <v>0</v>
      </c>
      <c r="L774">
        <v>0</v>
      </c>
      <c r="M774">
        <v>242</v>
      </c>
      <c r="N774">
        <v>712</v>
      </c>
      <c r="O774">
        <v>1397</v>
      </c>
      <c r="P774" t="str">
        <f>TEXT(tbl_working_daily[[#This Row],[ActivityDate]],"dddd")</f>
        <v>Thursday</v>
      </c>
      <c r="Q774" t="str">
        <f>TEXT(tbl_working_daily[[#This Row],[ActivityDate]],"mmmm")</f>
        <v>April</v>
      </c>
      <c r="R774">
        <f t="shared" si="24"/>
        <v>242</v>
      </c>
      <c r="S774">
        <f t="shared" si="25"/>
        <v>954</v>
      </c>
      <c r="T774">
        <f>ROUND(tbl_working_daily[[#This Row],[SedentaryMinutes]]/60,2)</f>
        <v>11.87</v>
      </c>
      <c r="U774" t="str" cm="1">
        <f t="array" ref="U77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74" t="str" cm="1">
        <f t="array" ref="V774">_xlfn.IFS(tbl_working_daily[[#This Row],[VeryActiveMinutes]]&gt;=30,"Very Active",tbl_working_daily[[#This Row],[VeryActiveMinutes]]&gt;=15,"Moderately Active",tbl_working_daily[[#This Row],[VeryActiveMinutes]]&gt;=1,"Lightly Active",tbl_working_daily[[#This Row],[VeryActiveMinutes]]=0,"Sedentary")</f>
        <v>Sedentary</v>
      </c>
      <c r="W774" t="str">
        <f>tbl_working_daily[[#This Row],[Id]]&amp;"|"&amp;TEXT(tbl_working_daily[[#This Row],[ActivityDate]],"yyyy-mm-dd")</f>
        <v>3977333714|2016-04-21</v>
      </c>
      <c r="X774" t="b">
        <f>ISNUMBER(MATCH(tbl_working_daily[[#This Row],[LookupKey]],tbl_working_sleep[LookupKey],0))</f>
        <v>1</v>
      </c>
    </row>
    <row r="775" spans="1:24" x14ac:dyDescent="0.3">
      <c r="A775">
        <v>3977333714</v>
      </c>
      <c r="B775" s="1">
        <v>42482</v>
      </c>
      <c r="C775">
        <v>8911</v>
      </c>
      <c r="D775">
        <v>5.96000003814697</v>
      </c>
      <c r="E775">
        <v>5.96000003814697</v>
      </c>
      <c r="F775">
        <v>0</v>
      </c>
      <c r="G775">
        <v>2.3299999237060498</v>
      </c>
      <c r="H775">
        <v>0.57999998331069902</v>
      </c>
      <c r="I775">
        <v>3.0599999427795401</v>
      </c>
      <c r="J775">
        <v>0</v>
      </c>
      <c r="K775">
        <v>33</v>
      </c>
      <c r="L775">
        <v>12</v>
      </c>
      <c r="M775">
        <v>188</v>
      </c>
      <c r="N775">
        <v>731</v>
      </c>
      <c r="O775">
        <v>1481</v>
      </c>
      <c r="P775" t="str">
        <f>TEXT(tbl_working_daily[[#This Row],[ActivityDate]],"dddd")</f>
        <v>Friday</v>
      </c>
      <c r="Q775" t="str">
        <f>TEXT(tbl_working_daily[[#This Row],[ActivityDate]],"mmmm")</f>
        <v>April</v>
      </c>
      <c r="R775">
        <f t="shared" si="24"/>
        <v>233</v>
      </c>
      <c r="S775">
        <f t="shared" si="25"/>
        <v>964</v>
      </c>
      <c r="T775">
        <f>ROUND(tbl_working_daily[[#This Row],[SedentaryMinutes]]/60,2)</f>
        <v>12.18</v>
      </c>
      <c r="U775" t="str" cm="1">
        <f t="array" ref="U77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775" t="str" cm="1">
        <f t="array" ref="V775">_xlfn.IFS(tbl_working_daily[[#This Row],[VeryActiveMinutes]]&gt;=30,"Very Active",tbl_working_daily[[#This Row],[VeryActiveMinutes]]&gt;=15,"Moderately Active",tbl_working_daily[[#This Row],[VeryActiveMinutes]]&gt;=1,"Lightly Active",tbl_working_daily[[#This Row],[VeryActiveMinutes]]=0,"Sedentary")</f>
        <v>Very Active</v>
      </c>
      <c r="W775" t="str">
        <f>tbl_working_daily[[#This Row],[Id]]&amp;"|"&amp;TEXT(tbl_working_daily[[#This Row],[ActivityDate]],"yyyy-mm-dd")</f>
        <v>3977333714|2016-04-22</v>
      </c>
      <c r="X775" t="b">
        <f>ISNUMBER(MATCH(tbl_working_daily[[#This Row],[LookupKey]],tbl_working_sleep[LookupKey],0))</f>
        <v>1</v>
      </c>
    </row>
    <row r="776" spans="1:24" x14ac:dyDescent="0.3">
      <c r="A776">
        <v>3977333714</v>
      </c>
      <c r="B776" s="1">
        <v>42483</v>
      </c>
      <c r="C776">
        <v>12058</v>
      </c>
      <c r="D776">
        <v>8.0699996948242205</v>
      </c>
      <c r="E776">
        <v>8.0699996948242205</v>
      </c>
      <c r="F776">
        <v>0</v>
      </c>
      <c r="G776">
        <v>0</v>
      </c>
      <c r="H776">
        <v>4.2199997901916504</v>
      </c>
      <c r="I776">
        <v>3.8499999046325701</v>
      </c>
      <c r="J776">
        <v>0</v>
      </c>
      <c r="K776">
        <v>0</v>
      </c>
      <c r="L776">
        <v>92</v>
      </c>
      <c r="M776">
        <v>252</v>
      </c>
      <c r="N776">
        <v>724</v>
      </c>
      <c r="O776">
        <v>1638</v>
      </c>
      <c r="P776" t="str">
        <f>TEXT(tbl_working_daily[[#This Row],[ActivityDate]],"dddd")</f>
        <v>Saturday</v>
      </c>
      <c r="Q776" t="str">
        <f>TEXT(tbl_working_daily[[#This Row],[ActivityDate]],"mmmm")</f>
        <v>April</v>
      </c>
      <c r="R776">
        <f t="shared" si="24"/>
        <v>344</v>
      </c>
      <c r="S776">
        <f t="shared" si="25"/>
        <v>1068</v>
      </c>
      <c r="T776">
        <f>ROUND(tbl_working_daily[[#This Row],[SedentaryMinutes]]/60,2)</f>
        <v>12.07</v>
      </c>
      <c r="U776" t="str" cm="1">
        <f t="array" ref="U77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6" t="str" cm="1">
        <f t="array" ref="V776">_xlfn.IFS(tbl_working_daily[[#This Row],[VeryActiveMinutes]]&gt;=30,"Very Active",tbl_working_daily[[#This Row],[VeryActiveMinutes]]&gt;=15,"Moderately Active",tbl_working_daily[[#This Row],[VeryActiveMinutes]]&gt;=1,"Lightly Active",tbl_working_daily[[#This Row],[VeryActiveMinutes]]=0,"Sedentary")</f>
        <v>Sedentary</v>
      </c>
      <c r="W776" t="str">
        <f>tbl_working_daily[[#This Row],[Id]]&amp;"|"&amp;TEXT(tbl_working_daily[[#This Row],[ActivityDate]],"yyyy-mm-dd")</f>
        <v>3977333714|2016-04-23</v>
      </c>
      <c r="X776" t="b">
        <f>ISNUMBER(MATCH(tbl_working_daily[[#This Row],[LookupKey]],tbl_working_sleep[LookupKey],0))</f>
        <v>1</v>
      </c>
    </row>
    <row r="777" spans="1:24" x14ac:dyDescent="0.3">
      <c r="A777">
        <v>3977333714</v>
      </c>
      <c r="B777" s="1">
        <v>42484</v>
      </c>
      <c r="C777">
        <v>14112</v>
      </c>
      <c r="D777">
        <v>10</v>
      </c>
      <c r="E777">
        <v>10</v>
      </c>
      <c r="F777">
        <v>0</v>
      </c>
      <c r="G777">
        <v>3.2699999809265101</v>
      </c>
      <c r="H777">
        <v>4.5599999427795401</v>
      </c>
      <c r="I777">
        <v>2.1700000762939502</v>
      </c>
      <c r="J777">
        <v>0</v>
      </c>
      <c r="K777">
        <v>30</v>
      </c>
      <c r="L777">
        <v>95</v>
      </c>
      <c r="M777">
        <v>129</v>
      </c>
      <c r="N777">
        <v>660</v>
      </c>
      <c r="O777">
        <v>1655</v>
      </c>
      <c r="P777" t="str">
        <f>TEXT(tbl_working_daily[[#This Row],[ActivityDate]],"dddd")</f>
        <v>Sunday</v>
      </c>
      <c r="Q777" t="str">
        <f>TEXT(tbl_working_daily[[#This Row],[ActivityDate]],"mmmm")</f>
        <v>April</v>
      </c>
      <c r="R777">
        <f t="shared" si="24"/>
        <v>254</v>
      </c>
      <c r="S777">
        <f t="shared" si="25"/>
        <v>914</v>
      </c>
      <c r="T777">
        <f>ROUND(tbl_working_daily[[#This Row],[SedentaryMinutes]]/60,2)</f>
        <v>11</v>
      </c>
      <c r="U777" t="str" cm="1">
        <f t="array" ref="U77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77" t="str" cm="1">
        <f t="array" ref="V777">_xlfn.IFS(tbl_working_daily[[#This Row],[VeryActiveMinutes]]&gt;=30,"Very Active",tbl_working_daily[[#This Row],[VeryActiveMinutes]]&gt;=15,"Moderately Active",tbl_working_daily[[#This Row],[VeryActiveMinutes]]&gt;=1,"Lightly Active",tbl_working_daily[[#This Row],[VeryActiveMinutes]]=0,"Sedentary")</f>
        <v>Very Active</v>
      </c>
      <c r="W777" t="str">
        <f>tbl_working_daily[[#This Row],[Id]]&amp;"|"&amp;TEXT(tbl_working_daily[[#This Row],[ActivityDate]],"yyyy-mm-dd")</f>
        <v>3977333714|2016-04-24</v>
      </c>
      <c r="X777" t="b">
        <f>ISNUMBER(MATCH(tbl_working_daily[[#This Row],[LookupKey]],tbl_working_sleep[LookupKey],0))</f>
        <v>1</v>
      </c>
    </row>
    <row r="778" spans="1:24" x14ac:dyDescent="0.3">
      <c r="A778">
        <v>3977333714</v>
      </c>
      <c r="B778" s="1">
        <v>42485</v>
      </c>
      <c r="C778">
        <v>11177</v>
      </c>
      <c r="D778">
        <v>8.4799995422363299</v>
      </c>
      <c r="E778">
        <v>8.4799995422363299</v>
      </c>
      <c r="F778">
        <v>0</v>
      </c>
      <c r="G778">
        <v>5.6199998855590803</v>
      </c>
      <c r="H778">
        <v>0.43000000715255698</v>
      </c>
      <c r="I778">
        <v>2.4100000858306898</v>
      </c>
      <c r="J778">
        <v>0</v>
      </c>
      <c r="K778">
        <v>50</v>
      </c>
      <c r="L778">
        <v>9</v>
      </c>
      <c r="M778">
        <v>133</v>
      </c>
      <c r="N778">
        <v>781</v>
      </c>
      <c r="O778">
        <v>1570</v>
      </c>
      <c r="P778" t="str">
        <f>TEXT(tbl_working_daily[[#This Row],[ActivityDate]],"dddd")</f>
        <v>Monday</v>
      </c>
      <c r="Q778" t="str">
        <f>TEXT(tbl_working_daily[[#This Row],[ActivityDate]],"mmmm")</f>
        <v>April</v>
      </c>
      <c r="R778">
        <f t="shared" si="24"/>
        <v>192</v>
      </c>
      <c r="S778">
        <f t="shared" si="25"/>
        <v>973</v>
      </c>
      <c r="T778">
        <f>ROUND(tbl_working_daily[[#This Row],[SedentaryMinutes]]/60,2)</f>
        <v>13.02</v>
      </c>
      <c r="U778" t="str" cm="1">
        <f t="array" ref="U77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8" t="str" cm="1">
        <f t="array" ref="V778">_xlfn.IFS(tbl_working_daily[[#This Row],[VeryActiveMinutes]]&gt;=30,"Very Active",tbl_working_daily[[#This Row],[VeryActiveMinutes]]&gt;=15,"Moderately Active",tbl_working_daily[[#This Row],[VeryActiveMinutes]]&gt;=1,"Lightly Active",tbl_working_daily[[#This Row],[VeryActiveMinutes]]=0,"Sedentary")</f>
        <v>Very Active</v>
      </c>
      <c r="W778" t="str">
        <f>tbl_working_daily[[#This Row],[Id]]&amp;"|"&amp;TEXT(tbl_working_daily[[#This Row],[ActivityDate]],"yyyy-mm-dd")</f>
        <v>3977333714|2016-04-25</v>
      </c>
      <c r="X778" t="b">
        <f>ISNUMBER(MATCH(tbl_working_daily[[#This Row],[LookupKey]],tbl_working_sleep[LookupKey],0))</f>
        <v>1</v>
      </c>
    </row>
    <row r="779" spans="1:24" x14ac:dyDescent="0.3">
      <c r="A779">
        <v>3977333714</v>
      </c>
      <c r="B779" s="1">
        <v>42486</v>
      </c>
      <c r="C779">
        <v>11388</v>
      </c>
      <c r="D779">
        <v>7.6199998855590803</v>
      </c>
      <c r="E779">
        <v>7.6199998855590803</v>
      </c>
      <c r="F779">
        <v>0</v>
      </c>
      <c r="G779">
        <v>0.44999998807907099</v>
      </c>
      <c r="H779">
        <v>4.2199997901916504</v>
      </c>
      <c r="I779">
        <v>2.9500000476837198</v>
      </c>
      <c r="J779">
        <v>0</v>
      </c>
      <c r="K779">
        <v>7</v>
      </c>
      <c r="L779">
        <v>95</v>
      </c>
      <c r="M779">
        <v>170</v>
      </c>
      <c r="N779">
        <v>797</v>
      </c>
      <c r="O779">
        <v>1551</v>
      </c>
      <c r="P779" t="str">
        <f>TEXT(tbl_working_daily[[#This Row],[ActivityDate]],"dddd")</f>
        <v>Tuesday</v>
      </c>
      <c r="Q779" t="str">
        <f>TEXT(tbl_working_daily[[#This Row],[ActivityDate]],"mmmm")</f>
        <v>April</v>
      </c>
      <c r="R779">
        <f t="shared" si="24"/>
        <v>272</v>
      </c>
      <c r="S779">
        <f t="shared" si="25"/>
        <v>1069</v>
      </c>
      <c r="T779">
        <f>ROUND(tbl_working_daily[[#This Row],[SedentaryMinutes]]/60,2)</f>
        <v>13.28</v>
      </c>
      <c r="U779" t="str" cm="1">
        <f t="array" ref="U77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79" t="str" cm="1">
        <f t="array" ref="V779">_xlfn.IFS(tbl_working_daily[[#This Row],[VeryActiveMinutes]]&gt;=30,"Very Active",tbl_working_daily[[#This Row],[VeryActiveMinutes]]&gt;=15,"Moderately Active",tbl_working_daily[[#This Row],[VeryActiveMinutes]]&gt;=1,"Lightly Active",tbl_working_daily[[#This Row],[VeryActiveMinutes]]=0,"Sedentary")</f>
        <v>Lightly Active</v>
      </c>
      <c r="W779" t="str">
        <f>tbl_working_daily[[#This Row],[Id]]&amp;"|"&amp;TEXT(tbl_working_daily[[#This Row],[ActivityDate]],"yyyy-mm-dd")</f>
        <v>3977333714|2016-04-26</v>
      </c>
      <c r="X779" t="b">
        <f>ISNUMBER(MATCH(tbl_working_daily[[#This Row],[LookupKey]],tbl_working_sleep[LookupKey],0))</f>
        <v>1</v>
      </c>
    </row>
    <row r="780" spans="1:24" x14ac:dyDescent="0.3">
      <c r="A780">
        <v>3977333714</v>
      </c>
      <c r="B780" s="1">
        <v>42487</v>
      </c>
      <c r="C780">
        <v>7193</v>
      </c>
      <c r="D780">
        <v>5.03999996185303</v>
      </c>
      <c r="E780">
        <v>5.03999996185303</v>
      </c>
      <c r="F780">
        <v>0</v>
      </c>
      <c r="G780">
        <v>0</v>
      </c>
      <c r="H780">
        <v>0.41999998688697798</v>
      </c>
      <c r="I780">
        <v>4.6199998855590803</v>
      </c>
      <c r="J780">
        <v>0</v>
      </c>
      <c r="K780">
        <v>0</v>
      </c>
      <c r="L780">
        <v>10</v>
      </c>
      <c r="M780">
        <v>176</v>
      </c>
      <c r="N780">
        <v>714</v>
      </c>
      <c r="O780">
        <v>1377</v>
      </c>
      <c r="P780" t="str">
        <f>TEXT(tbl_working_daily[[#This Row],[ActivityDate]],"dddd")</f>
        <v>Wednesday</v>
      </c>
      <c r="Q780" t="str">
        <f>TEXT(tbl_working_daily[[#This Row],[ActivityDate]],"mmmm")</f>
        <v>April</v>
      </c>
      <c r="R780">
        <f t="shared" si="24"/>
        <v>186</v>
      </c>
      <c r="S780">
        <f t="shared" si="25"/>
        <v>900</v>
      </c>
      <c r="T780">
        <f>ROUND(tbl_working_daily[[#This Row],[SedentaryMinutes]]/60,2)</f>
        <v>11.9</v>
      </c>
      <c r="U780" t="str" cm="1">
        <f t="array" ref="U78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80" t="str" cm="1">
        <f t="array" ref="V780">_xlfn.IFS(tbl_working_daily[[#This Row],[VeryActiveMinutes]]&gt;=30,"Very Active",tbl_working_daily[[#This Row],[VeryActiveMinutes]]&gt;=15,"Moderately Active",tbl_working_daily[[#This Row],[VeryActiveMinutes]]&gt;=1,"Lightly Active",tbl_working_daily[[#This Row],[VeryActiveMinutes]]=0,"Sedentary")</f>
        <v>Sedentary</v>
      </c>
      <c r="W780" t="str">
        <f>tbl_working_daily[[#This Row],[Id]]&amp;"|"&amp;TEXT(tbl_working_daily[[#This Row],[ActivityDate]],"yyyy-mm-dd")</f>
        <v>3977333714|2016-04-27</v>
      </c>
      <c r="X780" t="b">
        <f>ISNUMBER(MATCH(tbl_working_daily[[#This Row],[LookupKey]],tbl_working_sleep[LookupKey],0))</f>
        <v>1</v>
      </c>
    </row>
    <row r="781" spans="1:24" x14ac:dyDescent="0.3">
      <c r="A781">
        <v>3977333714</v>
      </c>
      <c r="B781" s="1">
        <v>42488</v>
      </c>
      <c r="C781">
        <v>7114</v>
      </c>
      <c r="D781">
        <v>4.8800001144409197</v>
      </c>
      <c r="E781">
        <v>4.8800001144409197</v>
      </c>
      <c r="F781">
        <v>0</v>
      </c>
      <c r="G781">
        <v>1.37000000476837</v>
      </c>
      <c r="H781">
        <v>0.28999999165535001</v>
      </c>
      <c r="I781">
        <v>3.2200000286102299</v>
      </c>
      <c r="J781">
        <v>0</v>
      </c>
      <c r="K781">
        <v>15</v>
      </c>
      <c r="L781">
        <v>8</v>
      </c>
      <c r="M781">
        <v>190</v>
      </c>
      <c r="N781">
        <v>804</v>
      </c>
      <c r="O781">
        <v>1407</v>
      </c>
      <c r="P781" t="str">
        <f>TEXT(tbl_working_daily[[#This Row],[ActivityDate]],"dddd")</f>
        <v>Thursday</v>
      </c>
      <c r="Q781" t="str">
        <f>TEXT(tbl_working_daily[[#This Row],[ActivityDate]],"mmmm")</f>
        <v>April</v>
      </c>
      <c r="R781">
        <f t="shared" si="24"/>
        <v>213</v>
      </c>
      <c r="S781">
        <f t="shared" si="25"/>
        <v>1017</v>
      </c>
      <c r="T781">
        <f>ROUND(tbl_working_daily[[#This Row],[SedentaryMinutes]]/60,2)</f>
        <v>13.4</v>
      </c>
      <c r="U781" t="str" cm="1">
        <f t="array" ref="U78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781" t="str" cm="1">
        <f t="array" ref="V781">_xlfn.IFS(tbl_working_daily[[#This Row],[VeryActiveMinutes]]&gt;=30,"Very Active",tbl_working_daily[[#This Row],[VeryActiveMinutes]]&gt;=15,"Moderately Active",tbl_working_daily[[#This Row],[VeryActiveMinutes]]&gt;=1,"Lightly Active",tbl_working_daily[[#This Row],[VeryActiveMinutes]]=0,"Sedentary")</f>
        <v>Moderately Active</v>
      </c>
      <c r="W781" t="str">
        <f>tbl_working_daily[[#This Row],[Id]]&amp;"|"&amp;TEXT(tbl_working_daily[[#This Row],[ActivityDate]],"yyyy-mm-dd")</f>
        <v>3977333714|2016-04-28</v>
      </c>
      <c r="X781" t="b">
        <f>ISNUMBER(MATCH(tbl_working_daily[[#This Row],[LookupKey]],tbl_working_sleep[LookupKey],0))</f>
        <v>1</v>
      </c>
    </row>
    <row r="782" spans="1:24" x14ac:dyDescent="0.3">
      <c r="A782">
        <v>3977333714</v>
      </c>
      <c r="B782" s="1">
        <v>42489</v>
      </c>
      <c r="C782">
        <v>10645</v>
      </c>
      <c r="D782">
        <v>7.75</v>
      </c>
      <c r="E782">
        <v>7.75</v>
      </c>
      <c r="F782">
        <v>0</v>
      </c>
      <c r="G782">
        <v>3.7400000095367401</v>
      </c>
      <c r="H782">
        <v>1.29999995231628</v>
      </c>
      <c r="I782">
        <v>2.71000003814697</v>
      </c>
      <c r="J782">
        <v>0</v>
      </c>
      <c r="K782">
        <v>36</v>
      </c>
      <c r="L782">
        <v>32</v>
      </c>
      <c r="M782">
        <v>150</v>
      </c>
      <c r="N782">
        <v>744</v>
      </c>
      <c r="O782">
        <v>1545</v>
      </c>
      <c r="P782" t="str">
        <f>TEXT(tbl_working_daily[[#This Row],[ActivityDate]],"dddd")</f>
        <v>Friday</v>
      </c>
      <c r="Q782" t="str">
        <f>TEXT(tbl_working_daily[[#This Row],[ActivityDate]],"mmmm")</f>
        <v>April</v>
      </c>
      <c r="R782">
        <f t="shared" si="24"/>
        <v>218</v>
      </c>
      <c r="S782">
        <f t="shared" si="25"/>
        <v>962</v>
      </c>
      <c r="T782">
        <f>ROUND(tbl_working_daily[[#This Row],[SedentaryMinutes]]/60,2)</f>
        <v>12.4</v>
      </c>
      <c r="U782" t="str" cm="1">
        <f t="array" ref="U78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82" t="str" cm="1">
        <f t="array" ref="V782">_xlfn.IFS(tbl_working_daily[[#This Row],[VeryActiveMinutes]]&gt;=30,"Very Active",tbl_working_daily[[#This Row],[VeryActiveMinutes]]&gt;=15,"Moderately Active",tbl_working_daily[[#This Row],[VeryActiveMinutes]]&gt;=1,"Lightly Active",tbl_working_daily[[#This Row],[VeryActiveMinutes]]=0,"Sedentary")</f>
        <v>Very Active</v>
      </c>
      <c r="W782" t="str">
        <f>tbl_working_daily[[#This Row],[Id]]&amp;"|"&amp;TEXT(tbl_working_daily[[#This Row],[ActivityDate]],"yyyy-mm-dd")</f>
        <v>3977333714|2016-04-29</v>
      </c>
      <c r="X782" t="b">
        <f>ISNUMBER(MATCH(tbl_working_daily[[#This Row],[LookupKey]],tbl_working_sleep[LookupKey],0))</f>
        <v>1</v>
      </c>
    </row>
    <row r="783" spans="1:24" x14ac:dyDescent="0.3">
      <c r="A783">
        <v>3977333714</v>
      </c>
      <c r="B783" s="1">
        <v>42490</v>
      </c>
      <c r="C783">
        <v>13238</v>
      </c>
      <c r="D783">
        <v>9.1999998092651403</v>
      </c>
      <c r="E783">
        <v>9.1999998092651403</v>
      </c>
      <c r="F783">
        <v>0</v>
      </c>
      <c r="G783">
        <v>3.6900000572204599</v>
      </c>
      <c r="H783">
        <v>2.0999999046325701</v>
      </c>
      <c r="I783">
        <v>3.4100000858306898</v>
      </c>
      <c r="J783">
        <v>0</v>
      </c>
      <c r="K783">
        <v>43</v>
      </c>
      <c r="L783">
        <v>52</v>
      </c>
      <c r="M783">
        <v>194</v>
      </c>
      <c r="N783">
        <v>687</v>
      </c>
      <c r="O783">
        <v>1650</v>
      </c>
      <c r="P783" t="str">
        <f>TEXT(tbl_working_daily[[#This Row],[ActivityDate]],"dddd")</f>
        <v>Saturday</v>
      </c>
      <c r="Q783" t="str">
        <f>TEXT(tbl_working_daily[[#This Row],[ActivityDate]],"mmmm")</f>
        <v>April</v>
      </c>
      <c r="R783">
        <f t="shared" si="24"/>
        <v>289</v>
      </c>
      <c r="S783">
        <f t="shared" si="25"/>
        <v>976</v>
      </c>
      <c r="T783">
        <f>ROUND(tbl_working_daily[[#This Row],[SedentaryMinutes]]/60,2)</f>
        <v>11.45</v>
      </c>
      <c r="U783" t="str" cm="1">
        <f t="array" ref="U78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83" t="str" cm="1">
        <f t="array" ref="V783">_xlfn.IFS(tbl_working_daily[[#This Row],[VeryActiveMinutes]]&gt;=30,"Very Active",tbl_working_daily[[#This Row],[VeryActiveMinutes]]&gt;=15,"Moderately Active",tbl_working_daily[[#This Row],[VeryActiveMinutes]]&gt;=1,"Lightly Active",tbl_working_daily[[#This Row],[VeryActiveMinutes]]=0,"Sedentary")</f>
        <v>Very Active</v>
      </c>
      <c r="W783" t="str">
        <f>tbl_working_daily[[#This Row],[Id]]&amp;"|"&amp;TEXT(tbl_working_daily[[#This Row],[ActivityDate]],"yyyy-mm-dd")</f>
        <v>3977333714|2016-04-30</v>
      </c>
      <c r="X783" t="b">
        <f>ISNUMBER(MATCH(tbl_working_daily[[#This Row],[LookupKey]],tbl_working_sleep[LookupKey],0))</f>
        <v>1</v>
      </c>
    </row>
    <row r="784" spans="1:24" x14ac:dyDescent="0.3">
      <c r="A784">
        <v>3977333714</v>
      </c>
      <c r="B784" s="1">
        <v>42491</v>
      </c>
      <c r="C784">
        <v>10414</v>
      </c>
      <c r="D784">
        <v>7.0700001716613796</v>
      </c>
      <c r="E784">
        <v>7.0700001716613796</v>
      </c>
      <c r="F784">
        <v>0</v>
      </c>
      <c r="G784">
        <v>2.6700000762939502</v>
      </c>
      <c r="H784">
        <v>1.9800000190734901</v>
      </c>
      <c r="I784">
        <v>2.4100000858306898</v>
      </c>
      <c r="J784">
        <v>0</v>
      </c>
      <c r="K784">
        <v>41</v>
      </c>
      <c r="L784">
        <v>40</v>
      </c>
      <c r="M784">
        <v>124</v>
      </c>
      <c r="N784">
        <v>691</v>
      </c>
      <c r="O784">
        <v>1501</v>
      </c>
      <c r="P784" t="str">
        <f>TEXT(tbl_working_daily[[#This Row],[ActivityDate]],"dddd")</f>
        <v>Sunday</v>
      </c>
      <c r="Q784" t="str">
        <f>TEXT(tbl_working_daily[[#This Row],[ActivityDate]],"mmmm")</f>
        <v>May</v>
      </c>
      <c r="R784">
        <f t="shared" si="24"/>
        <v>205</v>
      </c>
      <c r="S784">
        <f t="shared" si="25"/>
        <v>896</v>
      </c>
      <c r="T784">
        <f>ROUND(tbl_working_daily[[#This Row],[SedentaryMinutes]]/60,2)</f>
        <v>11.52</v>
      </c>
      <c r="U784" t="str" cm="1">
        <f t="array" ref="U78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84" t="str" cm="1">
        <f t="array" ref="V784">_xlfn.IFS(tbl_working_daily[[#This Row],[VeryActiveMinutes]]&gt;=30,"Very Active",tbl_working_daily[[#This Row],[VeryActiveMinutes]]&gt;=15,"Moderately Active",tbl_working_daily[[#This Row],[VeryActiveMinutes]]&gt;=1,"Lightly Active",tbl_working_daily[[#This Row],[VeryActiveMinutes]]=0,"Sedentary")</f>
        <v>Very Active</v>
      </c>
      <c r="W784" t="str">
        <f>tbl_working_daily[[#This Row],[Id]]&amp;"|"&amp;TEXT(tbl_working_daily[[#This Row],[ActivityDate]],"yyyy-mm-dd")</f>
        <v>3977333714|2016-05-01</v>
      </c>
      <c r="X784" t="b">
        <f>ISNUMBER(MATCH(tbl_working_daily[[#This Row],[LookupKey]],tbl_working_sleep[LookupKey],0))</f>
        <v>1</v>
      </c>
    </row>
    <row r="785" spans="1:24" x14ac:dyDescent="0.3">
      <c r="A785">
        <v>3977333714</v>
      </c>
      <c r="B785" s="1">
        <v>42492</v>
      </c>
      <c r="C785">
        <v>16520</v>
      </c>
      <c r="D785">
        <v>11.050000190734901</v>
      </c>
      <c r="E785">
        <v>11.050000190734901</v>
      </c>
      <c r="F785">
        <v>0</v>
      </c>
      <c r="G785">
        <v>1.53999996185303</v>
      </c>
      <c r="H785">
        <v>6.4800000190734899</v>
      </c>
      <c r="I785">
        <v>3.0199999809265101</v>
      </c>
      <c r="J785">
        <v>0</v>
      </c>
      <c r="K785">
        <v>24</v>
      </c>
      <c r="L785">
        <v>143</v>
      </c>
      <c r="M785">
        <v>176</v>
      </c>
      <c r="N785">
        <v>713</v>
      </c>
      <c r="O785">
        <v>1760</v>
      </c>
      <c r="P785" t="str">
        <f>TEXT(tbl_working_daily[[#This Row],[ActivityDate]],"dddd")</f>
        <v>Monday</v>
      </c>
      <c r="Q785" t="str">
        <f>TEXT(tbl_working_daily[[#This Row],[ActivityDate]],"mmmm")</f>
        <v>May</v>
      </c>
      <c r="R785">
        <f t="shared" si="24"/>
        <v>343</v>
      </c>
      <c r="S785">
        <f t="shared" si="25"/>
        <v>1056</v>
      </c>
      <c r="T785">
        <f>ROUND(tbl_working_daily[[#This Row],[SedentaryMinutes]]/60,2)</f>
        <v>11.88</v>
      </c>
      <c r="U785" t="str" cm="1">
        <f t="array" ref="U78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85" t="str" cm="1">
        <f t="array" ref="V785">_xlfn.IFS(tbl_working_daily[[#This Row],[VeryActiveMinutes]]&gt;=30,"Very Active",tbl_working_daily[[#This Row],[VeryActiveMinutes]]&gt;=15,"Moderately Active",tbl_working_daily[[#This Row],[VeryActiveMinutes]]&gt;=1,"Lightly Active",tbl_working_daily[[#This Row],[VeryActiveMinutes]]=0,"Sedentary")</f>
        <v>Moderately Active</v>
      </c>
      <c r="W785" t="str">
        <f>tbl_working_daily[[#This Row],[Id]]&amp;"|"&amp;TEXT(tbl_working_daily[[#This Row],[ActivityDate]],"yyyy-mm-dd")</f>
        <v>3977333714|2016-05-02</v>
      </c>
      <c r="X785" t="b">
        <f>ISNUMBER(MATCH(tbl_working_daily[[#This Row],[LookupKey]],tbl_working_sleep[LookupKey],0))</f>
        <v>1</v>
      </c>
    </row>
    <row r="786" spans="1:24" x14ac:dyDescent="0.3">
      <c r="A786">
        <v>3977333714</v>
      </c>
      <c r="B786" s="1">
        <v>42493</v>
      </c>
      <c r="C786">
        <v>14335</v>
      </c>
      <c r="D786">
        <v>9.5900001525878906</v>
      </c>
      <c r="E786">
        <v>9.5900001525878906</v>
      </c>
      <c r="F786">
        <v>0</v>
      </c>
      <c r="G786">
        <v>3.3199999332428001</v>
      </c>
      <c r="H786">
        <v>1.7400000095367401</v>
      </c>
      <c r="I786">
        <v>4.5300002098083496</v>
      </c>
      <c r="J786">
        <v>0</v>
      </c>
      <c r="K786">
        <v>47</v>
      </c>
      <c r="L786">
        <v>41</v>
      </c>
      <c r="M786">
        <v>258</v>
      </c>
      <c r="N786">
        <v>594</v>
      </c>
      <c r="O786">
        <v>1710</v>
      </c>
      <c r="P786" t="str">
        <f>TEXT(tbl_working_daily[[#This Row],[ActivityDate]],"dddd")</f>
        <v>Tuesday</v>
      </c>
      <c r="Q786" t="str">
        <f>TEXT(tbl_working_daily[[#This Row],[ActivityDate]],"mmmm")</f>
        <v>May</v>
      </c>
      <c r="R786">
        <f t="shared" si="24"/>
        <v>346</v>
      </c>
      <c r="S786">
        <f t="shared" si="25"/>
        <v>940</v>
      </c>
      <c r="T786">
        <f>ROUND(tbl_working_daily[[#This Row],[SedentaryMinutes]]/60,2)</f>
        <v>9.9</v>
      </c>
      <c r="U786" t="str" cm="1">
        <f t="array" ref="U78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86" t="str" cm="1">
        <f t="array" ref="V786">_xlfn.IFS(tbl_working_daily[[#This Row],[VeryActiveMinutes]]&gt;=30,"Very Active",tbl_working_daily[[#This Row],[VeryActiveMinutes]]&gt;=15,"Moderately Active",tbl_working_daily[[#This Row],[VeryActiveMinutes]]&gt;=1,"Lightly Active",tbl_working_daily[[#This Row],[VeryActiveMinutes]]=0,"Sedentary")</f>
        <v>Very Active</v>
      </c>
      <c r="W786" t="str">
        <f>tbl_working_daily[[#This Row],[Id]]&amp;"|"&amp;TEXT(tbl_working_daily[[#This Row],[ActivityDate]],"yyyy-mm-dd")</f>
        <v>3977333714|2016-05-03</v>
      </c>
      <c r="X786" t="b">
        <f>ISNUMBER(MATCH(tbl_working_daily[[#This Row],[LookupKey]],tbl_working_sleep[LookupKey],0))</f>
        <v>1</v>
      </c>
    </row>
    <row r="787" spans="1:24" x14ac:dyDescent="0.3">
      <c r="A787">
        <v>3977333714</v>
      </c>
      <c r="B787" s="1">
        <v>42494</v>
      </c>
      <c r="C787">
        <v>13559</v>
      </c>
      <c r="D787">
        <v>9.4399995803833008</v>
      </c>
      <c r="E787">
        <v>9.4399995803833008</v>
      </c>
      <c r="F787">
        <v>0</v>
      </c>
      <c r="G787">
        <v>1.8099999427795399</v>
      </c>
      <c r="H787">
        <v>4.5799999237060502</v>
      </c>
      <c r="I787">
        <v>2.8900001049041699</v>
      </c>
      <c r="J787">
        <v>0</v>
      </c>
      <c r="K787">
        <v>14</v>
      </c>
      <c r="L787">
        <v>96</v>
      </c>
      <c r="M787">
        <v>142</v>
      </c>
      <c r="N787">
        <v>852</v>
      </c>
      <c r="O787">
        <v>1628</v>
      </c>
      <c r="P787" t="str">
        <f>TEXT(tbl_working_daily[[#This Row],[ActivityDate]],"dddd")</f>
        <v>Wednesday</v>
      </c>
      <c r="Q787" t="str">
        <f>TEXT(tbl_working_daily[[#This Row],[ActivityDate]],"mmmm")</f>
        <v>May</v>
      </c>
      <c r="R787">
        <f t="shared" si="24"/>
        <v>252</v>
      </c>
      <c r="S787">
        <f t="shared" si="25"/>
        <v>1104</v>
      </c>
      <c r="T787">
        <f>ROUND(tbl_working_daily[[#This Row],[SedentaryMinutes]]/60,2)</f>
        <v>14.2</v>
      </c>
      <c r="U787" t="str" cm="1">
        <f t="array" ref="U78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87" t="str" cm="1">
        <f t="array" ref="V787">_xlfn.IFS(tbl_working_daily[[#This Row],[VeryActiveMinutes]]&gt;=30,"Very Active",tbl_working_daily[[#This Row],[VeryActiveMinutes]]&gt;=15,"Moderately Active",tbl_working_daily[[#This Row],[VeryActiveMinutes]]&gt;=1,"Lightly Active",tbl_working_daily[[#This Row],[VeryActiveMinutes]]=0,"Sedentary")</f>
        <v>Lightly Active</v>
      </c>
      <c r="W787" t="str">
        <f>tbl_working_daily[[#This Row],[Id]]&amp;"|"&amp;TEXT(tbl_working_daily[[#This Row],[ActivityDate]],"yyyy-mm-dd")</f>
        <v>3977333714|2016-05-04</v>
      </c>
      <c r="X787" t="b">
        <f>ISNUMBER(MATCH(tbl_working_daily[[#This Row],[LookupKey]],tbl_working_sleep[LookupKey],0))</f>
        <v>1</v>
      </c>
    </row>
    <row r="788" spans="1:24" x14ac:dyDescent="0.3">
      <c r="A788">
        <v>3977333714</v>
      </c>
      <c r="B788" s="1">
        <v>42495</v>
      </c>
      <c r="C788">
        <v>12312</v>
      </c>
      <c r="D788">
        <v>8.5799999237060494</v>
      </c>
      <c r="E788">
        <v>8.5799999237060494</v>
      </c>
      <c r="F788">
        <v>0</v>
      </c>
      <c r="G788">
        <v>1.7599999904632599</v>
      </c>
      <c r="H788">
        <v>4.1100001335143999</v>
      </c>
      <c r="I788">
        <v>2.71000003814697</v>
      </c>
      <c r="J788">
        <v>0</v>
      </c>
      <c r="K788">
        <v>14</v>
      </c>
      <c r="L788">
        <v>88</v>
      </c>
      <c r="M788">
        <v>178</v>
      </c>
      <c r="N788">
        <v>680</v>
      </c>
      <c r="O788">
        <v>1618</v>
      </c>
      <c r="P788" t="str">
        <f>TEXT(tbl_working_daily[[#This Row],[ActivityDate]],"dddd")</f>
        <v>Thursday</v>
      </c>
      <c r="Q788" t="str">
        <f>TEXT(tbl_working_daily[[#This Row],[ActivityDate]],"mmmm")</f>
        <v>May</v>
      </c>
      <c r="R788">
        <f t="shared" si="24"/>
        <v>280</v>
      </c>
      <c r="S788">
        <f t="shared" si="25"/>
        <v>960</v>
      </c>
      <c r="T788">
        <f>ROUND(tbl_working_daily[[#This Row],[SedentaryMinutes]]/60,2)</f>
        <v>11.33</v>
      </c>
      <c r="U788" t="str" cm="1">
        <f t="array" ref="U78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88" t="str" cm="1">
        <f t="array" ref="V788">_xlfn.IFS(tbl_working_daily[[#This Row],[VeryActiveMinutes]]&gt;=30,"Very Active",tbl_working_daily[[#This Row],[VeryActiveMinutes]]&gt;=15,"Moderately Active",tbl_working_daily[[#This Row],[VeryActiveMinutes]]&gt;=1,"Lightly Active",tbl_working_daily[[#This Row],[VeryActiveMinutes]]=0,"Sedentary")</f>
        <v>Lightly Active</v>
      </c>
      <c r="W788" t="str">
        <f>tbl_working_daily[[#This Row],[Id]]&amp;"|"&amp;TEXT(tbl_working_daily[[#This Row],[ActivityDate]],"yyyy-mm-dd")</f>
        <v>3977333714|2016-05-05</v>
      </c>
      <c r="X788" t="b">
        <f>ISNUMBER(MATCH(tbl_working_daily[[#This Row],[LookupKey]],tbl_working_sleep[LookupKey],0))</f>
        <v>1</v>
      </c>
    </row>
    <row r="789" spans="1:24" x14ac:dyDescent="0.3">
      <c r="A789">
        <v>3977333714</v>
      </c>
      <c r="B789" s="1">
        <v>42496</v>
      </c>
      <c r="C789">
        <v>11677</v>
      </c>
      <c r="D789">
        <v>8.2799997329711896</v>
      </c>
      <c r="E789">
        <v>8.2799997329711896</v>
      </c>
      <c r="F789">
        <v>0</v>
      </c>
      <c r="G789">
        <v>3.1099998950958301</v>
      </c>
      <c r="H789">
        <v>2.5099999904632599</v>
      </c>
      <c r="I789">
        <v>2.6700000762939502</v>
      </c>
      <c r="J789">
        <v>0</v>
      </c>
      <c r="K789">
        <v>29</v>
      </c>
      <c r="L789">
        <v>55</v>
      </c>
      <c r="M789">
        <v>168</v>
      </c>
      <c r="N789">
        <v>676</v>
      </c>
      <c r="O789">
        <v>1590</v>
      </c>
      <c r="P789" t="str">
        <f>TEXT(tbl_working_daily[[#This Row],[ActivityDate]],"dddd")</f>
        <v>Friday</v>
      </c>
      <c r="Q789" t="str">
        <f>TEXT(tbl_working_daily[[#This Row],[ActivityDate]],"mmmm")</f>
        <v>May</v>
      </c>
      <c r="R789">
        <f t="shared" si="24"/>
        <v>252</v>
      </c>
      <c r="S789">
        <f t="shared" si="25"/>
        <v>928</v>
      </c>
      <c r="T789">
        <f>ROUND(tbl_working_daily[[#This Row],[SedentaryMinutes]]/60,2)</f>
        <v>11.27</v>
      </c>
      <c r="U789" t="str" cm="1">
        <f t="array" ref="U78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89" t="str" cm="1">
        <f t="array" ref="V789">_xlfn.IFS(tbl_working_daily[[#This Row],[VeryActiveMinutes]]&gt;=30,"Very Active",tbl_working_daily[[#This Row],[VeryActiveMinutes]]&gt;=15,"Moderately Active",tbl_working_daily[[#This Row],[VeryActiveMinutes]]&gt;=1,"Lightly Active",tbl_working_daily[[#This Row],[VeryActiveMinutes]]=0,"Sedentary")</f>
        <v>Moderately Active</v>
      </c>
      <c r="W789" t="str">
        <f>tbl_working_daily[[#This Row],[Id]]&amp;"|"&amp;TEXT(tbl_working_daily[[#This Row],[ActivityDate]],"yyyy-mm-dd")</f>
        <v>3977333714|2016-05-06</v>
      </c>
      <c r="X789" t="b">
        <f>ISNUMBER(MATCH(tbl_working_daily[[#This Row],[LookupKey]],tbl_working_sleep[LookupKey],0))</f>
        <v>1</v>
      </c>
    </row>
    <row r="790" spans="1:24" x14ac:dyDescent="0.3">
      <c r="A790">
        <v>3977333714</v>
      </c>
      <c r="B790" s="1">
        <v>42497</v>
      </c>
      <c r="C790">
        <v>11550</v>
      </c>
      <c r="D790">
        <v>7.7300000190734899</v>
      </c>
      <c r="E790">
        <v>7.7300000190734899</v>
      </c>
      <c r="F790">
        <v>0</v>
      </c>
      <c r="G790">
        <v>0</v>
      </c>
      <c r="H790">
        <v>4.1300001144409197</v>
      </c>
      <c r="I790">
        <v>3.5899999141693102</v>
      </c>
      <c r="J790">
        <v>0</v>
      </c>
      <c r="K790">
        <v>0</v>
      </c>
      <c r="L790">
        <v>86</v>
      </c>
      <c r="M790">
        <v>208</v>
      </c>
      <c r="N790">
        <v>703</v>
      </c>
      <c r="O790">
        <v>1574</v>
      </c>
      <c r="P790" t="str">
        <f>TEXT(tbl_working_daily[[#This Row],[ActivityDate]],"dddd")</f>
        <v>Saturday</v>
      </c>
      <c r="Q790" t="str">
        <f>TEXT(tbl_working_daily[[#This Row],[ActivityDate]],"mmmm")</f>
        <v>May</v>
      </c>
      <c r="R790">
        <f t="shared" si="24"/>
        <v>294</v>
      </c>
      <c r="S790">
        <f t="shared" si="25"/>
        <v>997</v>
      </c>
      <c r="T790">
        <f>ROUND(tbl_working_daily[[#This Row],[SedentaryMinutes]]/60,2)</f>
        <v>11.72</v>
      </c>
      <c r="U790" t="str" cm="1">
        <f t="array" ref="U79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790" t="str" cm="1">
        <f t="array" ref="V790">_xlfn.IFS(tbl_working_daily[[#This Row],[VeryActiveMinutes]]&gt;=30,"Very Active",tbl_working_daily[[#This Row],[VeryActiveMinutes]]&gt;=15,"Moderately Active",tbl_working_daily[[#This Row],[VeryActiveMinutes]]&gt;=1,"Lightly Active",tbl_working_daily[[#This Row],[VeryActiveMinutes]]=0,"Sedentary")</f>
        <v>Sedentary</v>
      </c>
      <c r="W790" t="str">
        <f>tbl_working_daily[[#This Row],[Id]]&amp;"|"&amp;TEXT(tbl_working_daily[[#This Row],[ActivityDate]],"yyyy-mm-dd")</f>
        <v>3977333714|2016-05-07</v>
      </c>
      <c r="X790" t="b">
        <f>ISNUMBER(MATCH(tbl_working_daily[[#This Row],[LookupKey]],tbl_working_sleep[LookupKey],0))</f>
        <v>1</v>
      </c>
    </row>
    <row r="791" spans="1:24" x14ac:dyDescent="0.3">
      <c r="A791">
        <v>3977333714</v>
      </c>
      <c r="B791" s="1">
        <v>42498</v>
      </c>
      <c r="C791">
        <v>13585</v>
      </c>
      <c r="D791">
        <v>9.0900001525878906</v>
      </c>
      <c r="E791">
        <v>9.0900001525878906</v>
      </c>
      <c r="F791">
        <v>0</v>
      </c>
      <c r="G791">
        <v>0.68000000715255704</v>
      </c>
      <c r="H791">
        <v>5.2399997711181596</v>
      </c>
      <c r="I791">
        <v>3.1700000762939502</v>
      </c>
      <c r="J791">
        <v>0</v>
      </c>
      <c r="K791">
        <v>9</v>
      </c>
      <c r="L791">
        <v>116</v>
      </c>
      <c r="M791">
        <v>171</v>
      </c>
      <c r="N791">
        <v>688</v>
      </c>
      <c r="O791">
        <v>1633</v>
      </c>
      <c r="P791" t="str">
        <f>TEXT(tbl_working_daily[[#This Row],[ActivityDate]],"dddd")</f>
        <v>Sunday</v>
      </c>
      <c r="Q791" t="str">
        <f>TEXT(tbl_working_daily[[#This Row],[ActivityDate]],"mmmm")</f>
        <v>May</v>
      </c>
      <c r="R791">
        <f t="shared" si="24"/>
        <v>296</v>
      </c>
      <c r="S791">
        <f t="shared" si="25"/>
        <v>984</v>
      </c>
      <c r="T791">
        <f>ROUND(tbl_working_daily[[#This Row],[SedentaryMinutes]]/60,2)</f>
        <v>11.47</v>
      </c>
      <c r="U791" t="str" cm="1">
        <f t="array" ref="U79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91" t="str" cm="1">
        <f t="array" ref="V791">_xlfn.IFS(tbl_working_daily[[#This Row],[VeryActiveMinutes]]&gt;=30,"Very Active",tbl_working_daily[[#This Row],[VeryActiveMinutes]]&gt;=15,"Moderately Active",tbl_working_daily[[#This Row],[VeryActiveMinutes]]&gt;=1,"Lightly Active",tbl_working_daily[[#This Row],[VeryActiveMinutes]]=0,"Sedentary")</f>
        <v>Lightly Active</v>
      </c>
      <c r="W791" t="str">
        <f>tbl_working_daily[[#This Row],[Id]]&amp;"|"&amp;TEXT(tbl_working_daily[[#This Row],[ActivityDate]],"yyyy-mm-dd")</f>
        <v>3977333714|2016-05-08</v>
      </c>
      <c r="X791" t="b">
        <f>ISNUMBER(MATCH(tbl_working_daily[[#This Row],[LookupKey]],tbl_working_sleep[LookupKey],0))</f>
        <v>1</v>
      </c>
    </row>
    <row r="792" spans="1:24" x14ac:dyDescent="0.3">
      <c r="A792">
        <v>3977333714</v>
      </c>
      <c r="B792" s="1">
        <v>42499</v>
      </c>
      <c r="C792">
        <v>14687</v>
      </c>
      <c r="D792">
        <v>10.079999923706101</v>
      </c>
      <c r="E792">
        <v>10.079999923706101</v>
      </c>
      <c r="F792">
        <v>0</v>
      </c>
      <c r="G792">
        <v>0.769999980926514</v>
      </c>
      <c r="H792">
        <v>5.5999999046325701</v>
      </c>
      <c r="I792">
        <v>3.5499999523162802</v>
      </c>
      <c r="J792">
        <v>0</v>
      </c>
      <c r="K792">
        <v>8</v>
      </c>
      <c r="L792">
        <v>122</v>
      </c>
      <c r="M792">
        <v>151</v>
      </c>
      <c r="N792">
        <v>1159</v>
      </c>
      <c r="O792">
        <v>1667</v>
      </c>
      <c r="P792" t="str">
        <f>TEXT(tbl_working_daily[[#This Row],[ActivityDate]],"dddd")</f>
        <v>Monday</v>
      </c>
      <c r="Q792" t="str">
        <f>TEXT(tbl_working_daily[[#This Row],[ActivityDate]],"mmmm")</f>
        <v>May</v>
      </c>
      <c r="R792">
        <f t="shared" si="24"/>
        <v>281</v>
      </c>
      <c r="S792">
        <f t="shared" si="25"/>
        <v>1440</v>
      </c>
      <c r="T792">
        <f>ROUND(tbl_working_daily[[#This Row],[SedentaryMinutes]]/60,2)</f>
        <v>19.32</v>
      </c>
      <c r="U792" t="str" cm="1">
        <f t="array" ref="U79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92" t="str" cm="1">
        <f t="array" ref="V792">_xlfn.IFS(tbl_working_daily[[#This Row],[VeryActiveMinutes]]&gt;=30,"Very Active",tbl_working_daily[[#This Row],[VeryActiveMinutes]]&gt;=15,"Moderately Active",tbl_working_daily[[#This Row],[VeryActiveMinutes]]&gt;=1,"Lightly Active",tbl_working_daily[[#This Row],[VeryActiveMinutes]]=0,"Sedentary")</f>
        <v>Lightly Active</v>
      </c>
      <c r="W792" t="str">
        <f>tbl_working_daily[[#This Row],[Id]]&amp;"|"&amp;TEXT(tbl_working_daily[[#This Row],[ActivityDate]],"yyyy-mm-dd")</f>
        <v>3977333714|2016-05-09</v>
      </c>
      <c r="X792" t="b">
        <f>ISNUMBER(MATCH(tbl_working_daily[[#This Row],[LookupKey]],tbl_working_sleep[LookupKey],0))</f>
        <v>0</v>
      </c>
    </row>
    <row r="793" spans="1:24" x14ac:dyDescent="0.3">
      <c r="A793">
        <v>3977333714</v>
      </c>
      <c r="B793" s="1">
        <v>42500</v>
      </c>
      <c r="C793">
        <v>13072</v>
      </c>
      <c r="D793">
        <v>8.7799997329711896</v>
      </c>
      <c r="E793">
        <v>8.7799997329711896</v>
      </c>
      <c r="F793">
        <v>0</v>
      </c>
      <c r="G793">
        <v>7.0000000298023196E-2</v>
      </c>
      <c r="H793">
        <v>5.4000000953674299</v>
      </c>
      <c r="I793">
        <v>3.3099999427795401</v>
      </c>
      <c r="J793">
        <v>0</v>
      </c>
      <c r="K793">
        <v>1</v>
      </c>
      <c r="L793">
        <v>115</v>
      </c>
      <c r="M793">
        <v>196</v>
      </c>
      <c r="N793">
        <v>676</v>
      </c>
      <c r="O793">
        <v>1630</v>
      </c>
      <c r="P793" t="str">
        <f>TEXT(tbl_working_daily[[#This Row],[ActivityDate]],"dddd")</f>
        <v>Tuesday</v>
      </c>
      <c r="Q793" t="str">
        <f>TEXT(tbl_working_daily[[#This Row],[ActivityDate]],"mmmm")</f>
        <v>May</v>
      </c>
      <c r="R793">
        <f t="shared" si="24"/>
        <v>312</v>
      </c>
      <c r="S793">
        <f t="shared" si="25"/>
        <v>988</v>
      </c>
      <c r="T793">
        <f>ROUND(tbl_working_daily[[#This Row],[SedentaryMinutes]]/60,2)</f>
        <v>11.27</v>
      </c>
      <c r="U793" t="str" cm="1">
        <f t="array" ref="U79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793" t="str" cm="1">
        <f t="array" ref="V793">_xlfn.IFS(tbl_working_daily[[#This Row],[VeryActiveMinutes]]&gt;=30,"Very Active",tbl_working_daily[[#This Row],[VeryActiveMinutes]]&gt;=15,"Moderately Active",tbl_working_daily[[#This Row],[VeryActiveMinutes]]&gt;=1,"Lightly Active",tbl_working_daily[[#This Row],[VeryActiveMinutes]]=0,"Sedentary")</f>
        <v>Lightly Active</v>
      </c>
      <c r="W793" t="str">
        <f>tbl_working_daily[[#This Row],[Id]]&amp;"|"&amp;TEXT(tbl_working_daily[[#This Row],[ActivityDate]],"yyyy-mm-dd")</f>
        <v>3977333714|2016-05-10</v>
      </c>
      <c r="X793" t="b">
        <f>ISNUMBER(MATCH(tbl_working_daily[[#This Row],[LookupKey]],tbl_working_sleep[LookupKey],0))</f>
        <v>1</v>
      </c>
    </row>
    <row r="794" spans="1:24" x14ac:dyDescent="0.3">
      <c r="A794">
        <v>3977333714</v>
      </c>
      <c r="B794" s="1">
        <v>42501</v>
      </c>
      <c r="C794">
        <v>746</v>
      </c>
      <c r="D794">
        <v>0.5</v>
      </c>
      <c r="E794">
        <v>0.5</v>
      </c>
      <c r="F794">
        <v>0</v>
      </c>
      <c r="G794">
        <v>0.37000000476837203</v>
      </c>
      <c r="H794">
        <v>0</v>
      </c>
      <c r="I794">
        <v>0.129999995231628</v>
      </c>
      <c r="J794">
        <v>0</v>
      </c>
      <c r="K794">
        <v>4</v>
      </c>
      <c r="L794">
        <v>0</v>
      </c>
      <c r="M794">
        <v>9</v>
      </c>
      <c r="N794">
        <v>13</v>
      </c>
      <c r="O794">
        <v>52</v>
      </c>
      <c r="P794" t="str">
        <f>TEXT(tbl_working_daily[[#This Row],[ActivityDate]],"dddd")</f>
        <v>Wednesday</v>
      </c>
      <c r="Q794" t="str">
        <f>TEXT(tbl_working_daily[[#This Row],[ActivityDate]],"mmmm")</f>
        <v>May</v>
      </c>
      <c r="R794">
        <f t="shared" si="24"/>
        <v>13</v>
      </c>
      <c r="S794">
        <f t="shared" si="25"/>
        <v>26</v>
      </c>
      <c r="T794">
        <f>ROUND(tbl_working_daily[[#This Row],[SedentaryMinutes]]/60,2)</f>
        <v>0.22</v>
      </c>
      <c r="U794" t="str" cm="1">
        <f t="array" ref="U79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94" t="str" cm="1">
        <f t="array" ref="V794">_xlfn.IFS(tbl_working_daily[[#This Row],[VeryActiveMinutes]]&gt;=30,"Very Active",tbl_working_daily[[#This Row],[VeryActiveMinutes]]&gt;=15,"Moderately Active",tbl_working_daily[[#This Row],[VeryActiveMinutes]]&gt;=1,"Lightly Active",tbl_working_daily[[#This Row],[VeryActiveMinutes]]=0,"Sedentary")</f>
        <v>Lightly Active</v>
      </c>
      <c r="W794" t="str">
        <f>tbl_working_daily[[#This Row],[Id]]&amp;"|"&amp;TEXT(tbl_working_daily[[#This Row],[ActivityDate]],"yyyy-mm-dd")</f>
        <v>3977333714|2016-05-11</v>
      </c>
      <c r="X794" t="b">
        <f>ISNUMBER(MATCH(tbl_working_daily[[#This Row],[LookupKey]],tbl_working_sleep[LookupKey],0))</f>
        <v>0</v>
      </c>
    </row>
    <row r="795" spans="1:24" x14ac:dyDescent="0.3">
      <c r="A795">
        <v>4020332650</v>
      </c>
      <c r="B795" s="1">
        <v>42473</v>
      </c>
      <c r="C795">
        <v>0</v>
      </c>
      <c r="D795">
        <v>0</v>
      </c>
      <c r="E795">
        <v>0</v>
      </c>
      <c r="F795">
        <v>0</v>
      </c>
      <c r="G795">
        <v>0</v>
      </c>
      <c r="H795">
        <v>0</v>
      </c>
      <c r="I795">
        <v>0</v>
      </c>
      <c r="J795">
        <v>0</v>
      </c>
      <c r="K795">
        <v>0</v>
      </c>
      <c r="L795">
        <v>0</v>
      </c>
      <c r="M795">
        <v>0</v>
      </c>
      <c r="N795">
        <v>1440</v>
      </c>
      <c r="O795">
        <v>1981</v>
      </c>
      <c r="P795" t="str">
        <f>TEXT(tbl_working_daily[[#This Row],[ActivityDate]],"dddd")</f>
        <v>Wednesday</v>
      </c>
      <c r="Q795" t="str">
        <f>TEXT(tbl_working_daily[[#This Row],[ActivityDate]],"mmmm")</f>
        <v>April</v>
      </c>
      <c r="R795">
        <f t="shared" si="24"/>
        <v>0</v>
      </c>
      <c r="S795">
        <f t="shared" si="25"/>
        <v>1440</v>
      </c>
      <c r="T795">
        <f>ROUND(tbl_working_daily[[#This Row],[SedentaryMinutes]]/60,2)</f>
        <v>24</v>
      </c>
      <c r="U795" t="str" cm="1">
        <f t="array" ref="U79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95" t="str" cm="1">
        <f t="array" ref="V795">_xlfn.IFS(tbl_working_daily[[#This Row],[VeryActiveMinutes]]&gt;=30,"Very Active",tbl_working_daily[[#This Row],[VeryActiveMinutes]]&gt;=15,"Moderately Active",tbl_working_daily[[#This Row],[VeryActiveMinutes]]&gt;=1,"Lightly Active",tbl_working_daily[[#This Row],[VeryActiveMinutes]]=0,"Sedentary")</f>
        <v>Sedentary</v>
      </c>
      <c r="W795" t="str">
        <f>tbl_working_daily[[#This Row],[Id]]&amp;"|"&amp;TEXT(tbl_working_daily[[#This Row],[ActivityDate]],"yyyy-mm-dd")</f>
        <v>4020332650|2016-04-13</v>
      </c>
      <c r="X795" t="b">
        <f>ISNUMBER(MATCH(tbl_working_daily[[#This Row],[LookupKey]],tbl_working_sleep[LookupKey],0))</f>
        <v>0</v>
      </c>
    </row>
    <row r="796" spans="1:24" x14ac:dyDescent="0.3">
      <c r="A796">
        <v>4020332650</v>
      </c>
      <c r="B796" s="1">
        <v>42474</v>
      </c>
      <c r="C796">
        <v>108</v>
      </c>
      <c r="D796">
        <v>7.9999998211860698E-2</v>
      </c>
      <c r="E796">
        <v>7.9999998211860698E-2</v>
      </c>
      <c r="F796">
        <v>0</v>
      </c>
      <c r="G796">
        <v>0</v>
      </c>
      <c r="H796">
        <v>0</v>
      </c>
      <c r="I796">
        <v>2.9999999329447701E-2</v>
      </c>
      <c r="J796">
        <v>0</v>
      </c>
      <c r="K796">
        <v>0</v>
      </c>
      <c r="L796">
        <v>0</v>
      </c>
      <c r="M796">
        <v>3</v>
      </c>
      <c r="N796">
        <v>1437</v>
      </c>
      <c r="O796">
        <v>2011</v>
      </c>
      <c r="P796" t="str">
        <f>TEXT(tbl_working_daily[[#This Row],[ActivityDate]],"dddd")</f>
        <v>Thursday</v>
      </c>
      <c r="Q796" t="str">
        <f>TEXT(tbl_working_daily[[#This Row],[ActivityDate]],"mmmm")</f>
        <v>April</v>
      </c>
      <c r="R796">
        <f t="shared" si="24"/>
        <v>3</v>
      </c>
      <c r="S796">
        <f t="shared" si="25"/>
        <v>1440</v>
      </c>
      <c r="T796">
        <f>ROUND(tbl_working_daily[[#This Row],[SedentaryMinutes]]/60,2)</f>
        <v>23.95</v>
      </c>
      <c r="U796" t="str" cm="1">
        <f t="array" ref="U79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96" t="str" cm="1">
        <f t="array" ref="V796">_xlfn.IFS(tbl_working_daily[[#This Row],[VeryActiveMinutes]]&gt;=30,"Very Active",tbl_working_daily[[#This Row],[VeryActiveMinutes]]&gt;=15,"Moderately Active",tbl_working_daily[[#This Row],[VeryActiveMinutes]]&gt;=1,"Lightly Active",tbl_working_daily[[#This Row],[VeryActiveMinutes]]=0,"Sedentary")</f>
        <v>Sedentary</v>
      </c>
      <c r="W796" t="str">
        <f>tbl_working_daily[[#This Row],[Id]]&amp;"|"&amp;TEXT(tbl_working_daily[[#This Row],[ActivityDate]],"yyyy-mm-dd")</f>
        <v>4020332650|2016-04-14</v>
      </c>
      <c r="X796" t="b">
        <f>ISNUMBER(MATCH(tbl_working_daily[[#This Row],[LookupKey]],tbl_working_sleep[LookupKey],0))</f>
        <v>0</v>
      </c>
    </row>
    <row r="797" spans="1:24" x14ac:dyDescent="0.3">
      <c r="A797">
        <v>4020332650</v>
      </c>
      <c r="B797" s="1">
        <v>42475</v>
      </c>
      <c r="C797">
        <v>1882</v>
      </c>
      <c r="D797">
        <v>1.3500000238418599</v>
      </c>
      <c r="E797">
        <v>1.3500000238418599</v>
      </c>
      <c r="F797">
        <v>0</v>
      </c>
      <c r="G797">
        <v>0.20999999344348899</v>
      </c>
      <c r="H797">
        <v>0.36000001430511502</v>
      </c>
      <c r="I797">
        <v>0.769999980926514</v>
      </c>
      <c r="J797">
        <v>0</v>
      </c>
      <c r="K797">
        <v>36</v>
      </c>
      <c r="L797">
        <v>18</v>
      </c>
      <c r="M797">
        <v>87</v>
      </c>
      <c r="N797">
        <v>1299</v>
      </c>
      <c r="O797">
        <v>2951</v>
      </c>
      <c r="P797" t="str">
        <f>TEXT(tbl_working_daily[[#This Row],[ActivityDate]],"dddd")</f>
        <v>Friday</v>
      </c>
      <c r="Q797" t="str">
        <f>TEXT(tbl_working_daily[[#This Row],[ActivityDate]],"mmmm")</f>
        <v>April</v>
      </c>
      <c r="R797">
        <f t="shared" si="24"/>
        <v>141</v>
      </c>
      <c r="S797">
        <f t="shared" si="25"/>
        <v>1440</v>
      </c>
      <c r="T797">
        <f>ROUND(tbl_working_daily[[#This Row],[SedentaryMinutes]]/60,2)</f>
        <v>21.65</v>
      </c>
      <c r="U797" t="str" cm="1">
        <f t="array" ref="U7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97" t="str" cm="1">
        <f t="array" ref="V797">_xlfn.IFS(tbl_working_daily[[#This Row],[VeryActiveMinutes]]&gt;=30,"Very Active",tbl_working_daily[[#This Row],[VeryActiveMinutes]]&gt;=15,"Moderately Active",tbl_working_daily[[#This Row],[VeryActiveMinutes]]&gt;=1,"Lightly Active",tbl_working_daily[[#This Row],[VeryActiveMinutes]]=0,"Sedentary")</f>
        <v>Very Active</v>
      </c>
      <c r="W797" t="str">
        <f>tbl_working_daily[[#This Row],[Id]]&amp;"|"&amp;TEXT(tbl_working_daily[[#This Row],[ActivityDate]],"yyyy-mm-dd")</f>
        <v>4020332650|2016-04-15</v>
      </c>
      <c r="X797" t="b">
        <f>ISNUMBER(MATCH(tbl_working_daily[[#This Row],[LookupKey]],tbl_working_sleep[LookupKey],0))</f>
        <v>0</v>
      </c>
    </row>
    <row r="798" spans="1:24" x14ac:dyDescent="0.3">
      <c r="A798">
        <v>4020332650</v>
      </c>
      <c r="B798" s="1">
        <v>42476</v>
      </c>
      <c r="C798">
        <v>1982</v>
      </c>
      <c r="D798">
        <v>1.41999995708466</v>
      </c>
      <c r="E798">
        <v>1.41999995708466</v>
      </c>
      <c r="F798">
        <v>0</v>
      </c>
      <c r="G798">
        <v>0.44999998807907099</v>
      </c>
      <c r="H798">
        <v>0.37000000476837203</v>
      </c>
      <c r="I798">
        <v>0.58999997377395597</v>
      </c>
      <c r="J798">
        <v>0</v>
      </c>
      <c r="K798">
        <v>65</v>
      </c>
      <c r="L798">
        <v>21</v>
      </c>
      <c r="M798">
        <v>55</v>
      </c>
      <c r="N798">
        <v>1222</v>
      </c>
      <c r="O798">
        <v>3051</v>
      </c>
      <c r="P798" t="str">
        <f>TEXT(tbl_working_daily[[#This Row],[ActivityDate]],"dddd")</f>
        <v>Saturday</v>
      </c>
      <c r="Q798" t="str">
        <f>TEXT(tbl_working_daily[[#This Row],[ActivityDate]],"mmmm")</f>
        <v>April</v>
      </c>
      <c r="R798">
        <f t="shared" si="24"/>
        <v>141</v>
      </c>
      <c r="S798">
        <f t="shared" si="25"/>
        <v>1363</v>
      </c>
      <c r="T798">
        <f>ROUND(tbl_working_daily[[#This Row],[SedentaryMinutes]]/60,2)</f>
        <v>20.37</v>
      </c>
      <c r="U798" t="str" cm="1">
        <f t="array" ref="U7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98" t="str" cm="1">
        <f t="array" ref="V798">_xlfn.IFS(tbl_working_daily[[#This Row],[VeryActiveMinutes]]&gt;=30,"Very Active",tbl_working_daily[[#This Row],[VeryActiveMinutes]]&gt;=15,"Moderately Active",tbl_working_daily[[#This Row],[VeryActiveMinutes]]&gt;=1,"Lightly Active",tbl_working_daily[[#This Row],[VeryActiveMinutes]]=0,"Sedentary")</f>
        <v>Very Active</v>
      </c>
      <c r="W798" t="str">
        <f>tbl_working_daily[[#This Row],[Id]]&amp;"|"&amp;TEXT(tbl_working_daily[[#This Row],[ActivityDate]],"yyyy-mm-dd")</f>
        <v>4020332650|2016-04-16</v>
      </c>
      <c r="X798" t="b">
        <f>ISNUMBER(MATCH(tbl_working_daily[[#This Row],[LookupKey]],tbl_working_sleep[LookupKey],0))</f>
        <v>1</v>
      </c>
    </row>
    <row r="799" spans="1:24" x14ac:dyDescent="0.3">
      <c r="A799">
        <v>4020332650</v>
      </c>
      <c r="B799" s="1">
        <v>42477</v>
      </c>
      <c r="C799">
        <v>16</v>
      </c>
      <c r="D799">
        <v>9.9999997764825804E-3</v>
      </c>
      <c r="E799">
        <v>9.9999997764825804E-3</v>
      </c>
      <c r="F799">
        <v>0</v>
      </c>
      <c r="G799">
        <v>0</v>
      </c>
      <c r="H799">
        <v>0</v>
      </c>
      <c r="I799">
        <v>9.9999997764825804E-3</v>
      </c>
      <c r="J799">
        <v>0</v>
      </c>
      <c r="K799">
        <v>0</v>
      </c>
      <c r="L799">
        <v>0</v>
      </c>
      <c r="M799">
        <v>2</v>
      </c>
      <c r="N799">
        <v>1438</v>
      </c>
      <c r="O799">
        <v>1990</v>
      </c>
      <c r="P799" t="str">
        <f>TEXT(tbl_working_daily[[#This Row],[ActivityDate]],"dddd")</f>
        <v>Sunday</v>
      </c>
      <c r="Q799" t="str">
        <f>TEXT(tbl_working_daily[[#This Row],[ActivityDate]],"mmmm")</f>
        <v>April</v>
      </c>
      <c r="R799">
        <f t="shared" si="24"/>
        <v>2</v>
      </c>
      <c r="S799">
        <f t="shared" si="25"/>
        <v>1440</v>
      </c>
      <c r="T799">
        <f>ROUND(tbl_working_daily[[#This Row],[SedentaryMinutes]]/60,2)</f>
        <v>23.97</v>
      </c>
      <c r="U799" t="str" cm="1">
        <f t="array" ref="U79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799" t="str" cm="1">
        <f t="array" ref="V799">_xlfn.IFS(tbl_working_daily[[#This Row],[VeryActiveMinutes]]&gt;=30,"Very Active",tbl_working_daily[[#This Row],[VeryActiveMinutes]]&gt;=15,"Moderately Active",tbl_working_daily[[#This Row],[VeryActiveMinutes]]&gt;=1,"Lightly Active",tbl_working_daily[[#This Row],[VeryActiveMinutes]]=0,"Sedentary")</f>
        <v>Sedentary</v>
      </c>
      <c r="W799" t="str">
        <f>tbl_working_daily[[#This Row],[Id]]&amp;"|"&amp;TEXT(tbl_working_daily[[#This Row],[ActivityDate]],"yyyy-mm-dd")</f>
        <v>4020332650|2016-04-17</v>
      </c>
      <c r="X799" t="b">
        <f>ISNUMBER(MATCH(tbl_working_daily[[#This Row],[LookupKey]],tbl_working_sleep[LookupKey],0))</f>
        <v>0</v>
      </c>
    </row>
    <row r="800" spans="1:24" x14ac:dyDescent="0.3">
      <c r="A800">
        <v>4020332650</v>
      </c>
      <c r="B800" s="1">
        <v>42478</v>
      </c>
      <c r="C800">
        <v>62</v>
      </c>
      <c r="D800">
        <v>3.9999999105930301E-2</v>
      </c>
      <c r="E800">
        <v>3.9999999105930301E-2</v>
      </c>
      <c r="F800">
        <v>0</v>
      </c>
      <c r="G800">
        <v>0</v>
      </c>
      <c r="H800">
        <v>0</v>
      </c>
      <c r="I800">
        <v>3.9999999105930301E-2</v>
      </c>
      <c r="J800">
        <v>0</v>
      </c>
      <c r="K800">
        <v>0</v>
      </c>
      <c r="L800">
        <v>0</v>
      </c>
      <c r="M800">
        <v>2</v>
      </c>
      <c r="N800">
        <v>1438</v>
      </c>
      <c r="O800">
        <v>1995</v>
      </c>
      <c r="P800" t="str">
        <f>TEXT(tbl_working_daily[[#This Row],[ActivityDate]],"dddd")</f>
        <v>Monday</v>
      </c>
      <c r="Q800" t="str">
        <f>TEXT(tbl_working_daily[[#This Row],[ActivityDate]],"mmmm")</f>
        <v>April</v>
      </c>
      <c r="R800">
        <f t="shared" si="24"/>
        <v>2</v>
      </c>
      <c r="S800">
        <f t="shared" si="25"/>
        <v>1440</v>
      </c>
      <c r="T800">
        <f>ROUND(tbl_working_daily[[#This Row],[SedentaryMinutes]]/60,2)</f>
        <v>23.97</v>
      </c>
      <c r="U800" t="str" cm="1">
        <f t="array" ref="U80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0" t="str" cm="1">
        <f t="array" ref="V800">_xlfn.IFS(tbl_working_daily[[#This Row],[VeryActiveMinutes]]&gt;=30,"Very Active",tbl_working_daily[[#This Row],[VeryActiveMinutes]]&gt;=15,"Moderately Active",tbl_working_daily[[#This Row],[VeryActiveMinutes]]&gt;=1,"Lightly Active",tbl_working_daily[[#This Row],[VeryActiveMinutes]]=0,"Sedentary")</f>
        <v>Sedentary</v>
      </c>
      <c r="W800" t="str">
        <f>tbl_working_daily[[#This Row],[Id]]&amp;"|"&amp;TEXT(tbl_working_daily[[#This Row],[ActivityDate]],"yyyy-mm-dd")</f>
        <v>4020332650|2016-04-18</v>
      </c>
      <c r="X800" t="b">
        <f>ISNUMBER(MATCH(tbl_working_daily[[#This Row],[LookupKey]],tbl_working_sleep[LookupKey],0))</f>
        <v>0</v>
      </c>
    </row>
    <row r="801" spans="1:24" x14ac:dyDescent="0.3">
      <c r="A801">
        <v>4020332650</v>
      </c>
      <c r="B801" s="1">
        <v>42479</v>
      </c>
      <c r="C801">
        <v>0</v>
      </c>
      <c r="D801">
        <v>0</v>
      </c>
      <c r="E801">
        <v>0</v>
      </c>
      <c r="F801">
        <v>0</v>
      </c>
      <c r="G801">
        <v>0</v>
      </c>
      <c r="H801">
        <v>0</v>
      </c>
      <c r="I801">
        <v>0</v>
      </c>
      <c r="J801">
        <v>0</v>
      </c>
      <c r="K801">
        <v>0</v>
      </c>
      <c r="L801">
        <v>0</v>
      </c>
      <c r="M801">
        <v>0</v>
      </c>
      <c r="N801">
        <v>1440</v>
      </c>
      <c r="O801">
        <v>1980</v>
      </c>
      <c r="P801" t="str">
        <f>TEXT(tbl_working_daily[[#This Row],[ActivityDate]],"dddd")</f>
        <v>Tuesday</v>
      </c>
      <c r="Q801" t="str">
        <f>TEXT(tbl_working_daily[[#This Row],[ActivityDate]],"mmmm")</f>
        <v>April</v>
      </c>
      <c r="R801">
        <f t="shared" si="24"/>
        <v>0</v>
      </c>
      <c r="S801">
        <f t="shared" si="25"/>
        <v>1440</v>
      </c>
      <c r="T801">
        <f>ROUND(tbl_working_daily[[#This Row],[SedentaryMinutes]]/60,2)</f>
        <v>24</v>
      </c>
      <c r="U801" t="str" cm="1">
        <f t="array" ref="U80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1" t="str" cm="1">
        <f t="array" ref="V801">_xlfn.IFS(tbl_working_daily[[#This Row],[VeryActiveMinutes]]&gt;=30,"Very Active",tbl_working_daily[[#This Row],[VeryActiveMinutes]]&gt;=15,"Moderately Active",tbl_working_daily[[#This Row],[VeryActiveMinutes]]&gt;=1,"Lightly Active",tbl_working_daily[[#This Row],[VeryActiveMinutes]]=0,"Sedentary")</f>
        <v>Sedentary</v>
      </c>
      <c r="W801" t="str">
        <f>tbl_working_daily[[#This Row],[Id]]&amp;"|"&amp;TEXT(tbl_working_daily[[#This Row],[ActivityDate]],"yyyy-mm-dd")</f>
        <v>4020332650|2016-04-19</v>
      </c>
      <c r="X801" t="b">
        <f>ISNUMBER(MATCH(tbl_working_daily[[#This Row],[LookupKey]],tbl_working_sleep[LookupKey],0))</f>
        <v>0</v>
      </c>
    </row>
    <row r="802" spans="1:24" x14ac:dyDescent="0.3">
      <c r="A802">
        <v>4020332650</v>
      </c>
      <c r="B802" s="1">
        <v>42480</v>
      </c>
      <c r="C802">
        <v>0</v>
      </c>
      <c r="D802">
        <v>0</v>
      </c>
      <c r="E802">
        <v>0</v>
      </c>
      <c r="F802">
        <v>0</v>
      </c>
      <c r="G802">
        <v>0</v>
      </c>
      <c r="H802">
        <v>0</v>
      </c>
      <c r="I802">
        <v>0</v>
      </c>
      <c r="J802">
        <v>0</v>
      </c>
      <c r="K802">
        <v>0</v>
      </c>
      <c r="L802">
        <v>0</v>
      </c>
      <c r="M802">
        <v>0</v>
      </c>
      <c r="N802">
        <v>1440</v>
      </c>
      <c r="O802">
        <v>1980</v>
      </c>
      <c r="P802" t="str">
        <f>TEXT(tbl_working_daily[[#This Row],[ActivityDate]],"dddd")</f>
        <v>Wednesday</v>
      </c>
      <c r="Q802" t="str">
        <f>TEXT(tbl_working_daily[[#This Row],[ActivityDate]],"mmmm")</f>
        <v>April</v>
      </c>
      <c r="R802">
        <f t="shared" si="24"/>
        <v>0</v>
      </c>
      <c r="S802">
        <f t="shared" si="25"/>
        <v>1440</v>
      </c>
      <c r="T802">
        <f>ROUND(tbl_working_daily[[#This Row],[SedentaryMinutes]]/60,2)</f>
        <v>24</v>
      </c>
      <c r="U802" t="str" cm="1">
        <f t="array" ref="U8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2" t="str" cm="1">
        <f t="array" ref="V802">_xlfn.IFS(tbl_working_daily[[#This Row],[VeryActiveMinutes]]&gt;=30,"Very Active",tbl_working_daily[[#This Row],[VeryActiveMinutes]]&gt;=15,"Moderately Active",tbl_working_daily[[#This Row],[VeryActiveMinutes]]&gt;=1,"Lightly Active",tbl_working_daily[[#This Row],[VeryActiveMinutes]]=0,"Sedentary")</f>
        <v>Sedentary</v>
      </c>
      <c r="W802" t="str">
        <f>tbl_working_daily[[#This Row],[Id]]&amp;"|"&amp;TEXT(tbl_working_daily[[#This Row],[ActivityDate]],"yyyy-mm-dd")</f>
        <v>4020332650|2016-04-20</v>
      </c>
      <c r="X802" t="b">
        <f>ISNUMBER(MATCH(tbl_working_daily[[#This Row],[LookupKey]],tbl_working_sleep[LookupKey],0))</f>
        <v>0</v>
      </c>
    </row>
    <row r="803" spans="1:24" x14ac:dyDescent="0.3">
      <c r="A803">
        <v>4020332650</v>
      </c>
      <c r="B803" s="1">
        <v>42481</v>
      </c>
      <c r="C803">
        <v>0</v>
      </c>
      <c r="D803">
        <v>0</v>
      </c>
      <c r="E803">
        <v>0</v>
      </c>
      <c r="F803">
        <v>0</v>
      </c>
      <c r="G803">
        <v>0</v>
      </c>
      <c r="H803">
        <v>0</v>
      </c>
      <c r="I803">
        <v>0</v>
      </c>
      <c r="J803">
        <v>0</v>
      </c>
      <c r="K803">
        <v>0</v>
      </c>
      <c r="L803">
        <v>0</v>
      </c>
      <c r="M803">
        <v>0</v>
      </c>
      <c r="N803">
        <v>1440</v>
      </c>
      <c r="O803">
        <v>1980</v>
      </c>
      <c r="P803" t="str">
        <f>TEXT(tbl_working_daily[[#This Row],[ActivityDate]],"dddd")</f>
        <v>Thursday</v>
      </c>
      <c r="Q803" t="str">
        <f>TEXT(tbl_working_daily[[#This Row],[ActivityDate]],"mmmm")</f>
        <v>April</v>
      </c>
      <c r="R803">
        <f t="shared" si="24"/>
        <v>0</v>
      </c>
      <c r="S803">
        <f t="shared" si="25"/>
        <v>1440</v>
      </c>
      <c r="T803">
        <f>ROUND(tbl_working_daily[[#This Row],[SedentaryMinutes]]/60,2)</f>
        <v>24</v>
      </c>
      <c r="U803" t="str" cm="1">
        <f t="array" ref="U80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3" t="str" cm="1">
        <f t="array" ref="V803">_xlfn.IFS(tbl_working_daily[[#This Row],[VeryActiveMinutes]]&gt;=30,"Very Active",tbl_working_daily[[#This Row],[VeryActiveMinutes]]&gt;=15,"Moderately Active",tbl_working_daily[[#This Row],[VeryActiveMinutes]]&gt;=1,"Lightly Active",tbl_working_daily[[#This Row],[VeryActiveMinutes]]=0,"Sedentary")</f>
        <v>Sedentary</v>
      </c>
      <c r="W803" t="str">
        <f>tbl_working_daily[[#This Row],[Id]]&amp;"|"&amp;TEXT(tbl_working_daily[[#This Row],[ActivityDate]],"yyyy-mm-dd")</f>
        <v>4020332650|2016-04-21</v>
      </c>
      <c r="X803" t="b">
        <f>ISNUMBER(MATCH(tbl_working_daily[[#This Row],[LookupKey]],tbl_working_sleep[LookupKey],0))</f>
        <v>0</v>
      </c>
    </row>
    <row r="804" spans="1:24" x14ac:dyDescent="0.3">
      <c r="A804">
        <v>4020332650</v>
      </c>
      <c r="B804" s="1">
        <v>42482</v>
      </c>
      <c r="C804">
        <v>0</v>
      </c>
      <c r="D804">
        <v>0</v>
      </c>
      <c r="E804">
        <v>0</v>
      </c>
      <c r="F804">
        <v>0</v>
      </c>
      <c r="G804">
        <v>0</v>
      </c>
      <c r="H804">
        <v>0</v>
      </c>
      <c r="I804">
        <v>0</v>
      </c>
      <c r="J804">
        <v>0</v>
      </c>
      <c r="K804">
        <v>0</v>
      </c>
      <c r="L804">
        <v>0</v>
      </c>
      <c r="M804">
        <v>0</v>
      </c>
      <c r="N804">
        <v>1440</v>
      </c>
      <c r="O804">
        <v>1980</v>
      </c>
      <c r="P804" t="str">
        <f>TEXT(tbl_working_daily[[#This Row],[ActivityDate]],"dddd")</f>
        <v>Friday</v>
      </c>
      <c r="Q804" t="str">
        <f>TEXT(tbl_working_daily[[#This Row],[ActivityDate]],"mmmm")</f>
        <v>April</v>
      </c>
      <c r="R804">
        <f t="shared" si="24"/>
        <v>0</v>
      </c>
      <c r="S804">
        <f t="shared" si="25"/>
        <v>1440</v>
      </c>
      <c r="T804">
        <f>ROUND(tbl_working_daily[[#This Row],[SedentaryMinutes]]/60,2)</f>
        <v>24</v>
      </c>
      <c r="U804" t="str" cm="1">
        <f t="array" ref="U8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4" t="str" cm="1">
        <f t="array" ref="V804">_xlfn.IFS(tbl_working_daily[[#This Row],[VeryActiveMinutes]]&gt;=30,"Very Active",tbl_working_daily[[#This Row],[VeryActiveMinutes]]&gt;=15,"Moderately Active",tbl_working_daily[[#This Row],[VeryActiveMinutes]]&gt;=1,"Lightly Active",tbl_working_daily[[#This Row],[VeryActiveMinutes]]=0,"Sedentary")</f>
        <v>Sedentary</v>
      </c>
      <c r="W804" t="str">
        <f>tbl_working_daily[[#This Row],[Id]]&amp;"|"&amp;TEXT(tbl_working_daily[[#This Row],[ActivityDate]],"yyyy-mm-dd")</f>
        <v>4020332650|2016-04-22</v>
      </c>
      <c r="X804" t="b">
        <f>ISNUMBER(MATCH(tbl_working_daily[[#This Row],[LookupKey]],tbl_working_sleep[LookupKey],0))</f>
        <v>0</v>
      </c>
    </row>
    <row r="805" spans="1:24" x14ac:dyDescent="0.3">
      <c r="A805">
        <v>4020332650</v>
      </c>
      <c r="B805" s="1">
        <v>42483</v>
      </c>
      <c r="C805">
        <v>0</v>
      </c>
      <c r="D805">
        <v>0</v>
      </c>
      <c r="E805">
        <v>0</v>
      </c>
      <c r="F805">
        <v>0</v>
      </c>
      <c r="G805">
        <v>0</v>
      </c>
      <c r="H805">
        <v>0</v>
      </c>
      <c r="I805">
        <v>0</v>
      </c>
      <c r="J805">
        <v>0</v>
      </c>
      <c r="K805">
        <v>0</v>
      </c>
      <c r="L805">
        <v>0</v>
      </c>
      <c r="M805">
        <v>0</v>
      </c>
      <c r="N805">
        <v>1440</v>
      </c>
      <c r="O805">
        <v>1980</v>
      </c>
      <c r="P805" t="str">
        <f>TEXT(tbl_working_daily[[#This Row],[ActivityDate]],"dddd")</f>
        <v>Saturday</v>
      </c>
      <c r="Q805" t="str">
        <f>TEXT(tbl_working_daily[[#This Row],[ActivityDate]],"mmmm")</f>
        <v>April</v>
      </c>
      <c r="R805">
        <f t="shared" si="24"/>
        <v>0</v>
      </c>
      <c r="S805">
        <f t="shared" si="25"/>
        <v>1440</v>
      </c>
      <c r="T805">
        <f>ROUND(tbl_working_daily[[#This Row],[SedentaryMinutes]]/60,2)</f>
        <v>24</v>
      </c>
      <c r="U805" t="str" cm="1">
        <f t="array" ref="U8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5" t="str" cm="1">
        <f t="array" ref="V805">_xlfn.IFS(tbl_working_daily[[#This Row],[VeryActiveMinutes]]&gt;=30,"Very Active",tbl_working_daily[[#This Row],[VeryActiveMinutes]]&gt;=15,"Moderately Active",tbl_working_daily[[#This Row],[VeryActiveMinutes]]&gt;=1,"Lightly Active",tbl_working_daily[[#This Row],[VeryActiveMinutes]]=0,"Sedentary")</f>
        <v>Sedentary</v>
      </c>
      <c r="W805" t="str">
        <f>tbl_working_daily[[#This Row],[Id]]&amp;"|"&amp;TEXT(tbl_working_daily[[#This Row],[ActivityDate]],"yyyy-mm-dd")</f>
        <v>4020332650|2016-04-23</v>
      </c>
      <c r="X805" t="b">
        <f>ISNUMBER(MATCH(tbl_working_daily[[#This Row],[LookupKey]],tbl_working_sleep[LookupKey],0))</f>
        <v>0</v>
      </c>
    </row>
    <row r="806" spans="1:24" x14ac:dyDescent="0.3">
      <c r="A806">
        <v>4020332650</v>
      </c>
      <c r="B806" s="1">
        <v>42484</v>
      </c>
      <c r="C806">
        <v>0</v>
      </c>
      <c r="D806">
        <v>0</v>
      </c>
      <c r="E806">
        <v>0</v>
      </c>
      <c r="F806">
        <v>0</v>
      </c>
      <c r="G806">
        <v>0</v>
      </c>
      <c r="H806">
        <v>0</v>
      </c>
      <c r="I806">
        <v>0</v>
      </c>
      <c r="J806">
        <v>0</v>
      </c>
      <c r="K806">
        <v>0</v>
      </c>
      <c r="L806">
        <v>0</v>
      </c>
      <c r="M806">
        <v>0</v>
      </c>
      <c r="N806">
        <v>1440</v>
      </c>
      <c r="O806">
        <v>1980</v>
      </c>
      <c r="P806" t="str">
        <f>TEXT(tbl_working_daily[[#This Row],[ActivityDate]],"dddd")</f>
        <v>Sunday</v>
      </c>
      <c r="Q806" t="str">
        <f>TEXT(tbl_working_daily[[#This Row],[ActivityDate]],"mmmm")</f>
        <v>April</v>
      </c>
      <c r="R806">
        <f t="shared" si="24"/>
        <v>0</v>
      </c>
      <c r="S806">
        <f t="shared" si="25"/>
        <v>1440</v>
      </c>
      <c r="T806">
        <f>ROUND(tbl_working_daily[[#This Row],[SedentaryMinutes]]/60,2)</f>
        <v>24</v>
      </c>
      <c r="U806" t="str" cm="1">
        <f t="array" ref="U8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6" t="str" cm="1">
        <f t="array" ref="V806">_xlfn.IFS(tbl_working_daily[[#This Row],[VeryActiveMinutes]]&gt;=30,"Very Active",tbl_working_daily[[#This Row],[VeryActiveMinutes]]&gt;=15,"Moderately Active",tbl_working_daily[[#This Row],[VeryActiveMinutes]]&gt;=1,"Lightly Active",tbl_working_daily[[#This Row],[VeryActiveMinutes]]=0,"Sedentary")</f>
        <v>Sedentary</v>
      </c>
      <c r="W806" t="str">
        <f>tbl_working_daily[[#This Row],[Id]]&amp;"|"&amp;TEXT(tbl_working_daily[[#This Row],[ActivityDate]],"yyyy-mm-dd")</f>
        <v>4020332650|2016-04-24</v>
      </c>
      <c r="X806" t="b">
        <f>ISNUMBER(MATCH(tbl_working_daily[[#This Row],[LookupKey]],tbl_working_sleep[LookupKey],0))</f>
        <v>0</v>
      </c>
    </row>
    <row r="807" spans="1:24" x14ac:dyDescent="0.3">
      <c r="A807">
        <v>4020332650</v>
      </c>
      <c r="B807" s="1">
        <v>42485</v>
      </c>
      <c r="C807">
        <v>0</v>
      </c>
      <c r="D807">
        <v>0</v>
      </c>
      <c r="E807">
        <v>0</v>
      </c>
      <c r="F807">
        <v>0</v>
      </c>
      <c r="G807">
        <v>0</v>
      </c>
      <c r="H807">
        <v>0</v>
      </c>
      <c r="I807">
        <v>0</v>
      </c>
      <c r="J807">
        <v>0</v>
      </c>
      <c r="K807">
        <v>0</v>
      </c>
      <c r="L807">
        <v>0</v>
      </c>
      <c r="M807">
        <v>0</v>
      </c>
      <c r="N807">
        <v>1440</v>
      </c>
      <c r="O807">
        <v>1980</v>
      </c>
      <c r="P807" t="str">
        <f>TEXT(tbl_working_daily[[#This Row],[ActivityDate]],"dddd")</f>
        <v>Monday</v>
      </c>
      <c r="Q807" t="str">
        <f>TEXT(tbl_working_daily[[#This Row],[ActivityDate]],"mmmm")</f>
        <v>April</v>
      </c>
      <c r="R807">
        <f t="shared" si="24"/>
        <v>0</v>
      </c>
      <c r="S807">
        <f t="shared" si="25"/>
        <v>1440</v>
      </c>
      <c r="T807">
        <f>ROUND(tbl_working_daily[[#This Row],[SedentaryMinutes]]/60,2)</f>
        <v>24</v>
      </c>
      <c r="U807" t="str" cm="1">
        <f t="array" ref="U8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7" t="str" cm="1">
        <f t="array" ref="V807">_xlfn.IFS(tbl_working_daily[[#This Row],[VeryActiveMinutes]]&gt;=30,"Very Active",tbl_working_daily[[#This Row],[VeryActiveMinutes]]&gt;=15,"Moderately Active",tbl_working_daily[[#This Row],[VeryActiveMinutes]]&gt;=1,"Lightly Active",tbl_working_daily[[#This Row],[VeryActiveMinutes]]=0,"Sedentary")</f>
        <v>Sedentary</v>
      </c>
      <c r="W807" t="str">
        <f>tbl_working_daily[[#This Row],[Id]]&amp;"|"&amp;TEXT(tbl_working_daily[[#This Row],[ActivityDate]],"yyyy-mm-dd")</f>
        <v>4020332650|2016-04-25</v>
      </c>
      <c r="X807" t="b">
        <f>ISNUMBER(MATCH(tbl_working_daily[[#This Row],[LookupKey]],tbl_working_sleep[LookupKey],0))</f>
        <v>0</v>
      </c>
    </row>
    <row r="808" spans="1:24" x14ac:dyDescent="0.3">
      <c r="A808">
        <v>4020332650</v>
      </c>
      <c r="B808" s="1">
        <v>42486</v>
      </c>
      <c r="C808">
        <v>0</v>
      </c>
      <c r="D808">
        <v>0</v>
      </c>
      <c r="E808">
        <v>0</v>
      </c>
      <c r="F808">
        <v>0</v>
      </c>
      <c r="G808">
        <v>0</v>
      </c>
      <c r="H808">
        <v>0</v>
      </c>
      <c r="I808">
        <v>0</v>
      </c>
      <c r="J808">
        <v>0</v>
      </c>
      <c r="K808">
        <v>0</v>
      </c>
      <c r="L808">
        <v>0</v>
      </c>
      <c r="M808">
        <v>0</v>
      </c>
      <c r="N808">
        <v>1440</v>
      </c>
      <c r="O808">
        <v>1980</v>
      </c>
      <c r="P808" t="str">
        <f>TEXT(tbl_working_daily[[#This Row],[ActivityDate]],"dddd")</f>
        <v>Tuesday</v>
      </c>
      <c r="Q808" t="str">
        <f>TEXT(tbl_working_daily[[#This Row],[ActivityDate]],"mmmm")</f>
        <v>April</v>
      </c>
      <c r="R808">
        <f t="shared" si="24"/>
        <v>0</v>
      </c>
      <c r="S808">
        <f t="shared" si="25"/>
        <v>1440</v>
      </c>
      <c r="T808">
        <f>ROUND(tbl_working_daily[[#This Row],[SedentaryMinutes]]/60,2)</f>
        <v>24</v>
      </c>
      <c r="U808" t="str" cm="1">
        <f t="array" ref="U8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8" t="str" cm="1">
        <f t="array" ref="V808">_xlfn.IFS(tbl_working_daily[[#This Row],[VeryActiveMinutes]]&gt;=30,"Very Active",tbl_working_daily[[#This Row],[VeryActiveMinutes]]&gt;=15,"Moderately Active",tbl_working_daily[[#This Row],[VeryActiveMinutes]]&gt;=1,"Lightly Active",tbl_working_daily[[#This Row],[VeryActiveMinutes]]=0,"Sedentary")</f>
        <v>Sedentary</v>
      </c>
      <c r="W808" t="str">
        <f>tbl_working_daily[[#This Row],[Id]]&amp;"|"&amp;TEXT(tbl_working_daily[[#This Row],[ActivityDate]],"yyyy-mm-dd")</f>
        <v>4020332650|2016-04-26</v>
      </c>
      <c r="X808" t="b">
        <f>ISNUMBER(MATCH(tbl_working_daily[[#This Row],[LookupKey]],tbl_working_sleep[LookupKey],0))</f>
        <v>0</v>
      </c>
    </row>
    <row r="809" spans="1:24" x14ac:dyDescent="0.3">
      <c r="A809">
        <v>4020332650</v>
      </c>
      <c r="B809" s="1">
        <v>42487</v>
      </c>
      <c r="C809">
        <v>0</v>
      </c>
      <c r="D809">
        <v>0</v>
      </c>
      <c r="E809">
        <v>0</v>
      </c>
      <c r="F809">
        <v>0</v>
      </c>
      <c r="G809">
        <v>0</v>
      </c>
      <c r="H809">
        <v>0</v>
      </c>
      <c r="I809">
        <v>0</v>
      </c>
      <c r="J809">
        <v>0</v>
      </c>
      <c r="K809">
        <v>0</v>
      </c>
      <c r="L809">
        <v>0</v>
      </c>
      <c r="M809">
        <v>0</v>
      </c>
      <c r="N809">
        <v>1440</v>
      </c>
      <c r="O809">
        <v>1980</v>
      </c>
      <c r="P809" t="str">
        <f>TEXT(tbl_working_daily[[#This Row],[ActivityDate]],"dddd")</f>
        <v>Wednesday</v>
      </c>
      <c r="Q809" t="str">
        <f>TEXT(tbl_working_daily[[#This Row],[ActivityDate]],"mmmm")</f>
        <v>April</v>
      </c>
      <c r="R809">
        <f t="shared" si="24"/>
        <v>0</v>
      </c>
      <c r="S809">
        <f t="shared" si="25"/>
        <v>1440</v>
      </c>
      <c r="T809">
        <f>ROUND(tbl_working_daily[[#This Row],[SedentaryMinutes]]/60,2)</f>
        <v>24</v>
      </c>
      <c r="U809" t="str" cm="1">
        <f t="array" ref="U80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09" t="str" cm="1">
        <f t="array" ref="V809">_xlfn.IFS(tbl_working_daily[[#This Row],[VeryActiveMinutes]]&gt;=30,"Very Active",tbl_working_daily[[#This Row],[VeryActiveMinutes]]&gt;=15,"Moderately Active",tbl_working_daily[[#This Row],[VeryActiveMinutes]]&gt;=1,"Lightly Active",tbl_working_daily[[#This Row],[VeryActiveMinutes]]=0,"Sedentary")</f>
        <v>Sedentary</v>
      </c>
      <c r="W809" t="str">
        <f>tbl_working_daily[[#This Row],[Id]]&amp;"|"&amp;TEXT(tbl_working_daily[[#This Row],[ActivityDate]],"yyyy-mm-dd")</f>
        <v>4020332650|2016-04-27</v>
      </c>
      <c r="X809" t="b">
        <f>ISNUMBER(MATCH(tbl_working_daily[[#This Row],[LookupKey]],tbl_working_sleep[LookupKey],0))</f>
        <v>0</v>
      </c>
    </row>
    <row r="810" spans="1:24" x14ac:dyDescent="0.3">
      <c r="A810">
        <v>4020332650</v>
      </c>
      <c r="B810" s="1">
        <v>42488</v>
      </c>
      <c r="C810">
        <v>0</v>
      </c>
      <c r="D810">
        <v>0</v>
      </c>
      <c r="E810">
        <v>0</v>
      </c>
      <c r="F810">
        <v>0</v>
      </c>
      <c r="G810">
        <v>0</v>
      </c>
      <c r="H810">
        <v>0</v>
      </c>
      <c r="I810">
        <v>0</v>
      </c>
      <c r="J810">
        <v>0</v>
      </c>
      <c r="K810">
        <v>0</v>
      </c>
      <c r="L810">
        <v>0</v>
      </c>
      <c r="M810">
        <v>0</v>
      </c>
      <c r="N810">
        <v>1440</v>
      </c>
      <c r="O810">
        <v>1980</v>
      </c>
      <c r="P810" t="str">
        <f>TEXT(tbl_working_daily[[#This Row],[ActivityDate]],"dddd")</f>
        <v>Thursday</v>
      </c>
      <c r="Q810" t="str">
        <f>TEXT(tbl_working_daily[[#This Row],[ActivityDate]],"mmmm")</f>
        <v>April</v>
      </c>
      <c r="R810">
        <f t="shared" si="24"/>
        <v>0</v>
      </c>
      <c r="S810">
        <f t="shared" si="25"/>
        <v>1440</v>
      </c>
      <c r="T810">
        <f>ROUND(tbl_working_daily[[#This Row],[SedentaryMinutes]]/60,2)</f>
        <v>24</v>
      </c>
      <c r="U810" t="str" cm="1">
        <f t="array" ref="U81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0" t="str" cm="1">
        <f t="array" ref="V810">_xlfn.IFS(tbl_working_daily[[#This Row],[VeryActiveMinutes]]&gt;=30,"Very Active",tbl_working_daily[[#This Row],[VeryActiveMinutes]]&gt;=15,"Moderately Active",tbl_working_daily[[#This Row],[VeryActiveMinutes]]&gt;=1,"Lightly Active",tbl_working_daily[[#This Row],[VeryActiveMinutes]]=0,"Sedentary")</f>
        <v>Sedentary</v>
      </c>
      <c r="W810" t="str">
        <f>tbl_working_daily[[#This Row],[Id]]&amp;"|"&amp;TEXT(tbl_working_daily[[#This Row],[ActivityDate]],"yyyy-mm-dd")</f>
        <v>4020332650|2016-04-28</v>
      </c>
      <c r="X810" t="b">
        <f>ISNUMBER(MATCH(tbl_working_daily[[#This Row],[LookupKey]],tbl_working_sleep[LookupKey],0))</f>
        <v>0</v>
      </c>
    </row>
    <row r="811" spans="1:24" x14ac:dyDescent="0.3">
      <c r="A811">
        <v>4020332650</v>
      </c>
      <c r="B811" s="1">
        <v>42489</v>
      </c>
      <c r="C811">
        <v>0</v>
      </c>
      <c r="D811">
        <v>0</v>
      </c>
      <c r="E811">
        <v>0</v>
      </c>
      <c r="F811">
        <v>0</v>
      </c>
      <c r="G811">
        <v>0</v>
      </c>
      <c r="H811">
        <v>0</v>
      </c>
      <c r="I811">
        <v>0</v>
      </c>
      <c r="J811">
        <v>0</v>
      </c>
      <c r="K811">
        <v>0</v>
      </c>
      <c r="L811">
        <v>0</v>
      </c>
      <c r="M811">
        <v>0</v>
      </c>
      <c r="N811">
        <v>1440</v>
      </c>
      <c r="O811">
        <v>1980</v>
      </c>
      <c r="P811" t="str">
        <f>TEXT(tbl_working_daily[[#This Row],[ActivityDate]],"dddd")</f>
        <v>Friday</v>
      </c>
      <c r="Q811" t="str">
        <f>TEXT(tbl_working_daily[[#This Row],[ActivityDate]],"mmmm")</f>
        <v>April</v>
      </c>
      <c r="R811">
        <f t="shared" si="24"/>
        <v>0</v>
      </c>
      <c r="S811">
        <f t="shared" si="25"/>
        <v>1440</v>
      </c>
      <c r="T811">
        <f>ROUND(tbl_working_daily[[#This Row],[SedentaryMinutes]]/60,2)</f>
        <v>24</v>
      </c>
      <c r="U811" t="str" cm="1">
        <f t="array" ref="U81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1" t="str" cm="1">
        <f t="array" ref="V811">_xlfn.IFS(tbl_working_daily[[#This Row],[VeryActiveMinutes]]&gt;=30,"Very Active",tbl_working_daily[[#This Row],[VeryActiveMinutes]]&gt;=15,"Moderately Active",tbl_working_daily[[#This Row],[VeryActiveMinutes]]&gt;=1,"Lightly Active",tbl_working_daily[[#This Row],[VeryActiveMinutes]]=0,"Sedentary")</f>
        <v>Sedentary</v>
      </c>
      <c r="W811" t="str">
        <f>tbl_working_daily[[#This Row],[Id]]&amp;"|"&amp;TEXT(tbl_working_daily[[#This Row],[ActivityDate]],"yyyy-mm-dd")</f>
        <v>4020332650|2016-04-29</v>
      </c>
      <c r="X811" t="b">
        <f>ISNUMBER(MATCH(tbl_working_daily[[#This Row],[LookupKey]],tbl_working_sleep[LookupKey],0))</f>
        <v>0</v>
      </c>
    </row>
    <row r="812" spans="1:24" x14ac:dyDescent="0.3">
      <c r="A812">
        <v>4020332650</v>
      </c>
      <c r="B812" s="1">
        <v>42490</v>
      </c>
      <c r="C812">
        <v>0</v>
      </c>
      <c r="D812">
        <v>0</v>
      </c>
      <c r="E812">
        <v>0</v>
      </c>
      <c r="F812">
        <v>0</v>
      </c>
      <c r="G812">
        <v>0</v>
      </c>
      <c r="H812">
        <v>0</v>
      </c>
      <c r="I812">
        <v>0</v>
      </c>
      <c r="J812">
        <v>0</v>
      </c>
      <c r="K812">
        <v>0</v>
      </c>
      <c r="L812">
        <v>0</v>
      </c>
      <c r="M812">
        <v>0</v>
      </c>
      <c r="N812">
        <v>1440</v>
      </c>
      <c r="O812">
        <v>1980</v>
      </c>
      <c r="P812" t="str">
        <f>TEXT(tbl_working_daily[[#This Row],[ActivityDate]],"dddd")</f>
        <v>Saturday</v>
      </c>
      <c r="Q812" t="str">
        <f>TEXT(tbl_working_daily[[#This Row],[ActivityDate]],"mmmm")</f>
        <v>April</v>
      </c>
      <c r="R812">
        <f t="shared" si="24"/>
        <v>0</v>
      </c>
      <c r="S812">
        <f t="shared" si="25"/>
        <v>1440</v>
      </c>
      <c r="T812">
        <f>ROUND(tbl_working_daily[[#This Row],[SedentaryMinutes]]/60,2)</f>
        <v>24</v>
      </c>
      <c r="U812" t="str" cm="1">
        <f t="array" ref="U8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2" t="str" cm="1">
        <f t="array" ref="V812">_xlfn.IFS(tbl_working_daily[[#This Row],[VeryActiveMinutes]]&gt;=30,"Very Active",tbl_working_daily[[#This Row],[VeryActiveMinutes]]&gt;=15,"Moderately Active",tbl_working_daily[[#This Row],[VeryActiveMinutes]]&gt;=1,"Lightly Active",tbl_working_daily[[#This Row],[VeryActiveMinutes]]=0,"Sedentary")</f>
        <v>Sedentary</v>
      </c>
      <c r="W812" t="str">
        <f>tbl_working_daily[[#This Row],[Id]]&amp;"|"&amp;TEXT(tbl_working_daily[[#This Row],[ActivityDate]],"yyyy-mm-dd")</f>
        <v>4020332650|2016-04-30</v>
      </c>
      <c r="X812" t="b">
        <f>ISNUMBER(MATCH(tbl_working_daily[[#This Row],[LookupKey]],tbl_working_sleep[LookupKey],0))</f>
        <v>0</v>
      </c>
    </row>
    <row r="813" spans="1:24" x14ac:dyDescent="0.3">
      <c r="A813">
        <v>4020332650</v>
      </c>
      <c r="B813" s="1">
        <v>42491</v>
      </c>
      <c r="C813">
        <v>0</v>
      </c>
      <c r="D813">
        <v>0</v>
      </c>
      <c r="E813">
        <v>0</v>
      </c>
      <c r="F813">
        <v>0</v>
      </c>
      <c r="G813">
        <v>0</v>
      </c>
      <c r="H813">
        <v>0</v>
      </c>
      <c r="I813">
        <v>0</v>
      </c>
      <c r="J813">
        <v>0</v>
      </c>
      <c r="K813">
        <v>0</v>
      </c>
      <c r="L813">
        <v>0</v>
      </c>
      <c r="M813">
        <v>0</v>
      </c>
      <c r="N813">
        <v>1440</v>
      </c>
      <c r="O813">
        <v>1980</v>
      </c>
      <c r="P813" t="str">
        <f>TEXT(tbl_working_daily[[#This Row],[ActivityDate]],"dddd")</f>
        <v>Sunday</v>
      </c>
      <c r="Q813" t="str">
        <f>TEXT(tbl_working_daily[[#This Row],[ActivityDate]],"mmmm")</f>
        <v>May</v>
      </c>
      <c r="R813">
        <f t="shared" si="24"/>
        <v>0</v>
      </c>
      <c r="S813">
        <f t="shared" si="25"/>
        <v>1440</v>
      </c>
      <c r="T813">
        <f>ROUND(tbl_working_daily[[#This Row],[SedentaryMinutes]]/60,2)</f>
        <v>24</v>
      </c>
      <c r="U813" t="str" cm="1">
        <f t="array" ref="U81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3" t="str" cm="1">
        <f t="array" ref="V813">_xlfn.IFS(tbl_working_daily[[#This Row],[VeryActiveMinutes]]&gt;=30,"Very Active",tbl_working_daily[[#This Row],[VeryActiveMinutes]]&gt;=15,"Moderately Active",tbl_working_daily[[#This Row],[VeryActiveMinutes]]&gt;=1,"Lightly Active",tbl_working_daily[[#This Row],[VeryActiveMinutes]]=0,"Sedentary")</f>
        <v>Sedentary</v>
      </c>
      <c r="W813" t="str">
        <f>tbl_working_daily[[#This Row],[Id]]&amp;"|"&amp;TEXT(tbl_working_daily[[#This Row],[ActivityDate]],"yyyy-mm-dd")</f>
        <v>4020332650|2016-05-01</v>
      </c>
      <c r="X813" t="b">
        <f>ISNUMBER(MATCH(tbl_working_daily[[#This Row],[LookupKey]],tbl_working_sleep[LookupKey],0))</f>
        <v>0</v>
      </c>
    </row>
    <row r="814" spans="1:24" x14ac:dyDescent="0.3">
      <c r="A814">
        <v>4020332650</v>
      </c>
      <c r="B814" s="1">
        <v>42492</v>
      </c>
      <c r="C814">
        <v>475</v>
      </c>
      <c r="D814">
        <v>0.34000000357627902</v>
      </c>
      <c r="E814">
        <v>0.34000000357627902</v>
      </c>
      <c r="F814">
        <v>0</v>
      </c>
      <c r="G814">
        <v>0</v>
      </c>
      <c r="H814">
        <v>3.9999999105930301E-2</v>
      </c>
      <c r="I814">
        <v>0.28999999165535001</v>
      </c>
      <c r="J814">
        <v>0</v>
      </c>
      <c r="K814">
        <v>0</v>
      </c>
      <c r="L814">
        <v>11</v>
      </c>
      <c r="M814">
        <v>31</v>
      </c>
      <c r="N814">
        <v>1350</v>
      </c>
      <c r="O814">
        <v>2207</v>
      </c>
      <c r="P814" t="str">
        <f>TEXT(tbl_working_daily[[#This Row],[ActivityDate]],"dddd")</f>
        <v>Monday</v>
      </c>
      <c r="Q814" t="str">
        <f>TEXT(tbl_working_daily[[#This Row],[ActivityDate]],"mmmm")</f>
        <v>May</v>
      </c>
      <c r="R814">
        <f t="shared" si="24"/>
        <v>42</v>
      </c>
      <c r="S814">
        <f t="shared" si="25"/>
        <v>1392</v>
      </c>
      <c r="T814">
        <f>ROUND(tbl_working_daily[[#This Row],[SedentaryMinutes]]/60,2)</f>
        <v>22.5</v>
      </c>
      <c r="U814" t="str" cm="1">
        <f t="array" ref="U81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4" t="str" cm="1">
        <f t="array" ref="V814">_xlfn.IFS(tbl_working_daily[[#This Row],[VeryActiveMinutes]]&gt;=30,"Very Active",tbl_working_daily[[#This Row],[VeryActiveMinutes]]&gt;=15,"Moderately Active",tbl_working_daily[[#This Row],[VeryActiveMinutes]]&gt;=1,"Lightly Active",tbl_working_daily[[#This Row],[VeryActiveMinutes]]=0,"Sedentary")</f>
        <v>Sedentary</v>
      </c>
      <c r="W814" t="str">
        <f>tbl_working_daily[[#This Row],[Id]]&amp;"|"&amp;TEXT(tbl_working_daily[[#This Row],[ActivityDate]],"yyyy-mm-dd")</f>
        <v>4020332650|2016-05-02</v>
      </c>
      <c r="X814" t="b">
        <f>ISNUMBER(MATCH(tbl_working_daily[[#This Row],[LookupKey]],tbl_working_sleep[LookupKey],0))</f>
        <v>0</v>
      </c>
    </row>
    <row r="815" spans="1:24" x14ac:dyDescent="0.3">
      <c r="A815">
        <v>4020332650</v>
      </c>
      <c r="B815" s="1">
        <v>42493</v>
      </c>
      <c r="C815">
        <v>4496</v>
      </c>
      <c r="D815">
        <v>3.2200000286102299</v>
      </c>
      <c r="E815">
        <v>3.2200000286102299</v>
      </c>
      <c r="F815">
        <v>0</v>
      </c>
      <c r="G815">
        <v>0</v>
      </c>
      <c r="H815">
        <v>0</v>
      </c>
      <c r="I815">
        <v>3.1500000953674299</v>
      </c>
      <c r="J815">
        <v>5.0000000745058101E-2</v>
      </c>
      <c r="K815">
        <v>0</v>
      </c>
      <c r="L815">
        <v>0</v>
      </c>
      <c r="M815">
        <v>174</v>
      </c>
      <c r="N815">
        <v>950</v>
      </c>
      <c r="O815">
        <v>2828</v>
      </c>
      <c r="P815" t="str">
        <f>TEXT(tbl_working_daily[[#This Row],[ActivityDate]],"dddd")</f>
        <v>Tuesday</v>
      </c>
      <c r="Q815" t="str">
        <f>TEXT(tbl_working_daily[[#This Row],[ActivityDate]],"mmmm")</f>
        <v>May</v>
      </c>
      <c r="R815">
        <f t="shared" si="24"/>
        <v>174</v>
      </c>
      <c r="S815">
        <f t="shared" si="25"/>
        <v>1124</v>
      </c>
      <c r="T815">
        <f>ROUND(tbl_working_daily[[#This Row],[SedentaryMinutes]]/60,2)</f>
        <v>15.83</v>
      </c>
      <c r="U815" t="str" cm="1">
        <f t="array" ref="U81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5" t="str" cm="1">
        <f t="array" ref="V815">_xlfn.IFS(tbl_working_daily[[#This Row],[VeryActiveMinutes]]&gt;=30,"Very Active",tbl_working_daily[[#This Row],[VeryActiveMinutes]]&gt;=15,"Moderately Active",tbl_working_daily[[#This Row],[VeryActiveMinutes]]&gt;=1,"Lightly Active",tbl_working_daily[[#This Row],[VeryActiveMinutes]]=0,"Sedentary")</f>
        <v>Sedentary</v>
      </c>
      <c r="W815" t="str">
        <f>tbl_working_daily[[#This Row],[Id]]&amp;"|"&amp;TEXT(tbl_working_daily[[#This Row],[ActivityDate]],"yyyy-mm-dd")</f>
        <v>4020332650|2016-05-03</v>
      </c>
      <c r="X815" t="b">
        <f>ISNUMBER(MATCH(tbl_working_daily[[#This Row],[LookupKey]],tbl_working_sleep[LookupKey],0))</f>
        <v>1</v>
      </c>
    </row>
    <row r="816" spans="1:24" x14ac:dyDescent="0.3">
      <c r="A816">
        <v>4020332650</v>
      </c>
      <c r="B816" s="1">
        <v>42494</v>
      </c>
      <c r="C816">
        <v>10252</v>
      </c>
      <c r="D816">
        <v>7.3499999046325701</v>
      </c>
      <c r="E816">
        <v>7.3499999046325701</v>
      </c>
      <c r="F816">
        <v>0</v>
      </c>
      <c r="G816">
        <v>0.67000001668930098</v>
      </c>
      <c r="H816">
        <v>1.03999996185303</v>
      </c>
      <c r="I816">
        <v>5.5799999237060502</v>
      </c>
      <c r="J816">
        <v>0</v>
      </c>
      <c r="K816">
        <v>13</v>
      </c>
      <c r="L816">
        <v>46</v>
      </c>
      <c r="M816">
        <v>346</v>
      </c>
      <c r="N816">
        <v>531</v>
      </c>
      <c r="O816">
        <v>3879</v>
      </c>
      <c r="P816" t="str">
        <f>TEXT(tbl_working_daily[[#This Row],[ActivityDate]],"dddd")</f>
        <v>Wednesday</v>
      </c>
      <c r="Q816" t="str">
        <f>TEXT(tbl_working_daily[[#This Row],[ActivityDate]],"mmmm")</f>
        <v>May</v>
      </c>
      <c r="R816">
        <f t="shared" si="24"/>
        <v>405</v>
      </c>
      <c r="S816">
        <f t="shared" si="25"/>
        <v>936</v>
      </c>
      <c r="T816">
        <f>ROUND(tbl_working_daily[[#This Row],[SedentaryMinutes]]/60,2)</f>
        <v>8.85</v>
      </c>
      <c r="U816" t="str" cm="1">
        <f t="array" ref="U81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16" t="str" cm="1">
        <f t="array" ref="V816">_xlfn.IFS(tbl_working_daily[[#This Row],[VeryActiveMinutes]]&gt;=30,"Very Active",tbl_working_daily[[#This Row],[VeryActiveMinutes]]&gt;=15,"Moderately Active",tbl_working_daily[[#This Row],[VeryActiveMinutes]]&gt;=1,"Lightly Active",tbl_working_daily[[#This Row],[VeryActiveMinutes]]=0,"Sedentary")</f>
        <v>Lightly Active</v>
      </c>
      <c r="W816" t="str">
        <f>tbl_working_daily[[#This Row],[Id]]&amp;"|"&amp;TEXT(tbl_working_daily[[#This Row],[ActivityDate]],"yyyy-mm-dd")</f>
        <v>4020332650|2016-05-04</v>
      </c>
      <c r="X816" t="b">
        <f>ISNUMBER(MATCH(tbl_working_daily[[#This Row],[LookupKey]],tbl_working_sleep[LookupKey],0))</f>
        <v>1</v>
      </c>
    </row>
    <row r="817" spans="1:24" x14ac:dyDescent="0.3">
      <c r="A817">
        <v>4020332650</v>
      </c>
      <c r="B817" s="1">
        <v>42495</v>
      </c>
      <c r="C817">
        <v>11728</v>
      </c>
      <c r="D817">
        <v>8.4300003051757795</v>
      </c>
      <c r="E817">
        <v>8.4300003051757795</v>
      </c>
      <c r="F817">
        <v>0</v>
      </c>
      <c r="G817">
        <v>2.6199998855590798</v>
      </c>
      <c r="H817">
        <v>1.6799999475479099</v>
      </c>
      <c r="I817">
        <v>4.03999996185303</v>
      </c>
      <c r="J817">
        <v>7.0000000298023196E-2</v>
      </c>
      <c r="K817">
        <v>38</v>
      </c>
      <c r="L817">
        <v>42</v>
      </c>
      <c r="M817">
        <v>196</v>
      </c>
      <c r="N817">
        <v>916</v>
      </c>
      <c r="O817">
        <v>3429</v>
      </c>
      <c r="P817" t="str">
        <f>TEXT(tbl_working_daily[[#This Row],[ActivityDate]],"dddd")</f>
        <v>Thursday</v>
      </c>
      <c r="Q817" t="str">
        <f>TEXT(tbl_working_daily[[#This Row],[ActivityDate]],"mmmm")</f>
        <v>May</v>
      </c>
      <c r="R817">
        <f t="shared" si="24"/>
        <v>276</v>
      </c>
      <c r="S817">
        <f t="shared" si="25"/>
        <v>1192</v>
      </c>
      <c r="T817">
        <f>ROUND(tbl_working_daily[[#This Row],[SedentaryMinutes]]/60,2)</f>
        <v>15.27</v>
      </c>
      <c r="U817" t="str" cm="1">
        <f t="array" ref="U81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17" t="str" cm="1">
        <f t="array" ref="V817">_xlfn.IFS(tbl_working_daily[[#This Row],[VeryActiveMinutes]]&gt;=30,"Very Active",tbl_working_daily[[#This Row],[VeryActiveMinutes]]&gt;=15,"Moderately Active",tbl_working_daily[[#This Row],[VeryActiveMinutes]]&gt;=1,"Lightly Active",tbl_working_daily[[#This Row],[VeryActiveMinutes]]=0,"Sedentary")</f>
        <v>Very Active</v>
      </c>
      <c r="W817" t="str">
        <f>tbl_working_daily[[#This Row],[Id]]&amp;"|"&amp;TEXT(tbl_working_daily[[#This Row],[ActivityDate]],"yyyy-mm-dd")</f>
        <v>4020332650|2016-05-05</v>
      </c>
      <c r="X817" t="b">
        <f>ISNUMBER(MATCH(tbl_working_daily[[#This Row],[LookupKey]],tbl_working_sleep[LookupKey],0))</f>
        <v>1</v>
      </c>
    </row>
    <row r="818" spans="1:24" x14ac:dyDescent="0.3">
      <c r="A818">
        <v>4020332650</v>
      </c>
      <c r="B818" s="1">
        <v>42496</v>
      </c>
      <c r="C818">
        <v>4369</v>
      </c>
      <c r="D818">
        <v>3.1300001144409202</v>
      </c>
      <c r="E818">
        <v>3.1300001144409202</v>
      </c>
      <c r="F818">
        <v>0</v>
      </c>
      <c r="G818">
        <v>0</v>
      </c>
      <c r="H818">
        <v>0</v>
      </c>
      <c r="I818">
        <v>3.0999999046325701</v>
      </c>
      <c r="J818">
        <v>9.9999997764825804E-3</v>
      </c>
      <c r="K818">
        <v>0</v>
      </c>
      <c r="L818">
        <v>0</v>
      </c>
      <c r="M818">
        <v>177</v>
      </c>
      <c r="N818">
        <v>855</v>
      </c>
      <c r="O818">
        <v>2704</v>
      </c>
      <c r="P818" t="str">
        <f>TEXT(tbl_working_daily[[#This Row],[ActivityDate]],"dddd")</f>
        <v>Friday</v>
      </c>
      <c r="Q818" t="str">
        <f>TEXT(tbl_working_daily[[#This Row],[ActivityDate]],"mmmm")</f>
        <v>May</v>
      </c>
      <c r="R818">
        <f t="shared" si="24"/>
        <v>177</v>
      </c>
      <c r="S818">
        <f t="shared" si="25"/>
        <v>1032</v>
      </c>
      <c r="T818">
        <f>ROUND(tbl_working_daily[[#This Row],[SedentaryMinutes]]/60,2)</f>
        <v>14.25</v>
      </c>
      <c r="U818" t="str" cm="1">
        <f t="array" ref="U81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18" t="str" cm="1">
        <f t="array" ref="V818">_xlfn.IFS(tbl_working_daily[[#This Row],[VeryActiveMinutes]]&gt;=30,"Very Active",tbl_working_daily[[#This Row],[VeryActiveMinutes]]&gt;=15,"Moderately Active",tbl_working_daily[[#This Row],[VeryActiveMinutes]]&gt;=1,"Lightly Active",tbl_working_daily[[#This Row],[VeryActiveMinutes]]=0,"Sedentary")</f>
        <v>Sedentary</v>
      </c>
      <c r="W818" t="str">
        <f>tbl_working_daily[[#This Row],[Id]]&amp;"|"&amp;TEXT(tbl_working_daily[[#This Row],[ActivityDate]],"yyyy-mm-dd")</f>
        <v>4020332650|2016-05-06</v>
      </c>
      <c r="X818" t="b">
        <f>ISNUMBER(MATCH(tbl_working_daily[[#This Row],[LookupKey]],tbl_working_sleep[LookupKey],0))</f>
        <v>1</v>
      </c>
    </row>
    <row r="819" spans="1:24" x14ac:dyDescent="0.3">
      <c r="A819">
        <v>4020332650</v>
      </c>
      <c r="B819" s="1">
        <v>42497</v>
      </c>
      <c r="C819">
        <v>6132</v>
      </c>
      <c r="D819">
        <v>4.4000000953674299</v>
      </c>
      <c r="E819">
        <v>4.4000000953674299</v>
      </c>
      <c r="F819">
        <v>0</v>
      </c>
      <c r="G819">
        <v>0</v>
      </c>
      <c r="H819">
        <v>0</v>
      </c>
      <c r="I819">
        <v>3.5799999237060498</v>
      </c>
      <c r="J819">
        <v>0</v>
      </c>
      <c r="K819">
        <v>0</v>
      </c>
      <c r="L819">
        <v>0</v>
      </c>
      <c r="M819">
        <v>184</v>
      </c>
      <c r="N819">
        <v>1256</v>
      </c>
      <c r="O819">
        <v>2975</v>
      </c>
      <c r="P819" t="str">
        <f>TEXT(tbl_working_daily[[#This Row],[ActivityDate]],"dddd")</f>
        <v>Saturday</v>
      </c>
      <c r="Q819" t="str">
        <f>TEXT(tbl_working_daily[[#This Row],[ActivityDate]],"mmmm")</f>
        <v>May</v>
      </c>
      <c r="R819">
        <f t="shared" si="24"/>
        <v>184</v>
      </c>
      <c r="S819">
        <f t="shared" si="25"/>
        <v>1440</v>
      </c>
      <c r="T819">
        <f>ROUND(tbl_working_daily[[#This Row],[SedentaryMinutes]]/60,2)</f>
        <v>20.93</v>
      </c>
      <c r="U819" t="str" cm="1">
        <f t="array" ref="U81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19" t="str" cm="1">
        <f t="array" ref="V819">_xlfn.IFS(tbl_working_daily[[#This Row],[VeryActiveMinutes]]&gt;=30,"Very Active",tbl_working_daily[[#This Row],[VeryActiveMinutes]]&gt;=15,"Moderately Active",tbl_working_daily[[#This Row],[VeryActiveMinutes]]&gt;=1,"Lightly Active",tbl_working_daily[[#This Row],[VeryActiveMinutes]]=0,"Sedentary")</f>
        <v>Sedentary</v>
      </c>
      <c r="W819" t="str">
        <f>tbl_working_daily[[#This Row],[Id]]&amp;"|"&amp;TEXT(tbl_working_daily[[#This Row],[ActivityDate]],"yyyy-mm-dd")</f>
        <v>4020332650|2016-05-07</v>
      </c>
      <c r="X819" t="b">
        <f>ISNUMBER(MATCH(tbl_working_daily[[#This Row],[LookupKey]],tbl_working_sleep[LookupKey],0))</f>
        <v>0</v>
      </c>
    </row>
    <row r="820" spans="1:24" x14ac:dyDescent="0.3">
      <c r="A820">
        <v>4020332650</v>
      </c>
      <c r="B820" s="1">
        <v>42498</v>
      </c>
      <c r="C820">
        <v>5862</v>
      </c>
      <c r="D820">
        <v>4.1999998092651403</v>
      </c>
      <c r="E820">
        <v>4.1999998092651403</v>
      </c>
      <c r="F820">
        <v>0</v>
      </c>
      <c r="G820">
        <v>0</v>
      </c>
      <c r="H820">
        <v>0</v>
      </c>
      <c r="I820">
        <v>4.1500000953674299</v>
      </c>
      <c r="J820">
        <v>0</v>
      </c>
      <c r="K820">
        <v>0</v>
      </c>
      <c r="L820">
        <v>0</v>
      </c>
      <c r="M820">
        <v>263</v>
      </c>
      <c r="N820">
        <v>775</v>
      </c>
      <c r="O820">
        <v>3089</v>
      </c>
      <c r="P820" t="str">
        <f>TEXT(tbl_working_daily[[#This Row],[ActivityDate]],"dddd")</f>
        <v>Sunday</v>
      </c>
      <c r="Q820" t="str">
        <f>TEXT(tbl_working_daily[[#This Row],[ActivityDate]],"mmmm")</f>
        <v>May</v>
      </c>
      <c r="R820">
        <f t="shared" si="24"/>
        <v>263</v>
      </c>
      <c r="S820">
        <f t="shared" si="25"/>
        <v>1038</v>
      </c>
      <c r="T820">
        <f>ROUND(tbl_working_daily[[#This Row],[SedentaryMinutes]]/60,2)</f>
        <v>12.92</v>
      </c>
      <c r="U820" t="str" cm="1">
        <f t="array" ref="U82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20" t="str" cm="1">
        <f t="array" ref="V820">_xlfn.IFS(tbl_working_daily[[#This Row],[VeryActiveMinutes]]&gt;=30,"Very Active",tbl_working_daily[[#This Row],[VeryActiveMinutes]]&gt;=15,"Moderately Active",tbl_working_daily[[#This Row],[VeryActiveMinutes]]&gt;=1,"Lightly Active",tbl_working_daily[[#This Row],[VeryActiveMinutes]]=0,"Sedentary")</f>
        <v>Sedentary</v>
      </c>
      <c r="W820" t="str">
        <f>tbl_working_daily[[#This Row],[Id]]&amp;"|"&amp;TEXT(tbl_working_daily[[#This Row],[ActivityDate]],"yyyy-mm-dd")</f>
        <v>4020332650|2016-05-08</v>
      </c>
      <c r="X820" t="b">
        <f>ISNUMBER(MATCH(tbl_working_daily[[#This Row],[LookupKey]],tbl_working_sleep[LookupKey],0))</f>
        <v>1</v>
      </c>
    </row>
    <row r="821" spans="1:24" x14ac:dyDescent="0.3">
      <c r="A821">
        <v>4020332650</v>
      </c>
      <c r="B821" s="1">
        <v>42499</v>
      </c>
      <c r="C821">
        <v>4556</v>
      </c>
      <c r="D821">
        <v>3.2699999809265101</v>
      </c>
      <c r="E821">
        <v>3.2699999809265101</v>
      </c>
      <c r="F821">
        <v>0</v>
      </c>
      <c r="G821">
        <v>0.20000000298023199</v>
      </c>
      <c r="H821">
        <v>0.119999997317791</v>
      </c>
      <c r="I821">
        <v>2.9400000572204599</v>
      </c>
      <c r="J821">
        <v>0</v>
      </c>
      <c r="K821">
        <v>3</v>
      </c>
      <c r="L821">
        <v>5</v>
      </c>
      <c r="M821">
        <v>173</v>
      </c>
      <c r="N821">
        <v>1225</v>
      </c>
      <c r="O821">
        <v>2785</v>
      </c>
      <c r="P821" t="str">
        <f>TEXT(tbl_working_daily[[#This Row],[ActivityDate]],"dddd")</f>
        <v>Monday</v>
      </c>
      <c r="Q821" t="str">
        <f>TEXT(tbl_working_daily[[#This Row],[ActivityDate]],"mmmm")</f>
        <v>May</v>
      </c>
      <c r="R821">
        <f t="shared" si="24"/>
        <v>181</v>
      </c>
      <c r="S821">
        <f t="shared" si="25"/>
        <v>1406</v>
      </c>
      <c r="T821">
        <f>ROUND(tbl_working_daily[[#This Row],[SedentaryMinutes]]/60,2)</f>
        <v>20.420000000000002</v>
      </c>
      <c r="U821" t="str" cm="1">
        <f t="array" ref="U82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21" t="str" cm="1">
        <f t="array" ref="V821">_xlfn.IFS(tbl_working_daily[[#This Row],[VeryActiveMinutes]]&gt;=30,"Very Active",tbl_working_daily[[#This Row],[VeryActiveMinutes]]&gt;=15,"Moderately Active",tbl_working_daily[[#This Row],[VeryActiveMinutes]]&gt;=1,"Lightly Active",tbl_working_daily[[#This Row],[VeryActiveMinutes]]=0,"Sedentary")</f>
        <v>Lightly Active</v>
      </c>
      <c r="W821" t="str">
        <f>tbl_working_daily[[#This Row],[Id]]&amp;"|"&amp;TEXT(tbl_working_daily[[#This Row],[ActivityDate]],"yyyy-mm-dd")</f>
        <v>4020332650|2016-05-09</v>
      </c>
      <c r="X821" t="b">
        <f>ISNUMBER(MATCH(tbl_working_daily[[#This Row],[LookupKey]],tbl_working_sleep[LookupKey],0))</f>
        <v>0</v>
      </c>
    </row>
    <row r="822" spans="1:24" x14ac:dyDescent="0.3">
      <c r="A822">
        <v>4020332650</v>
      </c>
      <c r="B822" s="1">
        <v>42500</v>
      </c>
      <c r="C822">
        <v>5546</v>
      </c>
      <c r="D822">
        <v>3.9800000190734899</v>
      </c>
      <c r="E822">
        <v>3.9800000190734899</v>
      </c>
      <c r="F822">
        <v>0</v>
      </c>
      <c r="G822">
        <v>0</v>
      </c>
      <c r="H822">
        <v>0</v>
      </c>
      <c r="I822">
        <v>3.8699998855590798</v>
      </c>
      <c r="J822">
        <v>3.9999999105930301E-2</v>
      </c>
      <c r="K822">
        <v>0</v>
      </c>
      <c r="L822">
        <v>0</v>
      </c>
      <c r="M822">
        <v>206</v>
      </c>
      <c r="N822">
        <v>774</v>
      </c>
      <c r="O822">
        <v>2926</v>
      </c>
      <c r="P822" t="str">
        <f>TEXT(tbl_working_daily[[#This Row],[ActivityDate]],"dddd")</f>
        <v>Tuesday</v>
      </c>
      <c r="Q822" t="str">
        <f>TEXT(tbl_working_daily[[#This Row],[ActivityDate]],"mmmm")</f>
        <v>May</v>
      </c>
      <c r="R822">
        <f t="shared" si="24"/>
        <v>206</v>
      </c>
      <c r="S822">
        <f t="shared" si="25"/>
        <v>980</v>
      </c>
      <c r="T822">
        <f>ROUND(tbl_working_daily[[#This Row],[SedentaryMinutes]]/60,2)</f>
        <v>12.9</v>
      </c>
      <c r="U822" t="str" cm="1">
        <f t="array" ref="U82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22" t="str" cm="1">
        <f t="array" ref="V822">_xlfn.IFS(tbl_working_daily[[#This Row],[VeryActiveMinutes]]&gt;=30,"Very Active",tbl_working_daily[[#This Row],[VeryActiveMinutes]]&gt;=15,"Moderately Active",tbl_working_daily[[#This Row],[VeryActiveMinutes]]&gt;=1,"Lightly Active",tbl_working_daily[[#This Row],[VeryActiveMinutes]]=0,"Sedentary")</f>
        <v>Sedentary</v>
      </c>
      <c r="W822" t="str">
        <f>tbl_working_daily[[#This Row],[Id]]&amp;"|"&amp;TEXT(tbl_working_daily[[#This Row],[ActivityDate]],"yyyy-mm-dd")</f>
        <v>4020332650|2016-05-10</v>
      </c>
      <c r="X822" t="b">
        <f>ISNUMBER(MATCH(tbl_working_daily[[#This Row],[LookupKey]],tbl_working_sleep[LookupKey],0))</f>
        <v>1</v>
      </c>
    </row>
    <row r="823" spans="1:24" x14ac:dyDescent="0.3">
      <c r="A823">
        <v>4020332650</v>
      </c>
      <c r="B823" s="1">
        <v>42501</v>
      </c>
      <c r="C823">
        <v>3689</v>
      </c>
      <c r="D823">
        <v>2.6500000953674299</v>
      </c>
      <c r="E823">
        <v>2.6500000953674299</v>
      </c>
      <c r="F823">
        <v>0</v>
      </c>
      <c r="G823">
        <v>0.109999999403954</v>
      </c>
      <c r="H823">
        <v>0.17000000178813901</v>
      </c>
      <c r="I823">
        <v>2.3299999237060498</v>
      </c>
      <c r="J823">
        <v>0</v>
      </c>
      <c r="K823">
        <v>2</v>
      </c>
      <c r="L823">
        <v>8</v>
      </c>
      <c r="M823">
        <v>134</v>
      </c>
      <c r="N823">
        <v>1296</v>
      </c>
      <c r="O823">
        <v>2645</v>
      </c>
      <c r="P823" t="str">
        <f>TEXT(tbl_working_daily[[#This Row],[ActivityDate]],"dddd")</f>
        <v>Wednesday</v>
      </c>
      <c r="Q823" t="str">
        <f>TEXT(tbl_working_daily[[#This Row],[ActivityDate]],"mmmm")</f>
        <v>May</v>
      </c>
      <c r="R823">
        <f t="shared" si="24"/>
        <v>144</v>
      </c>
      <c r="S823">
        <f t="shared" si="25"/>
        <v>1440</v>
      </c>
      <c r="T823">
        <f>ROUND(tbl_working_daily[[#This Row],[SedentaryMinutes]]/60,2)</f>
        <v>21.6</v>
      </c>
      <c r="U823" t="str" cm="1">
        <f t="array" ref="U82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23" t="str" cm="1">
        <f t="array" ref="V823">_xlfn.IFS(tbl_working_daily[[#This Row],[VeryActiveMinutes]]&gt;=30,"Very Active",tbl_working_daily[[#This Row],[VeryActiveMinutes]]&gt;=15,"Moderately Active",tbl_working_daily[[#This Row],[VeryActiveMinutes]]&gt;=1,"Lightly Active",tbl_working_daily[[#This Row],[VeryActiveMinutes]]=0,"Sedentary")</f>
        <v>Lightly Active</v>
      </c>
      <c r="W823" t="str">
        <f>tbl_working_daily[[#This Row],[Id]]&amp;"|"&amp;TEXT(tbl_working_daily[[#This Row],[ActivityDate]],"yyyy-mm-dd")</f>
        <v>4020332650|2016-05-11</v>
      </c>
      <c r="X823" t="b">
        <f>ISNUMBER(MATCH(tbl_working_daily[[#This Row],[LookupKey]],tbl_working_sleep[LookupKey],0))</f>
        <v>0</v>
      </c>
    </row>
    <row r="824" spans="1:24" x14ac:dyDescent="0.3">
      <c r="A824">
        <v>4020332650</v>
      </c>
      <c r="B824" s="1">
        <v>42502</v>
      </c>
      <c r="C824">
        <v>590</v>
      </c>
      <c r="D824">
        <v>0.41999998688697798</v>
      </c>
      <c r="E824">
        <v>0.41999998688697798</v>
      </c>
      <c r="F824">
        <v>0</v>
      </c>
      <c r="G824">
        <v>0</v>
      </c>
      <c r="H824">
        <v>0</v>
      </c>
      <c r="I824">
        <v>0.40999999642372098</v>
      </c>
      <c r="J824">
        <v>0</v>
      </c>
      <c r="K824">
        <v>0</v>
      </c>
      <c r="L824">
        <v>0</v>
      </c>
      <c r="M824">
        <v>21</v>
      </c>
      <c r="N824">
        <v>721</v>
      </c>
      <c r="O824">
        <v>1120</v>
      </c>
      <c r="P824" t="str">
        <f>TEXT(tbl_working_daily[[#This Row],[ActivityDate]],"dddd")</f>
        <v>Thursday</v>
      </c>
      <c r="Q824" t="str">
        <f>TEXT(tbl_working_daily[[#This Row],[ActivityDate]],"mmmm")</f>
        <v>May</v>
      </c>
      <c r="R824">
        <f t="shared" si="24"/>
        <v>21</v>
      </c>
      <c r="S824">
        <f t="shared" si="25"/>
        <v>742</v>
      </c>
      <c r="T824">
        <f>ROUND(tbl_working_daily[[#This Row],[SedentaryMinutes]]/60,2)</f>
        <v>12.02</v>
      </c>
      <c r="U824" t="str" cm="1">
        <f t="array" ref="U8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24" t="str" cm="1">
        <f t="array" ref="V824">_xlfn.IFS(tbl_working_daily[[#This Row],[VeryActiveMinutes]]&gt;=30,"Very Active",tbl_working_daily[[#This Row],[VeryActiveMinutes]]&gt;=15,"Moderately Active",tbl_working_daily[[#This Row],[VeryActiveMinutes]]&gt;=1,"Lightly Active",tbl_working_daily[[#This Row],[VeryActiveMinutes]]=0,"Sedentary")</f>
        <v>Sedentary</v>
      </c>
      <c r="W824" t="str">
        <f>tbl_working_daily[[#This Row],[Id]]&amp;"|"&amp;TEXT(tbl_working_daily[[#This Row],[ActivityDate]],"yyyy-mm-dd")</f>
        <v>4020332650|2016-05-12</v>
      </c>
      <c r="X824" t="b">
        <f>ISNUMBER(MATCH(tbl_working_daily[[#This Row],[LookupKey]],tbl_working_sleep[LookupKey],0))</f>
        <v>0</v>
      </c>
    </row>
    <row r="825" spans="1:24" x14ac:dyDescent="0.3">
      <c r="A825">
        <v>4057192912</v>
      </c>
      <c r="B825" s="1">
        <v>42473</v>
      </c>
      <c r="C825">
        <v>5974</v>
      </c>
      <c r="D825">
        <v>4.4699997901916504</v>
      </c>
      <c r="E825">
        <v>4.4699997901916504</v>
      </c>
      <c r="F825">
        <v>0</v>
      </c>
      <c r="G825">
        <v>0</v>
      </c>
      <c r="H825">
        <v>0</v>
      </c>
      <c r="I825">
        <v>4.3699998855590803</v>
      </c>
      <c r="J825">
        <v>0</v>
      </c>
      <c r="K825">
        <v>0</v>
      </c>
      <c r="L825">
        <v>0</v>
      </c>
      <c r="M825">
        <v>160</v>
      </c>
      <c r="N825">
        <v>1280</v>
      </c>
      <c r="O825">
        <v>2306</v>
      </c>
      <c r="P825" t="str">
        <f>TEXT(tbl_working_daily[[#This Row],[ActivityDate]],"dddd")</f>
        <v>Wednesday</v>
      </c>
      <c r="Q825" t="str">
        <f>TEXT(tbl_working_daily[[#This Row],[ActivityDate]],"mmmm")</f>
        <v>April</v>
      </c>
      <c r="R825">
        <f t="shared" si="24"/>
        <v>160</v>
      </c>
      <c r="S825">
        <f t="shared" si="25"/>
        <v>1440</v>
      </c>
      <c r="T825">
        <f>ROUND(tbl_working_daily[[#This Row],[SedentaryMinutes]]/60,2)</f>
        <v>21.33</v>
      </c>
      <c r="U825" t="str" cm="1">
        <f t="array" ref="U82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25" t="str" cm="1">
        <f t="array" ref="V825">_xlfn.IFS(tbl_working_daily[[#This Row],[VeryActiveMinutes]]&gt;=30,"Very Active",tbl_working_daily[[#This Row],[VeryActiveMinutes]]&gt;=15,"Moderately Active",tbl_working_daily[[#This Row],[VeryActiveMinutes]]&gt;=1,"Lightly Active",tbl_working_daily[[#This Row],[VeryActiveMinutes]]=0,"Sedentary")</f>
        <v>Sedentary</v>
      </c>
      <c r="W825" t="str">
        <f>tbl_working_daily[[#This Row],[Id]]&amp;"|"&amp;TEXT(tbl_working_daily[[#This Row],[ActivityDate]],"yyyy-mm-dd")</f>
        <v>4057192912|2016-04-13</v>
      </c>
      <c r="X825" t="b">
        <f>ISNUMBER(MATCH(tbl_working_daily[[#This Row],[LookupKey]],tbl_working_sleep[LookupKey],0))</f>
        <v>0</v>
      </c>
    </row>
    <row r="826" spans="1:24" x14ac:dyDescent="0.3">
      <c r="A826">
        <v>4057192912</v>
      </c>
      <c r="B826" s="1">
        <v>42474</v>
      </c>
      <c r="C826">
        <v>0</v>
      </c>
      <c r="D826">
        <v>0</v>
      </c>
      <c r="E826">
        <v>0</v>
      </c>
      <c r="F826">
        <v>0</v>
      </c>
      <c r="G826">
        <v>0</v>
      </c>
      <c r="H826">
        <v>0</v>
      </c>
      <c r="I826">
        <v>0</v>
      </c>
      <c r="J826">
        <v>0</v>
      </c>
      <c r="K826">
        <v>0</v>
      </c>
      <c r="L826">
        <v>0</v>
      </c>
      <c r="M826">
        <v>0</v>
      </c>
      <c r="N826">
        <v>1440</v>
      </c>
      <c r="O826">
        <v>1776</v>
      </c>
      <c r="P826" t="str">
        <f>TEXT(tbl_working_daily[[#This Row],[ActivityDate]],"dddd")</f>
        <v>Thursday</v>
      </c>
      <c r="Q826" t="str">
        <f>TEXT(tbl_working_daily[[#This Row],[ActivityDate]],"mmmm")</f>
        <v>April</v>
      </c>
      <c r="R826">
        <f t="shared" si="24"/>
        <v>0</v>
      </c>
      <c r="S826">
        <f t="shared" si="25"/>
        <v>1440</v>
      </c>
      <c r="T826">
        <f>ROUND(tbl_working_daily[[#This Row],[SedentaryMinutes]]/60,2)</f>
        <v>24</v>
      </c>
      <c r="U826" t="str" cm="1">
        <f t="array" ref="U82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26" t="str" cm="1">
        <f t="array" ref="V826">_xlfn.IFS(tbl_working_daily[[#This Row],[VeryActiveMinutes]]&gt;=30,"Very Active",tbl_working_daily[[#This Row],[VeryActiveMinutes]]&gt;=15,"Moderately Active",tbl_working_daily[[#This Row],[VeryActiveMinutes]]&gt;=1,"Lightly Active",tbl_working_daily[[#This Row],[VeryActiveMinutes]]=0,"Sedentary")</f>
        <v>Sedentary</v>
      </c>
      <c r="W826" t="str">
        <f>tbl_working_daily[[#This Row],[Id]]&amp;"|"&amp;TEXT(tbl_working_daily[[#This Row],[ActivityDate]],"yyyy-mm-dd")</f>
        <v>4057192912|2016-04-14</v>
      </c>
      <c r="X826" t="b">
        <f>ISNUMBER(MATCH(tbl_working_daily[[#This Row],[LookupKey]],tbl_working_sleep[LookupKey],0))</f>
        <v>0</v>
      </c>
    </row>
    <row r="827" spans="1:24" x14ac:dyDescent="0.3">
      <c r="A827">
        <v>4057192912</v>
      </c>
      <c r="B827" s="1">
        <v>42475</v>
      </c>
      <c r="C827">
        <v>3984</v>
      </c>
      <c r="D827">
        <v>2.9500000476837198</v>
      </c>
      <c r="E827">
        <v>2.9500000476837198</v>
      </c>
      <c r="F827">
        <v>0</v>
      </c>
      <c r="G827">
        <v>0.20999999344348899</v>
      </c>
      <c r="H827">
        <v>0.259999990463257</v>
      </c>
      <c r="I827">
        <v>2.4400000572204599</v>
      </c>
      <c r="J827">
        <v>0</v>
      </c>
      <c r="K827">
        <v>3</v>
      </c>
      <c r="L827">
        <v>6</v>
      </c>
      <c r="M827">
        <v>88</v>
      </c>
      <c r="N827">
        <v>873</v>
      </c>
      <c r="O827">
        <v>1527</v>
      </c>
      <c r="P827" t="str">
        <f>TEXT(tbl_working_daily[[#This Row],[ActivityDate]],"dddd")</f>
        <v>Friday</v>
      </c>
      <c r="Q827" t="str">
        <f>TEXT(tbl_working_daily[[#This Row],[ActivityDate]],"mmmm")</f>
        <v>April</v>
      </c>
      <c r="R827">
        <f t="shared" si="24"/>
        <v>97</v>
      </c>
      <c r="S827">
        <f t="shared" si="25"/>
        <v>970</v>
      </c>
      <c r="T827">
        <f>ROUND(tbl_working_daily[[#This Row],[SedentaryMinutes]]/60,2)</f>
        <v>14.55</v>
      </c>
      <c r="U827" t="str" cm="1">
        <f t="array" ref="U8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27" t="str" cm="1">
        <f t="array" ref="V827">_xlfn.IFS(tbl_working_daily[[#This Row],[VeryActiveMinutes]]&gt;=30,"Very Active",tbl_working_daily[[#This Row],[VeryActiveMinutes]]&gt;=15,"Moderately Active",tbl_working_daily[[#This Row],[VeryActiveMinutes]]&gt;=1,"Lightly Active",tbl_working_daily[[#This Row],[VeryActiveMinutes]]=0,"Sedentary")</f>
        <v>Lightly Active</v>
      </c>
      <c r="W827" t="str">
        <f>tbl_working_daily[[#This Row],[Id]]&amp;"|"&amp;TEXT(tbl_working_daily[[#This Row],[ActivityDate]],"yyyy-mm-dd")</f>
        <v>4057192912|2016-04-15</v>
      </c>
      <c r="X827" t="b">
        <f>ISNUMBER(MATCH(tbl_working_daily[[#This Row],[LookupKey]],tbl_working_sleep[LookupKey],0))</f>
        <v>0</v>
      </c>
    </row>
    <row r="828" spans="1:24" x14ac:dyDescent="0.3">
      <c r="A828">
        <v>4319703577</v>
      </c>
      <c r="B828" s="1">
        <v>42472</v>
      </c>
      <c r="C828">
        <v>7753</v>
      </c>
      <c r="D828">
        <v>5.1999998092651403</v>
      </c>
      <c r="E828">
        <v>5.1999998092651403</v>
      </c>
      <c r="F828">
        <v>0</v>
      </c>
      <c r="G828">
        <v>0</v>
      </c>
      <c r="H828">
        <v>0</v>
      </c>
      <c r="I828">
        <v>0</v>
      </c>
      <c r="J828">
        <v>0</v>
      </c>
      <c r="K828">
        <v>0</v>
      </c>
      <c r="L828">
        <v>0</v>
      </c>
      <c r="M828">
        <v>0</v>
      </c>
      <c r="N828">
        <v>1440</v>
      </c>
      <c r="O828">
        <v>2115</v>
      </c>
      <c r="P828" t="str">
        <f>TEXT(tbl_working_daily[[#This Row],[ActivityDate]],"dddd")</f>
        <v>Tuesday</v>
      </c>
      <c r="Q828" t="str">
        <f>TEXT(tbl_working_daily[[#This Row],[ActivityDate]],"mmmm")</f>
        <v>April</v>
      </c>
      <c r="R828">
        <f t="shared" si="24"/>
        <v>0</v>
      </c>
      <c r="S828">
        <f t="shared" si="25"/>
        <v>1440</v>
      </c>
      <c r="T828">
        <f>ROUND(tbl_working_daily[[#This Row],[SedentaryMinutes]]/60,2)</f>
        <v>24</v>
      </c>
      <c r="U828" t="str" cm="1">
        <f t="array" ref="U82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28" t="str" cm="1">
        <f t="array" ref="V828">_xlfn.IFS(tbl_working_daily[[#This Row],[VeryActiveMinutes]]&gt;=30,"Very Active",tbl_working_daily[[#This Row],[VeryActiveMinutes]]&gt;=15,"Moderately Active",tbl_working_daily[[#This Row],[VeryActiveMinutes]]&gt;=1,"Lightly Active",tbl_working_daily[[#This Row],[VeryActiveMinutes]]=0,"Sedentary")</f>
        <v>Sedentary</v>
      </c>
      <c r="W828" t="str">
        <f>tbl_working_daily[[#This Row],[Id]]&amp;"|"&amp;TEXT(tbl_working_daily[[#This Row],[ActivityDate]],"yyyy-mm-dd")</f>
        <v>4319703577|2016-04-12</v>
      </c>
      <c r="X828" t="b">
        <f>ISNUMBER(MATCH(tbl_working_daily[[#This Row],[LookupKey]],tbl_working_sleep[LookupKey],0))</f>
        <v>0</v>
      </c>
    </row>
    <row r="829" spans="1:24" x14ac:dyDescent="0.3">
      <c r="A829">
        <v>4319703577</v>
      </c>
      <c r="B829" s="1">
        <v>42473</v>
      </c>
      <c r="C829">
        <v>8204</v>
      </c>
      <c r="D829">
        <v>5.5</v>
      </c>
      <c r="E829">
        <v>5.5</v>
      </c>
      <c r="F829">
        <v>0</v>
      </c>
      <c r="G829">
        <v>0.52999997138977095</v>
      </c>
      <c r="H829">
        <v>0.58999997377395597</v>
      </c>
      <c r="I829">
        <v>1.3099999427795399</v>
      </c>
      <c r="J829">
        <v>0</v>
      </c>
      <c r="K829">
        <v>8</v>
      </c>
      <c r="L829">
        <v>15</v>
      </c>
      <c r="M829">
        <v>96</v>
      </c>
      <c r="N829">
        <v>1234</v>
      </c>
      <c r="O829">
        <v>2135</v>
      </c>
      <c r="P829" t="str">
        <f>TEXT(tbl_working_daily[[#This Row],[ActivityDate]],"dddd")</f>
        <v>Wednesday</v>
      </c>
      <c r="Q829" t="str">
        <f>TEXT(tbl_working_daily[[#This Row],[ActivityDate]],"mmmm")</f>
        <v>April</v>
      </c>
      <c r="R829">
        <f t="shared" si="24"/>
        <v>119</v>
      </c>
      <c r="S829">
        <f t="shared" si="25"/>
        <v>1353</v>
      </c>
      <c r="T829">
        <f>ROUND(tbl_working_daily[[#This Row],[SedentaryMinutes]]/60,2)</f>
        <v>20.57</v>
      </c>
      <c r="U829" t="str" cm="1">
        <f t="array" ref="U82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29" t="str" cm="1">
        <f t="array" ref="V829">_xlfn.IFS(tbl_working_daily[[#This Row],[VeryActiveMinutes]]&gt;=30,"Very Active",tbl_working_daily[[#This Row],[VeryActiveMinutes]]&gt;=15,"Moderately Active",tbl_working_daily[[#This Row],[VeryActiveMinutes]]&gt;=1,"Lightly Active",tbl_working_daily[[#This Row],[VeryActiveMinutes]]=0,"Sedentary")</f>
        <v>Lightly Active</v>
      </c>
      <c r="W829" t="str">
        <f>tbl_working_daily[[#This Row],[Id]]&amp;"|"&amp;TEXT(tbl_working_daily[[#This Row],[ActivityDate]],"yyyy-mm-dd")</f>
        <v>4319703577|2016-04-13</v>
      </c>
      <c r="X829" t="b">
        <f>ISNUMBER(MATCH(tbl_working_daily[[#This Row],[LookupKey]],tbl_working_sleep[LookupKey],0))</f>
        <v>0</v>
      </c>
    </row>
    <row r="830" spans="1:24" x14ac:dyDescent="0.3">
      <c r="A830">
        <v>4319703577</v>
      </c>
      <c r="B830" s="1">
        <v>42474</v>
      </c>
      <c r="C830">
        <v>10210</v>
      </c>
      <c r="D830">
        <v>6.8800001144409197</v>
      </c>
      <c r="E830">
        <v>6.8800001144409197</v>
      </c>
      <c r="F830">
        <v>0</v>
      </c>
      <c r="G830">
        <v>0.109999999403954</v>
      </c>
      <c r="H830">
        <v>0.33000001311302202</v>
      </c>
      <c r="I830">
        <v>6.4400000572204599</v>
      </c>
      <c r="J830">
        <v>0</v>
      </c>
      <c r="K830">
        <v>1</v>
      </c>
      <c r="L830">
        <v>9</v>
      </c>
      <c r="M830">
        <v>339</v>
      </c>
      <c r="N830">
        <v>589</v>
      </c>
      <c r="O830">
        <v>2302</v>
      </c>
      <c r="P830" t="str">
        <f>TEXT(tbl_working_daily[[#This Row],[ActivityDate]],"dddd")</f>
        <v>Thursday</v>
      </c>
      <c r="Q830" t="str">
        <f>TEXT(tbl_working_daily[[#This Row],[ActivityDate]],"mmmm")</f>
        <v>April</v>
      </c>
      <c r="R830">
        <f t="shared" si="24"/>
        <v>349</v>
      </c>
      <c r="S830">
        <f t="shared" si="25"/>
        <v>938</v>
      </c>
      <c r="T830">
        <f>ROUND(tbl_working_daily[[#This Row],[SedentaryMinutes]]/60,2)</f>
        <v>9.82</v>
      </c>
      <c r="U830" t="str" cm="1">
        <f t="array" ref="U83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30" t="str" cm="1">
        <f t="array" ref="V830">_xlfn.IFS(tbl_working_daily[[#This Row],[VeryActiveMinutes]]&gt;=30,"Very Active",tbl_working_daily[[#This Row],[VeryActiveMinutes]]&gt;=15,"Moderately Active",tbl_working_daily[[#This Row],[VeryActiveMinutes]]&gt;=1,"Lightly Active",tbl_working_daily[[#This Row],[VeryActiveMinutes]]=0,"Sedentary")</f>
        <v>Lightly Active</v>
      </c>
      <c r="W830" t="str">
        <f>tbl_working_daily[[#This Row],[Id]]&amp;"|"&amp;TEXT(tbl_working_daily[[#This Row],[ActivityDate]],"yyyy-mm-dd")</f>
        <v>4319703577|2016-04-14</v>
      </c>
      <c r="X830" t="b">
        <f>ISNUMBER(MATCH(tbl_working_daily[[#This Row],[LookupKey]],tbl_working_sleep[LookupKey],0))</f>
        <v>1</v>
      </c>
    </row>
    <row r="831" spans="1:24" x14ac:dyDescent="0.3">
      <c r="A831">
        <v>4319703577</v>
      </c>
      <c r="B831" s="1">
        <v>42475</v>
      </c>
      <c r="C831">
        <v>5664</v>
      </c>
      <c r="D831">
        <v>3.7999999523162802</v>
      </c>
      <c r="E831">
        <v>3.7999999523162802</v>
      </c>
      <c r="F831">
        <v>0</v>
      </c>
      <c r="G831">
        <v>0</v>
      </c>
      <c r="H831">
        <v>0</v>
      </c>
      <c r="I831">
        <v>3.7999999523162802</v>
      </c>
      <c r="J831">
        <v>0</v>
      </c>
      <c r="K831">
        <v>0</v>
      </c>
      <c r="L831">
        <v>0</v>
      </c>
      <c r="M831">
        <v>228</v>
      </c>
      <c r="N831">
        <v>752</v>
      </c>
      <c r="O831">
        <v>1985</v>
      </c>
      <c r="P831" t="str">
        <f>TEXT(tbl_working_daily[[#This Row],[ActivityDate]],"dddd")</f>
        <v>Friday</v>
      </c>
      <c r="Q831" t="str">
        <f>TEXT(tbl_working_daily[[#This Row],[ActivityDate]],"mmmm")</f>
        <v>April</v>
      </c>
      <c r="R831">
        <f t="shared" si="24"/>
        <v>228</v>
      </c>
      <c r="S831">
        <f t="shared" si="25"/>
        <v>980</v>
      </c>
      <c r="T831">
        <f>ROUND(tbl_working_daily[[#This Row],[SedentaryMinutes]]/60,2)</f>
        <v>12.53</v>
      </c>
      <c r="U831" t="str" cm="1">
        <f t="array" ref="U83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31" t="str" cm="1">
        <f t="array" ref="V831">_xlfn.IFS(tbl_working_daily[[#This Row],[VeryActiveMinutes]]&gt;=30,"Very Active",tbl_working_daily[[#This Row],[VeryActiveMinutes]]&gt;=15,"Moderately Active",tbl_working_daily[[#This Row],[VeryActiveMinutes]]&gt;=1,"Lightly Active",tbl_working_daily[[#This Row],[VeryActiveMinutes]]=0,"Sedentary")</f>
        <v>Sedentary</v>
      </c>
      <c r="W831" t="str">
        <f>tbl_working_daily[[#This Row],[Id]]&amp;"|"&amp;TEXT(tbl_working_daily[[#This Row],[ActivityDate]],"yyyy-mm-dd")</f>
        <v>4319703577|2016-04-15</v>
      </c>
      <c r="X831" t="b">
        <f>ISNUMBER(MATCH(tbl_working_daily[[#This Row],[LookupKey]],tbl_working_sleep[LookupKey],0))</f>
        <v>1</v>
      </c>
    </row>
    <row r="832" spans="1:24" x14ac:dyDescent="0.3">
      <c r="A832">
        <v>4319703577</v>
      </c>
      <c r="B832" s="1">
        <v>42476</v>
      </c>
      <c r="C832">
        <v>4744</v>
      </c>
      <c r="D832">
        <v>3.1800000667571999</v>
      </c>
      <c r="E832">
        <v>3.1800000667571999</v>
      </c>
      <c r="F832">
        <v>0</v>
      </c>
      <c r="G832">
        <v>0</v>
      </c>
      <c r="H832">
        <v>0</v>
      </c>
      <c r="I832">
        <v>3.1800000667571999</v>
      </c>
      <c r="J832">
        <v>0</v>
      </c>
      <c r="K832">
        <v>0</v>
      </c>
      <c r="L832">
        <v>0</v>
      </c>
      <c r="M832">
        <v>194</v>
      </c>
      <c r="N832">
        <v>724</v>
      </c>
      <c r="O832">
        <v>1884</v>
      </c>
      <c r="P832" t="str">
        <f>TEXT(tbl_working_daily[[#This Row],[ActivityDate]],"dddd")</f>
        <v>Saturday</v>
      </c>
      <c r="Q832" t="str">
        <f>TEXT(tbl_working_daily[[#This Row],[ActivityDate]],"mmmm")</f>
        <v>April</v>
      </c>
      <c r="R832">
        <f t="shared" si="24"/>
        <v>194</v>
      </c>
      <c r="S832">
        <f t="shared" si="25"/>
        <v>918</v>
      </c>
      <c r="T832">
        <f>ROUND(tbl_working_daily[[#This Row],[SedentaryMinutes]]/60,2)</f>
        <v>12.07</v>
      </c>
      <c r="U832" t="str" cm="1">
        <f t="array" ref="U83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32" t="str" cm="1">
        <f t="array" ref="V832">_xlfn.IFS(tbl_working_daily[[#This Row],[VeryActiveMinutes]]&gt;=30,"Very Active",tbl_working_daily[[#This Row],[VeryActiveMinutes]]&gt;=15,"Moderately Active",tbl_working_daily[[#This Row],[VeryActiveMinutes]]&gt;=1,"Lightly Active",tbl_working_daily[[#This Row],[VeryActiveMinutes]]=0,"Sedentary")</f>
        <v>Sedentary</v>
      </c>
      <c r="W832" t="str">
        <f>tbl_working_daily[[#This Row],[Id]]&amp;"|"&amp;TEXT(tbl_working_daily[[#This Row],[ActivityDate]],"yyyy-mm-dd")</f>
        <v>4319703577|2016-04-16</v>
      </c>
      <c r="X832" t="b">
        <f>ISNUMBER(MATCH(tbl_working_daily[[#This Row],[LookupKey]],tbl_working_sleep[LookupKey],0))</f>
        <v>1</v>
      </c>
    </row>
    <row r="833" spans="1:24" x14ac:dyDescent="0.3">
      <c r="A833">
        <v>4319703577</v>
      </c>
      <c r="B833" s="1">
        <v>42477</v>
      </c>
      <c r="C833">
        <v>29</v>
      </c>
      <c r="D833">
        <v>1.9999999552965199E-2</v>
      </c>
      <c r="E833">
        <v>1.9999999552965199E-2</v>
      </c>
      <c r="F833">
        <v>0</v>
      </c>
      <c r="G833">
        <v>0</v>
      </c>
      <c r="H833">
        <v>0</v>
      </c>
      <c r="I833">
        <v>1.9999999552965199E-2</v>
      </c>
      <c r="J833">
        <v>0</v>
      </c>
      <c r="K833">
        <v>0</v>
      </c>
      <c r="L833">
        <v>0</v>
      </c>
      <c r="M833">
        <v>3</v>
      </c>
      <c r="N833">
        <v>1363</v>
      </c>
      <c r="O833">
        <v>1464</v>
      </c>
      <c r="P833" t="str">
        <f>TEXT(tbl_working_daily[[#This Row],[ActivityDate]],"dddd")</f>
        <v>Sunday</v>
      </c>
      <c r="Q833" t="str">
        <f>TEXT(tbl_working_daily[[#This Row],[ActivityDate]],"mmmm")</f>
        <v>April</v>
      </c>
      <c r="R833">
        <f t="shared" si="24"/>
        <v>3</v>
      </c>
      <c r="S833">
        <f t="shared" si="25"/>
        <v>1366</v>
      </c>
      <c r="T833">
        <f>ROUND(tbl_working_daily[[#This Row],[SedentaryMinutes]]/60,2)</f>
        <v>22.72</v>
      </c>
      <c r="U833" t="str" cm="1">
        <f t="array" ref="U83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33" t="str" cm="1">
        <f t="array" ref="V833">_xlfn.IFS(tbl_working_daily[[#This Row],[VeryActiveMinutes]]&gt;=30,"Very Active",tbl_working_daily[[#This Row],[VeryActiveMinutes]]&gt;=15,"Moderately Active",tbl_working_daily[[#This Row],[VeryActiveMinutes]]&gt;=1,"Lightly Active",tbl_working_daily[[#This Row],[VeryActiveMinutes]]=0,"Sedentary")</f>
        <v>Sedentary</v>
      </c>
      <c r="W833" t="str">
        <f>tbl_working_daily[[#This Row],[Id]]&amp;"|"&amp;TEXT(tbl_working_daily[[#This Row],[ActivityDate]],"yyyy-mm-dd")</f>
        <v>4319703577|2016-04-17</v>
      </c>
      <c r="X833" t="b">
        <f>ISNUMBER(MATCH(tbl_working_daily[[#This Row],[LookupKey]],tbl_working_sleep[LookupKey],0))</f>
        <v>0</v>
      </c>
    </row>
    <row r="834" spans="1:24" x14ac:dyDescent="0.3">
      <c r="A834">
        <v>4319703577</v>
      </c>
      <c r="B834" s="1">
        <v>42478</v>
      </c>
      <c r="C834">
        <v>2276</v>
      </c>
      <c r="D834">
        <v>1.54999995231628</v>
      </c>
      <c r="E834">
        <v>1.54999995231628</v>
      </c>
      <c r="F834">
        <v>0</v>
      </c>
      <c r="G834">
        <v>7.0000000298023196E-2</v>
      </c>
      <c r="H834">
        <v>0.33000001311302202</v>
      </c>
      <c r="I834">
        <v>1.12000000476837</v>
      </c>
      <c r="J834">
        <v>0</v>
      </c>
      <c r="K834">
        <v>1</v>
      </c>
      <c r="L834">
        <v>9</v>
      </c>
      <c r="M834">
        <v>58</v>
      </c>
      <c r="N834">
        <v>824</v>
      </c>
      <c r="O834">
        <v>1632</v>
      </c>
      <c r="P834" t="str">
        <f>TEXT(tbl_working_daily[[#This Row],[ActivityDate]],"dddd")</f>
        <v>Monday</v>
      </c>
      <c r="Q834" t="str">
        <f>TEXT(tbl_working_daily[[#This Row],[ActivityDate]],"mmmm")</f>
        <v>April</v>
      </c>
      <c r="R834">
        <f t="shared" ref="R834:R897" si="26">K834+L834+M834</f>
        <v>68</v>
      </c>
      <c r="S834">
        <f t="shared" ref="S834:S897" si="27">R834+N834</f>
        <v>892</v>
      </c>
      <c r="T834">
        <f>ROUND(tbl_working_daily[[#This Row],[SedentaryMinutes]]/60,2)</f>
        <v>13.73</v>
      </c>
      <c r="U834" t="str" cm="1">
        <f t="array" ref="U8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34" t="str" cm="1">
        <f t="array" ref="V834">_xlfn.IFS(tbl_working_daily[[#This Row],[VeryActiveMinutes]]&gt;=30,"Very Active",tbl_working_daily[[#This Row],[VeryActiveMinutes]]&gt;=15,"Moderately Active",tbl_working_daily[[#This Row],[VeryActiveMinutes]]&gt;=1,"Lightly Active",tbl_working_daily[[#This Row],[VeryActiveMinutes]]=0,"Sedentary")</f>
        <v>Lightly Active</v>
      </c>
      <c r="W834" t="str">
        <f>tbl_working_daily[[#This Row],[Id]]&amp;"|"&amp;TEXT(tbl_working_daily[[#This Row],[ActivityDate]],"yyyy-mm-dd")</f>
        <v>4319703577|2016-04-18</v>
      </c>
      <c r="X834" t="b">
        <f>ISNUMBER(MATCH(tbl_working_daily[[#This Row],[LookupKey]],tbl_working_sleep[LookupKey],0))</f>
        <v>1</v>
      </c>
    </row>
    <row r="835" spans="1:24" x14ac:dyDescent="0.3">
      <c r="A835">
        <v>4319703577</v>
      </c>
      <c r="B835" s="1">
        <v>42479</v>
      </c>
      <c r="C835">
        <v>8925</v>
      </c>
      <c r="D835">
        <v>5.9899997711181596</v>
      </c>
      <c r="E835">
        <v>5.9899997711181596</v>
      </c>
      <c r="F835">
        <v>0</v>
      </c>
      <c r="G835">
        <v>0</v>
      </c>
      <c r="H835">
        <v>0</v>
      </c>
      <c r="I835">
        <v>5.9899997711181596</v>
      </c>
      <c r="J835">
        <v>0</v>
      </c>
      <c r="K835">
        <v>0</v>
      </c>
      <c r="L835">
        <v>0</v>
      </c>
      <c r="M835">
        <v>311</v>
      </c>
      <c r="N835">
        <v>604</v>
      </c>
      <c r="O835">
        <v>2200</v>
      </c>
      <c r="P835" t="str">
        <f>TEXT(tbl_working_daily[[#This Row],[ActivityDate]],"dddd")</f>
        <v>Tuesday</v>
      </c>
      <c r="Q835" t="str">
        <f>TEXT(tbl_working_daily[[#This Row],[ActivityDate]],"mmmm")</f>
        <v>April</v>
      </c>
      <c r="R835">
        <f t="shared" si="26"/>
        <v>311</v>
      </c>
      <c r="S835">
        <f t="shared" si="27"/>
        <v>915</v>
      </c>
      <c r="T835">
        <f>ROUND(tbl_working_daily[[#This Row],[SedentaryMinutes]]/60,2)</f>
        <v>10.07</v>
      </c>
      <c r="U835" t="str" cm="1">
        <f t="array" ref="U83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35" t="str" cm="1">
        <f t="array" ref="V835">_xlfn.IFS(tbl_working_daily[[#This Row],[VeryActiveMinutes]]&gt;=30,"Very Active",tbl_working_daily[[#This Row],[VeryActiveMinutes]]&gt;=15,"Moderately Active",tbl_working_daily[[#This Row],[VeryActiveMinutes]]&gt;=1,"Lightly Active",tbl_working_daily[[#This Row],[VeryActiveMinutes]]=0,"Sedentary")</f>
        <v>Sedentary</v>
      </c>
      <c r="W835" t="str">
        <f>tbl_working_daily[[#This Row],[Id]]&amp;"|"&amp;TEXT(tbl_working_daily[[#This Row],[ActivityDate]],"yyyy-mm-dd")</f>
        <v>4319703577|2016-04-19</v>
      </c>
      <c r="X835" t="b">
        <f>ISNUMBER(MATCH(tbl_working_daily[[#This Row],[LookupKey]],tbl_working_sleep[LookupKey],0))</f>
        <v>1</v>
      </c>
    </row>
    <row r="836" spans="1:24" x14ac:dyDescent="0.3">
      <c r="A836">
        <v>4319703577</v>
      </c>
      <c r="B836" s="1">
        <v>42480</v>
      </c>
      <c r="C836">
        <v>8954</v>
      </c>
      <c r="D836">
        <v>6.0100002288818404</v>
      </c>
      <c r="E836">
        <v>6.0100002288818404</v>
      </c>
      <c r="F836">
        <v>0</v>
      </c>
      <c r="G836">
        <v>0</v>
      </c>
      <c r="H836">
        <v>0.68000000715255704</v>
      </c>
      <c r="I836">
        <v>5.3099999427795401</v>
      </c>
      <c r="J836">
        <v>0</v>
      </c>
      <c r="K836">
        <v>0</v>
      </c>
      <c r="L836">
        <v>18</v>
      </c>
      <c r="M836">
        <v>306</v>
      </c>
      <c r="N836">
        <v>671</v>
      </c>
      <c r="O836">
        <v>2220</v>
      </c>
      <c r="P836" t="str">
        <f>TEXT(tbl_working_daily[[#This Row],[ActivityDate]],"dddd")</f>
        <v>Wednesday</v>
      </c>
      <c r="Q836" t="str">
        <f>TEXT(tbl_working_daily[[#This Row],[ActivityDate]],"mmmm")</f>
        <v>April</v>
      </c>
      <c r="R836">
        <f t="shared" si="26"/>
        <v>324</v>
      </c>
      <c r="S836">
        <f t="shared" si="27"/>
        <v>995</v>
      </c>
      <c r="T836">
        <f>ROUND(tbl_working_daily[[#This Row],[SedentaryMinutes]]/60,2)</f>
        <v>11.18</v>
      </c>
      <c r="U836" t="str" cm="1">
        <f t="array" ref="U83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36" t="str" cm="1">
        <f t="array" ref="V836">_xlfn.IFS(tbl_working_daily[[#This Row],[VeryActiveMinutes]]&gt;=30,"Very Active",tbl_working_daily[[#This Row],[VeryActiveMinutes]]&gt;=15,"Moderately Active",tbl_working_daily[[#This Row],[VeryActiveMinutes]]&gt;=1,"Lightly Active",tbl_working_daily[[#This Row],[VeryActiveMinutes]]=0,"Sedentary")</f>
        <v>Sedentary</v>
      </c>
      <c r="W836" t="str">
        <f>tbl_working_daily[[#This Row],[Id]]&amp;"|"&amp;TEXT(tbl_working_daily[[#This Row],[ActivityDate]],"yyyy-mm-dd")</f>
        <v>4319703577|2016-04-20</v>
      </c>
      <c r="X836" t="b">
        <f>ISNUMBER(MATCH(tbl_working_daily[[#This Row],[LookupKey]],tbl_working_sleep[LookupKey],0))</f>
        <v>1</v>
      </c>
    </row>
    <row r="837" spans="1:24" x14ac:dyDescent="0.3">
      <c r="A837">
        <v>4319703577</v>
      </c>
      <c r="B837" s="1">
        <v>42481</v>
      </c>
      <c r="C837">
        <v>3702</v>
      </c>
      <c r="D837">
        <v>2.4800000190734899</v>
      </c>
      <c r="E837">
        <v>2.4800000190734899</v>
      </c>
      <c r="F837">
        <v>0</v>
      </c>
      <c r="G837">
        <v>0</v>
      </c>
      <c r="H837">
        <v>0</v>
      </c>
      <c r="I837">
        <v>0.34999999403953602</v>
      </c>
      <c r="J837">
        <v>0</v>
      </c>
      <c r="K837">
        <v>0</v>
      </c>
      <c r="L837">
        <v>0</v>
      </c>
      <c r="M837">
        <v>34</v>
      </c>
      <c r="N837">
        <v>1265</v>
      </c>
      <c r="O837">
        <v>1792</v>
      </c>
      <c r="P837" t="str">
        <f>TEXT(tbl_working_daily[[#This Row],[ActivityDate]],"dddd")</f>
        <v>Thursday</v>
      </c>
      <c r="Q837" t="str">
        <f>TEXT(tbl_working_daily[[#This Row],[ActivityDate]],"mmmm")</f>
        <v>April</v>
      </c>
      <c r="R837">
        <f t="shared" si="26"/>
        <v>34</v>
      </c>
      <c r="S837">
        <f t="shared" si="27"/>
        <v>1299</v>
      </c>
      <c r="T837">
        <f>ROUND(tbl_working_daily[[#This Row],[SedentaryMinutes]]/60,2)</f>
        <v>21.08</v>
      </c>
      <c r="U837" t="str" cm="1">
        <f t="array" ref="U8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37" t="str" cm="1">
        <f t="array" ref="V837">_xlfn.IFS(tbl_working_daily[[#This Row],[VeryActiveMinutes]]&gt;=30,"Very Active",tbl_working_daily[[#This Row],[VeryActiveMinutes]]&gt;=15,"Moderately Active",tbl_working_daily[[#This Row],[VeryActiveMinutes]]&gt;=1,"Lightly Active",tbl_working_daily[[#This Row],[VeryActiveMinutes]]=0,"Sedentary")</f>
        <v>Sedentary</v>
      </c>
      <c r="W837" t="str">
        <f>tbl_working_daily[[#This Row],[Id]]&amp;"|"&amp;TEXT(tbl_working_daily[[#This Row],[ActivityDate]],"yyyy-mm-dd")</f>
        <v>4319703577|2016-04-21</v>
      </c>
      <c r="X837" t="b">
        <f>ISNUMBER(MATCH(tbl_working_daily[[#This Row],[LookupKey]],tbl_working_sleep[LookupKey],0))</f>
        <v>1</v>
      </c>
    </row>
    <row r="838" spans="1:24" x14ac:dyDescent="0.3">
      <c r="A838">
        <v>4319703577</v>
      </c>
      <c r="B838" s="1">
        <v>42482</v>
      </c>
      <c r="C838">
        <v>4500</v>
      </c>
      <c r="D838">
        <v>3.0199999809265101</v>
      </c>
      <c r="E838">
        <v>3.0199999809265101</v>
      </c>
      <c r="F838">
        <v>0</v>
      </c>
      <c r="G838">
        <v>5.9999998658895499E-2</v>
      </c>
      <c r="H838">
        <v>0.81000000238418601</v>
      </c>
      <c r="I838">
        <v>2.1500000953674299</v>
      </c>
      <c r="J838">
        <v>0</v>
      </c>
      <c r="K838">
        <v>1</v>
      </c>
      <c r="L838">
        <v>19</v>
      </c>
      <c r="M838">
        <v>176</v>
      </c>
      <c r="N838">
        <v>709</v>
      </c>
      <c r="O838">
        <v>1886</v>
      </c>
      <c r="P838" t="str">
        <f>TEXT(tbl_working_daily[[#This Row],[ActivityDate]],"dddd")</f>
        <v>Friday</v>
      </c>
      <c r="Q838" t="str">
        <f>TEXT(tbl_working_daily[[#This Row],[ActivityDate]],"mmmm")</f>
        <v>April</v>
      </c>
      <c r="R838">
        <f t="shared" si="26"/>
        <v>196</v>
      </c>
      <c r="S838">
        <f t="shared" si="27"/>
        <v>905</v>
      </c>
      <c r="T838">
        <f>ROUND(tbl_working_daily[[#This Row],[SedentaryMinutes]]/60,2)</f>
        <v>11.82</v>
      </c>
      <c r="U838" t="str" cm="1">
        <f t="array" ref="U83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38" t="str" cm="1">
        <f t="array" ref="V838">_xlfn.IFS(tbl_working_daily[[#This Row],[VeryActiveMinutes]]&gt;=30,"Very Active",tbl_working_daily[[#This Row],[VeryActiveMinutes]]&gt;=15,"Moderately Active",tbl_working_daily[[#This Row],[VeryActiveMinutes]]&gt;=1,"Lightly Active",tbl_working_daily[[#This Row],[VeryActiveMinutes]]=0,"Sedentary")</f>
        <v>Lightly Active</v>
      </c>
      <c r="W838" t="str">
        <f>tbl_working_daily[[#This Row],[Id]]&amp;"|"&amp;TEXT(tbl_working_daily[[#This Row],[ActivityDate]],"yyyy-mm-dd")</f>
        <v>4319703577|2016-04-22</v>
      </c>
      <c r="X838" t="b">
        <f>ISNUMBER(MATCH(tbl_working_daily[[#This Row],[LookupKey]],tbl_working_sleep[LookupKey],0))</f>
        <v>1</v>
      </c>
    </row>
    <row r="839" spans="1:24" x14ac:dyDescent="0.3">
      <c r="A839">
        <v>4319703577</v>
      </c>
      <c r="B839" s="1">
        <v>42483</v>
      </c>
      <c r="C839">
        <v>4935</v>
      </c>
      <c r="D839">
        <v>3.3099999427795401</v>
      </c>
      <c r="E839">
        <v>3.3099999427795401</v>
      </c>
      <c r="F839">
        <v>0</v>
      </c>
      <c r="G839">
        <v>0</v>
      </c>
      <c r="H839">
        <v>0</v>
      </c>
      <c r="I839">
        <v>3.3099999427795401</v>
      </c>
      <c r="J839">
        <v>0</v>
      </c>
      <c r="K839">
        <v>0</v>
      </c>
      <c r="L839">
        <v>0</v>
      </c>
      <c r="M839">
        <v>233</v>
      </c>
      <c r="N839">
        <v>546</v>
      </c>
      <c r="O839">
        <v>1945</v>
      </c>
      <c r="P839" t="str">
        <f>TEXT(tbl_working_daily[[#This Row],[ActivityDate]],"dddd")</f>
        <v>Saturday</v>
      </c>
      <c r="Q839" t="str">
        <f>TEXT(tbl_working_daily[[#This Row],[ActivityDate]],"mmmm")</f>
        <v>April</v>
      </c>
      <c r="R839">
        <f t="shared" si="26"/>
        <v>233</v>
      </c>
      <c r="S839">
        <f t="shared" si="27"/>
        <v>779</v>
      </c>
      <c r="T839">
        <f>ROUND(tbl_working_daily[[#This Row],[SedentaryMinutes]]/60,2)</f>
        <v>9.1</v>
      </c>
      <c r="U839" t="str" cm="1">
        <f t="array" ref="U8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39" t="str" cm="1">
        <f t="array" ref="V839">_xlfn.IFS(tbl_working_daily[[#This Row],[VeryActiveMinutes]]&gt;=30,"Very Active",tbl_working_daily[[#This Row],[VeryActiveMinutes]]&gt;=15,"Moderately Active",tbl_working_daily[[#This Row],[VeryActiveMinutes]]&gt;=1,"Lightly Active",tbl_working_daily[[#This Row],[VeryActiveMinutes]]=0,"Sedentary")</f>
        <v>Sedentary</v>
      </c>
      <c r="W839" t="str">
        <f>tbl_working_daily[[#This Row],[Id]]&amp;"|"&amp;TEXT(tbl_working_daily[[#This Row],[ActivityDate]],"yyyy-mm-dd")</f>
        <v>4319703577|2016-04-23</v>
      </c>
      <c r="X839" t="b">
        <f>ISNUMBER(MATCH(tbl_working_daily[[#This Row],[LookupKey]],tbl_working_sleep[LookupKey],0))</f>
        <v>1</v>
      </c>
    </row>
    <row r="840" spans="1:24" x14ac:dyDescent="0.3">
      <c r="A840">
        <v>4319703577</v>
      </c>
      <c r="B840" s="1">
        <v>42484</v>
      </c>
      <c r="C840">
        <v>4081</v>
      </c>
      <c r="D840">
        <v>2.7400000095367401</v>
      </c>
      <c r="E840">
        <v>2.7400000095367401</v>
      </c>
      <c r="F840">
        <v>0</v>
      </c>
      <c r="G840">
        <v>5.9999998658895499E-2</v>
      </c>
      <c r="H840">
        <v>0.20000000298023199</v>
      </c>
      <c r="I840">
        <v>2.4700000286102299</v>
      </c>
      <c r="J840">
        <v>0</v>
      </c>
      <c r="K840">
        <v>1</v>
      </c>
      <c r="L840">
        <v>5</v>
      </c>
      <c r="M840">
        <v>191</v>
      </c>
      <c r="N840">
        <v>692</v>
      </c>
      <c r="O840">
        <v>1880</v>
      </c>
      <c r="P840" t="str">
        <f>TEXT(tbl_working_daily[[#This Row],[ActivityDate]],"dddd")</f>
        <v>Sunday</v>
      </c>
      <c r="Q840" t="str">
        <f>TEXT(tbl_working_daily[[#This Row],[ActivityDate]],"mmmm")</f>
        <v>April</v>
      </c>
      <c r="R840">
        <f t="shared" si="26"/>
        <v>197</v>
      </c>
      <c r="S840">
        <f t="shared" si="27"/>
        <v>889</v>
      </c>
      <c r="T840">
        <f>ROUND(tbl_working_daily[[#This Row],[SedentaryMinutes]]/60,2)</f>
        <v>11.53</v>
      </c>
      <c r="U840" t="str" cm="1">
        <f t="array" ref="U8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40" t="str" cm="1">
        <f t="array" ref="V840">_xlfn.IFS(tbl_working_daily[[#This Row],[VeryActiveMinutes]]&gt;=30,"Very Active",tbl_working_daily[[#This Row],[VeryActiveMinutes]]&gt;=15,"Moderately Active",tbl_working_daily[[#This Row],[VeryActiveMinutes]]&gt;=1,"Lightly Active",tbl_working_daily[[#This Row],[VeryActiveMinutes]]=0,"Sedentary")</f>
        <v>Lightly Active</v>
      </c>
      <c r="W840" t="str">
        <f>tbl_working_daily[[#This Row],[Id]]&amp;"|"&amp;TEXT(tbl_working_daily[[#This Row],[ActivityDate]],"yyyy-mm-dd")</f>
        <v>4319703577|2016-04-24</v>
      </c>
      <c r="X840" t="b">
        <f>ISNUMBER(MATCH(tbl_working_daily[[#This Row],[LookupKey]],tbl_working_sleep[LookupKey],0))</f>
        <v>1</v>
      </c>
    </row>
    <row r="841" spans="1:24" x14ac:dyDescent="0.3">
      <c r="A841">
        <v>4319703577</v>
      </c>
      <c r="B841" s="1">
        <v>42485</v>
      </c>
      <c r="C841">
        <v>9259</v>
      </c>
      <c r="D841">
        <v>6.21000003814697</v>
      </c>
      <c r="E841">
        <v>6.21000003814697</v>
      </c>
      <c r="F841">
        <v>0</v>
      </c>
      <c r="G841">
        <v>0</v>
      </c>
      <c r="H841">
        <v>0.28000000119209301</v>
      </c>
      <c r="I841">
        <v>5.9299998283386204</v>
      </c>
      <c r="J841">
        <v>0</v>
      </c>
      <c r="K841">
        <v>0</v>
      </c>
      <c r="L841">
        <v>8</v>
      </c>
      <c r="M841">
        <v>390</v>
      </c>
      <c r="N841">
        <v>544</v>
      </c>
      <c r="O841">
        <v>2314</v>
      </c>
      <c r="P841" t="str">
        <f>TEXT(tbl_working_daily[[#This Row],[ActivityDate]],"dddd")</f>
        <v>Monday</v>
      </c>
      <c r="Q841" t="str">
        <f>TEXT(tbl_working_daily[[#This Row],[ActivityDate]],"mmmm")</f>
        <v>April</v>
      </c>
      <c r="R841">
        <f t="shared" si="26"/>
        <v>398</v>
      </c>
      <c r="S841">
        <f t="shared" si="27"/>
        <v>942</v>
      </c>
      <c r="T841">
        <f>ROUND(tbl_working_daily[[#This Row],[SedentaryMinutes]]/60,2)</f>
        <v>9.07</v>
      </c>
      <c r="U841" t="str" cm="1">
        <f t="array" ref="U84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41" t="str" cm="1">
        <f t="array" ref="V841">_xlfn.IFS(tbl_working_daily[[#This Row],[VeryActiveMinutes]]&gt;=30,"Very Active",tbl_working_daily[[#This Row],[VeryActiveMinutes]]&gt;=15,"Moderately Active",tbl_working_daily[[#This Row],[VeryActiveMinutes]]&gt;=1,"Lightly Active",tbl_working_daily[[#This Row],[VeryActiveMinutes]]=0,"Sedentary")</f>
        <v>Sedentary</v>
      </c>
      <c r="W841" t="str">
        <f>tbl_working_daily[[#This Row],[Id]]&amp;"|"&amp;TEXT(tbl_working_daily[[#This Row],[ActivityDate]],"yyyy-mm-dd")</f>
        <v>4319703577|2016-04-25</v>
      </c>
      <c r="X841" t="b">
        <f>ISNUMBER(MATCH(tbl_working_daily[[#This Row],[LookupKey]],tbl_working_sleep[LookupKey],0))</f>
        <v>1</v>
      </c>
    </row>
    <row r="842" spans="1:24" x14ac:dyDescent="0.3">
      <c r="A842">
        <v>4319703577</v>
      </c>
      <c r="B842" s="1">
        <v>42486</v>
      </c>
      <c r="C842">
        <v>9899</v>
      </c>
      <c r="D842">
        <v>6.6399998664856001</v>
      </c>
      <c r="E842">
        <v>6.6399998664856001</v>
      </c>
      <c r="F842">
        <v>0</v>
      </c>
      <c r="G842">
        <v>0.56999999284744296</v>
      </c>
      <c r="H842">
        <v>0.92000001668930098</v>
      </c>
      <c r="I842">
        <v>5.1500000953674299</v>
      </c>
      <c r="J842">
        <v>0</v>
      </c>
      <c r="K842">
        <v>8</v>
      </c>
      <c r="L842">
        <v>21</v>
      </c>
      <c r="M842">
        <v>288</v>
      </c>
      <c r="N842">
        <v>649</v>
      </c>
      <c r="O842">
        <v>2236</v>
      </c>
      <c r="P842" t="str">
        <f>TEXT(tbl_working_daily[[#This Row],[ActivityDate]],"dddd")</f>
        <v>Tuesday</v>
      </c>
      <c r="Q842" t="str">
        <f>TEXT(tbl_working_daily[[#This Row],[ActivityDate]],"mmmm")</f>
        <v>April</v>
      </c>
      <c r="R842">
        <f t="shared" si="26"/>
        <v>317</v>
      </c>
      <c r="S842">
        <f t="shared" si="27"/>
        <v>966</v>
      </c>
      <c r="T842">
        <f>ROUND(tbl_working_daily[[#This Row],[SedentaryMinutes]]/60,2)</f>
        <v>10.82</v>
      </c>
      <c r="U842" t="str" cm="1">
        <f t="array" ref="U84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42" t="str" cm="1">
        <f t="array" ref="V842">_xlfn.IFS(tbl_working_daily[[#This Row],[VeryActiveMinutes]]&gt;=30,"Very Active",tbl_working_daily[[#This Row],[VeryActiveMinutes]]&gt;=15,"Moderately Active",tbl_working_daily[[#This Row],[VeryActiveMinutes]]&gt;=1,"Lightly Active",tbl_working_daily[[#This Row],[VeryActiveMinutes]]=0,"Sedentary")</f>
        <v>Lightly Active</v>
      </c>
      <c r="W842" t="str">
        <f>tbl_working_daily[[#This Row],[Id]]&amp;"|"&amp;TEXT(tbl_working_daily[[#This Row],[ActivityDate]],"yyyy-mm-dd")</f>
        <v>4319703577|2016-04-26</v>
      </c>
      <c r="X842" t="b">
        <f>ISNUMBER(MATCH(tbl_working_daily[[#This Row],[LookupKey]],tbl_working_sleep[LookupKey],0))</f>
        <v>1</v>
      </c>
    </row>
    <row r="843" spans="1:24" x14ac:dyDescent="0.3">
      <c r="A843">
        <v>4319703577</v>
      </c>
      <c r="B843" s="1">
        <v>42487</v>
      </c>
      <c r="C843">
        <v>10780</v>
      </c>
      <c r="D843">
        <v>7.2300000190734899</v>
      </c>
      <c r="E843">
        <v>7.2300000190734899</v>
      </c>
      <c r="F843">
        <v>0</v>
      </c>
      <c r="G843">
        <v>0.40999999642372098</v>
      </c>
      <c r="H843">
        <v>1.91999995708466</v>
      </c>
      <c r="I843">
        <v>4.9099998474121103</v>
      </c>
      <c r="J843">
        <v>0</v>
      </c>
      <c r="K843">
        <v>6</v>
      </c>
      <c r="L843">
        <v>47</v>
      </c>
      <c r="M843">
        <v>300</v>
      </c>
      <c r="N843">
        <v>680</v>
      </c>
      <c r="O843">
        <v>2324</v>
      </c>
      <c r="P843" t="str">
        <f>TEXT(tbl_working_daily[[#This Row],[ActivityDate]],"dddd")</f>
        <v>Wednesday</v>
      </c>
      <c r="Q843" t="str">
        <f>TEXT(tbl_working_daily[[#This Row],[ActivityDate]],"mmmm")</f>
        <v>April</v>
      </c>
      <c r="R843">
        <f t="shared" si="26"/>
        <v>353</v>
      </c>
      <c r="S843">
        <f t="shared" si="27"/>
        <v>1033</v>
      </c>
      <c r="T843">
        <f>ROUND(tbl_working_daily[[#This Row],[SedentaryMinutes]]/60,2)</f>
        <v>11.33</v>
      </c>
      <c r="U843" t="str" cm="1">
        <f t="array" ref="U84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43" t="str" cm="1">
        <f t="array" ref="V843">_xlfn.IFS(tbl_working_daily[[#This Row],[VeryActiveMinutes]]&gt;=30,"Very Active",tbl_working_daily[[#This Row],[VeryActiveMinutes]]&gt;=15,"Moderately Active",tbl_working_daily[[#This Row],[VeryActiveMinutes]]&gt;=1,"Lightly Active",tbl_working_daily[[#This Row],[VeryActiveMinutes]]=0,"Sedentary")</f>
        <v>Lightly Active</v>
      </c>
      <c r="W843" t="str">
        <f>tbl_working_daily[[#This Row],[Id]]&amp;"|"&amp;TEXT(tbl_working_daily[[#This Row],[ActivityDate]],"yyyy-mm-dd")</f>
        <v>4319703577|2016-04-27</v>
      </c>
      <c r="X843" t="b">
        <f>ISNUMBER(MATCH(tbl_working_daily[[#This Row],[LookupKey]],tbl_working_sleep[LookupKey],0))</f>
        <v>1</v>
      </c>
    </row>
    <row r="844" spans="1:24" x14ac:dyDescent="0.3">
      <c r="A844">
        <v>4319703577</v>
      </c>
      <c r="B844" s="1">
        <v>42488</v>
      </c>
      <c r="C844">
        <v>10817</v>
      </c>
      <c r="D844">
        <v>7.2800002098083496</v>
      </c>
      <c r="E844">
        <v>7.2800002098083496</v>
      </c>
      <c r="F844">
        <v>0</v>
      </c>
      <c r="G844">
        <v>1.0099999904632599</v>
      </c>
      <c r="H844">
        <v>0.33000001311302202</v>
      </c>
      <c r="I844">
        <v>5.9400000572204599</v>
      </c>
      <c r="J844">
        <v>0</v>
      </c>
      <c r="K844">
        <v>13</v>
      </c>
      <c r="L844">
        <v>8</v>
      </c>
      <c r="M844">
        <v>359</v>
      </c>
      <c r="N844">
        <v>552</v>
      </c>
      <c r="O844">
        <v>2367</v>
      </c>
      <c r="P844" t="str">
        <f>TEXT(tbl_working_daily[[#This Row],[ActivityDate]],"dddd")</f>
        <v>Thursday</v>
      </c>
      <c r="Q844" t="str">
        <f>TEXT(tbl_working_daily[[#This Row],[ActivityDate]],"mmmm")</f>
        <v>April</v>
      </c>
      <c r="R844">
        <f t="shared" si="26"/>
        <v>380</v>
      </c>
      <c r="S844">
        <f t="shared" si="27"/>
        <v>932</v>
      </c>
      <c r="T844">
        <f>ROUND(tbl_working_daily[[#This Row],[SedentaryMinutes]]/60,2)</f>
        <v>9.1999999999999993</v>
      </c>
      <c r="U844" t="str" cm="1">
        <f t="array" ref="U84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44" t="str" cm="1">
        <f t="array" ref="V844">_xlfn.IFS(tbl_working_daily[[#This Row],[VeryActiveMinutes]]&gt;=30,"Very Active",tbl_working_daily[[#This Row],[VeryActiveMinutes]]&gt;=15,"Moderately Active",tbl_working_daily[[#This Row],[VeryActiveMinutes]]&gt;=1,"Lightly Active",tbl_working_daily[[#This Row],[VeryActiveMinutes]]=0,"Sedentary")</f>
        <v>Lightly Active</v>
      </c>
      <c r="W844" t="str">
        <f>tbl_working_daily[[#This Row],[Id]]&amp;"|"&amp;TEXT(tbl_working_daily[[#This Row],[ActivityDate]],"yyyy-mm-dd")</f>
        <v>4319703577|2016-04-28</v>
      </c>
      <c r="X844" t="b">
        <f>ISNUMBER(MATCH(tbl_working_daily[[#This Row],[LookupKey]],tbl_working_sleep[LookupKey],0))</f>
        <v>1</v>
      </c>
    </row>
    <row r="845" spans="1:24" x14ac:dyDescent="0.3">
      <c r="A845">
        <v>4319703577</v>
      </c>
      <c r="B845" s="1">
        <v>42489</v>
      </c>
      <c r="C845">
        <v>7990</v>
      </c>
      <c r="D845">
        <v>5.3600001335143999</v>
      </c>
      <c r="E845">
        <v>5.3600001335143999</v>
      </c>
      <c r="F845">
        <v>0</v>
      </c>
      <c r="G845">
        <v>0.44999998807907099</v>
      </c>
      <c r="H845">
        <v>0.79000002145767201</v>
      </c>
      <c r="I845">
        <v>4.1199998855590803</v>
      </c>
      <c r="J845">
        <v>0</v>
      </c>
      <c r="K845">
        <v>6</v>
      </c>
      <c r="L845">
        <v>18</v>
      </c>
      <c r="M845">
        <v>289</v>
      </c>
      <c r="N845">
        <v>624</v>
      </c>
      <c r="O845">
        <v>2175</v>
      </c>
      <c r="P845" t="str">
        <f>TEXT(tbl_working_daily[[#This Row],[ActivityDate]],"dddd")</f>
        <v>Friday</v>
      </c>
      <c r="Q845" t="str">
        <f>TEXT(tbl_working_daily[[#This Row],[ActivityDate]],"mmmm")</f>
        <v>April</v>
      </c>
      <c r="R845">
        <f t="shared" si="26"/>
        <v>313</v>
      </c>
      <c r="S845">
        <f t="shared" si="27"/>
        <v>937</v>
      </c>
      <c r="T845">
        <f>ROUND(tbl_working_daily[[#This Row],[SedentaryMinutes]]/60,2)</f>
        <v>10.4</v>
      </c>
      <c r="U845" t="str" cm="1">
        <f t="array" ref="U84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45" t="str" cm="1">
        <f t="array" ref="V845">_xlfn.IFS(tbl_working_daily[[#This Row],[VeryActiveMinutes]]&gt;=30,"Very Active",tbl_working_daily[[#This Row],[VeryActiveMinutes]]&gt;=15,"Moderately Active",tbl_working_daily[[#This Row],[VeryActiveMinutes]]&gt;=1,"Lightly Active",tbl_working_daily[[#This Row],[VeryActiveMinutes]]=0,"Sedentary")</f>
        <v>Lightly Active</v>
      </c>
      <c r="W845" t="str">
        <f>tbl_working_daily[[#This Row],[Id]]&amp;"|"&amp;TEXT(tbl_working_daily[[#This Row],[ActivityDate]],"yyyy-mm-dd")</f>
        <v>4319703577|2016-04-29</v>
      </c>
      <c r="X845" t="b">
        <f>ISNUMBER(MATCH(tbl_working_daily[[#This Row],[LookupKey]],tbl_working_sleep[LookupKey],0))</f>
        <v>1</v>
      </c>
    </row>
    <row r="846" spans="1:24" x14ac:dyDescent="0.3">
      <c r="A846">
        <v>4319703577</v>
      </c>
      <c r="B846" s="1">
        <v>42490</v>
      </c>
      <c r="C846">
        <v>8221</v>
      </c>
      <c r="D846">
        <v>5.5199999809265101</v>
      </c>
      <c r="E846">
        <v>5.5199999809265101</v>
      </c>
      <c r="F846">
        <v>0</v>
      </c>
      <c r="G846">
        <v>0.40000000596046398</v>
      </c>
      <c r="H846">
        <v>1.6100000143051101</v>
      </c>
      <c r="I846">
        <v>3.5099999904632599</v>
      </c>
      <c r="J846">
        <v>0</v>
      </c>
      <c r="K846">
        <v>6</v>
      </c>
      <c r="L846">
        <v>38</v>
      </c>
      <c r="M846">
        <v>196</v>
      </c>
      <c r="N846">
        <v>695</v>
      </c>
      <c r="O846">
        <v>2092</v>
      </c>
      <c r="P846" t="str">
        <f>TEXT(tbl_working_daily[[#This Row],[ActivityDate]],"dddd")</f>
        <v>Saturday</v>
      </c>
      <c r="Q846" t="str">
        <f>TEXT(tbl_working_daily[[#This Row],[ActivityDate]],"mmmm")</f>
        <v>April</v>
      </c>
      <c r="R846">
        <f t="shared" si="26"/>
        <v>240</v>
      </c>
      <c r="S846">
        <f t="shared" si="27"/>
        <v>935</v>
      </c>
      <c r="T846">
        <f>ROUND(tbl_working_daily[[#This Row],[SedentaryMinutes]]/60,2)</f>
        <v>11.58</v>
      </c>
      <c r="U846" t="str" cm="1">
        <f t="array" ref="U84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46" t="str" cm="1">
        <f t="array" ref="V846">_xlfn.IFS(tbl_working_daily[[#This Row],[VeryActiveMinutes]]&gt;=30,"Very Active",tbl_working_daily[[#This Row],[VeryActiveMinutes]]&gt;=15,"Moderately Active",tbl_working_daily[[#This Row],[VeryActiveMinutes]]&gt;=1,"Lightly Active",tbl_working_daily[[#This Row],[VeryActiveMinutes]]=0,"Sedentary")</f>
        <v>Lightly Active</v>
      </c>
      <c r="W846" t="str">
        <f>tbl_working_daily[[#This Row],[Id]]&amp;"|"&amp;TEXT(tbl_working_daily[[#This Row],[ActivityDate]],"yyyy-mm-dd")</f>
        <v>4319703577|2016-04-30</v>
      </c>
      <c r="X846" t="b">
        <f>ISNUMBER(MATCH(tbl_working_daily[[#This Row],[LookupKey]],tbl_working_sleep[LookupKey],0))</f>
        <v>1</v>
      </c>
    </row>
    <row r="847" spans="1:24" x14ac:dyDescent="0.3">
      <c r="A847">
        <v>4319703577</v>
      </c>
      <c r="B847" s="1">
        <v>42491</v>
      </c>
      <c r="C847">
        <v>1251</v>
      </c>
      <c r="D847">
        <v>0.83999997377395597</v>
      </c>
      <c r="E847">
        <v>0.83999997377395597</v>
      </c>
      <c r="F847">
        <v>0</v>
      </c>
      <c r="G847">
        <v>0</v>
      </c>
      <c r="H847">
        <v>0</v>
      </c>
      <c r="I847">
        <v>0.83999997377395597</v>
      </c>
      <c r="J847">
        <v>0</v>
      </c>
      <c r="K847">
        <v>0</v>
      </c>
      <c r="L847">
        <v>0</v>
      </c>
      <c r="M847">
        <v>67</v>
      </c>
      <c r="N847">
        <v>836</v>
      </c>
      <c r="O847">
        <v>1593</v>
      </c>
      <c r="P847" t="str">
        <f>TEXT(tbl_working_daily[[#This Row],[ActivityDate]],"dddd")</f>
        <v>Sunday</v>
      </c>
      <c r="Q847" t="str">
        <f>TEXT(tbl_working_daily[[#This Row],[ActivityDate]],"mmmm")</f>
        <v>May</v>
      </c>
      <c r="R847">
        <f t="shared" si="26"/>
        <v>67</v>
      </c>
      <c r="S847">
        <f t="shared" si="27"/>
        <v>903</v>
      </c>
      <c r="T847">
        <f>ROUND(tbl_working_daily[[#This Row],[SedentaryMinutes]]/60,2)</f>
        <v>13.93</v>
      </c>
      <c r="U847" t="str" cm="1">
        <f t="array" ref="U84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47" t="str" cm="1">
        <f t="array" ref="V847">_xlfn.IFS(tbl_working_daily[[#This Row],[VeryActiveMinutes]]&gt;=30,"Very Active",tbl_working_daily[[#This Row],[VeryActiveMinutes]]&gt;=15,"Moderately Active",tbl_working_daily[[#This Row],[VeryActiveMinutes]]&gt;=1,"Lightly Active",tbl_working_daily[[#This Row],[VeryActiveMinutes]]=0,"Sedentary")</f>
        <v>Sedentary</v>
      </c>
      <c r="W847" t="str">
        <f>tbl_working_daily[[#This Row],[Id]]&amp;"|"&amp;TEXT(tbl_working_daily[[#This Row],[ActivityDate]],"yyyy-mm-dd")</f>
        <v>4319703577|2016-05-01</v>
      </c>
      <c r="X847" t="b">
        <f>ISNUMBER(MATCH(tbl_working_daily[[#This Row],[LookupKey]],tbl_working_sleep[LookupKey],0))</f>
        <v>1</v>
      </c>
    </row>
    <row r="848" spans="1:24" x14ac:dyDescent="0.3">
      <c r="A848">
        <v>4319703577</v>
      </c>
      <c r="B848" s="1">
        <v>42492</v>
      </c>
      <c r="C848">
        <v>9261</v>
      </c>
      <c r="D848">
        <v>6.2399997711181596</v>
      </c>
      <c r="E848">
        <v>6.2399997711181596</v>
      </c>
      <c r="F848">
        <v>0</v>
      </c>
      <c r="G848">
        <v>0</v>
      </c>
      <c r="H848">
        <v>0.43999999761581399</v>
      </c>
      <c r="I848">
        <v>5.71000003814697</v>
      </c>
      <c r="J848">
        <v>0</v>
      </c>
      <c r="K848">
        <v>0</v>
      </c>
      <c r="L848">
        <v>11</v>
      </c>
      <c r="M848">
        <v>344</v>
      </c>
      <c r="N848">
        <v>585</v>
      </c>
      <c r="O848">
        <v>2270</v>
      </c>
      <c r="P848" t="str">
        <f>TEXT(tbl_working_daily[[#This Row],[ActivityDate]],"dddd")</f>
        <v>Monday</v>
      </c>
      <c r="Q848" t="str">
        <f>TEXT(tbl_working_daily[[#This Row],[ActivityDate]],"mmmm")</f>
        <v>May</v>
      </c>
      <c r="R848">
        <f t="shared" si="26"/>
        <v>355</v>
      </c>
      <c r="S848">
        <f t="shared" si="27"/>
        <v>940</v>
      </c>
      <c r="T848">
        <f>ROUND(tbl_working_daily[[#This Row],[SedentaryMinutes]]/60,2)</f>
        <v>9.75</v>
      </c>
      <c r="U848" t="str" cm="1">
        <f t="array" ref="U84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48" t="str" cm="1">
        <f t="array" ref="V848">_xlfn.IFS(tbl_working_daily[[#This Row],[VeryActiveMinutes]]&gt;=30,"Very Active",tbl_working_daily[[#This Row],[VeryActiveMinutes]]&gt;=15,"Moderately Active",tbl_working_daily[[#This Row],[VeryActiveMinutes]]&gt;=1,"Lightly Active",tbl_working_daily[[#This Row],[VeryActiveMinutes]]=0,"Sedentary")</f>
        <v>Sedentary</v>
      </c>
      <c r="W848" t="str">
        <f>tbl_working_daily[[#This Row],[Id]]&amp;"|"&amp;TEXT(tbl_working_daily[[#This Row],[ActivityDate]],"yyyy-mm-dd")</f>
        <v>4319703577|2016-05-02</v>
      </c>
      <c r="X848" t="b">
        <f>ISNUMBER(MATCH(tbl_working_daily[[#This Row],[LookupKey]],tbl_working_sleep[LookupKey],0))</f>
        <v>1</v>
      </c>
    </row>
    <row r="849" spans="1:24" x14ac:dyDescent="0.3">
      <c r="A849">
        <v>4319703577</v>
      </c>
      <c r="B849" s="1">
        <v>42493</v>
      </c>
      <c r="C849">
        <v>9648</v>
      </c>
      <c r="D849">
        <v>6.4699997901916504</v>
      </c>
      <c r="E849">
        <v>6.4699997901916504</v>
      </c>
      <c r="F849">
        <v>0</v>
      </c>
      <c r="G849">
        <v>0.57999998331069902</v>
      </c>
      <c r="H849">
        <v>1.0700000524520901</v>
      </c>
      <c r="I849">
        <v>4.8299999237060502</v>
      </c>
      <c r="J849">
        <v>0</v>
      </c>
      <c r="K849">
        <v>8</v>
      </c>
      <c r="L849">
        <v>26</v>
      </c>
      <c r="M849">
        <v>287</v>
      </c>
      <c r="N849">
        <v>669</v>
      </c>
      <c r="O849">
        <v>2235</v>
      </c>
      <c r="P849" t="str">
        <f>TEXT(tbl_working_daily[[#This Row],[ActivityDate]],"dddd")</f>
        <v>Tuesday</v>
      </c>
      <c r="Q849" t="str">
        <f>TEXT(tbl_working_daily[[#This Row],[ActivityDate]],"mmmm")</f>
        <v>May</v>
      </c>
      <c r="R849">
        <f t="shared" si="26"/>
        <v>321</v>
      </c>
      <c r="S849">
        <f t="shared" si="27"/>
        <v>990</v>
      </c>
      <c r="T849">
        <f>ROUND(tbl_working_daily[[#This Row],[SedentaryMinutes]]/60,2)</f>
        <v>11.15</v>
      </c>
      <c r="U849" t="str" cm="1">
        <f t="array" ref="U84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49" t="str" cm="1">
        <f t="array" ref="V849">_xlfn.IFS(tbl_working_daily[[#This Row],[VeryActiveMinutes]]&gt;=30,"Very Active",tbl_working_daily[[#This Row],[VeryActiveMinutes]]&gt;=15,"Moderately Active",tbl_working_daily[[#This Row],[VeryActiveMinutes]]&gt;=1,"Lightly Active",tbl_working_daily[[#This Row],[VeryActiveMinutes]]=0,"Sedentary")</f>
        <v>Lightly Active</v>
      </c>
      <c r="W849" t="str">
        <f>tbl_working_daily[[#This Row],[Id]]&amp;"|"&amp;TEXT(tbl_working_daily[[#This Row],[ActivityDate]],"yyyy-mm-dd")</f>
        <v>4319703577|2016-05-03</v>
      </c>
      <c r="X849" t="b">
        <f>ISNUMBER(MATCH(tbl_working_daily[[#This Row],[LookupKey]],tbl_working_sleep[LookupKey],0))</f>
        <v>1</v>
      </c>
    </row>
    <row r="850" spans="1:24" x14ac:dyDescent="0.3">
      <c r="A850">
        <v>4319703577</v>
      </c>
      <c r="B850" s="1">
        <v>42494</v>
      </c>
      <c r="C850">
        <v>10429</v>
      </c>
      <c r="D850">
        <v>7.0199999809265101</v>
      </c>
      <c r="E850">
        <v>7.0199999809265101</v>
      </c>
      <c r="F850">
        <v>0</v>
      </c>
      <c r="G850">
        <v>0.58999997377395597</v>
      </c>
      <c r="H850">
        <v>0.57999998331069902</v>
      </c>
      <c r="I850">
        <v>5.8499999046325701</v>
      </c>
      <c r="J850">
        <v>0</v>
      </c>
      <c r="K850">
        <v>8</v>
      </c>
      <c r="L850">
        <v>13</v>
      </c>
      <c r="M850">
        <v>313</v>
      </c>
      <c r="N850">
        <v>1106</v>
      </c>
      <c r="O850">
        <v>2282</v>
      </c>
      <c r="P850" t="str">
        <f>TEXT(tbl_working_daily[[#This Row],[ActivityDate]],"dddd")</f>
        <v>Wednesday</v>
      </c>
      <c r="Q850" t="str">
        <f>TEXT(tbl_working_daily[[#This Row],[ActivityDate]],"mmmm")</f>
        <v>May</v>
      </c>
      <c r="R850">
        <f t="shared" si="26"/>
        <v>334</v>
      </c>
      <c r="S850">
        <f t="shared" si="27"/>
        <v>1440</v>
      </c>
      <c r="T850">
        <f>ROUND(tbl_working_daily[[#This Row],[SedentaryMinutes]]/60,2)</f>
        <v>18.43</v>
      </c>
      <c r="U850" t="str" cm="1">
        <f t="array" ref="U85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50" t="str" cm="1">
        <f t="array" ref="V850">_xlfn.IFS(tbl_working_daily[[#This Row],[VeryActiveMinutes]]&gt;=30,"Very Active",tbl_working_daily[[#This Row],[VeryActiveMinutes]]&gt;=15,"Moderately Active",tbl_working_daily[[#This Row],[VeryActiveMinutes]]&gt;=1,"Lightly Active",tbl_working_daily[[#This Row],[VeryActiveMinutes]]=0,"Sedentary")</f>
        <v>Lightly Active</v>
      </c>
      <c r="W850" t="str">
        <f>tbl_working_daily[[#This Row],[Id]]&amp;"|"&amp;TEXT(tbl_working_daily[[#This Row],[ActivityDate]],"yyyy-mm-dd")</f>
        <v>4319703577|2016-05-04</v>
      </c>
      <c r="X850" t="b">
        <f>ISNUMBER(MATCH(tbl_working_daily[[#This Row],[LookupKey]],tbl_working_sleep[LookupKey],0))</f>
        <v>0</v>
      </c>
    </row>
    <row r="851" spans="1:24" x14ac:dyDescent="0.3">
      <c r="A851">
        <v>4319703577</v>
      </c>
      <c r="B851" s="1">
        <v>42495</v>
      </c>
      <c r="C851">
        <v>13658</v>
      </c>
      <c r="D851">
        <v>9.4899997711181605</v>
      </c>
      <c r="E851">
        <v>9.4899997711181605</v>
      </c>
      <c r="F851">
        <v>0</v>
      </c>
      <c r="G851">
        <v>2.6300001144409202</v>
      </c>
      <c r="H851">
        <v>1.4099999666214</v>
      </c>
      <c r="I851">
        <v>5.4499998092651403</v>
      </c>
      <c r="J851">
        <v>0</v>
      </c>
      <c r="K851">
        <v>27</v>
      </c>
      <c r="L851">
        <v>34</v>
      </c>
      <c r="M851">
        <v>328</v>
      </c>
      <c r="N851">
        <v>957</v>
      </c>
      <c r="O851">
        <v>2530</v>
      </c>
      <c r="P851" t="str">
        <f>TEXT(tbl_working_daily[[#This Row],[ActivityDate]],"dddd")</f>
        <v>Thursday</v>
      </c>
      <c r="Q851" t="str">
        <f>TEXT(tbl_working_daily[[#This Row],[ActivityDate]],"mmmm")</f>
        <v>May</v>
      </c>
      <c r="R851">
        <f t="shared" si="26"/>
        <v>389</v>
      </c>
      <c r="S851">
        <f t="shared" si="27"/>
        <v>1346</v>
      </c>
      <c r="T851">
        <f>ROUND(tbl_working_daily[[#This Row],[SedentaryMinutes]]/60,2)</f>
        <v>15.95</v>
      </c>
      <c r="U851" t="str" cm="1">
        <f t="array" ref="U85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51" t="str" cm="1">
        <f t="array" ref="V851">_xlfn.IFS(tbl_working_daily[[#This Row],[VeryActiveMinutes]]&gt;=30,"Very Active",tbl_working_daily[[#This Row],[VeryActiveMinutes]]&gt;=15,"Moderately Active",tbl_working_daily[[#This Row],[VeryActiveMinutes]]&gt;=1,"Lightly Active",tbl_working_daily[[#This Row],[VeryActiveMinutes]]=0,"Sedentary")</f>
        <v>Moderately Active</v>
      </c>
      <c r="W851" t="str">
        <f>tbl_working_daily[[#This Row],[Id]]&amp;"|"&amp;TEXT(tbl_working_daily[[#This Row],[ActivityDate]],"yyyy-mm-dd")</f>
        <v>4319703577|2016-05-05</v>
      </c>
      <c r="X851" t="b">
        <f>ISNUMBER(MATCH(tbl_working_daily[[#This Row],[LookupKey]],tbl_working_sleep[LookupKey],0))</f>
        <v>0</v>
      </c>
    </row>
    <row r="852" spans="1:24" x14ac:dyDescent="0.3">
      <c r="A852">
        <v>4319703577</v>
      </c>
      <c r="B852" s="1">
        <v>42496</v>
      </c>
      <c r="C852">
        <v>9524</v>
      </c>
      <c r="D852">
        <v>6.4200000762939498</v>
      </c>
      <c r="E852">
        <v>6.4200000762939498</v>
      </c>
      <c r="F852">
        <v>0</v>
      </c>
      <c r="G852">
        <v>0.40999999642372098</v>
      </c>
      <c r="H852">
        <v>0.46999999880790699</v>
      </c>
      <c r="I852">
        <v>5.46000003814697</v>
      </c>
      <c r="J852">
        <v>0</v>
      </c>
      <c r="K852">
        <v>6</v>
      </c>
      <c r="L852">
        <v>11</v>
      </c>
      <c r="M852">
        <v>314</v>
      </c>
      <c r="N852">
        <v>692</v>
      </c>
      <c r="O852">
        <v>2266</v>
      </c>
      <c r="P852" t="str">
        <f>TEXT(tbl_working_daily[[#This Row],[ActivityDate]],"dddd")</f>
        <v>Friday</v>
      </c>
      <c r="Q852" t="str">
        <f>TEXT(tbl_working_daily[[#This Row],[ActivityDate]],"mmmm")</f>
        <v>May</v>
      </c>
      <c r="R852">
        <f t="shared" si="26"/>
        <v>331</v>
      </c>
      <c r="S852">
        <f t="shared" si="27"/>
        <v>1023</v>
      </c>
      <c r="T852">
        <f>ROUND(tbl_working_daily[[#This Row],[SedentaryMinutes]]/60,2)</f>
        <v>11.53</v>
      </c>
      <c r="U852" t="str" cm="1">
        <f t="array" ref="U85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52" t="str" cm="1">
        <f t="array" ref="V852">_xlfn.IFS(tbl_working_daily[[#This Row],[VeryActiveMinutes]]&gt;=30,"Very Active",tbl_working_daily[[#This Row],[VeryActiveMinutes]]&gt;=15,"Moderately Active",tbl_working_daily[[#This Row],[VeryActiveMinutes]]&gt;=1,"Lightly Active",tbl_working_daily[[#This Row],[VeryActiveMinutes]]=0,"Sedentary")</f>
        <v>Lightly Active</v>
      </c>
      <c r="W852" t="str">
        <f>tbl_working_daily[[#This Row],[Id]]&amp;"|"&amp;TEXT(tbl_working_daily[[#This Row],[ActivityDate]],"yyyy-mm-dd")</f>
        <v>4319703577|2016-05-06</v>
      </c>
      <c r="X852" t="b">
        <f>ISNUMBER(MATCH(tbl_working_daily[[#This Row],[LookupKey]],tbl_working_sleep[LookupKey],0))</f>
        <v>1</v>
      </c>
    </row>
    <row r="853" spans="1:24" x14ac:dyDescent="0.3">
      <c r="A853">
        <v>4319703577</v>
      </c>
      <c r="B853" s="1">
        <v>42497</v>
      </c>
      <c r="C853">
        <v>7937</v>
      </c>
      <c r="D853">
        <v>5.3299999237060502</v>
      </c>
      <c r="E853">
        <v>5.3299999237060502</v>
      </c>
      <c r="F853">
        <v>0</v>
      </c>
      <c r="G853">
        <v>0.18999999761581399</v>
      </c>
      <c r="H853">
        <v>1.04999995231628</v>
      </c>
      <c r="I853">
        <v>4.0799999237060502</v>
      </c>
      <c r="J853">
        <v>0</v>
      </c>
      <c r="K853">
        <v>3</v>
      </c>
      <c r="L853">
        <v>28</v>
      </c>
      <c r="M853">
        <v>279</v>
      </c>
      <c r="N853">
        <v>586</v>
      </c>
      <c r="O853">
        <v>2158</v>
      </c>
      <c r="P853" t="str">
        <f>TEXT(tbl_working_daily[[#This Row],[ActivityDate]],"dddd")</f>
        <v>Saturday</v>
      </c>
      <c r="Q853" t="str">
        <f>TEXT(tbl_working_daily[[#This Row],[ActivityDate]],"mmmm")</f>
        <v>May</v>
      </c>
      <c r="R853">
        <f t="shared" si="26"/>
        <v>310</v>
      </c>
      <c r="S853">
        <f t="shared" si="27"/>
        <v>896</v>
      </c>
      <c r="T853">
        <f>ROUND(tbl_working_daily[[#This Row],[SedentaryMinutes]]/60,2)</f>
        <v>9.77</v>
      </c>
      <c r="U853" t="str" cm="1">
        <f t="array" ref="U85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53" t="str" cm="1">
        <f t="array" ref="V853">_xlfn.IFS(tbl_working_daily[[#This Row],[VeryActiveMinutes]]&gt;=30,"Very Active",tbl_working_daily[[#This Row],[VeryActiveMinutes]]&gt;=15,"Moderately Active",tbl_working_daily[[#This Row],[VeryActiveMinutes]]&gt;=1,"Lightly Active",tbl_working_daily[[#This Row],[VeryActiveMinutes]]=0,"Sedentary")</f>
        <v>Lightly Active</v>
      </c>
      <c r="W853" t="str">
        <f>tbl_working_daily[[#This Row],[Id]]&amp;"|"&amp;TEXT(tbl_working_daily[[#This Row],[ActivityDate]],"yyyy-mm-dd")</f>
        <v>4319703577|2016-05-07</v>
      </c>
      <c r="X853" t="b">
        <f>ISNUMBER(MATCH(tbl_working_daily[[#This Row],[LookupKey]],tbl_working_sleep[LookupKey],0))</f>
        <v>1</v>
      </c>
    </row>
    <row r="854" spans="1:24" x14ac:dyDescent="0.3">
      <c r="A854">
        <v>4319703577</v>
      </c>
      <c r="B854" s="1">
        <v>42498</v>
      </c>
      <c r="C854">
        <v>3672</v>
      </c>
      <c r="D854">
        <v>2.46000003814697</v>
      </c>
      <c r="E854">
        <v>2.46000003814697</v>
      </c>
      <c r="F854">
        <v>0</v>
      </c>
      <c r="G854">
        <v>0</v>
      </c>
      <c r="H854">
        <v>0</v>
      </c>
      <c r="I854">
        <v>2.46000003814697</v>
      </c>
      <c r="J854">
        <v>0</v>
      </c>
      <c r="K854">
        <v>0</v>
      </c>
      <c r="L854">
        <v>0</v>
      </c>
      <c r="M854">
        <v>153</v>
      </c>
      <c r="N854">
        <v>603</v>
      </c>
      <c r="O854">
        <v>1792</v>
      </c>
      <c r="P854" t="str">
        <f>TEXT(tbl_working_daily[[#This Row],[ActivityDate]],"dddd")</f>
        <v>Sunday</v>
      </c>
      <c r="Q854" t="str">
        <f>TEXT(tbl_working_daily[[#This Row],[ActivityDate]],"mmmm")</f>
        <v>May</v>
      </c>
      <c r="R854">
        <f t="shared" si="26"/>
        <v>153</v>
      </c>
      <c r="S854">
        <f t="shared" si="27"/>
        <v>756</v>
      </c>
      <c r="T854">
        <f>ROUND(tbl_working_daily[[#This Row],[SedentaryMinutes]]/60,2)</f>
        <v>10.050000000000001</v>
      </c>
      <c r="U854" t="str" cm="1">
        <f t="array" ref="U85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54" t="str" cm="1">
        <f t="array" ref="V854">_xlfn.IFS(tbl_working_daily[[#This Row],[VeryActiveMinutes]]&gt;=30,"Very Active",tbl_working_daily[[#This Row],[VeryActiveMinutes]]&gt;=15,"Moderately Active",tbl_working_daily[[#This Row],[VeryActiveMinutes]]&gt;=1,"Lightly Active",tbl_working_daily[[#This Row],[VeryActiveMinutes]]=0,"Sedentary")</f>
        <v>Sedentary</v>
      </c>
      <c r="W854" t="str">
        <f>tbl_working_daily[[#This Row],[Id]]&amp;"|"&amp;TEXT(tbl_working_daily[[#This Row],[ActivityDate]],"yyyy-mm-dd")</f>
        <v>4319703577|2016-05-08</v>
      </c>
      <c r="X854" t="b">
        <f>ISNUMBER(MATCH(tbl_working_daily[[#This Row],[LookupKey]],tbl_working_sleep[LookupKey],0))</f>
        <v>1</v>
      </c>
    </row>
    <row r="855" spans="1:24" x14ac:dyDescent="0.3">
      <c r="A855">
        <v>4319703577</v>
      </c>
      <c r="B855" s="1">
        <v>42499</v>
      </c>
      <c r="C855">
        <v>10378</v>
      </c>
      <c r="D855">
        <v>6.96000003814697</v>
      </c>
      <c r="E855">
        <v>6.96000003814697</v>
      </c>
      <c r="F855">
        <v>0</v>
      </c>
      <c r="G855">
        <v>0.140000000596046</v>
      </c>
      <c r="H855">
        <v>0.56000000238418601</v>
      </c>
      <c r="I855">
        <v>6.25</v>
      </c>
      <c r="J855">
        <v>0</v>
      </c>
      <c r="K855">
        <v>2</v>
      </c>
      <c r="L855">
        <v>14</v>
      </c>
      <c r="M855">
        <v>374</v>
      </c>
      <c r="N855">
        <v>490</v>
      </c>
      <c r="O855">
        <v>2345</v>
      </c>
      <c r="P855" t="str">
        <f>TEXT(tbl_working_daily[[#This Row],[ActivityDate]],"dddd")</f>
        <v>Monday</v>
      </c>
      <c r="Q855" t="str">
        <f>TEXT(tbl_working_daily[[#This Row],[ActivityDate]],"mmmm")</f>
        <v>May</v>
      </c>
      <c r="R855">
        <f t="shared" si="26"/>
        <v>390</v>
      </c>
      <c r="S855">
        <f t="shared" si="27"/>
        <v>880</v>
      </c>
      <c r="T855">
        <f>ROUND(tbl_working_daily[[#This Row],[SedentaryMinutes]]/60,2)</f>
        <v>8.17</v>
      </c>
      <c r="U855" t="str" cm="1">
        <f t="array" ref="U85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55" t="str" cm="1">
        <f t="array" ref="V855">_xlfn.IFS(tbl_working_daily[[#This Row],[VeryActiveMinutes]]&gt;=30,"Very Active",tbl_working_daily[[#This Row],[VeryActiveMinutes]]&gt;=15,"Moderately Active",tbl_working_daily[[#This Row],[VeryActiveMinutes]]&gt;=1,"Lightly Active",tbl_working_daily[[#This Row],[VeryActiveMinutes]]=0,"Sedentary")</f>
        <v>Lightly Active</v>
      </c>
      <c r="W855" t="str">
        <f>tbl_working_daily[[#This Row],[Id]]&amp;"|"&amp;TEXT(tbl_working_daily[[#This Row],[ActivityDate]],"yyyy-mm-dd")</f>
        <v>4319703577|2016-05-09</v>
      </c>
      <c r="X855" t="b">
        <f>ISNUMBER(MATCH(tbl_working_daily[[#This Row],[LookupKey]],tbl_working_sleep[LookupKey],0))</f>
        <v>1</v>
      </c>
    </row>
    <row r="856" spans="1:24" x14ac:dyDescent="0.3">
      <c r="A856">
        <v>4319703577</v>
      </c>
      <c r="B856" s="1">
        <v>42500</v>
      </c>
      <c r="C856">
        <v>9487</v>
      </c>
      <c r="D856">
        <v>6.3699998855590803</v>
      </c>
      <c r="E856">
        <v>6.3699998855590803</v>
      </c>
      <c r="F856">
        <v>0</v>
      </c>
      <c r="G856">
        <v>0.20999999344348899</v>
      </c>
      <c r="H856">
        <v>0.46000000834464999</v>
      </c>
      <c r="I856">
        <v>5.6999998092651403</v>
      </c>
      <c r="J856">
        <v>0</v>
      </c>
      <c r="K856">
        <v>3</v>
      </c>
      <c r="L856">
        <v>12</v>
      </c>
      <c r="M856">
        <v>329</v>
      </c>
      <c r="N856">
        <v>555</v>
      </c>
      <c r="O856">
        <v>2260</v>
      </c>
      <c r="P856" t="str">
        <f>TEXT(tbl_working_daily[[#This Row],[ActivityDate]],"dddd")</f>
        <v>Tuesday</v>
      </c>
      <c r="Q856" t="str">
        <f>TEXT(tbl_working_daily[[#This Row],[ActivityDate]],"mmmm")</f>
        <v>May</v>
      </c>
      <c r="R856">
        <f t="shared" si="26"/>
        <v>344</v>
      </c>
      <c r="S856">
        <f t="shared" si="27"/>
        <v>899</v>
      </c>
      <c r="T856">
        <f>ROUND(tbl_working_daily[[#This Row],[SedentaryMinutes]]/60,2)</f>
        <v>9.25</v>
      </c>
      <c r="U856" t="str" cm="1">
        <f t="array" ref="U85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56" t="str" cm="1">
        <f t="array" ref="V856">_xlfn.IFS(tbl_working_daily[[#This Row],[VeryActiveMinutes]]&gt;=30,"Very Active",tbl_working_daily[[#This Row],[VeryActiveMinutes]]&gt;=15,"Moderately Active",tbl_working_daily[[#This Row],[VeryActiveMinutes]]&gt;=1,"Lightly Active",tbl_working_daily[[#This Row],[VeryActiveMinutes]]=0,"Sedentary")</f>
        <v>Lightly Active</v>
      </c>
      <c r="W856" t="str">
        <f>tbl_working_daily[[#This Row],[Id]]&amp;"|"&amp;TEXT(tbl_working_daily[[#This Row],[ActivityDate]],"yyyy-mm-dd")</f>
        <v>4319703577|2016-05-10</v>
      </c>
      <c r="X856" t="b">
        <f>ISNUMBER(MATCH(tbl_working_daily[[#This Row],[LookupKey]],tbl_working_sleep[LookupKey],0))</f>
        <v>1</v>
      </c>
    </row>
    <row r="857" spans="1:24" x14ac:dyDescent="0.3">
      <c r="A857">
        <v>4319703577</v>
      </c>
      <c r="B857" s="1">
        <v>42501</v>
      </c>
      <c r="C857">
        <v>9129</v>
      </c>
      <c r="D857">
        <v>6.1300001144409197</v>
      </c>
      <c r="E857">
        <v>6.1300001144409197</v>
      </c>
      <c r="F857">
        <v>0</v>
      </c>
      <c r="G857">
        <v>0.20000000298023199</v>
      </c>
      <c r="H857">
        <v>0.74000000953674305</v>
      </c>
      <c r="I857">
        <v>5.1799998283386204</v>
      </c>
      <c r="J857">
        <v>0</v>
      </c>
      <c r="K857">
        <v>3</v>
      </c>
      <c r="L857">
        <v>18</v>
      </c>
      <c r="M857">
        <v>311</v>
      </c>
      <c r="N857">
        <v>574</v>
      </c>
      <c r="O857">
        <v>2232</v>
      </c>
      <c r="P857" t="str">
        <f>TEXT(tbl_working_daily[[#This Row],[ActivityDate]],"dddd")</f>
        <v>Wednesday</v>
      </c>
      <c r="Q857" t="str">
        <f>TEXT(tbl_working_daily[[#This Row],[ActivityDate]],"mmmm")</f>
        <v>May</v>
      </c>
      <c r="R857">
        <f t="shared" si="26"/>
        <v>332</v>
      </c>
      <c r="S857">
        <f t="shared" si="27"/>
        <v>906</v>
      </c>
      <c r="T857">
        <f>ROUND(tbl_working_daily[[#This Row],[SedentaryMinutes]]/60,2)</f>
        <v>9.57</v>
      </c>
      <c r="U857" t="str" cm="1">
        <f t="array" ref="U85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57" t="str" cm="1">
        <f t="array" ref="V857">_xlfn.IFS(tbl_working_daily[[#This Row],[VeryActiveMinutes]]&gt;=30,"Very Active",tbl_working_daily[[#This Row],[VeryActiveMinutes]]&gt;=15,"Moderately Active",tbl_working_daily[[#This Row],[VeryActiveMinutes]]&gt;=1,"Lightly Active",tbl_working_daily[[#This Row],[VeryActiveMinutes]]=0,"Sedentary")</f>
        <v>Lightly Active</v>
      </c>
      <c r="W857" t="str">
        <f>tbl_working_daily[[#This Row],[Id]]&amp;"|"&amp;TEXT(tbl_working_daily[[#This Row],[ActivityDate]],"yyyy-mm-dd")</f>
        <v>4319703577|2016-05-11</v>
      </c>
      <c r="X857" t="b">
        <f>ISNUMBER(MATCH(tbl_working_daily[[#This Row],[LookupKey]],tbl_working_sleep[LookupKey],0))</f>
        <v>1</v>
      </c>
    </row>
    <row r="858" spans="1:24" x14ac:dyDescent="0.3">
      <c r="A858">
        <v>4319703577</v>
      </c>
      <c r="B858" s="1">
        <v>42502</v>
      </c>
      <c r="C858">
        <v>17</v>
      </c>
      <c r="D858">
        <v>9.9999997764825804E-3</v>
      </c>
      <c r="E858">
        <v>9.9999997764825804E-3</v>
      </c>
      <c r="F858">
        <v>0</v>
      </c>
      <c r="G858">
        <v>0</v>
      </c>
      <c r="H858">
        <v>0</v>
      </c>
      <c r="I858">
        <v>9.9999997764825804E-3</v>
      </c>
      <c r="J858">
        <v>0</v>
      </c>
      <c r="K858">
        <v>0</v>
      </c>
      <c r="L858">
        <v>0</v>
      </c>
      <c r="M858">
        <v>2</v>
      </c>
      <c r="N858">
        <v>0</v>
      </c>
      <c r="O858">
        <v>257</v>
      </c>
      <c r="P858" t="str">
        <f>TEXT(tbl_working_daily[[#This Row],[ActivityDate]],"dddd")</f>
        <v>Thursday</v>
      </c>
      <c r="Q858" t="str">
        <f>TEXT(tbl_working_daily[[#This Row],[ActivityDate]],"mmmm")</f>
        <v>May</v>
      </c>
      <c r="R858">
        <f t="shared" si="26"/>
        <v>2</v>
      </c>
      <c r="S858">
        <f t="shared" si="27"/>
        <v>2</v>
      </c>
      <c r="T858">
        <f>ROUND(tbl_working_daily[[#This Row],[SedentaryMinutes]]/60,2)</f>
        <v>0</v>
      </c>
      <c r="U858" t="str" cm="1">
        <f t="array" ref="U85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58" t="str" cm="1">
        <f t="array" ref="V858">_xlfn.IFS(tbl_working_daily[[#This Row],[VeryActiveMinutes]]&gt;=30,"Very Active",tbl_working_daily[[#This Row],[VeryActiveMinutes]]&gt;=15,"Moderately Active",tbl_working_daily[[#This Row],[VeryActiveMinutes]]&gt;=1,"Lightly Active",tbl_working_daily[[#This Row],[VeryActiveMinutes]]=0,"Sedentary")</f>
        <v>Sedentary</v>
      </c>
      <c r="W858" t="str">
        <f>tbl_working_daily[[#This Row],[Id]]&amp;"|"&amp;TEXT(tbl_working_daily[[#This Row],[ActivityDate]],"yyyy-mm-dd")</f>
        <v>4319703577|2016-05-12</v>
      </c>
      <c r="X858" t="b">
        <f>ISNUMBER(MATCH(tbl_working_daily[[#This Row],[LookupKey]],tbl_working_sleep[LookupKey],0))</f>
        <v>1</v>
      </c>
    </row>
    <row r="859" spans="1:24" x14ac:dyDescent="0.3">
      <c r="A859">
        <v>4388161847</v>
      </c>
      <c r="B859" s="1">
        <v>42472</v>
      </c>
      <c r="C859">
        <v>10122</v>
      </c>
      <c r="D859">
        <v>7.7800002098083496</v>
      </c>
      <c r="E859">
        <v>7.7800002098083496</v>
      </c>
      <c r="F859">
        <v>0</v>
      </c>
      <c r="G859">
        <v>0</v>
      </c>
      <c r="H859">
        <v>0</v>
      </c>
      <c r="I859">
        <v>0</v>
      </c>
      <c r="J859">
        <v>0</v>
      </c>
      <c r="K859">
        <v>0</v>
      </c>
      <c r="L859">
        <v>0</v>
      </c>
      <c r="M859">
        <v>0</v>
      </c>
      <c r="N859">
        <v>1440</v>
      </c>
      <c r="O859">
        <v>2955</v>
      </c>
      <c r="P859" t="str">
        <f>TEXT(tbl_working_daily[[#This Row],[ActivityDate]],"dddd")</f>
        <v>Tuesday</v>
      </c>
      <c r="Q859" t="str">
        <f>TEXT(tbl_working_daily[[#This Row],[ActivityDate]],"mmmm")</f>
        <v>April</v>
      </c>
      <c r="R859">
        <f t="shared" si="26"/>
        <v>0</v>
      </c>
      <c r="S859">
        <f t="shared" si="27"/>
        <v>1440</v>
      </c>
      <c r="T859">
        <f>ROUND(tbl_working_daily[[#This Row],[SedentaryMinutes]]/60,2)</f>
        <v>24</v>
      </c>
      <c r="U859" t="str" cm="1">
        <f t="array" ref="U85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59" t="str" cm="1">
        <f t="array" ref="V859">_xlfn.IFS(tbl_working_daily[[#This Row],[VeryActiveMinutes]]&gt;=30,"Very Active",tbl_working_daily[[#This Row],[VeryActiveMinutes]]&gt;=15,"Moderately Active",tbl_working_daily[[#This Row],[VeryActiveMinutes]]&gt;=1,"Lightly Active",tbl_working_daily[[#This Row],[VeryActiveMinutes]]=0,"Sedentary")</f>
        <v>Sedentary</v>
      </c>
      <c r="W859" t="str">
        <f>tbl_working_daily[[#This Row],[Id]]&amp;"|"&amp;TEXT(tbl_working_daily[[#This Row],[ActivityDate]],"yyyy-mm-dd")</f>
        <v>4388161847|2016-04-12</v>
      </c>
      <c r="X859" t="b">
        <f>ISNUMBER(MATCH(tbl_working_daily[[#This Row],[LookupKey]],tbl_working_sleep[LookupKey],0))</f>
        <v>0</v>
      </c>
    </row>
    <row r="860" spans="1:24" x14ac:dyDescent="0.3">
      <c r="A860">
        <v>4388161847</v>
      </c>
      <c r="B860" s="1">
        <v>42473</v>
      </c>
      <c r="C860">
        <v>10993</v>
      </c>
      <c r="D860">
        <v>8.4499998092651403</v>
      </c>
      <c r="E860">
        <v>8.4499998092651403</v>
      </c>
      <c r="F860">
        <v>0</v>
      </c>
      <c r="G860">
        <v>5.9999998658895499E-2</v>
      </c>
      <c r="H860">
        <v>0.62999999523162797</v>
      </c>
      <c r="I860">
        <v>3.8800001144409202</v>
      </c>
      <c r="J860">
        <v>0</v>
      </c>
      <c r="K860">
        <v>1</v>
      </c>
      <c r="L860">
        <v>14</v>
      </c>
      <c r="M860">
        <v>150</v>
      </c>
      <c r="N860">
        <v>1275</v>
      </c>
      <c r="O860">
        <v>3092</v>
      </c>
      <c r="P860" t="str">
        <f>TEXT(tbl_working_daily[[#This Row],[ActivityDate]],"dddd")</f>
        <v>Wednesday</v>
      </c>
      <c r="Q860" t="str">
        <f>TEXT(tbl_working_daily[[#This Row],[ActivityDate]],"mmmm")</f>
        <v>April</v>
      </c>
      <c r="R860">
        <f t="shared" si="26"/>
        <v>165</v>
      </c>
      <c r="S860">
        <f t="shared" si="27"/>
        <v>1440</v>
      </c>
      <c r="T860">
        <f>ROUND(tbl_working_daily[[#This Row],[SedentaryMinutes]]/60,2)</f>
        <v>21.25</v>
      </c>
      <c r="U860" t="str" cm="1">
        <f t="array" ref="U86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60" t="str" cm="1">
        <f t="array" ref="V860">_xlfn.IFS(tbl_working_daily[[#This Row],[VeryActiveMinutes]]&gt;=30,"Very Active",tbl_working_daily[[#This Row],[VeryActiveMinutes]]&gt;=15,"Moderately Active",tbl_working_daily[[#This Row],[VeryActiveMinutes]]&gt;=1,"Lightly Active",tbl_working_daily[[#This Row],[VeryActiveMinutes]]=0,"Sedentary")</f>
        <v>Lightly Active</v>
      </c>
      <c r="W860" t="str">
        <f>tbl_working_daily[[#This Row],[Id]]&amp;"|"&amp;TEXT(tbl_working_daily[[#This Row],[ActivityDate]],"yyyy-mm-dd")</f>
        <v>4388161847|2016-04-13</v>
      </c>
      <c r="X860" t="b">
        <f>ISNUMBER(MATCH(tbl_working_daily[[#This Row],[LookupKey]],tbl_working_sleep[LookupKey],0))</f>
        <v>0</v>
      </c>
    </row>
    <row r="861" spans="1:24" x14ac:dyDescent="0.3">
      <c r="A861">
        <v>4388161847</v>
      </c>
      <c r="B861" s="1">
        <v>42474</v>
      </c>
      <c r="C861">
        <v>8863</v>
      </c>
      <c r="D861">
        <v>6.8200001716613796</v>
      </c>
      <c r="E861">
        <v>6.8200001716613796</v>
      </c>
      <c r="F861">
        <v>0</v>
      </c>
      <c r="G861">
        <v>0.129999995231628</v>
      </c>
      <c r="H861">
        <v>1.0700000524520901</v>
      </c>
      <c r="I861">
        <v>5.6199998855590803</v>
      </c>
      <c r="J861">
        <v>0</v>
      </c>
      <c r="K861">
        <v>10</v>
      </c>
      <c r="L861">
        <v>35</v>
      </c>
      <c r="M861">
        <v>219</v>
      </c>
      <c r="N861">
        <v>945</v>
      </c>
      <c r="O861">
        <v>2998</v>
      </c>
      <c r="P861" t="str">
        <f>TEXT(tbl_working_daily[[#This Row],[ActivityDate]],"dddd")</f>
        <v>Thursday</v>
      </c>
      <c r="Q861" t="str">
        <f>TEXT(tbl_working_daily[[#This Row],[ActivityDate]],"mmmm")</f>
        <v>April</v>
      </c>
      <c r="R861">
        <f t="shared" si="26"/>
        <v>264</v>
      </c>
      <c r="S861">
        <f t="shared" si="27"/>
        <v>1209</v>
      </c>
      <c r="T861">
        <f>ROUND(tbl_working_daily[[#This Row],[SedentaryMinutes]]/60,2)</f>
        <v>15.75</v>
      </c>
      <c r="U861" t="str" cm="1">
        <f t="array" ref="U86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61" t="str" cm="1">
        <f t="array" ref="V861">_xlfn.IFS(tbl_working_daily[[#This Row],[VeryActiveMinutes]]&gt;=30,"Very Active",tbl_working_daily[[#This Row],[VeryActiveMinutes]]&gt;=15,"Moderately Active",tbl_working_daily[[#This Row],[VeryActiveMinutes]]&gt;=1,"Lightly Active",tbl_working_daily[[#This Row],[VeryActiveMinutes]]=0,"Sedentary")</f>
        <v>Lightly Active</v>
      </c>
      <c r="W861" t="str">
        <f>tbl_working_daily[[#This Row],[Id]]&amp;"|"&amp;TEXT(tbl_working_daily[[#This Row],[ActivityDate]],"yyyy-mm-dd")</f>
        <v>4388161847|2016-04-14</v>
      </c>
      <c r="X861" t="b">
        <f>ISNUMBER(MATCH(tbl_working_daily[[#This Row],[LookupKey]],tbl_working_sleep[LookupKey],0))</f>
        <v>0</v>
      </c>
    </row>
    <row r="862" spans="1:24" x14ac:dyDescent="0.3">
      <c r="A862">
        <v>4388161847</v>
      </c>
      <c r="B862" s="1">
        <v>42475</v>
      </c>
      <c r="C862">
        <v>8758</v>
      </c>
      <c r="D862">
        <v>6.7300000190734899</v>
      </c>
      <c r="E862">
        <v>6.7300000190734899</v>
      </c>
      <c r="F862">
        <v>0</v>
      </c>
      <c r="G862">
        <v>0</v>
      </c>
      <c r="H862">
        <v>0</v>
      </c>
      <c r="I862">
        <v>6.7300000190734899</v>
      </c>
      <c r="J862">
        <v>0</v>
      </c>
      <c r="K862">
        <v>0</v>
      </c>
      <c r="L862">
        <v>0</v>
      </c>
      <c r="M862">
        <v>299</v>
      </c>
      <c r="N862">
        <v>837</v>
      </c>
      <c r="O862">
        <v>3066</v>
      </c>
      <c r="P862" t="str">
        <f>TEXT(tbl_working_daily[[#This Row],[ActivityDate]],"dddd")</f>
        <v>Friday</v>
      </c>
      <c r="Q862" t="str">
        <f>TEXT(tbl_working_daily[[#This Row],[ActivityDate]],"mmmm")</f>
        <v>April</v>
      </c>
      <c r="R862">
        <f t="shared" si="26"/>
        <v>299</v>
      </c>
      <c r="S862">
        <f t="shared" si="27"/>
        <v>1136</v>
      </c>
      <c r="T862">
        <f>ROUND(tbl_working_daily[[#This Row],[SedentaryMinutes]]/60,2)</f>
        <v>13.95</v>
      </c>
      <c r="U862" t="str" cm="1">
        <f t="array" ref="U86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62" t="str" cm="1">
        <f t="array" ref="V862">_xlfn.IFS(tbl_working_daily[[#This Row],[VeryActiveMinutes]]&gt;=30,"Very Active",tbl_working_daily[[#This Row],[VeryActiveMinutes]]&gt;=15,"Moderately Active",tbl_working_daily[[#This Row],[VeryActiveMinutes]]&gt;=1,"Lightly Active",tbl_working_daily[[#This Row],[VeryActiveMinutes]]=0,"Sedentary")</f>
        <v>Sedentary</v>
      </c>
      <c r="W862" t="str">
        <f>tbl_working_daily[[#This Row],[Id]]&amp;"|"&amp;TEXT(tbl_working_daily[[#This Row],[ActivityDate]],"yyyy-mm-dd")</f>
        <v>4388161847|2016-04-15</v>
      </c>
      <c r="X862" t="b">
        <f>ISNUMBER(MATCH(tbl_working_daily[[#This Row],[LookupKey]],tbl_working_sleep[LookupKey],0))</f>
        <v>1</v>
      </c>
    </row>
    <row r="863" spans="1:24" x14ac:dyDescent="0.3">
      <c r="A863">
        <v>4388161847</v>
      </c>
      <c r="B863" s="1">
        <v>42476</v>
      </c>
      <c r="C863">
        <v>6580</v>
      </c>
      <c r="D863">
        <v>5.0599999427795401</v>
      </c>
      <c r="E863">
        <v>5.0599999427795401</v>
      </c>
      <c r="F863">
        <v>0</v>
      </c>
      <c r="G863">
        <v>0.20999999344348899</v>
      </c>
      <c r="H863">
        <v>0.40000000596046398</v>
      </c>
      <c r="I863">
        <v>4.4499998092651403</v>
      </c>
      <c r="J863">
        <v>0</v>
      </c>
      <c r="K863">
        <v>6</v>
      </c>
      <c r="L863">
        <v>9</v>
      </c>
      <c r="M863">
        <v>253</v>
      </c>
      <c r="N863">
        <v>609</v>
      </c>
      <c r="O863">
        <v>3073</v>
      </c>
      <c r="P863" t="str">
        <f>TEXT(tbl_working_daily[[#This Row],[ActivityDate]],"dddd")</f>
        <v>Saturday</v>
      </c>
      <c r="Q863" t="str">
        <f>TEXT(tbl_working_daily[[#This Row],[ActivityDate]],"mmmm")</f>
        <v>April</v>
      </c>
      <c r="R863">
        <f t="shared" si="26"/>
        <v>268</v>
      </c>
      <c r="S863">
        <f t="shared" si="27"/>
        <v>877</v>
      </c>
      <c r="T863">
        <f>ROUND(tbl_working_daily[[#This Row],[SedentaryMinutes]]/60,2)</f>
        <v>10.15</v>
      </c>
      <c r="U863" t="str" cm="1">
        <f t="array" ref="U86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63" t="str" cm="1">
        <f t="array" ref="V863">_xlfn.IFS(tbl_working_daily[[#This Row],[VeryActiveMinutes]]&gt;=30,"Very Active",tbl_working_daily[[#This Row],[VeryActiveMinutes]]&gt;=15,"Moderately Active",tbl_working_daily[[#This Row],[VeryActiveMinutes]]&gt;=1,"Lightly Active",tbl_working_daily[[#This Row],[VeryActiveMinutes]]=0,"Sedentary")</f>
        <v>Lightly Active</v>
      </c>
      <c r="W863" t="str">
        <f>tbl_working_daily[[#This Row],[Id]]&amp;"|"&amp;TEXT(tbl_working_daily[[#This Row],[ActivityDate]],"yyyy-mm-dd")</f>
        <v>4388161847|2016-04-16</v>
      </c>
      <c r="X863" t="b">
        <f>ISNUMBER(MATCH(tbl_working_daily[[#This Row],[LookupKey]],tbl_working_sleep[LookupKey],0))</f>
        <v>1</v>
      </c>
    </row>
    <row r="864" spans="1:24" x14ac:dyDescent="0.3">
      <c r="A864">
        <v>4388161847</v>
      </c>
      <c r="B864" s="1">
        <v>42477</v>
      </c>
      <c r="C864">
        <v>4660</v>
      </c>
      <c r="D864">
        <v>3.5799999237060498</v>
      </c>
      <c r="E864">
        <v>3.5799999237060498</v>
      </c>
      <c r="F864">
        <v>0</v>
      </c>
      <c r="G864">
        <v>0</v>
      </c>
      <c r="H864">
        <v>0</v>
      </c>
      <c r="I864">
        <v>3.5799999237060498</v>
      </c>
      <c r="J864">
        <v>0</v>
      </c>
      <c r="K864">
        <v>0</v>
      </c>
      <c r="L864">
        <v>0</v>
      </c>
      <c r="M864">
        <v>201</v>
      </c>
      <c r="N864">
        <v>721</v>
      </c>
      <c r="O864">
        <v>2572</v>
      </c>
      <c r="P864" t="str">
        <f>TEXT(tbl_working_daily[[#This Row],[ActivityDate]],"dddd")</f>
        <v>Sunday</v>
      </c>
      <c r="Q864" t="str">
        <f>TEXT(tbl_working_daily[[#This Row],[ActivityDate]],"mmmm")</f>
        <v>April</v>
      </c>
      <c r="R864">
        <f t="shared" si="26"/>
        <v>201</v>
      </c>
      <c r="S864">
        <f t="shared" si="27"/>
        <v>922</v>
      </c>
      <c r="T864">
        <f>ROUND(tbl_working_daily[[#This Row],[SedentaryMinutes]]/60,2)</f>
        <v>12.02</v>
      </c>
      <c r="U864" t="str" cm="1">
        <f t="array" ref="U86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64" t="str" cm="1">
        <f t="array" ref="V864">_xlfn.IFS(tbl_working_daily[[#This Row],[VeryActiveMinutes]]&gt;=30,"Very Active",tbl_working_daily[[#This Row],[VeryActiveMinutes]]&gt;=15,"Moderately Active",tbl_working_daily[[#This Row],[VeryActiveMinutes]]&gt;=1,"Lightly Active",tbl_working_daily[[#This Row],[VeryActiveMinutes]]=0,"Sedentary")</f>
        <v>Sedentary</v>
      </c>
      <c r="W864" t="str">
        <f>tbl_working_daily[[#This Row],[Id]]&amp;"|"&amp;TEXT(tbl_working_daily[[#This Row],[ActivityDate]],"yyyy-mm-dd")</f>
        <v>4388161847|2016-04-17</v>
      </c>
      <c r="X864" t="b">
        <f>ISNUMBER(MATCH(tbl_working_daily[[#This Row],[LookupKey]],tbl_working_sleep[LookupKey],0))</f>
        <v>1</v>
      </c>
    </row>
    <row r="865" spans="1:24" x14ac:dyDescent="0.3">
      <c r="A865">
        <v>4388161847</v>
      </c>
      <c r="B865" s="1">
        <v>42478</v>
      </c>
      <c r="C865">
        <v>11009</v>
      </c>
      <c r="D865">
        <v>9.1000003814697301</v>
      </c>
      <c r="E865">
        <v>9.1000003814697301</v>
      </c>
      <c r="F865">
        <v>0</v>
      </c>
      <c r="G865">
        <v>3.5599999427795401</v>
      </c>
      <c r="H865">
        <v>0.40000000596046398</v>
      </c>
      <c r="I865">
        <v>5.1399998664856001</v>
      </c>
      <c r="J865">
        <v>0</v>
      </c>
      <c r="K865">
        <v>27</v>
      </c>
      <c r="L865">
        <v>8</v>
      </c>
      <c r="M865">
        <v>239</v>
      </c>
      <c r="N865">
        <v>1017</v>
      </c>
      <c r="O865">
        <v>3274</v>
      </c>
      <c r="P865" t="str">
        <f>TEXT(tbl_working_daily[[#This Row],[ActivityDate]],"dddd")</f>
        <v>Monday</v>
      </c>
      <c r="Q865" t="str">
        <f>TEXT(tbl_working_daily[[#This Row],[ActivityDate]],"mmmm")</f>
        <v>April</v>
      </c>
      <c r="R865">
        <f t="shared" si="26"/>
        <v>274</v>
      </c>
      <c r="S865">
        <f t="shared" si="27"/>
        <v>1291</v>
      </c>
      <c r="T865">
        <f>ROUND(tbl_working_daily[[#This Row],[SedentaryMinutes]]/60,2)</f>
        <v>16.95</v>
      </c>
      <c r="U865" t="str" cm="1">
        <f t="array" ref="U86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65" t="str" cm="1">
        <f t="array" ref="V865">_xlfn.IFS(tbl_working_daily[[#This Row],[VeryActiveMinutes]]&gt;=30,"Very Active",tbl_working_daily[[#This Row],[VeryActiveMinutes]]&gt;=15,"Moderately Active",tbl_working_daily[[#This Row],[VeryActiveMinutes]]&gt;=1,"Lightly Active",tbl_working_daily[[#This Row],[VeryActiveMinutes]]=0,"Sedentary")</f>
        <v>Moderately Active</v>
      </c>
      <c r="W865" t="str">
        <f>tbl_working_daily[[#This Row],[Id]]&amp;"|"&amp;TEXT(tbl_working_daily[[#This Row],[ActivityDate]],"yyyy-mm-dd")</f>
        <v>4388161847|2016-04-18</v>
      </c>
      <c r="X865" t="b">
        <f>ISNUMBER(MATCH(tbl_working_daily[[#This Row],[LookupKey]],tbl_working_sleep[LookupKey],0))</f>
        <v>1</v>
      </c>
    </row>
    <row r="866" spans="1:24" x14ac:dyDescent="0.3">
      <c r="A866">
        <v>4388161847</v>
      </c>
      <c r="B866" s="1">
        <v>42479</v>
      </c>
      <c r="C866">
        <v>10181</v>
      </c>
      <c r="D866">
        <v>7.8299999237060502</v>
      </c>
      <c r="E866">
        <v>7.8299999237060502</v>
      </c>
      <c r="F866">
        <v>0</v>
      </c>
      <c r="G866">
        <v>1.37000000476837</v>
      </c>
      <c r="H866">
        <v>0.68999999761581399</v>
      </c>
      <c r="I866">
        <v>5.7699999809265101</v>
      </c>
      <c r="J866">
        <v>0</v>
      </c>
      <c r="K866">
        <v>20</v>
      </c>
      <c r="L866">
        <v>16</v>
      </c>
      <c r="M866">
        <v>249</v>
      </c>
      <c r="N866">
        <v>704</v>
      </c>
      <c r="O866">
        <v>3015</v>
      </c>
      <c r="P866" t="str">
        <f>TEXT(tbl_working_daily[[#This Row],[ActivityDate]],"dddd")</f>
        <v>Tuesday</v>
      </c>
      <c r="Q866" t="str">
        <f>TEXT(tbl_working_daily[[#This Row],[ActivityDate]],"mmmm")</f>
        <v>April</v>
      </c>
      <c r="R866">
        <f t="shared" si="26"/>
        <v>285</v>
      </c>
      <c r="S866">
        <f t="shared" si="27"/>
        <v>989</v>
      </c>
      <c r="T866">
        <f>ROUND(tbl_working_daily[[#This Row],[SedentaryMinutes]]/60,2)</f>
        <v>11.73</v>
      </c>
      <c r="U866" t="str" cm="1">
        <f t="array" ref="U86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66" t="str" cm="1">
        <f t="array" ref="V866">_xlfn.IFS(tbl_working_daily[[#This Row],[VeryActiveMinutes]]&gt;=30,"Very Active",tbl_working_daily[[#This Row],[VeryActiveMinutes]]&gt;=15,"Moderately Active",tbl_working_daily[[#This Row],[VeryActiveMinutes]]&gt;=1,"Lightly Active",tbl_working_daily[[#This Row],[VeryActiveMinutes]]=0,"Sedentary")</f>
        <v>Moderately Active</v>
      </c>
      <c r="W866" t="str">
        <f>tbl_working_daily[[#This Row],[Id]]&amp;"|"&amp;TEXT(tbl_working_daily[[#This Row],[ActivityDate]],"yyyy-mm-dd")</f>
        <v>4388161847|2016-04-19</v>
      </c>
      <c r="X866" t="b">
        <f>ISNUMBER(MATCH(tbl_working_daily[[#This Row],[LookupKey]],tbl_working_sleep[LookupKey],0))</f>
        <v>1</v>
      </c>
    </row>
    <row r="867" spans="1:24" x14ac:dyDescent="0.3">
      <c r="A867">
        <v>4388161847</v>
      </c>
      <c r="B867" s="1">
        <v>42480</v>
      </c>
      <c r="C867">
        <v>10553</v>
      </c>
      <c r="D867">
        <v>8.1199998855590803</v>
      </c>
      <c r="E867">
        <v>8.1199998855590803</v>
      </c>
      <c r="F867">
        <v>0</v>
      </c>
      <c r="G867">
        <v>1.1000000238418599</v>
      </c>
      <c r="H867">
        <v>1.7200000286102299</v>
      </c>
      <c r="I867">
        <v>5.28999996185303</v>
      </c>
      <c r="J867">
        <v>0</v>
      </c>
      <c r="K867">
        <v>19</v>
      </c>
      <c r="L867">
        <v>42</v>
      </c>
      <c r="M867">
        <v>228</v>
      </c>
      <c r="N867">
        <v>696</v>
      </c>
      <c r="O867">
        <v>3083</v>
      </c>
      <c r="P867" t="str">
        <f>TEXT(tbl_working_daily[[#This Row],[ActivityDate]],"dddd")</f>
        <v>Wednesday</v>
      </c>
      <c r="Q867" t="str">
        <f>TEXT(tbl_working_daily[[#This Row],[ActivityDate]],"mmmm")</f>
        <v>April</v>
      </c>
      <c r="R867">
        <f t="shared" si="26"/>
        <v>289</v>
      </c>
      <c r="S867">
        <f t="shared" si="27"/>
        <v>985</v>
      </c>
      <c r="T867">
        <f>ROUND(tbl_working_daily[[#This Row],[SedentaryMinutes]]/60,2)</f>
        <v>11.6</v>
      </c>
      <c r="U867" t="str" cm="1">
        <f t="array" ref="U86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67" t="str" cm="1">
        <f t="array" ref="V867">_xlfn.IFS(tbl_working_daily[[#This Row],[VeryActiveMinutes]]&gt;=30,"Very Active",tbl_working_daily[[#This Row],[VeryActiveMinutes]]&gt;=15,"Moderately Active",tbl_working_daily[[#This Row],[VeryActiveMinutes]]&gt;=1,"Lightly Active",tbl_working_daily[[#This Row],[VeryActiveMinutes]]=0,"Sedentary")</f>
        <v>Moderately Active</v>
      </c>
      <c r="W867" t="str">
        <f>tbl_working_daily[[#This Row],[Id]]&amp;"|"&amp;TEXT(tbl_working_daily[[#This Row],[ActivityDate]],"yyyy-mm-dd")</f>
        <v>4388161847|2016-04-20</v>
      </c>
      <c r="X867" t="b">
        <f>ISNUMBER(MATCH(tbl_working_daily[[#This Row],[LookupKey]],tbl_working_sleep[LookupKey],0))</f>
        <v>1</v>
      </c>
    </row>
    <row r="868" spans="1:24" x14ac:dyDescent="0.3">
      <c r="A868">
        <v>4388161847</v>
      </c>
      <c r="B868" s="1">
        <v>42481</v>
      </c>
      <c r="C868">
        <v>10055</v>
      </c>
      <c r="D868">
        <v>7.7300000190734899</v>
      </c>
      <c r="E868">
        <v>7.7300000190734899</v>
      </c>
      <c r="F868">
        <v>0</v>
      </c>
      <c r="G868">
        <v>0.37000000476837203</v>
      </c>
      <c r="H868">
        <v>0.38999998569488498</v>
      </c>
      <c r="I868">
        <v>6.9800000190734899</v>
      </c>
      <c r="J868">
        <v>0</v>
      </c>
      <c r="K868">
        <v>7</v>
      </c>
      <c r="L868">
        <v>12</v>
      </c>
      <c r="M868">
        <v>272</v>
      </c>
      <c r="N868">
        <v>853</v>
      </c>
      <c r="O868">
        <v>3069</v>
      </c>
      <c r="P868" t="str">
        <f>TEXT(tbl_working_daily[[#This Row],[ActivityDate]],"dddd")</f>
        <v>Thursday</v>
      </c>
      <c r="Q868" t="str">
        <f>TEXT(tbl_working_daily[[#This Row],[ActivityDate]],"mmmm")</f>
        <v>April</v>
      </c>
      <c r="R868">
        <f t="shared" si="26"/>
        <v>291</v>
      </c>
      <c r="S868">
        <f t="shared" si="27"/>
        <v>1144</v>
      </c>
      <c r="T868">
        <f>ROUND(tbl_working_daily[[#This Row],[SedentaryMinutes]]/60,2)</f>
        <v>14.22</v>
      </c>
      <c r="U868" t="str" cm="1">
        <f t="array" ref="U86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68" t="str" cm="1">
        <f t="array" ref="V868">_xlfn.IFS(tbl_working_daily[[#This Row],[VeryActiveMinutes]]&gt;=30,"Very Active",tbl_working_daily[[#This Row],[VeryActiveMinutes]]&gt;=15,"Moderately Active",tbl_working_daily[[#This Row],[VeryActiveMinutes]]&gt;=1,"Lightly Active",tbl_working_daily[[#This Row],[VeryActiveMinutes]]=0,"Sedentary")</f>
        <v>Lightly Active</v>
      </c>
      <c r="W868" t="str">
        <f>tbl_working_daily[[#This Row],[Id]]&amp;"|"&amp;TEXT(tbl_working_daily[[#This Row],[ActivityDate]],"yyyy-mm-dd")</f>
        <v>4388161847|2016-04-21</v>
      </c>
      <c r="X868" t="b">
        <f>ISNUMBER(MATCH(tbl_working_daily[[#This Row],[LookupKey]],tbl_working_sleep[LookupKey],0))</f>
        <v>1</v>
      </c>
    </row>
    <row r="869" spans="1:24" x14ac:dyDescent="0.3">
      <c r="A869">
        <v>4388161847</v>
      </c>
      <c r="B869" s="1">
        <v>42482</v>
      </c>
      <c r="C869">
        <v>12139</v>
      </c>
      <c r="D869">
        <v>9.3400001525878906</v>
      </c>
      <c r="E869">
        <v>9.3400001525878906</v>
      </c>
      <c r="F869">
        <v>0</v>
      </c>
      <c r="G869">
        <v>3.2999999523162802</v>
      </c>
      <c r="H869">
        <v>1.1100000143051101</v>
      </c>
      <c r="I869">
        <v>4.9200000762939498</v>
      </c>
      <c r="J869">
        <v>0</v>
      </c>
      <c r="K869">
        <v>77</v>
      </c>
      <c r="L869">
        <v>25</v>
      </c>
      <c r="M869">
        <v>220</v>
      </c>
      <c r="N869">
        <v>945</v>
      </c>
      <c r="O869">
        <v>3544</v>
      </c>
      <c r="P869" t="str">
        <f>TEXT(tbl_working_daily[[#This Row],[ActivityDate]],"dddd")</f>
        <v>Friday</v>
      </c>
      <c r="Q869" t="str">
        <f>TEXT(tbl_working_daily[[#This Row],[ActivityDate]],"mmmm")</f>
        <v>April</v>
      </c>
      <c r="R869">
        <f t="shared" si="26"/>
        <v>322</v>
      </c>
      <c r="S869">
        <f t="shared" si="27"/>
        <v>1267</v>
      </c>
      <c r="T869">
        <f>ROUND(tbl_working_daily[[#This Row],[SedentaryMinutes]]/60,2)</f>
        <v>15.75</v>
      </c>
      <c r="U869" t="str" cm="1">
        <f t="array" ref="U86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69" t="str" cm="1">
        <f t="array" ref="V869">_xlfn.IFS(tbl_working_daily[[#This Row],[VeryActiveMinutes]]&gt;=30,"Very Active",tbl_working_daily[[#This Row],[VeryActiveMinutes]]&gt;=15,"Moderately Active",tbl_working_daily[[#This Row],[VeryActiveMinutes]]&gt;=1,"Lightly Active",tbl_working_daily[[#This Row],[VeryActiveMinutes]]=0,"Sedentary")</f>
        <v>Very Active</v>
      </c>
      <c r="W869" t="str">
        <f>tbl_working_daily[[#This Row],[Id]]&amp;"|"&amp;TEXT(tbl_working_daily[[#This Row],[ActivityDate]],"yyyy-mm-dd")</f>
        <v>4388161847|2016-04-22</v>
      </c>
      <c r="X869" t="b">
        <f>ISNUMBER(MATCH(tbl_working_daily[[#This Row],[LookupKey]],tbl_working_sleep[LookupKey],0))</f>
        <v>1</v>
      </c>
    </row>
    <row r="870" spans="1:24" x14ac:dyDescent="0.3">
      <c r="A870">
        <v>4388161847</v>
      </c>
      <c r="B870" s="1">
        <v>42483</v>
      </c>
      <c r="C870">
        <v>13236</v>
      </c>
      <c r="D870">
        <v>10.180000305175801</v>
      </c>
      <c r="E870">
        <v>10.180000305175801</v>
      </c>
      <c r="F870">
        <v>0</v>
      </c>
      <c r="G870">
        <v>4.5</v>
      </c>
      <c r="H870">
        <v>0.31999999284744302</v>
      </c>
      <c r="I870">
        <v>5.3499999046325701</v>
      </c>
      <c r="J870">
        <v>0</v>
      </c>
      <c r="K870">
        <v>58</v>
      </c>
      <c r="L870">
        <v>5</v>
      </c>
      <c r="M870">
        <v>215</v>
      </c>
      <c r="N870">
        <v>749</v>
      </c>
      <c r="O870">
        <v>3306</v>
      </c>
      <c r="P870" t="str">
        <f>TEXT(tbl_working_daily[[#This Row],[ActivityDate]],"dddd")</f>
        <v>Saturday</v>
      </c>
      <c r="Q870" t="str">
        <f>TEXT(tbl_working_daily[[#This Row],[ActivityDate]],"mmmm")</f>
        <v>April</v>
      </c>
      <c r="R870">
        <f t="shared" si="26"/>
        <v>278</v>
      </c>
      <c r="S870">
        <f t="shared" si="27"/>
        <v>1027</v>
      </c>
      <c r="T870">
        <f>ROUND(tbl_working_daily[[#This Row],[SedentaryMinutes]]/60,2)</f>
        <v>12.48</v>
      </c>
      <c r="U870" t="str" cm="1">
        <f t="array" ref="U87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70" t="str" cm="1">
        <f t="array" ref="V870">_xlfn.IFS(tbl_working_daily[[#This Row],[VeryActiveMinutes]]&gt;=30,"Very Active",tbl_working_daily[[#This Row],[VeryActiveMinutes]]&gt;=15,"Moderately Active",tbl_working_daily[[#This Row],[VeryActiveMinutes]]&gt;=1,"Lightly Active",tbl_working_daily[[#This Row],[VeryActiveMinutes]]=0,"Sedentary")</f>
        <v>Very Active</v>
      </c>
      <c r="W870" t="str">
        <f>tbl_working_daily[[#This Row],[Id]]&amp;"|"&amp;TEXT(tbl_working_daily[[#This Row],[ActivityDate]],"yyyy-mm-dd")</f>
        <v>4388161847|2016-04-23</v>
      </c>
      <c r="X870" t="b">
        <f>ISNUMBER(MATCH(tbl_working_daily[[#This Row],[LookupKey]],tbl_working_sleep[LookupKey],0))</f>
        <v>1</v>
      </c>
    </row>
    <row r="871" spans="1:24" x14ac:dyDescent="0.3">
      <c r="A871">
        <v>4388161847</v>
      </c>
      <c r="B871" s="1">
        <v>42484</v>
      </c>
      <c r="C871">
        <v>10243</v>
      </c>
      <c r="D871">
        <v>7.8800001144409197</v>
      </c>
      <c r="E871">
        <v>7.8800001144409197</v>
      </c>
      <c r="F871">
        <v>0</v>
      </c>
      <c r="G871">
        <v>1.08000004291534</v>
      </c>
      <c r="H871">
        <v>0.50999999046325695</v>
      </c>
      <c r="I871">
        <v>6.3000001907348597</v>
      </c>
      <c r="J871">
        <v>0</v>
      </c>
      <c r="K871">
        <v>14</v>
      </c>
      <c r="L871">
        <v>8</v>
      </c>
      <c r="M871">
        <v>239</v>
      </c>
      <c r="N871">
        <v>584</v>
      </c>
      <c r="O871">
        <v>2885</v>
      </c>
      <c r="P871" t="str">
        <f>TEXT(tbl_working_daily[[#This Row],[ActivityDate]],"dddd")</f>
        <v>Sunday</v>
      </c>
      <c r="Q871" t="str">
        <f>TEXT(tbl_working_daily[[#This Row],[ActivityDate]],"mmmm")</f>
        <v>April</v>
      </c>
      <c r="R871">
        <f t="shared" si="26"/>
        <v>261</v>
      </c>
      <c r="S871">
        <f t="shared" si="27"/>
        <v>845</v>
      </c>
      <c r="T871">
        <f>ROUND(tbl_working_daily[[#This Row],[SedentaryMinutes]]/60,2)</f>
        <v>9.73</v>
      </c>
      <c r="U871" t="str" cm="1">
        <f t="array" ref="U87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71" t="str" cm="1">
        <f t="array" ref="V871">_xlfn.IFS(tbl_working_daily[[#This Row],[VeryActiveMinutes]]&gt;=30,"Very Active",tbl_working_daily[[#This Row],[VeryActiveMinutes]]&gt;=15,"Moderately Active",tbl_working_daily[[#This Row],[VeryActiveMinutes]]&gt;=1,"Lightly Active",tbl_working_daily[[#This Row],[VeryActiveMinutes]]=0,"Sedentary")</f>
        <v>Lightly Active</v>
      </c>
      <c r="W871" t="str">
        <f>tbl_working_daily[[#This Row],[Id]]&amp;"|"&amp;TEXT(tbl_working_daily[[#This Row],[ActivityDate]],"yyyy-mm-dd")</f>
        <v>4388161847|2016-04-24</v>
      </c>
      <c r="X871" t="b">
        <f>ISNUMBER(MATCH(tbl_working_daily[[#This Row],[LookupKey]],tbl_working_sleep[LookupKey],0))</f>
        <v>1</v>
      </c>
    </row>
    <row r="872" spans="1:24" x14ac:dyDescent="0.3">
      <c r="A872">
        <v>4388161847</v>
      </c>
      <c r="B872" s="1">
        <v>42485</v>
      </c>
      <c r="C872">
        <v>12961</v>
      </c>
      <c r="D872">
        <v>9.9700002670288104</v>
      </c>
      <c r="E872">
        <v>9.9700002670288104</v>
      </c>
      <c r="F872">
        <v>0</v>
      </c>
      <c r="G872">
        <v>0.730000019073486</v>
      </c>
      <c r="H872">
        <v>1.3999999761581401</v>
      </c>
      <c r="I872">
        <v>7.8400001525878897</v>
      </c>
      <c r="J872">
        <v>0</v>
      </c>
      <c r="K872">
        <v>11</v>
      </c>
      <c r="L872">
        <v>31</v>
      </c>
      <c r="M872">
        <v>301</v>
      </c>
      <c r="N872">
        <v>1054</v>
      </c>
      <c r="O872">
        <v>3288</v>
      </c>
      <c r="P872" t="str">
        <f>TEXT(tbl_working_daily[[#This Row],[ActivityDate]],"dddd")</f>
        <v>Monday</v>
      </c>
      <c r="Q872" t="str">
        <f>TEXT(tbl_working_daily[[#This Row],[ActivityDate]],"mmmm")</f>
        <v>April</v>
      </c>
      <c r="R872">
        <f t="shared" si="26"/>
        <v>343</v>
      </c>
      <c r="S872">
        <f t="shared" si="27"/>
        <v>1397</v>
      </c>
      <c r="T872">
        <f>ROUND(tbl_working_daily[[#This Row],[SedentaryMinutes]]/60,2)</f>
        <v>17.57</v>
      </c>
      <c r="U872" t="str" cm="1">
        <f t="array" ref="U87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72" t="str" cm="1">
        <f t="array" ref="V872">_xlfn.IFS(tbl_working_daily[[#This Row],[VeryActiveMinutes]]&gt;=30,"Very Active",tbl_working_daily[[#This Row],[VeryActiveMinutes]]&gt;=15,"Moderately Active",tbl_working_daily[[#This Row],[VeryActiveMinutes]]&gt;=1,"Lightly Active",tbl_working_daily[[#This Row],[VeryActiveMinutes]]=0,"Sedentary")</f>
        <v>Lightly Active</v>
      </c>
      <c r="W872" t="str">
        <f>tbl_working_daily[[#This Row],[Id]]&amp;"|"&amp;TEXT(tbl_working_daily[[#This Row],[ActivityDate]],"yyyy-mm-dd")</f>
        <v>4388161847|2016-04-25</v>
      </c>
      <c r="X872" t="b">
        <f>ISNUMBER(MATCH(tbl_working_daily[[#This Row],[LookupKey]],tbl_working_sleep[LookupKey],0))</f>
        <v>0</v>
      </c>
    </row>
    <row r="873" spans="1:24" x14ac:dyDescent="0.3">
      <c r="A873">
        <v>4388161847</v>
      </c>
      <c r="B873" s="1">
        <v>42486</v>
      </c>
      <c r="C873">
        <v>9461</v>
      </c>
      <c r="D873">
        <v>7.2800002098083496</v>
      </c>
      <c r="E873">
        <v>7.2800002098083496</v>
      </c>
      <c r="F873">
        <v>0</v>
      </c>
      <c r="G873">
        <v>0.93999999761581399</v>
      </c>
      <c r="H873">
        <v>1.0599999427795399</v>
      </c>
      <c r="I873">
        <v>5.2699999809265101</v>
      </c>
      <c r="J873">
        <v>0</v>
      </c>
      <c r="K873">
        <v>14</v>
      </c>
      <c r="L873">
        <v>23</v>
      </c>
      <c r="M873">
        <v>224</v>
      </c>
      <c r="N873">
        <v>673</v>
      </c>
      <c r="O873">
        <v>2929</v>
      </c>
      <c r="P873" t="str">
        <f>TEXT(tbl_working_daily[[#This Row],[ActivityDate]],"dddd")</f>
        <v>Tuesday</v>
      </c>
      <c r="Q873" t="str">
        <f>TEXT(tbl_working_daily[[#This Row],[ActivityDate]],"mmmm")</f>
        <v>April</v>
      </c>
      <c r="R873">
        <f t="shared" si="26"/>
        <v>261</v>
      </c>
      <c r="S873">
        <f t="shared" si="27"/>
        <v>934</v>
      </c>
      <c r="T873">
        <f>ROUND(tbl_working_daily[[#This Row],[SedentaryMinutes]]/60,2)</f>
        <v>11.22</v>
      </c>
      <c r="U873" t="str" cm="1">
        <f t="array" ref="U87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73" t="str" cm="1">
        <f t="array" ref="V873">_xlfn.IFS(tbl_working_daily[[#This Row],[VeryActiveMinutes]]&gt;=30,"Very Active",tbl_working_daily[[#This Row],[VeryActiveMinutes]]&gt;=15,"Moderately Active",tbl_working_daily[[#This Row],[VeryActiveMinutes]]&gt;=1,"Lightly Active",tbl_working_daily[[#This Row],[VeryActiveMinutes]]=0,"Sedentary")</f>
        <v>Lightly Active</v>
      </c>
      <c r="W873" t="str">
        <f>tbl_working_daily[[#This Row],[Id]]&amp;"|"&amp;TEXT(tbl_working_daily[[#This Row],[ActivityDate]],"yyyy-mm-dd")</f>
        <v>4388161847|2016-04-26</v>
      </c>
      <c r="X873" t="b">
        <f>ISNUMBER(MATCH(tbl_working_daily[[#This Row],[LookupKey]],tbl_working_sleep[LookupKey],0))</f>
        <v>1</v>
      </c>
    </row>
    <row r="874" spans="1:24" x14ac:dyDescent="0.3">
      <c r="A874">
        <v>4388161847</v>
      </c>
      <c r="B874" s="1">
        <v>42487</v>
      </c>
      <c r="C874">
        <v>11193</v>
      </c>
      <c r="D874">
        <v>8.6099996566772496</v>
      </c>
      <c r="E874">
        <v>8.6099996566772496</v>
      </c>
      <c r="F874">
        <v>0</v>
      </c>
      <c r="G874">
        <v>0.69999998807907104</v>
      </c>
      <c r="H874">
        <v>2.5099999904632599</v>
      </c>
      <c r="I874">
        <v>5.3899998664856001</v>
      </c>
      <c r="J874">
        <v>0</v>
      </c>
      <c r="K874">
        <v>11</v>
      </c>
      <c r="L874">
        <v>48</v>
      </c>
      <c r="M874">
        <v>241</v>
      </c>
      <c r="N874">
        <v>684</v>
      </c>
      <c r="O874">
        <v>3074</v>
      </c>
      <c r="P874" t="str">
        <f>TEXT(tbl_working_daily[[#This Row],[ActivityDate]],"dddd")</f>
        <v>Wednesday</v>
      </c>
      <c r="Q874" t="str">
        <f>TEXT(tbl_working_daily[[#This Row],[ActivityDate]],"mmmm")</f>
        <v>April</v>
      </c>
      <c r="R874">
        <f t="shared" si="26"/>
        <v>300</v>
      </c>
      <c r="S874">
        <f t="shared" si="27"/>
        <v>984</v>
      </c>
      <c r="T874">
        <f>ROUND(tbl_working_daily[[#This Row],[SedentaryMinutes]]/60,2)</f>
        <v>11.4</v>
      </c>
      <c r="U874" t="str" cm="1">
        <f t="array" ref="U87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74" t="str" cm="1">
        <f t="array" ref="V874">_xlfn.IFS(tbl_working_daily[[#This Row],[VeryActiveMinutes]]&gt;=30,"Very Active",tbl_working_daily[[#This Row],[VeryActiveMinutes]]&gt;=15,"Moderately Active",tbl_working_daily[[#This Row],[VeryActiveMinutes]]&gt;=1,"Lightly Active",tbl_working_daily[[#This Row],[VeryActiveMinutes]]=0,"Sedentary")</f>
        <v>Lightly Active</v>
      </c>
      <c r="W874" t="str">
        <f>tbl_working_daily[[#This Row],[Id]]&amp;"|"&amp;TEXT(tbl_working_daily[[#This Row],[ActivityDate]],"yyyy-mm-dd")</f>
        <v>4388161847|2016-04-27</v>
      </c>
      <c r="X874" t="b">
        <f>ISNUMBER(MATCH(tbl_working_daily[[#This Row],[LookupKey]],tbl_working_sleep[LookupKey],0))</f>
        <v>1</v>
      </c>
    </row>
    <row r="875" spans="1:24" x14ac:dyDescent="0.3">
      <c r="A875">
        <v>4388161847</v>
      </c>
      <c r="B875" s="1">
        <v>42488</v>
      </c>
      <c r="C875">
        <v>10074</v>
      </c>
      <c r="D875">
        <v>7.75</v>
      </c>
      <c r="E875">
        <v>7.75</v>
      </c>
      <c r="F875">
        <v>0</v>
      </c>
      <c r="G875">
        <v>1.28999996185303</v>
      </c>
      <c r="H875">
        <v>0.43000000715255698</v>
      </c>
      <c r="I875">
        <v>6.0300002098083496</v>
      </c>
      <c r="J875">
        <v>0</v>
      </c>
      <c r="K875">
        <v>19</v>
      </c>
      <c r="L875">
        <v>9</v>
      </c>
      <c r="M875">
        <v>234</v>
      </c>
      <c r="N875">
        <v>878</v>
      </c>
      <c r="O875">
        <v>2969</v>
      </c>
      <c r="P875" t="str">
        <f>TEXT(tbl_working_daily[[#This Row],[ActivityDate]],"dddd")</f>
        <v>Thursday</v>
      </c>
      <c r="Q875" t="str">
        <f>TEXT(tbl_working_daily[[#This Row],[ActivityDate]],"mmmm")</f>
        <v>April</v>
      </c>
      <c r="R875">
        <f t="shared" si="26"/>
        <v>262</v>
      </c>
      <c r="S875">
        <f t="shared" si="27"/>
        <v>1140</v>
      </c>
      <c r="T875">
        <f>ROUND(tbl_working_daily[[#This Row],[SedentaryMinutes]]/60,2)</f>
        <v>14.63</v>
      </c>
      <c r="U875" t="str" cm="1">
        <f t="array" ref="U87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75" t="str" cm="1">
        <f t="array" ref="V875">_xlfn.IFS(tbl_working_daily[[#This Row],[VeryActiveMinutes]]&gt;=30,"Very Active",tbl_working_daily[[#This Row],[VeryActiveMinutes]]&gt;=15,"Moderately Active",tbl_working_daily[[#This Row],[VeryActiveMinutes]]&gt;=1,"Lightly Active",tbl_working_daily[[#This Row],[VeryActiveMinutes]]=0,"Sedentary")</f>
        <v>Moderately Active</v>
      </c>
      <c r="W875" t="str">
        <f>tbl_working_daily[[#This Row],[Id]]&amp;"|"&amp;TEXT(tbl_working_daily[[#This Row],[ActivityDate]],"yyyy-mm-dd")</f>
        <v>4388161847|2016-04-28</v>
      </c>
      <c r="X875" t="b">
        <f>ISNUMBER(MATCH(tbl_working_daily[[#This Row],[LookupKey]],tbl_working_sleep[LookupKey],0))</f>
        <v>1</v>
      </c>
    </row>
    <row r="876" spans="1:24" x14ac:dyDescent="0.3">
      <c r="A876">
        <v>4388161847</v>
      </c>
      <c r="B876" s="1">
        <v>42489</v>
      </c>
      <c r="C876">
        <v>9232</v>
      </c>
      <c r="D876">
        <v>7.0999999046325701</v>
      </c>
      <c r="E876">
        <v>7.0999999046325701</v>
      </c>
      <c r="F876">
        <v>0</v>
      </c>
      <c r="G876">
        <v>0.80000001192092896</v>
      </c>
      <c r="H876">
        <v>0.88999998569488503</v>
      </c>
      <c r="I876">
        <v>5.4200000762939498</v>
      </c>
      <c r="J876">
        <v>0</v>
      </c>
      <c r="K876">
        <v>13</v>
      </c>
      <c r="L876">
        <v>16</v>
      </c>
      <c r="M876">
        <v>236</v>
      </c>
      <c r="N876">
        <v>1175</v>
      </c>
      <c r="O876">
        <v>2979</v>
      </c>
      <c r="P876" t="str">
        <f>TEXT(tbl_working_daily[[#This Row],[ActivityDate]],"dddd")</f>
        <v>Friday</v>
      </c>
      <c r="Q876" t="str">
        <f>TEXT(tbl_working_daily[[#This Row],[ActivityDate]],"mmmm")</f>
        <v>April</v>
      </c>
      <c r="R876">
        <f t="shared" si="26"/>
        <v>265</v>
      </c>
      <c r="S876">
        <f t="shared" si="27"/>
        <v>1440</v>
      </c>
      <c r="T876">
        <f>ROUND(tbl_working_daily[[#This Row],[SedentaryMinutes]]/60,2)</f>
        <v>19.579999999999998</v>
      </c>
      <c r="U876" t="str" cm="1">
        <f t="array" ref="U87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76" t="str" cm="1">
        <f t="array" ref="V876">_xlfn.IFS(tbl_working_daily[[#This Row],[VeryActiveMinutes]]&gt;=30,"Very Active",tbl_working_daily[[#This Row],[VeryActiveMinutes]]&gt;=15,"Moderately Active",tbl_working_daily[[#This Row],[VeryActiveMinutes]]&gt;=1,"Lightly Active",tbl_working_daily[[#This Row],[VeryActiveMinutes]]=0,"Sedentary")</f>
        <v>Lightly Active</v>
      </c>
      <c r="W876" t="str">
        <f>tbl_working_daily[[#This Row],[Id]]&amp;"|"&amp;TEXT(tbl_working_daily[[#This Row],[ActivityDate]],"yyyy-mm-dd")</f>
        <v>4388161847|2016-04-29</v>
      </c>
      <c r="X876" t="b">
        <f>ISNUMBER(MATCH(tbl_working_daily[[#This Row],[LookupKey]],tbl_working_sleep[LookupKey],0))</f>
        <v>0</v>
      </c>
    </row>
    <row r="877" spans="1:24" x14ac:dyDescent="0.3">
      <c r="A877">
        <v>4388161847</v>
      </c>
      <c r="B877" s="1">
        <v>42490</v>
      </c>
      <c r="C877">
        <v>12533</v>
      </c>
      <c r="D877">
        <v>9.6400003433227504</v>
      </c>
      <c r="E877">
        <v>9.6400003433227504</v>
      </c>
      <c r="F877">
        <v>0</v>
      </c>
      <c r="G877">
        <v>0.69999998807907104</v>
      </c>
      <c r="H877">
        <v>2</v>
      </c>
      <c r="I877">
        <v>6.9400000572204599</v>
      </c>
      <c r="J877">
        <v>0</v>
      </c>
      <c r="K877">
        <v>14</v>
      </c>
      <c r="L877">
        <v>43</v>
      </c>
      <c r="M877">
        <v>300</v>
      </c>
      <c r="N877">
        <v>537</v>
      </c>
      <c r="O877">
        <v>3283</v>
      </c>
      <c r="P877" t="str">
        <f>TEXT(tbl_working_daily[[#This Row],[ActivityDate]],"dddd")</f>
        <v>Saturday</v>
      </c>
      <c r="Q877" t="str">
        <f>TEXT(tbl_working_daily[[#This Row],[ActivityDate]],"mmmm")</f>
        <v>April</v>
      </c>
      <c r="R877">
        <f t="shared" si="26"/>
        <v>357</v>
      </c>
      <c r="S877">
        <f t="shared" si="27"/>
        <v>894</v>
      </c>
      <c r="T877">
        <f>ROUND(tbl_working_daily[[#This Row],[SedentaryMinutes]]/60,2)</f>
        <v>8.9499999999999993</v>
      </c>
      <c r="U877" t="str" cm="1">
        <f t="array" ref="U87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77" t="str" cm="1">
        <f t="array" ref="V877">_xlfn.IFS(tbl_working_daily[[#This Row],[VeryActiveMinutes]]&gt;=30,"Very Active",tbl_working_daily[[#This Row],[VeryActiveMinutes]]&gt;=15,"Moderately Active",tbl_working_daily[[#This Row],[VeryActiveMinutes]]&gt;=1,"Lightly Active",tbl_working_daily[[#This Row],[VeryActiveMinutes]]=0,"Sedentary")</f>
        <v>Lightly Active</v>
      </c>
      <c r="W877" t="str">
        <f>tbl_working_daily[[#This Row],[Id]]&amp;"|"&amp;TEXT(tbl_working_daily[[#This Row],[ActivityDate]],"yyyy-mm-dd")</f>
        <v>4388161847|2016-04-30</v>
      </c>
      <c r="X877" t="b">
        <f>ISNUMBER(MATCH(tbl_working_daily[[#This Row],[LookupKey]],tbl_working_sleep[LookupKey],0))</f>
        <v>1</v>
      </c>
    </row>
    <row r="878" spans="1:24" x14ac:dyDescent="0.3">
      <c r="A878">
        <v>4388161847</v>
      </c>
      <c r="B878" s="1">
        <v>42491</v>
      </c>
      <c r="C878">
        <v>10255</v>
      </c>
      <c r="D878">
        <v>7.8899998664856001</v>
      </c>
      <c r="E878">
        <v>7.8899998664856001</v>
      </c>
      <c r="F878">
        <v>0</v>
      </c>
      <c r="G878">
        <v>1.0099999904632599</v>
      </c>
      <c r="H878">
        <v>0.68000000715255704</v>
      </c>
      <c r="I878">
        <v>6.1999998092651403</v>
      </c>
      <c r="J878">
        <v>0</v>
      </c>
      <c r="K878">
        <v>12</v>
      </c>
      <c r="L878">
        <v>15</v>
      </c>
      <c r="M878">
        <v>241</v>
      </c>
      <c r="N878">
        <v>579</v>
      </c>
      <c r="O878">
        <v>2926</v>
      </c>
      <c r="P878" t="str">
        <f>TEXT(tbl_working_daily[[#This Row],[ActivityDate]],"dddd")</f>
        <v>Sunday</v>
      </c>
      <c r="Q878" t="str">
        <f>TEXT(tbl_working_daily[[#This Row],[ActivityDate]],"mmmm")</f>
        <v>May</v>
      </c>
      <c r="R878">
        <f t="shared" si="26"/>
        <v>268</v>
      </c>
      <c r="S878">
        <f t="shared" si="27"/>
        <v>847</v>
      </c>
      <c r="T878">
        <f>ROUND(tbl_working_daily[[#This Row],[SedentaryMinutes]]/60,2)</f>
        <v>9.65</v>
      </c>
      <c r="U878" t="str" cm="1">
        <f t="array" ref="U87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78" t="str" cm="1">
        <f t="array" ref="V878">_xlfn.IFS(tbl_working_daily[[#This Row],[VeryActiveMinutes]]&gt;=30,"Very Active",tbl_working_daily[[#This Row],[VeryActiveMinutes]]&gt;=15,"Moderately Active",tbl_working_daily[[#This Row],[VeryActiveMinutes]]&gt;=1,"Lightly Active",tbl_working_daily[[#This Row],[VeryActiveMinutes]]=0,"Sedentary")</f>
        <v>Lightly Active</v>
      </c>
      <c r="W878" t="str">
        <f>tbl_working_daily[[#This Row],[Id]]&amp;"|"&amp;TEXT(tbl_working_daily[[#This Row],[ActivityDate]],"yyyy-mm-dd")</f>
        <v>4388161847|2016-05-01</v>
      </c>
      <c r="X878" t="b">
        <f>ISNUMBER(MATCH(tbl_working_daily[[#This Row],[LookupKey]],tbl_working_sleep[LookupKey],0))</f>
        <v>1</v>
      </c>
    </row>
    <row r="879" spans="1:24" x14ac:dyDescent="0.3">
      <c r="A879">
        <v>4388161847</v>
      </c>
      <c r="B879" s="1">
        <v>42492</v>
      </c>
      <c r="C879">
        <v>10096</v>
      </c>
      <c r="D879">
        <v>8.3999996185302699</v>
      </c>
      <c r="E879">
        <v>8.3999996185302699</v>
      </c>
      <c r="F879">
        <v>0</v>
      </c>
      <c r="G879">
        <v>3.7699999809265101</v>
      </c>
      <c r="H879">
        <v>7.9999998211860698E-2</v>
      </c>
      <c r="I879">
        <v>4.5500001907348597</v>
      </c>
      <c r="J879">
        <v>0</v>
      </c>
      <c r="K879">
        <v>33</v>
      </c>
      <c r="L879">
        <v>4</v>
      </c>
      <c r="M879">
        <v>204</v>
      </c>
      <c r="N879">
        <v>935</v>
      </c>
      <c r="O879">
        <v>3147</v>
      </c>
      <c r="P879" t="str">
        <f>TEXT(tbl_working_daily[[#This Row],[ActivityDate]],"dddd")</f>
        <v>Monday</v>
      </c>
      <c r="Q879" t="str">
        <f>TEXT(tbl_working_daily[[#This Row],[ActivityDate]],"mmmm")</f>
        <v>May</v>
      </c>
      <c r="R879">
        <f t="shared" si="26"/>
        <v>241</v>
      </c>
      <c r="S879">
        <f t="shared" si="27"/>
        <v>1176</v>
      </c>
      <c r="T879">
        <f>ROUND(tbl_working_daily[[#This Row],[SedentaryMinutes]]/60,2)</f>
        <v>15.58</v>
      </c>
      <c r="U879" t="str" cm="1">
        <f t="array" ref="U87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79" t="str" cm="1">
        <f t="array" ref="V879">_xlfn.IFS(tbl_working_daily[[#This Row],[VeryActiveMinutes]]&gt;=30,"Very Active",tbl_working_daily[[#This Row],[VeryActiveMinutes]]&gt;=15,"Moderately Active",tbl_working_daily[[#This Row],[VeryActiveMinutes]]&gt;=1,"Lightly Active",tbl_working_daily[[#This Row],[VeryActiveMinutes]]=0,"Sedentary")</f>
        <v>Very Active</v>
      </c>
      <c r="W879" t="str">
        <f>tbl_working_daily[[#This Row],[Id]]&amp;"|"&amp;TEXT(tbl_working_daily[[#This Row],[ActivityDate]],"yyyy-mm-dd")</f>
        <v>4388161847|2016-05-02</v>
      </c>
      <c r="X879" t="b">
        <f>ISNUMBER(MATCH(tbl_working_daily[[#This Row],[LookupKey]],tbl_working_sleep[LookupKey],0))</f>
        <v>1</v>
      </c>
    </row>
    <row r="880" spans="1:24" x14ac:dyDescent="0.3">
      <c r="A880">
        <v>4388161847</v>
      </c>
      <c r="B880" s="1">
        <v>42493</v>
      </c>
      <c r="C880">
        <v>12727</v>
      </c>
      <c r="D880">
        <v>9.7899999618530291</v>
      </c>
      <c r="E880">
        <v>9.7899999618530291</v>
      </c>
      <c r="F880">
        <v>0</v>
      </c>
      <c r="G880">
        <v>1.12999999523163</v>
      </c>
      <c r="H880">
        <v>0.77999997138977095</v>
      </c>
      <c r="I880">
        <v>7.8800001144409197</v>
      </c>
      <c r="J880">
        <v>0</v>
      </c>
      <c r="K880">
        <v>18</v>
      </c>
      <c r="L880">
        <v>18</v>
      </c>
      <c r="M880">
        <v>306</v>
      </c>
      <c r="N880">
        <v>984</v>
      </c>
      <c r="O880">
        <v>3290</v>
      </c>
      <c r="P880" t="str">
        <f>TEXT(tbl_working_daily[[#This Row],[ActivityDate]],"dddd")</f>
        <v>Tuesday</v>
      </c>
      <c r="Q880" t="str">
        <f>TEXT(tbl_working_daily[[#This Row],[ActivityDate]],"mmmm")</f>
        <v>May</v>
      </c>
      <c r="R880">
        <f t="shared" si="26"/>
        <v>342</v>
      </c>
      <c r="S880">
        <f t="shared" si="27"/>
        <v>1326</v>
      </c>
      <c r="T880">
        <f>ROUND(tbl_working_daily[[#This Row],[SedentaryMinutes]]/60,2)</f>
        <v>16.399999999999999</v>
      </c>
      <c r="U880" t="str" cm="1">
        <f t="array" ref="U88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80" t="str" cm="1">
        <f t="array" ref="V880">_xlfn.IFS(tbl_working_daily[[#This Row],[VeryActiveMinutes]]&gt;=30,"Very Active",tbl_working_daily[[#This Row],[VeryActiveMinutes]]&gt;=15,"Moderately Active",tbl_working_daily[[#This Row],[VeryActiveMinutes]]&gt;=1,"Lightly Active",tbl_working_daily[[#This Row],[VeryActiveMinutes]]=0,"Sedentary")</f>
        <v>Moderately Active</v>
      </c>
      <c r="W880" t="str">
        <f>tbl_working_daily[[#This Row],[Id]]&amp;"|"&amp;TEXT(tbl_working_daily[[#This Row],[ActivityDate]],"yyyy-mm-dd")</f>
        <v>4388161847|2016-05-03</v>
      </c>
      <c r="X880" t="b">
        <f>ISNUMBER(MATCH(tbl_working_daily[[#This Row],[LookupKey]],tbl_working_sleep[LookupKey],0))</f>
        <v>0</v>
      </c>
    </row>
    <row r="881" spans="1:24" x14ac:dyDescent="0.3">
      <c r="A881">
        <v>4388161847</v>
      </c>
      <c r="B881" s="1">
        <v>42494</v>
      </c>
      <c r="C881">
        <v>12375</v>
      </c>
      <c r="D881">
        <v>9.5200004577636701</v>
      </c>
      <c r="E881">
        <v>9.5200004577636701</v>
      </c>
      <c r="F881">
        <v>0</v>
      </c>
      <c r="G881">
        <v>2.78999996185303</v>
      </c>
      <c r="H881">
        <v>0.93000000715255704</v>
      </c>
      <c r="I881">
        <v>5.8000001907348597</v>
      </c>
      <c r="J881">
        <v>0</v>
      </c>
      <c r="K881">
        <v>35</v>
      </c>
      <c r="L881">
        <v>21</v>
      </c>
      <c r="M881">
        <v>251</v>
      </c>
      <c r="N881">
        <v>632</v>
      </c>
      <c r="O881">
        <v>3162</v>
      </c>
      <c r="P881" t="str">
        <f>TEXT(tbl_working_daily[[#This Row],[ActivityDate]],"dddd")</f>
        <v>Wednesday</v>
      </c>
      <c r="Q881" t="str">
        <f>TEXT(tbl_working_daily[[#This Row],[ActivityDate]],"mmmm")</f>
        <v>May</v>
      </c>
      <c r="R881">
        <f t="shared" si="26"/>
        <v>307</v>
      </c>
      <c r="S881">
        <f t="shared" si="27"/>
        <v>939</v>
      </c>
      <c r="T881">
        <f>ROUND(tbl_working_daily[[#This Row],[SedentaryMinutes]]/60,2)</f>
        <v>10.53</v>
      </c>
      <c r="U881" t="str" cm="1">
        <f t="array" ref="U88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81" t="str" cm="1">
        <f t="array" ref="V881">_xlfn.IFS(tbl_working_daily[[#This Row],[VeryActiveMinutes]]&gt;=30,"Very Active",tbl_working_daily[[#This Row],[VeryActiveMinutes]]&gt;=15,"Moderately Active",tbl_working_daily[[#This Row],[VeryActiveMinutes]]&gt;=1,"Lightly Active",tbl_working_daily[[#This Row],[VeryActiveMinutes]]=0,"Sedentary")</f>
        <v>Very Active</v>
      </c>
      <c r="W881" t="str">
        <f>tbl_working_daily[[#This Row],[Id]]&amp;"|"&amp;TEXT(tbl_working_daily[[#This Row],[ActivityDate]],"yyyy-mm-dd")</f>
        <v>4388161847|2016-05-04</v>
      </c>
      <c r="X881" t="b">
        <f>ISNUMBER(MATCH(tbl_working_daily[[#This Row],[LookupKey]],tbl_working_sleep[LookupKey],0))</f>
        <v>1</v>
      </c>
    </row>
    <row r="882" spans="1:24" x14ac:dyDescent="0.3">
      <c r="A882">
        <v>4388161847</v>
      </c>
      <c r="B882" s="1">
        <v>42495</v>
      </c>
      <c r="C882">
        <v>9603</v>
      </c>
      <c r="D882">
        <v>7.3800001144409197</v>
      </c>
      <c r="E882">
        <v>7.3800001144409197</v>
      </c>
      <c r="F882">
        <v>0</v>
      </c>
      <c r="G882">
        <v>0.62999999523162797</v>
      </c>
      <c r="H882">
        <v>1.66999995708466</v>
      </c>
      <c r="I882">
        <v>5.0900001525878897</v>
      </c>
      <c r="J882">
        <v>0</v>
      </c>
      <c r="K882">
        <v>12</v>
      </c>
      <c r="L882">
        <v>39</v>
      </c>
      <c r="M882">
        <v>199</v>
      </c>
      <c r="N882">
        <v>896</v>
      </c>
      <c r="O882">
        <v>2899</v>
      </c>
      <c r="P882" t="str">
        <f>TEXT(tbl_working_daily[[#This Row],[ActivityDate]],"dddd")</f>
        <v>Thursday</v>
      </c>
      <c r="Q882" t="str">
        <f>TEXT(tbl_working_daily[[#This Row],[ActivityDate]],"mmmm")</f>
        <v>May</v>
      </c>
      <c r="R882">
        <f t="shared" si="26"/>
        <v>250</v>
      </c>
      <c r="S882">
        <f t="shared" si="27"/>
        <v>1146</v>
      </c>
      <c r="T882">
        <f>ROUND(tbl_working_daily[[#This Row],[SedentaryMinutes]]/60,2)</f>
        <v>14.93</v>
      </c>
      <c r="U882" t="str" cm="1">
        <f t="array" ref="U88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882" t="str" cm="1">
        <f t="array" ref="V882">_xlfn.IFS(tbl_working_daily[[#This Row],[VeryActiveMinutes]]&gt;=30,"Very Active",tbl_working_daily[[#This Row],[VeryActiveMinutes]]&gt;=15,"Moderately Active",tbl_working_daily[[#This Row],[VeryActiveMinutes]]&gt;=1,"Lightly Active",tbl_working_daily[[#This Row],[VeryActiveMinutes]]=0,"Sedentary")</f>
        <v>Lightly Active</v>
      </c>
      <c r="W882" t="str">
        <f>tbl_working_daily[[#This Row],[Id]]&amp;"|"&amp;TEXT(tbl_working_daily[[#This Row],[ActivityDate]],"yyyy-mm-dd")</f>
        <v>4388161847|2016-05-05</v>
      </c>
      <c r="X882" t="b">
        <f>ISNUMBER(MATCH(tbl_working_daily[[#This Row],[LookupKey]],tbl_working_sleep[LookupKey],0))</f>
        <v>1</v>
      </c>
    </row>
    <row r="883" spans="1:24" x14ac:dyDescent="0.3">
      <c r="A883">
        <v>4388161847</v>
      </c>
      <c r="B883" s="1">
        <v>42496</v>
      </c>
      <c r="C883">
        <v>13175</v>
      </c>
      <c r="D883">
        <v>10.1300001144409</v>
      </c>
      <c r="E883">
        <v>10.1300001144409</v>
      </c>
      <c r="F883">
        <v>0</v>
      </c>
      <c r="G883">
        <v>2.1099998950958301</v>
      </c>
      <c r="H883">
        <v>2.0899999141693102</v>
      </c>
      <c r="I883">
        <v>5.9299998283386204</v>
      </c>
      <c r="J883">
        <v>0</v>
      </c>
      <c r="K883">
        <v>33</v>
      </c>
      <c r="L883">
        <v>45</v>
      </c>
      <c r="M883">
        <v>262</v>
      </c>
      <c r="N883">
        <v>1100</v>
      </c>
      <c r="O883">
        <v>3425</v>
      </c>
      <c r="P883" t="str">
        <f>TEXT(tbl_working_daily[[#This Row],[ActivityDate]],"dddd")</f>
        <v>Friday</v>
      </c>
      <c r="Q883" t="str">
        <f>TEXT(tbl_working_daily[[#This Row],[ActivityDate]],"mmmm")</f>
        <v>May</v>
      </c>
      <c r="R883">
        <f t="shared" si="26"/>
        <v>340</v>
      </c>
      <c r="S883">
        <f t="shared" si="27"/>
        <v>1440</v>
      </c>
      <c r="T883">
        <f>ROUND(tbl_working_daily[[#This Row],[SedentaryMinutes]]/60,2)</f>
        <v>18.329999999999998</v>
      </c>
      <c r="U883" t="str" cm="1">
        <f t="array" ref="U88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83" t="str" cm="1">
        <f t="array" ref="V883">_xlfn.IFS(tbl_working_daily[[#This Row],[VeryActiveMinutes]]&gt;=30,"Very Active",tbl_working_daily[[#This Row],[VeryActiveMinutes]]&gt;=15,"Moderately Active",tbl_working_daily[[#This Row],[VeryActiveMinutes]]&gt;=1,"Lightly Active",tbl_working_daily[[#This Row],[VeryActiveMinutes]]=0,"Sedentary")</f>
        <v>Very Active</v>
      </c>
      <c r="W883" t="str">
        <f>tbl_working_daily[[#This Row],[Id]]&amp;"|"&amp;TEXT(tbl_working_daily[[#This Row],[ActivityDate]],"yyyy-mm-dd")</f>
        <v>4388161847|2016-05-06</v>
      </c>
      <c r="X883" t="b">
        <f>ISNUMBER(MATCH(tbl_working_daily[[#This Row],[LookupKey]],tbl_working_sleep[LookupKey],0))</f>
        <v>0</v>
      </c>
    </row>
    <row r="884" spans="1:24" x14ac:dyDescent="0.3">
      <c r="A884">
        <v>4388161847</v>
      </c>
      <c r="B884" s="1">
        <v>42497</v>
      </c>
      <c r="C884">
        <v>22770</v>
      </c>
      <c r="D884">
        <v>17.540000915527301</v>
      </c>
      <c r="E884">
        <v>17.540000915527301</v>
      </c>
      <c r="F884">
        <v>0</v>
      </c>
      <c r="G884">
        <v>9.4499998092651403</v>
      </c>
      <c r="H884">
        <v>2.7699999809265101</v>
      </c>
      <c r="I884">
        <v>5.3299999237060502</v>
      </c>
      <c r="J884">
        <v>0</v>
      </c>
      <c r="K884">
        <v>120</v>
      </c>
      <c r="L884">
        <v>56</v>
      </c>
      <c r="M884">
        <v>260</v>
      </c>
      <c r="N884">
        <v>508</v>
      </c>
      <c r="O884">
        <v>4022</v>
      </c>
      <c r="P884" t="str">
        <f>TEXT(tbl_working_daily[[#This Row],[ActivityDate]],"dddd")</f>
        <v>Saturday</v>
      </c>
      <c r="Q884" t="str">
        <f>TEXT(tbl_working_daily[[#This Row],[ActivityDate]],"mmmm")</f>
        <v>May</v>
      </c>
      <c r="R884">
        <f t="shared" si="26"/>
        <v>436</v>
      </c>
      <c r="S884">
        <f t="shared" si="27"/>
        <v>944</v>
      </c>
      <c r="T884">
        <f>ROUND(tbl_working_daily[[#This Row],[SedentaryMinutes]]/60,2)</f>
        <v>8.4700000000000006</v>
      </c>
      <c r="U884" t="str" cm="1">
        <f t="array" ref="U88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84" t="str" cm="1">
        <f t="array" ref="V884">_xlfn.IFS(tbl_working_daily[[#This Row],[VeryActiveMinutes]]&gt;=30,"Very Active",tbl_working_daily[[#This Row],[VeryActiveMinutes]]&gt;=15,"Moderately Active",tbl_working_daily[[#This Row],[VeryActiveMinutes]]&gt;=1,"Lightly Active",tbl_working_daily[[#This Row],[VeryActiveMinutes]]=0,"Sedentary")</f>
        <v>Very Active</v>
      </c>
      <c r="W884" t="str">
        <f>tbl_working_daily[[#This Row],[Id]]&amp;"|"&amp;TEXT(tbl_working_daily[[#This Row],[ActivityDate]],"yyyy-mm-dd")</f>
        <v>4388161847|2016-05-07</v>
      </c>
      <c r="X884" t="b">
        <f>ISNUMBER(MATCH(tbl_working_daily[[#This Row],[LookupKey]],tbl_working_sleep[LookupKey],0))</f>
        <v>1</v>
      </c>
    </row>
    <row r="885" spans="1:24" x14ac:dyDescent="0.3">
      <c r="A885">
        <v>4388161847</v>
      </c>
      <c r="B885" s="1">
        <v>42498</v>
      </c>
      <c r="C885">
        <v>17298</v>
      </c>
      <c r="D885">
        <v>14.3800001144409</v>
      </c>
      <c r="E885">
        <v>14.3800001144409</v>
      </c>
      <c r="F885">
        <v>0</v>
      </c>
      <c r="G885">
        <v>9.8900003433227504</v>
      </c>
      <c r="H885">
        <v>1.2599999904632599</v>
      </c>
      <c r="I885">
        <v>3.2300000190734899</v>
      </c>
      <c r="J885">
        <v>0</v>
      </c>
      <c r="K885">
        <v>107</v>
      </c>
      <c r="L885">
        <v>38</v>
      </c>
      <c r="M885">
        <v>178</v>
      </c>
      <c r="N885">
        <v>576</v>
      </c>
      <c r="O885">
        <v>3934</v>
      </c>
      <c r="P885" t="str">
        <f>TEXT(tbl_working_daily[[#This Row],[ActivityDate]],"dddd")</f>
        <v>Sunday</v>
      </c>
      <c r="Q885" t="str">
        <f>TEXT(tbl_working_daily[[#This Row],[ActivityDate]],"mmmm")</f>
        <v>May</v>
      </c>
      <c r="R885">
        <f t="shared" si="26"/>
        <v>323</v>
      </c>
      <c r="S885">
        <f t="shared" si="27"/>
        <v>899</v>
      </c>
      <c r="T885">
        <f>ROUND(tbl_working_daily[[#This Row],[SedentaryMinutes]]/60,2)</f>
        <v>9.6</v>
      </c>
      <c r="U885" t="str" cm="1">
        <f t="array" ref="U88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885" t="str" cm="1">
        <f t="array" ref="V885">_xlfn.IFS(tbl_working_daily[[#This Row],[VeryActiveMinutes]]&gt;=30,"Very Active",tbl_working_daily[[#This Row],[VeryActiveMinutes]]&gt;=15,"Moderately Active",tbl_working_daily[[#This Row],[VeryActiveMinutes]]&gt;=1,"Lightly Active",tbl_working_daily[[#This Row],[VeryActiveMinutes]]=0,"Sedentary")</f>
        <v>Very Active</v>
      </c>
      <c r="W885" t="str">
        <f>tbl_working_daily[[#This Row],[Id]]&amp;"|"&amp;TEXT(tbl_working_daily[[#This Row],[ActivityDate]],"yyyy-mm-dd")</f>
        <v>4388161847|2016-05-08</v>
      </c>
      <c r="X885" t="b">
        <f>ISNUMBER(MATCH(tbl_working_daily[[#This Row],[LookupKey]],tbl_working_sleep[LookupKey],0))</f>
        <v>1</v>
      </c>
    </row>
    <row r="886" spans="1:24" x14ac:dyDescent="0.3">
      <c r="A886">
        <v>4388161847</v>
      </c>
      <c r="B886" s="1">
        <v>42499</v>
      </c>
      <c r="C886">
        <v>10218</v>
      </c>
      <c r="D886">
        <v>7.8600001335143999</v>
      </c>
      <c r="E886">
        <v>7.8600001335143999</v>
      </c>
      <c r="F886">
        <v>0</v>
      </c>
      <c r="G886">
        <v>0.34000000357627902</v>
      </c>
      <c r="H886">
        <v>0.730000019073486</v>
      </c>
      <c r="I886">
        <v>6.78999996185303</v>
      </c>
      <c r="J886">
        <v>0</v>
      </c>
      <c r="K886">
        <v>6</v>
      </c>
      <c r="L886">
        <v>19</v>
      </c>
      <c r="M886">
        <v>258</v>
      </c>
      <c r="N886">
        <v>1020</v>
      </c>
      <c r="O886">
        <v>3013</v>
      </c>
      <c r="P886" t="str">
        <f>TEXT(tbl_working_daily[[#This Row],[ActivityDate]],"dddd")</f>
        <v>Monday</v>
      </c>
      <c r="Q886" t="str">
        <f>TEXT(tbl_working_daily[[#This Row],[ActivityDate]],"mmmm")</f>
        <v>May</v>
      </c>
      <c r="R886">
        <f t="shared" si="26"/>
        <v>283</v>
      </c>
      <c r="S886">
        <f t="shared" si="27"/>
        <v>1303</v>
      </c>
      <c r="T886">
        <f>ROUND(tbl_working_daily[[#This Row],[SedentaryMinutes]]/60,2)</f>
        <v>17</v>
      </c>
      <c r="U886" t="str" cm="1">
        <f t="array" ref="U88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86" t="str" cm="1">
        <f t="array" ref="V886">_xlfn.IFS(tbl_working_daily[[#This Row],[VeryActiveMinutes]]&gt;=30,"Very Active",tbl_working_daily[[#This Row],[VeryActiveMinutes]]&gt;=15,"Moderately Active",tbl_working_daily[[#This Row],[VeryActiveMinutes]]&gt;=1,"Lightly Active",tbl_working_daily[[#This Row],[VeryActiveMinutes]]=0,"Sedentary")</f>
        <v>Lightly Active</v>
      </c>
      <c r="W886" t="str">
        <f>tbl_working_daily[[#This Row],[Id]]&amp;"|"&amp;TEXT(tbl_working_daily[[#This Row],[ActivityDate]],"yyyy-mm-dd")</f>
        <v>4388161847|2016-05-09</v>
      </c>
      <c r="X886" t="b">
        <f>ISNUMBER(MATCH(tbl_working_daily[[#This Row],[LookupKey]],tbl_working_sleep[LookupKey],0))</f>
        <v>1</v>
      </c>
    </row>
    <row r="887" spans="1:24" x14ac:dyDescent="0.3">
      <c r="A887">
        <v>4388161847</v>
      </c>
      <c r="B887" s="1">
        <v>42500</v>
      </c>
      <c r="C887">
        <v>10299</v>
      </c>
      <c r="D887">
        <v>7.9200000762939498</v>
      </c>
      <c r="E887">
        <v>7.9200000762939498</v>
      </c>
      <c r="F887">
        <v>0</v>
      </c>
      <c r="G887">
        <v>0.81000000238418601</v>
      </c>
      <c r="H887">
        <v>0.64999997615814198</v>
      </c>
      <c r="I887">
        <v>6.46000003814697</v>
      </c>
      <c r="J887">
        <v>0</v>
      </c>
      <c r="K887">
        <v>13</v>
      </c>
      <c r="L887">
        <v>14</v>
      </c>
      <c r="M887">
        <v>267</v>
      </c>
      <c r="N887">
        <v>648</v>
      </c>
      <c r="O887">
        <v>3061</v>
      </c>
      <c r="P887" t="str">
        <f>TEXT(tbl_working_daily[[#This Row],[ActivityDate]],"dddd")</f>
        <v>Tuesday</v>
      </c>
      <c r="Q887" t="str">
        <f>TEXT(tbl_working_daily[[#This Row],[ActivityDate]],"mmmm")</f>
        <v>May</v>
      </c>
      <c r="R887">
        <f t="shared" si="26"/>
        <v>294</v>
      </c>
      <c r="S887">
        <f t="shared" si="27"/>
        <v>942</v>
      </c>
      <c r="T887">
        <f>ROUND(tbl_working_daily[[#This Row],[SedentaryMinutes]]/60,2)</f>
        <v>10.8</v>
      </c>
      <c r="U887" t="str" cm="1">
        <f t="array" ref="U88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87" t="str" cm="1">
        <f t="array" ref="V887">_xlfn.IFS(tbl_working_daily[[#This Row],[VeryActiveMinutes]]&gt;=30,"Very Active",tbl_working_daily[[#This Row],[VeryActiveMinutes]]&gt;=15,"Moderately Active",tbl_working_daily[[#This Row],[VeryActiveMinutes]]&gt;=1,"Lightly Active",tbl_working_daily[[#This Row],[VeryActiveMinutes]]=0,"Sedentary")</f>
        <v>Lightly Active</v>
      </c>
      <c r="W887" t="str">
        <f>tbl_working_daily[[#This Row],[Id]]&amp;"|"&amp;TEXT(tbl_working_daily[[#This Row],[ActivityDate]],"yyyy-mm-dd")</f>
        <v>4388161847|2016-05-10</v>
      </c>
      <c r="X887" t="b">
        <f>ISNUMBER(MATCH(tbl_working_daily[[#This Row],[LookupKey]],tbl_working_sleep[LookupKey],0))</f>
        <v>1</v>
      </c>
    </row>
    <row r="888" spans="1:24" x14ac:dyDescent="0.3">
      <c r="A888">
        <v>4388161847</v>
      </c>
      <c r="B888" s="1">
        <v>42501</v>
      </c>
      <c r="C888">
        <v>10201</v>
      </c>
      <c r="D888">
        <v>7.8400001525878897</v>
      </c>
      <c r="E888">
        <v>7.8400001525878897</v>
      </c>
      <c r="F888">
        <v>0</v>
      </c>
      <c r="G888">
        <v>0.52999997138977095</v>
      </c>
      <c r="H888">
        <v>0.79000002145767201</v>
      </c>
      <c r="I888">
        <v>6.5300002098083496</v>
      </c>
      <c r="J888">
        <v>0</v>
      </c>
      <c r="K888">
        <v>8</v>
      </c>
      <c r="L888">
        <v>18</v>
      </c>
      <c r="M888">
        <v>256</v>
      </c>
      <c r="N888">
        <v>858</v>
      </c>
      <c r="O888">
        <v>2954</v>
      </c>
      <c r="P888" t="str">
        <f>TEXT(tbl_working_daily[[#This Row],[ActivityDate]],"dddd")</f>
        <v>Wednesday</v>
      </c>
      <c r="Q888" t="str">
        <f>TEXT(tbl_working_daily[[#This Row],[ActivityDate]],"mmmm")</f>
        <v>May</v>
      </c>
      <c r="R888">
        <f t="shared" si="26"/>
        <v>282</v>
      </c>
      <c r="S888">
        <f t="shared" si="27"/>
        <v>1140</v>
      </c>
      <c r="T888">
        <f>ROUND(tbl_working_daily[[#This Row],[SedentaryMinutes]]/60,2)</f>
        <v>14.3</v>
      </c>
      <c r="U888" t="str" cm="1">
        <f t="array" ref="U88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888" t="str" cm="1">
        <f t="array" ref="V888">_xlfn.IFS(tbl_working_daily[[#This Row],[VeryActiveMinutes]]&gt;=30,"Very Active",tbl_working_daily[[#This Row],[VeryActiveMinutes]]&gt;=15,"Moderately Active",tbl_working_daily[[#This Row],[VeryActiveMinutes]]&gt;=1,"Lightly Active",tbl_working_daily[[#This Row],[VeryActiveMinutes]]=0,"Sedentary")</f>
        <v>Lightly Active</v>
      </c>
      <c r="W888" t="str">
        <f>tbl_working_daily[[#This Row],[Id]]&amp;"|"&amp;TEXT(tbl_working_daily[[#This Row],[ActivityDate]],"yyyy-mm-dd")</f>
        <v>4388161847|2016-05-11</v>
      </c>
      <c r="X888" t="b">
        <f>ISNUMBER(MATCH(tbl_working_daily[[#This Row],[LookupKey]],tbl_working_sleep[LookupKey],0))</f>
        <v>1</v>
      </c>
    </row>
    <row r="889" spans="1:24" x14ac:dyDescent="0.3">
      <c r="A889">
        <v>4388161847</v>
      </c>
      <c r="B889" s="1">
        <v>42502</v>
      </c>
      <c r="C889">
        <v>3369</v>
      </c>
      <c r="D889">
        <v>2.5899999141693102</v>
      </c>
      <c r="E889">
        <v>2.5899999141693102</v>
      </c>
      <c r="F889">
        <v>0</v>
      </c>
      <c r="G889">
        <v>0</v>
      </c>
      <c r="H889">
        <v>0</v>
      </c>
      <c r="I889">
        <v>2.5899999141693102</v>
      </c>
      <c r="J889">
        <v>0</v>
      </c>
      <c r="K889">
        <v>0</v>
      </c>
      <c r="L889">
        <v>0</v>
      </c>
      <c r="M889">
        <v>108</v>
      </c>
      <c r="N889">
        <v>825</v>
      </c>
      <c r="O889">
        <v>1623</v>
      </c>
      <c r="P889" t="str">
        <f>TEXT(tbl_working_daily[[#This Row],[ActivityDate]],"dddd")</f>
        <v>Thursday</v>
      </c>
      <c r="Q889" t="str">
        <f>TEXT(tbl_working_daily[[#This Row],[ActivityDate]],"mmmm")</f>
        <v>May</v>
      </c>
      <c r="R889">
        <f t="shared" si="26"/>
        <v>108</v>
      </c>
      <c r="S889">
        <f t="shared" si="27"/>
        <v>933</v>
      </c>
      <c r="T889">
        <f>ROUND(tbl_working_daily[[#This Row],[SedentaryMinutes]]/60,2)</f>
        <v>13.75</v>
      </c>
      <c r="U889" t="str" cm="1">
        <f t="array" ref="U88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89" t="str" cm="1">
        <f t="array" ref="V889">_xlfn.IFS(tbl_working_daily[[#This Row],[VeryActiveMinutes]]&gt;=30,"Very Active",tbl_working_daily[[#This Row],[VeryActiveMinutes]]&gt;=15,"Moderately Active",tbl_working_daily[[#This Row],[VeryActiveMinutes]]&gt;=1,"Lightly Active",tbl_working_daily[[#This Row],[VeryActiveMinutes]]=0,"Sedentary")</f>
        <v>Sedentary</v>
      </c>
      <c r="W889" t="str">
        <f>tbl_working_daily[[#This Row],[Id]]&amp;"|"&amp;TEXT(tbl_working_daily[[#This Row],[ActivityDate]],"yyyy-mm-dd")</f>
        <v>4388161847|2016-05-12</v>
      </c>
      <c r="X889" t="b">
        <f>ISNUMBER(MATCH(tbl_working_daily[[#This Row],[LookupKey]],tbl_working_sleep[LookupKey],0))</f>
        <v>0</v>
      </c>
    </row>
    <row r="890" spans="1:24" x14ac:dyDescent="0.3">
      <c r="A890">
        <v>4445114986</v>
      </c>
      <c r="B890" s="1">
        <v>42473</v>
      </c>
      <c r="C890">
        <v>2961</v>
      </c>
      <c r="D890">
        <v>1.9900000095367401</v>
      </c>
      <c r="E890">
        <v>1.9900000095367401</v>
      </c>
      <c r="F890">
        <v>0</v>
      </c>
      <c r="G890">
        <v>0</v>
      </c>
      <c r="H890">
        <v>0</v>
      </c>
      <c r="I890">
        <v>1.9900000095367401</v>
      </c>
      <c r="J890">
        <v>0</v>
      </c>
      <c r="K890">
        <v>0</v>
      </c>
      <c r="L890">
        <v>0</v>
      </c>
      <c r="M890">
        <v>194</v>
      </c>
      <c r="N890">
        <v>840</v>
      </c>
      <c r="O890">
        <v>2095</v>
      </c>
      <c r="P890" t="str">
        <f>TEXT(tbl_working_daily[[#This Row],[ActivityDate]],"dddd")</f>
        <v>Wednesday</v>
      </c>
      <c r="Q890" t="str">
        <f>TEXT(tbl_working_daily[[#This Row],[ActivityDate]],"mmmm")</f>
        <v>April</v>
      </c>
      <c r="R890">
        <f t="shared" si="26"/>
        <v>194</v>
      </c>
      <c r="S890">
        <f t="shared" si="27"/>
        <v>1034</v>
      </c>
      <c r="T890">
        <f>ROUND(tbl_working_daily[[#This Row],[SedentaryMinutes]]/60,2)</f>
        <v>14</v>
      </c>
      <c r="U890" t="str" cm="1">
        <f t="array" ref="U89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0" t="str" cm="1">
        <f t="array" ref="V890">_xlfn.IFS(tbl_working_daily[[#This Row],[VeryActiveMinutes]]&gt;=30,"Very Active",tbl_working_daily[[#This Row],[VeryActiveMinutes]]&gt;=15,"Moderately Active",tbl_working_daily[[#This Row],[VeryActiveMinutes]]&gt;=1,"Lightly Active",tbl_working_daily[[#This Row],[VeryActiveMinutes]]=0,"Sedentary")</f>
        <v>Sedentary</v>
      </c>
      <c r="W890" t="str">
        <f>tbl_working_daily[[#This Row],[Id]]&amp;"|"&amp;TEXT(tbl_working_daily[[#This Row],[ActivityDate]],"yyyy-mm-dd")</f>
        <v>4445114986|2016-04-13</v>
      </c>
      <c r="X890" t="b">
        <f>ISNUMBER(MATCH(tbl_working_daily[[#This Row],[LookupKey]],tbl_working_sleep[LookupKey],0))</f>
        <v>1</v>
      </c>
    </row>
    <row r="891" spans="1:24" x14ac:dyDescent="0.3">
      <c r="A891">
        <v>4445114986</v>
      </c>
      <c r="B891" s="1">
        <v>42474</v>
      </c>
      <c r="C891">
        <v>3974</v>
      </c>
      <c r="D891">
        <v>2.6700000762939502</v>
      </c>
      <c r="E891">
        <v>2.6700000762939502</v>
      </c>
      <c r="F891">
        <v>0</v>
      </c>
      <c r="G891">
        <v>0</v>
      </c>
      <c r="H891">
        <v>0</v>
      </c>
      <c r="I891">
        <v>2.6700000762939502</v>
      </c>
      <c r="J891">
        <v>0</v>
      </c>
      <c r="K891">
        <v>0</v>
      </c>
      <c r="L891">
        <v>0</v>
      </c>
      <c r="M891">
        <v>231</v>
      </c>
      <c r="N891">
        <v>717</v>
      </c>
      <c r="O891">
        <v>2194</v>
      </c>
      <c r="P891" t="str">
        <f>TEXT(tbl_working_daily[[#This Row],[ActivityDate]],"dddd")</f>
        <v>Thursday</v>
      </c>
      <c r="Q891" t="str">
        <f>TEXT(tbl_working_daily[[#This Row],[ActivityDate]],"mmmm")</f>
        <v>April</v>
      </c>
      <c r="R891">
        <f t="shared" si="26"/>
        <v>231</v>
      </c>
      <c r="S891">
        <f t="shared" si="27"/>
        <v>948</v>
      </c>
      <c r="T891">
        <f>ROUND(tbl_working_daily[[#This Row],[SedentaryMinutes]]/60,2)</f>
        <v>11.95</v>
      </c>
      <c r="U891" t="str" cm="1">
        <f t="array" ref="U8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1" t="str" cm="1">
        <f t="array" ref="V891">_xlfn.IFS(tbl_working_daily[[#This Row],[VeryActiveMinutes]]&gt;=30,"Very Active",tbl_working_daily[[#This Row],[VeryActiveMinutes]]&gt;=15,"Moderately Active",tbl_working_daily[[#This Row],[VeryActiveMinutes]]&gt;=1,"Lightly Active",tbl_working_daily[[#This Row],[VeryActiveMinutes]]=0,"Sedentary")</f>
        <v>Sedentary</v>
      </c>
      <c r="W891" t="str">
        <f>tbl_working_daily[[#This Row],[Id]]&amp;"|"&amp;TEXT(tbl_working_daily[[#This Row],[ActivityDate]],"yyyy-mm-dd")</f>
        <v>4445114986|2016-04-14</v>
      </c>
      <c r="X891" t="b">
        <f>ISNUMBER(MATCH(tbl_working_daily[[#This Row],[LookupKey]],tbl_working_sleep[LookupKey],0))</f>
        <v>1</v>
      </c>
    </row>
    <row r="892" spans="1:24" x14ac:dyDescent="0.3">
      <c r="A892">
        <v>4445114986</v>
      </c>
      <c r="B892" s="1">
        <v>42475</v>
      </c>
      <c r="C892">
        <v>7198</v>
      </c>
      <c r="D892">
        <v>4.8299999237060502</v>
      </c>
      <c r="E892">
        <v>4.8299999237060502</v>
      </c>
      <c r="F892">
        <v>0</v>
      </c>
      <c r="G892">
        <v>0</v>
      </c>
      <c r="H892">
        <v>0</v>
      </c>
      <c r="I892">
        <v>4.8299999237060502</v>
      </c>
      <c r="J892">
        <v>0</v>
      </c>
      <c r="K892">
        <v>0</v>
      </c>
      <c r="L892">
        <v>0</v>
      </c>
      <c r="M892">
        <v>350</v>
      </c>
      <c r="N892">
        <v>711</v>
      </c>
      <c r="O892">
        <v>2496</v>
      </c>
      <c r="P892" t="str">
        <f>TEXT(tbl_working_daily[[#This Row],[ActivityDate]],"dddd")</f>
        <v>Friday</v>
      </c>
      <c r="Q892" t="str">
        <f>TEXT(tbl_working_daily[[#This Row],[ActivityDate]],"mmmm")</f>
        <v>April</v>
      </c>
      <c r="R892">
        <f t="shared" si="26"/>
        <v>350</v>
      </c>
      <c r="S892">
        <f t="shared" si="27"/>
        <v>1061</v>
      </c>
      <c r="T892">
        <f>ROUND(tbl_working_daily[[#This Row],[SedentaryMinutes]]/60,2)</f>
        <v>11.85</v>
      </c>
      <c r="U892" t="str" cm="1">
        <f t="array" ref="U89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92" t="str" cm="1">
        <f t="array" ref="V892">_xlfn.IFS(tbl_working_daily[[#This Row],[VeryActiveMinutes]]&gt;=30,"Very Active",tbl_working_daily[[#This Row],[VeryActiveMinutes]]&gt;=15,"Moderately Active",tbl_working_daily[[#This Row],[VeryActiveMinutes]]&gt;=1,"Lightly Active",tbl_working_daily[[#This Row],[VeryActiveMinutes]]=0,"Sedentary")</f>
        <v>Sedentary</v>
      </c>
      <c r="W892" t="str">
        <f>tbl_working_daily[[#This Row],[Id]]&amp;"|"&amp;TEXT(tbl_working_daily[[#This Row],[ActivityDate]],"yyyy-mm-dd")</f>
        <v>4445114986|2016-04-15</v>
      </c>
      <c r="X892" t="b">
        <f>ISNUMBER(MATCH(tbl_working_daily[[#This Row],[LookupKey]],tbl_working_sleep[LookupKey],0))</f>
        <v>1</v>
      </c>
    </row>
    <row r="893" spans="1:24" x14ac:dyDescent="0.3">
      <c r="A893">
        <v>4445114986</v>
      </c>
      <c r="B893" s="1">
        <v>42476</v>
      </c>
      <c r="C893">
        <v>3945</v>
      </c>
      <c r="D893">
        <v>2.6500000953674299</v>
      </c>
      <c r="E893">
        <v>2.6500000953674299</v>
      </c>
      <c r="F893">
        <v>0</v>
      </c>
      <c r="G893">
        <v>0</v>
      </c>
      <c r="H893">
        <v>0</v>
      </c>
      <c r="I893">
        <v>2.6500000953674299</v>
      </c>
      <c r="J893">
        <v>0</v>
      </c>
      <c r="K893">
        <v>0</v>
      </c>
      <c r="L893">
        <v>0</v>
      </c>
      <c r="M893">
        <v>225</v>
      </c>
      <c r="N893">
        <v>716</v>
      </c>
      <c r="O893">
        <v>2180</v>
      </c>
      <c r="P893" t="str">
        <f>TEXT(tbl_working_daily[[#This Row],[ActivityDate]],"dddd")</f>
        <v>Saturday</v>
      </c>
      <c r="Q893" t="str">
        <f>TEXT(tbl_working_daily[[#This Row],[ActivityDate]],"mmmm")</f>
        <v>April</v>
      </c>
      <c r="R893">
        <f t="shared" si="26"/>
        <v>225</v>
      </c>
      <c r="S893">
        <f t="shared" si="27"/>
        <v>941</v>
      </c>
      <c r="T893">
        <f>ROUND(tbl_working_daily[[#This Row],[SedentaryMinutes]]/60,2)</f>
        <v>11.93</v>
      </c>
      <c r="U893" t="str" cm="1">
        <f t="array" ref="U89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3" t="str" cm="1">
        <f t="array" ref="V893">_xlfn.IFS(tbl_working_daily[[#This Row],[VeryActiveMinutes]]&gt;=30,"Very Active",tbl_working_daily[[#This Row],[VeryActiveMinutes]]&gt;=15,"Moderately Active",tbl_working_daily[[#This Row],[VeryActiveMinutes]]&gt;=1,"Lightly Active",tbl_working_daily[[#This Row],[VeryActiveMinutes]]=0,"Sedentary")</f>
        <v>Sedentary</v>
      </c>
      <c r="W893" t="str">
        <f>tbl_working_daily[[#This Row],[Id]]&amp;"|"&amp;TEXT(tbl_working_daily[[#This Row],[ActivityDate]],"yyyy-mm-dd")</f>
        <v>4445114986|2016-04-16</v>
      </c>
      <c r="X893" t="b">
        <f>ISNUMBER(MATCH(tbl_working_daily[[#This Row],[LookupKey]],tbl_working_sleep[LookupKey],0))</f>
        <v>1</v>
      </c>
    </row>
    <row r="894" spans="1:24" x14ac:dyDescent="0.3">
      <c r="A894">
        <v>4445114986</v>
      </c>
      <c r="B894" s="1">
        <v>42477</v>
      </c>
      <c r="C894">
        <v>2268</v>
      </c>
      <c r="D894">
        <v>1.5199999809265099</v>
      </c>
      <c r="E894">
        <v>1.5199999809265099</v>
      </c>
      <c r="F894">
        <v>0</v>
      </c>
      <c r="G894">
        <v>0</v>
      </c>
      <c r="H894">
        <v>0</v>
      </c>
      <c r="I894">
        <v>1.5199999809265099</v>
      </c>
      <c r="J894">
        <v>0</v>
      </c>
      <c r="K894">
        <v>0</v>
      </c>
      <c r="L894">
        <v>0</v>
      </c>
      <c r="M894">
        <v>114</v>
      </c>
      <c r="N894">
        <v>1219</v>
      </c>
      <c r="O894">
        <v>1933</v>
      </c>
      <c r="P894" t="str">
        <f>TEXT(tbl_working_daily[[#This Row],[ActivityDate]],"dddd")</f>
        <v>Sunday</v>
      </c>
      <c r="Q894" t="str">
        <f>TEXT(tbl_working_daily[[#This Row],[ActivityDate]],"mmmm")</f>
        <v>April</v>
      </c>
      <c r="R894">
        <f t="shared" si="26"/>
        <v>114</v>
      </c>
      <c r="S894">
        <f t="shared" si="27"/>
        <v>1333</v>
      </c>
      <c r="T894">
        <f>ROUND(tbl_working_daily[[#This Row],[SedentaryMinutes]]/60,2)</f>
        <v>20.32</v>
      </c>
      <c r="U894" t="str" cm="1">
        <f t="array" ref="U89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4" t="str" cm="1">
        <f t="array" ref="V894">_xlfn.IFS(tbl_working_daily[[#This Row],[VeryActiveMinutes]]&gt;=30,"Very Active",tbl_working_daily[[#This Row],[VeryActiveMinutes]]&gt;=15,"Moderately Active",tbl_working_daily[[#This Row],[VeryActiveMinutes]]&gt;=1,"Lightly Active",tbl_working_daily[[#This Row],[VeryActiveMinutes]]=0,"Sedentary")</f>
        <v>Sedentary</v>
      </c>
      <c r="W894" t="str">
        <f>tbl_working_daily[[#This Row],[Id]]&amp;"|"&amp;TEXT(tbl_working_daily[[#This Row],[ActivityDate]],"yyyy-mm-dd")</f>
        <v>4445114986|2016-04-17</v>
      </c>
      <c r="X894" t="b">
        <f>ISNUMBER(MATCH(tbl_working_daily[[#This Row],[LookupKey]],tbl_working_sleep[LookupKey],0))</f>
        <v>1</v>
      </c>
    </row>
    <row r="895" spans="1:24" x14ac:dyDescent="0.3">
      <c r="A895">
        <v>4445114986</v>
      </c>
      <c r="B895" s="1">
        <v>42478</v>
      </c>
      <c r="C895">
        <v>6155</v>
      </c>
      <c r="D895">
        <v>4.2399997711181596</v>
      </c>
      <c r="E895">
        <v>4.2399997711181596</v>
      </c>
      <c r="F895">
        <v>0</v>
      </c>
      <c r="G895">
        <v>2</v>
      </c>
      <c r="H895">
        <v>0.28999999165535001</v>
      </c>
      <c r="I895">
        <v>1.95000004768372</v>
      </c>
      <c r="J895">
        <v>0</v>
      </c>
      <c r="K895">
        <v>25</v>
      </c>
      <c r="L895">
        <v>6</v>
      </c>
      <c r="M895">
        <v>162</v>
      </c>
      <c r="N895">
        <v>1247</v>
      </c>
      <c r="O895">
        <v>2248</v>
      </c>
      <c r="P895" t="str">
        <f>TEXT(tbl_working_daily[[#This Row],[ActivityDate]],"dddd")</f>
        <v>Monday</v>
      </c>
      <c r="Q895" t="str">
        <f>TEXT(tbl_working_daily[[#This Row],[ActivityDate]],"mmmm")</f>
        <v>April</v>
      </c>
      <c r="R895">
        <f t="shared" si="26"/>
        <v>193</v>
      </c>
      <c r="S895">
        <f t="shared" si="27"/>
        <v>1440</v>
      </c>
      <c r="T895">
        <f>ROUND(tbl_working_daily[[#This Row],[SedentaryMinutes]]/60,2)</f>
        <v>20.78</v>
      </c>
      <c r="U895" t="str" cm="1">
        <f t="array" ref="U89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95" t="str" cm="1">
        <f t="array" ref="V895">_xlfn.IFS(tbl_working_daily[[#This Row],[VeryActiveMinutes]]&gt;=30,"Very Active",tbl_working_daily[[#This Row],[VeryActiveMinutes]]&gt;=15,"Moderately Active",tbl_working_daily[[#This Row],[VeryActiveMinutes]]&gt;=1,"Lightly Active",tbl_working_daily[[#This Row],[VeryActiveMinutes]]=0,"Sedentary")</f>
        <v>Moderately Active</v>
      </c>
      <c r="W895" t="str">
        <f>tbl_working_daily[[#This Row],[Id]]&amp;"|"&amp;TEXT(tbl_working_daily[[#This Row],[ActivityDate]],"yyyy-mm-dd")</f>
        <v>4445114986|2016-04-18</v>
      </c>
      <c r="X895" t="b">
        <f>ISNUMBER(MATCH(tbl_working_daily[[#This Row],[LookupKey]],tbl_working_sleep[LookupKey],0))</f>
        <v>0</v>
      </c>
    </row>
    <row r="896" spans="1:24" x14ac:dyDescent="0.3">
      <c r="A896">
        <v>4445114986</v>
      </c>
      <c r="B896" s="1">
        <v>42479</v>
      </c>
      <c r="C896">
        <v>2064</v>
      </c>
      <c r="D896">
        <v>1.3899999856948899</v>
      </c>
      <c r="E896">
        <v>1.3899999856948899</v>
      </c>
      <c r="F896">
        <v>0</v>
      </c>
      <c r="G896">
        <v>0</v>
      </c>
      <c r="H896">
        <v>0</v>
      </c>
      <c r="I896">
        <v>1.3899999856948899</v>
      </c>
      <c r="J896">
        <v>0</v>
      </c>
      <c r="K896">
        <v>0</v>
      </c>
      <c r="L896">
        <v>0</v>
      </c>
      <c r="M896">
        <v>121</v>
      </c>
      <c r="N896">
        <v>895</v>
      </c>
      <c r="O896">
        <v>1954</v>
      </c>
      <c r="P896" t="str">
        <f>TEXT(tbl_working_daily[[#This Row],[ActivityDate]],"dddd")</f>
        <v>Tuesday</v>
      </c>
      <c r="Q896" t="str">
        <f>TEXT(tbl_working_daily[[#This Row],[ActivityDate]],"mmmm")</f>
        <v>April</v>
      </c>
      <c r="R896">
        <f t="shared" si="26"/>
        <v>121</v>
      </c>
      <c r="S896">
        <f t="shared" si="27"/>
        <v>1016</v>
      </c>
      <c r="T896">
        <f>ROUND(tbl_working_daily[[#This Row],[SedentaryMinutes]]/60,2)</f>
        <v>14.92</v>
      </c>
      <c r="U896" t="str" cm="1">
        <f t="array" ref="U89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6" t="str" cm="1">
        <f t="array" ref="V896">_xlfn.IFS(tbl_working_daily[[#This Row],[VeryActiveMinutes]]&gt;=30,"Very Active",tbl_working_daily[[#This Row],[VeryActiveMinutes]]&gt;=15,"Moderately Active",tbl_working_daily[[#This Row],[VeryActiveMinutes]]&gt;=1,"Lightly Active",tbl_working_daily[[#This Row],[VeryActiveMinutes]]=0,"Sedentary")</f>
        <v>Sedentary</v>
      </c>
      <c r="W896" t="str">
        <f>tbl_working_daily[[#This Row],[Id]]&amp;"|"&amp;TEXT(tbl_working_daily[[#This Row],[ActivityDate]],"yyyy-mm-dd")</f>
        <v>4445114986|2016-04-19</v>
      </c>
      <c r="X896" t="b">
        <f>ISNUMBER(MATCH(tbl_working_daily[[#This Row],[LookupKey]],tbl_working_sleep[LookupKey],0))</f>
        <v>1</v>
      </c>
    </row>
    <row r="897" spans="1:24" x14ac:dyDescent="0.3">
      <c r="A897">
        <v>4445114986</v>
      </c>
      <c r="B897" s="1">
        <v>42480</v>
      </c>
      <c r="C897">
        <v>2072</v>
      </c>
      <c r="D897">
        <v>1.3899999856948899</v>
      </c>
      <c r="E897">
        <v>1.3899999856948899</v>
      </c>
      <c r="F897">
        <v>0</v>
      </c>
      <c r="G897">
        <v>0</v>
      </c>
      <c r="H897">
        <v>0</v>
      </c>
      <c r="I897">
        <v>1.3899999856948899</v>
      </c>
      <c r="J897">
        <v>0</v>
      </c>
      <c r="K897">
        <v>0</v>
      </c>
      <c r="L897">
        <v>0</v>
      </c>
      <c r="M897">
        <v>137</v>
      </c>
      <c r="N897">
        <v>841</v>
      </c>
      <c r="O897">
        <v>1974</v>
      </c>
      <c r="P897" t="str">
        <f>TEXT(tbl_working_daily[[#This Row],[ActivityDate]],"dddd")</f>
        <v>Wednesday</v>
      </c>
      <c r="Q897" t="str">
        <f>TEXT(tbl_working_daily[[#This Row],[ActivityDate]],"mmmm")</f>
        <v>April</v>
      </c>
      <c r="R897">
        <f t="shared" si="26"/>
        <v>137</v>
      </c>
      <c r="S897">
        <f t="shared" si="27"/>
        <v>978</v>
      </c>
      <c r="T897">
        <f>ROUND(tbl_working_daily[[#This Row],[SedentaryMinutes]]/60,2)</f>
        <v>14.02</v>
      </c>
      <c r="U897" t="str" cm="1">
        <f t="array" ref="U8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7" t="str" cm="1">
        <f t="array" ref="V897">_xlfn.IFS(tbl_working_daily[[#This Row],[VeryActiveMinutes]]&gt;=30,"Very Active",tbl_working_daily[[#This Row],[VeryActiveMinutes]]&gt;=15,"Moderately Active",tbl_working_daily[[#This Row],[VeryActiveMinutes]]&gt;=1,"Lightly Active",tbl_working_daily[[#This Row],[VeryActiveMinutes]]=0,"Sedentary")</f>
        <v>Sedentary</v>
      </c>
      <c r="W897" t="str">
        <f>tbl_working_daily[[#This Row],[Id]]&amp;"|"&amp;TEXT(tbl_working_daily[[#This Row],[ActivityDate]],"yyyy-mm-dd")</f>
        <v>4445114986|2016-04-20</v>
      </c>
      <c r="X897" t="b">
        <f>ISNUMBER(MATCH(tbl_working_daily[[#This Row],[LookupKey]],tbl_working_sleep[LookupKey],0))</f>
        <v>1</v>
      </c>
    </row>
    <row r="898" spans="1:24" x14ac:dyDescent="0.3">
      <c r="A898">
        <v>4445114986</v>
      </c>
      <c r="B898" s="1">
        <v>42481</v>
      </c>
      <c r="C898">
        <v>3809</v>
      </c>
      <c r="D898">
        <v>2.5599999427795401</v>
      </c>
      <c r="E898">
        <v>2.5599999427795401</v>
      </c>
      <c r="F898">
        <v>0</v>
      </c>
      <c r="G898">
        <v>0</v>
      </c>
      <c r="H898">
        <v>0</v>
      </c>
      <c r="I898">
        <v>2.53999996185303</v>
      </c>
      <c r="J898">
        <v>0</v>
      </c>
      <c r="K898">
        <v>0</v>
      </c>
      <c r="L898">
        <v>0</v>
      </c>
      <c r="M898">
        <v>215</v>
      </c>
      <c r="N898">
        <v>756</v>
      </c>
      <c r="O898">
        <v>2150</v>
      </c>
      <c r="P898" t="str">
        <f>TEXT(tbl_working_daily[[#This Row],[ActivityDate]],"dddd")</f>
        <v>Thursday</v>
      </c>
      <c r="Q898" t="str">
        <f>TEXT(tbl_working_daily[[#This Row],[ActivityDate]],"mmmm")</f>
        <v>April</v>
      </c>
      <c r="R898">
        <f t="shared" ref="R898:R961" si="28">K898+L898+M898</f>
        <v>215</v>
      </c>
      <c r="S898">
        <f t="shared" ref="S898:S961" si="29">R898+N898</f>
        <v>971</v>
      </c>
      <c r="T898">
        <f>ROUND(tbl_working_daily[[#This Row],[SedentaryMinutes]]/60,2)</f>
        <v>12.6</v>
      </c>
      <c r="U898" t="str" cm="1">
        <f t="array" ref="U8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898" t="str" cm="1">
        <f t="array" ref="V898">_xlfn.IFS(tbl_working_daily[[#This Row],[VeryActiveMinutes]]&gt;=30,"Very Active",tbl_working_daily[[#This Row],[VeryActiveMinutes]]&gt;=15,"Moderately Active",tbl_working_daily[[#This Row],[VeryActiveMinutes]]&gt;=1,"Lightly Active",tbl_working_daily[[#This Row],[VeryActiveMinutes]]=0,"Sedentary")</f>
        <v>Sedentary</v>
      </c>
      <c r="W898" t="str">
        <f>tbl_working_daily[[#This Row],[Id]]&amp;"|"&amp;TEXT(tbl_working_daily[[#This Row],[ActivityDate]],"yyyy-mm-dd")</f>
        <v>4445114986|2016-04-21</v>
      </c>
      <c r="X898" t="b">
        <f>ISNUMBER(MATCH(tbl_working_daily[[#This Row],[LookupKey]],tbl_working_sleep[LookupKey],0))</f>
        <v>1</v>
      </c>
    </row>
    <row r="899" spans="1:24" x14ac:dyDescent="0.3">
      <c r="A899">
        <v>4445114986</v>
      </c>
      <c r="B899" s="1">
        <v>42482</v>
      </c>
      <c r="C899">
        <v>6831</v>
      </c>
      <c r="D899">
        <v>4.5799999237060502</v>
      </c>
      <c r="E899">
        <v>4.5799999237060502</v>
      </c>
      <c r="F899">
        <v>0</v>
      </c>
      <c r="G899">
        <v>0</v>
      </c>
      <c r="H899">
        <v>0</v>
      </c>
      <c r="I899">
        <v>4.5799999237060502</v>
      </c>
      <c r="J899">
        <v>0</v>
      </c>
      <c r="K899">
        <v>0</v>
      </c>
      <c r="L899">
        <v>0</v>
      </c>
      <c r="M899">
        <v>317</v>
      </c>
      <c r="N899">
        <v>706</v>
      </c>
      <c r="O899">
        <v>2432</v>
      </c>
      <c r="P899" t="str">
        <f>TEXT(tbl_working_daily[[#This Row],[ActivityDate]],"dddd")</f>
        <v>Friday</v>
      </c>
      <c r="Q899" t="str">
        <f>TEXT(tbl_working_daily[[#This Row],[ActivityDate]],"mmmm")</f>
        <v>April</v>
      </c>
      <c r="R899">
        <f t="shared" si="28"/>
        <v>317</v>
      </c>
      <c r="S899">
        <f t="shared" si="29"/>
        <v>1023</v>
      </c>
      <c r="T899">
        <f>ROUND(tbl_working_daily[[#This Row],[SedentaryMinutes]]/60,2)</f>
        <v>11.77</v>
      </c>
      <c r="U899" t="str" cm="1">
        <f t="array" ref="U89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899" t="str" cm="1">
        <f t="array" ref="V899">_xlfn.IFS(tbl_working_daily[[#This Row],[VeryActiveMinutes]]&gt;=30,"Very Active",tbl_working_daily[[#This Row],[VeryActiveMinutes]]&gt;=15,"Moderately Active",tbl_working_daily[[#This Row],[VeryActiveMinutes]]&gt;=1,"Lightly Active",tbl_working_daily[[#This Row],[VeryActiveMinutes]]=0,"Sedentary")</f>
        <v>Sedentary</v>
      </c>
      <c r="W899" t="str">
        <f>tbl_working_daily[[#This Row],[Id]]&amp;"|"&amp;TEXT(tbl_working_daily[[#This Row],[ActivityDate]],"yyyy-mm-dd")</f>
        <v>4445114986|2016-04-22</v>
      </c>
      <c r="X899" t="b">
        <f>ISNUMBER(MATCH(tbl_working_daily[[#This Row],[LookupKey]],tbl_working_sleep[LookupKey],0))</f>
        <v>1</v>
      </c>
    </row>
    <row r="900" spans="1:24" x14ac:dyDescent="0.3">
      <c r="A900">
        <v>4445114986</v>
      </c>
      <c r="B900" s="1">
        <v>42483</v>
      </c>
      <c r="C900">
        <v>4363</v>
      </c>
      <c r="D900">
        <v>2.9300000667571999</v>
      </c>
      <c r="E900">
        <v>2.9300000667571999</v>
      </c>
      <c r="F900">
        <v>0</v>
      </c>
      <c r="G900">
        <v>0</v>
      </c>
      <c r="H900">
        <v>0</v>
      </c>
      <c r="I900">
        <v>2.9300000667571999</v>
      </c>
      <c r="J900">
        <v>0</v>
      </c>
      <c r="K900">
        <v>0</v>
      </c>
      <c r="L900">
        <v>0</v>
      </c>
      <c r="M900">
        <v>201</v>
      </c>
      <c r="N900">
        <v>1239</v>
      </c>
      <c r="O900">
        <v>2149</v>
      </c>
      <c r="P900" t="str">
        <f>TEXT(tbl_working_daily[[#This Row],[ActivityDate]],"dddd")</f>
        <v>Saturday</v>
      </c>
      <c r="Q900" t="str">
        <f>TEXT(tbl_working_daily[[#This Row],[ActivityDate]],"mmmm")</f>
        <v>April</v>
      </c>
      <c r="R900">
        <f t="shared" si="28"/>
        <v>201</v>
      </c>
      <c r="S900">
        <f t="shared" si="29"/>
        <v>1440</v>
      </c>
      <c r="T900">
        <f>ROUND(tbl_working_daily[[#This Row],[SedentaryMinutes]]/60,2)</f>
        <v>20.65</v>
      </c>
      <c r="U900" t="str" cm="1">
        <f t="array" ref="U90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00" t="str" cm="1">
        <f t="array" ref="V900">_xlfn.IFS(tbl_working_daily[[#This Row],[VeryActiveMinutes]]&gt;=30,"Very Active",tbl_working_daily[[#This Row],[VeryActiveMinutes]]&gt;=15,"Moderately Active",tbl_working_daily[[#This Row],[VeryActiveMinutes]]&gt;=1,"Lightly Active",tbl_working_daily[[#This Row],[VeryActiveMinutes]]=0,"Sedentary")</f>
        <v>Sedentary</v>
      </c>
      <c r="W900" t="str">
        <f>tbl_working_daily[[#This Row],[Id]]&amp;"|"&amp;TEXT(tbl_working_daily[[#This Row],[ActivityDate]],"yyyy-mm-dd")</f>
        <v>4445114986|2016-04-23</v>
      </c>
      <c r="X900" t="b">
        <f>ISNUMBER(MATCH(tbl_working_daily[[#This Row],[LookupKey]],tbl_working_sleep[LookupKey],0))</f>
        <v>0</v>
      </c>
    </row>
    <row r="901" spans="1:24" x14ac:dyDescent="0.3">
      <c r="A901">
        <v>4445114986</v>
      </c>
      <c r="B901" s="1">
        <v>42484</v>
      </c>
      <c r="C901">
        <v>5002</v>
      </c>
      <c r="D901">
        <v>3.3599998950958301</v>
      </c>
      <c r="E901">
        <v>3.3599998950958301</v>
      </c>
      <c r="F901">
        <v>0</v>
      </c>
      <c r="G901">
        <v>0</v>
      </c>
      <c r="H901">
        <v>0</v>
      </c>
      <c r="I901">
        <v>3.3599998950958301</v>
      </c>
      <c r="J901">
        <v>0</v>
      </c>
      <c r="K901">
        <v>0</v>
      </c>
      <c r="L901">
        <v>0</v>
      </c>
      <c r="M901">
        <v>244</v>
      </c>
      <c r="N901">
        <v>1196</v>
      </c>
      <c r="O901">
        <v>2247</v>
      </c>
      <c r="P901" t="str">
        <f>TEXT(tbl_working_daily[[#This Row],[ActivityDate]],"dddd")</f>
        <v>Sunday</v>
      </c>
      <c r="Q901" t="str">
        <f>TEXT(tbl_working_daily[[#This Row],[ActivityDate]],"mmmm")</f>
        <v>April</v>
      </c>
      <c r="R901">
        <f t="shared" si="28"/>
        <v>244</v>
      </c>
      <c r="S901">
        <f t="shared" si="29"/>
        <v>1440</v>
      </c>
      <c r="T901">
        <f>ROUND(tbl_working_daily[[#This Row],[SedentaryMinutes]]/60,2)</f>
        <v>19.93</v>
      </c>
      <c r="U901" t="str" cm="1">
        <f t="array" ref="U90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1" t="str" cm="1">
        <f t="array" ref="V901">_xlfn.IFS(tbl_working_daily[[#This Row],[VeryActiveMinutes]]&gt;=30,"Very Active",tbl_working_daily[[#This Row],[VeryActiveMinutes]]&gt;=15,"Moderately Active",tbl_working_daily[[#This Row],[VeryActiveMinutes]]&gt;=1,"Lightly Active",tbl_working_daily[[#This Row],[VeryActiveMinutes]]=0,"Sedentary")</f>
        <v>Sedentary</v>
      </c>
      <c r="W901" t="str">
        <f>tbl_working_daily[[#This Row],[Id]]&amp;"|"&amp;TEXT(tbl_working_daily[[#This Row],[ActivityDate]],"yyyy-mm-dd")</f>
        <v>4445114986|2016-04-24</v>
      </c>
      <c r="X901" t="b">
        <f>ISNUMBER(MATCH(tbl_working_daily[[#This Row],[LookupKey]],tbl_working_sleep[LookupKey],0))</f>
        <v>0</v>
      </c>
    </row>
    <row r="902" spans="1:24" x14ac:dyDescent="0.3">
      <c r="A902">
        <v>4445114986</v>
      </c>
      <c r="B902" s="1">
        <v>42485</v>
      </c>
      <c r="C902">
        <v>3385</v>
      </c>
      <c r="D902">
        <v>2.2699999809265101</v>
      </c>
      <c r="E902">
        <v>2.2699999809265101</v>
      </c>
      <c r="F902">
        <v>0</v>
      </c>
      <c r="G902">
        <v>0</v>
      </c>
      <c r="H902">
        <v>0</v>
      </c>
      <c r="I902">
        <v>2.2699999809265101</v>
      </c>
      <c r="J902">
        <v>0</v>
      </c>
      <c r="K902">
        <v>0</v>
      </c>
      <c r="L902">
        <v>0</v>
      </c>
      <c r="M902">
        <v>179</v>
      </c>
      <c r="N902">
        <v>916</v>
      </c>
      <c r="O902">
        <v>2070</v>
      </c>
      <c r="P902" t="str">
        <f>TEXT(tbl_working_daily[[#This Row],[ActivityDate]],"dddd")</f>
        <v>Monday</v>
      </c>
      <c r="Q902" t="str">
        <f>TEXT(tbl_working_daily[[#This Row],[ActivityDate]],"mmmm")</f>
        <v>April</v>
      </c>
      <c r="R902">
        <f t="shared" si="28"/>
        <v>179</v>
      </c>
      <c r="S902">
        <f t="shared" si="29"/>
        <v>1095</v>
      </c>
      <c r="T902">
        <f>ROUND(tbl_working_daily[[#This Row],[SedentaryMinutes]]/60,2)</f>
        <v>15.27</v>
      </c>
      <c r="U902" t="str" cm="1">
        <f t="array" ref="U9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02" t="str" cm="1">
        <f t="array" ref="V902">_xlfn.IFS(tbl_working_daily[[#This Row],[VeryActiveMinutes]]&gt;=30,"Very Active",tbl_working_daily[[#This Row],[VeryActiveMinutes]]&gt;=15,"Moderately Active",tbl_working_daily[[#This Row],[VeryActiveMinutes]]&gt;=1,"Lightly Active",tbl_working_daily[[#This Row],[VeryActiveMinutes]]=0,"Sedentary")</f>
        <v>Sedentary</v>
      </c>
      <c r="W902" t="str">
        <f>tbl_working_daily[[#This Row],[Id]]&amp;"|"&amp;TEXT(tbl_working_daily[[#This Row],[ActivityDate]],"yyyy-mm-dd")</f>
        <v>4445114986|2016-04-25</v>
      </c>
      <c r="X902" t="b">
        <f>ISNUMBER(MATCH(tbl_working_daily[[#This Row],[LookupKey]],tbl_working_sleep[LookupKey],0))</f>
        <v>1</v>
      </c>
    </row>
    <row r="903" spans="1:24" x14ac:dyDescent="0.3">
      <c r="A903">
        <v>4445114986</v>
      </c>
      <c r="B903" s="1">
        <v>42486</v>
      </c>
      <c r="C903">
        <v>6326</v>
      </c>
      <c r="D903">
        <v>4.4099998474121103</v>
      </c>
      <c r="E903">
        <v>4.4099998474121103</v>
      </c>
      <c r="F903">
        <v>0</v>
      </c>
      <c r="G903">
        <v>2.4100000858306898</v>
      </c>
      <c r="H903">
        <v>3.9999999105930301E-2</v>
      </c>
      <c r="I903">
        <v>1.96000003814697</v>
      </c>
      <c r="J903">
        <v>0</v>
      </c>
      <c r="K903">
        <v>29</v>
      </c>
      <c r="L903">
        <v>1</v>
      </c>
      <c r="M903">
        <v>180</v>
      </c>
      <c r="N903">
        <v>839</v>
      </c>
      <c r="O903">
        <v>2291</v>
      </c>
      <c r="P903" t="str">
        <f>TEXT(tbl_working_daily[[#This Row],[ActivityDate]],"dddd")</f>
        <v>Tuesday</v>
      </c>
      <c r="Q903" t="str">
        <f>TEXT(tbl_working_daily[[#This Row],[ActivityDate]],"mmmm")</f>
        <v>April</v>
      </c>
      <c r="R903">
        <f t="shared" si="28"/>
        <v>210</v>
      </c>
      <c r="S903">
        <f t="shared" si="29"/>
        <v>1049</v>
      </c>
      <c r="T903">
        <f>ROUND(tbl_working_daily[[#This Row],[SedentaryMinutes]]/60,2)</f>
        <v>13.98</v>
      </c>
      <c r="U903" t="str" cm="1">
        <f t="array" ref="U90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3" t="str" cm="1">
        <f t="array" ref="V903">_xlfn.IFS(tbl_working_daily[[#This Row],[VeryActiveMinutes]]&gt;=30,"Very Active",tbl_working_daily[[#This Row],[VeryActiveMinutes]]&gt;=15,"Moderately Active",tbl_working_daily[[#This Row],[VeryActiveMinutes]]&gt;=1,"Lightly Active",tbl_working_daily[[#This Row],[VeryActiveMinutes]]=0,"Sedentary")</f>
        <v>Moderately Active</v>
      </c>
      <c r="W903" t="str">
        <f>tbl_working_daily[[#This Row],[Id]]&amp;"|"&amp;TEXT(tbl_working_daily[[#This Row],[ActivityDate]],"yyyy-mm-dd")</f>
        <v>4445114986|2016-04-26</v>
      </c>
      <c r="X903" t="b">
        <f>ISNUMBER(MATCH(tbl_working_daily[[#This Row],[LookupKey]],tbl_working_sleep[LookupKey],0))</f>
        <v>1</v>
      </c>
    </row>
    <row r="904" spans="1:24" x14ac:dyDescent="0.3">
      <c r="A904">
        <v>4445114986</v>
      </c>
      <c r="B904" s="1">
        <v>42487</v>
      </c>
      <c r="C904">
        <v>7243</v>
      </c>
      <c r="D904">
        <v>5.0300002098083496</v>
      </c>
      <c r="E904">
        <v>5.0300002098083496</v>
      </c>
      <c r="F904">
        <v>0</v>
      </c>
      <c r="G904">
        <v>2.6199998855590798</v>
      </c>
      <c r="H904">
        <v>2.9999999329447701E-2</v>
      </c>
      <c r="I904">
        <v>2.3800001144409202</v>
      </c>
      <c r="J904">
        <v>0</v>
      </c>
      <c r="K904">
        <v>32</v>
      </c>
      <c r="L904">
        <v>1</v>
      </c>
      <c r="M904">
        <v>194</v>
      </c>
      <c r="N904">
        <v>839</v>
      </c>
      <c r="O904">
        <v>2361</v>
      </c>
      <c r="P904" t="str">
        <f>TEXT(tbl_working_daily[[#This Row],[ActivityDate]],"dddd")</f>
        <v>Wednesday</v>
      </c>
      <c r="Q904" t="str">
        <f>TEXT(tbl_working_daily[[#This Row],[ActivityDate]],"mmmm")</f>
        <v>April</v>
      </c>
      <c r="R904">
        <f t="shared" si="28"/>
        <v>227</v>
      </c>
      <c r="S904">
        <f t="shared" si="29"/>
        <v>1066</v>
      </c>
      <c r="T904">
        <f>ROUND(tbl_working_daily[[#This Row],[SedentaryMinutes]]/60,2)</f>
        <v>13.98</v>
      </c>
      <c r="U904" t="str" cm="1">
        <f t="array" ref="U90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4" t="str" cm="1">
        <f t="array" ref="V904">_xlfn.IFS(tbl_working_daily[[#This Row],[VeryActiveMinutes]]&gt;=30,"Very Active",tbl_working_daily[[#This Row],[VeryActiveMinutes]]&gt;=15,"Moderately Active",tbl_working_daily[[#This Row],[VeryActiveMinutes]]&gt;=1,"Lightly Active",tbl_working_daily[[#This Row],[VeryActiveMinutes]]=0,"Sedentary")</f>
        <v>Very Active</v>
      </c>
      <c r="W904" t="str">
        <f>tbl_working_daily[[#This Row],[Id]]&amp;"|"&amp;TEXT(tbl_working_daily[[#This Row],[ActivityDate]],"yyyy-mm-dd")</f>
        <v>4445114986|2016-04-27</v>
      </c>
      <c r="X904" t="b">
        <f>ISNUMBER(MATCH(tbl_working_daily[[#This Row],[LookupKey]],tbl_working_sleep[LookupKey],0))</f>
        <v>1</v>
      </c>
    </row>
    <row r="905" spans="1:24" x14ac:dyDescent="0.3">
      <c r="A905">
        <v>4445114986</v>
      </c>
      <c r="B905" s="1">
        <v>42488</v>
      </c>
      <c r="C905">
        <v>4493</v>
      </c>
      <c r="D905">
        <v>3.0099999904632599</v>
      </c>
      <c r="E905">
        <v>3.0099999904632599</v>
      </c>
      <c r="F905">
        <v>0</v>
      </c>
      <c r="G905">
        <v>0</v>
      </c>
      <c r="H905">
        <v>0</v>
      </c>
      <c r="I905">
        <v>3.0099999904632599</v>
      </c>
      <c r="J905">
        <v>0</v>
      </c>
      <c r="K905">
        <v>0</v>
      </c>
      <c r="L905">
        <v>0</v>
      </c>
      <c r="M905">
        <v>236</v>
      </c>
      <c r="N905">
        <v>762</v>
      </c>
      <c r="O905">
        <v>2203</v>
      </c>
      <c r="P905" t="str">
        <f>TEXT(tbl_working_daily[[#This Row],[ActivityDate]],"dddd")</f>
        <v>Thursday</v>
      </c>
      <c r="Q905" t="str">
        <f>TEXT(tbl_working_daily[[#This Row],[ActivityDate]],"mmmm")</f>
        <v>April</v>
      </c>
      <c r="R905">
        <f t="shared" si="28"/>
        <v>236</v>
      </c>
      <c r="S905">
        <f t="shared" si="29"/>
        <v>998</v>
      </c>
      <c r="T905">
        <f>ROUND(tbl_working_daily[[#This Row],[SedentaryMinutes]]/60,2)</f>
        <v>12.7</v>
      </c>
      <c r="U905" t="str" cm="1">
        <f t="array" ref="U9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05" t="str" cm="1">
        <f t="array" ref="V905">_xlfn.IFS(tbl_working_daily[[#This Row],[VeryActiveMinutes]]&gt;=30,"Very Active",tbl_working_daily[[#This Row],[VeryActiveMinutes]]&gt;=15,"Moderately Active",tbl_working_daily[[#This Row],[VeryActiveMinutes]]&gt;=1,"Lightly Active",tbl_working_daily[[#This Row],[VeryActiveMinutes]]=0,"Sedentary")</f>
        <v>Sedentary</v>
      </c>
      <c r="W905" t="str">
        <f>tbl_working_daily[[#This Row],[Id]]&amp;"|"&amp;TEXT(tbl_working_daily[[#This Row],[ActivityDate]],"yyyy-mm-dd")</f>
        <v>4445114986|2016-04-28</v>
      </c>
      <c r="X905" t="b">
        <f>ISNUMBER(MATCH(tbl_working_daily[[#This Row],[LookupKey]],tbl_working_sleep[LookupKey],0))</f>
        <v>1</v>
      </c>
    </row>
    <row r="906" spans="1:24" x14ac:dyDescent="0.3">
      <c r="A906">
        <v>4445114986</v>
      </c>
      <c r="B906" s="1">
        <v>42489</v>
      </c>
      <c r="C906">
        <v>4676</v>
      </c>
      <c r="D906">
        <v>3.1400001049041699</v>
      </c>
      <c r="E906">
        <v>3.1400001049041699</v>
      </c>
      <c r="F906">
        <v>0</v>
      </c>
      <c r="G906">
        <v>0</v>
      </c>
      <c r="H906">
        <v>0</v>
      </c>
      <c r="I906">
        <v>3.1300001144409202</v>
      </c>
      <c r="J906">
        <v>0</v>
      </c>
      <c r="K906">
        <v>0</v>
      </c>
      <c r="L906">
        <v>0</v>
      </c>
      <c r="M906">
        <v>226</v>
      </c>
      <c r="N906">
        <v>1106</v>
      </c>
      <c r="O906">
        <v>2196</v>
      </c>
      <c r="P906" t="str">
        <f>TEXT(tbl_working_daily[[#This Row],[ActivityDate]],"dddd")</f>
        <v>Friday</v>
      </c>
      <c r="Q906" t="str">
        <f>TEXT(tbl_working_daily[[#This Row],[ActivityDate]],"mmmm")</f>
        <v>April</v>
      </c>
      <c r="R906">
        <f t="shared" si="28"/>
        <v>226</v>
      </c>
      <c r="S906">
        <f t="shared" si="29"/>
        <v>1332</v>
      </c>
      <c r="T906">
        <f>ROUND(tbl_working_daily[[#This Row],[SedentaryMinutes]]/60,2)</f>
        <v>18.43</v>
      </c>
      <c r="U906" t="str" cm="1">
        <f t="array" ref="U9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06" t="str" cm="1">
        <f t="array" ref="V906">_xlfn.IFS(tbl_working_daily[[#This Row],[VeryActiveMinutes]]&gt;=30,"Very Active",tbl_working_daily[[#This Row],[VeryActiveMinutes]]&gt;=15,"Moderately Active",tbl_working_daily[[#This Row],[VeryActiveMinutes]]&gt;=1,"Lightly Active",tbl_working_daily[[#This Row],[VeryActiveMinutes]]=0,"Sedentary")</f>
        <v>Sedentary</v>
      </c>
      <c r="W906" t="str">
        <f>tbl_working_daily[[#This Row],[Id]]&amp;"|"&amp;TEXT(tbl_working_daily[[#This Row],[ActivityDate]],"yyyy-mm-dd")</f>
        <v>4445114986|2016-04-29</v>
      </c>
      <c r="X906" t="b">
        <f>ISNUMBER(MATCH(tbl_working_daily[[#This Row],[LookupKey]],tbl_working_sleep[LookupKey],0))</f>
        <v>1</v>
      </c>
    </row>
    <row r="907" spans="1:24" x14ac:dyDescent="0.3">
      <c r="A907">
        <v>4445114986</v>
      </c>
      <c r="B907" s="1">
        <v>42490</v>
      </c>
      <c r="C907">
        <v>6222</v>
      </c>
      <c r="D907">
        <v>4.1799998283386204</v>
      </c>
      <c r="E907">
        <v>4.1799998283386204</v>
      </c>
      <c r="F907">
        <v>0</v>
      </c>
      <c r="G907">
        <v>0</v>
      </c>
      <c r="H907">
        <v>0</v>
      </c>
      <c r="I907">
        <v>4.1799998283386204</v>
      </c>
      <c r="J907">
        <v>0</v>
      </c>
      <c r="K907">
        <v>0</v>
      </c>
      <c r="L907">
        <v>0</v>
      </c>
      <c r="M907">
        <v>290</v>
      </c>
      <c r="N907">
        <v>797</v>
      </c>
      <c r="O907">
        <v>2363</v>
      </c>
      <c r="P907" t="str">
        <f>TEXT(tbl_working_daily[[#This Row],[ActivityDate]],"dddd")</f>
        <v>Saturday</v>
      </c>
      <c r="Q907" t="str">
        <f>TEXT(tbl_working_daily[[#This Row],[ActivityDate]],"mmmm")</f>
        <v>April</v>
      </c>
      <c r="R907">
        <f t="shared" si="28"/>
        <v>290</v>
      </c>
      <c r="S907">
        <f t="shared" si="29"/>
        <v>1087</v>
      </c>
      <c r="T907">
        <f>ROUND(tbl_working_daily[[#This Row],[SedentaryMinutes]]/60,2)</f>
        <v>13.28</v>
      </c>
      <c r="U907" t="str" cm="1">
        <f t="array" ref="U90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7" t="str" cm="1">
        <f t="array" ref="V907">_xlfn.IFS(tbl_working_daily[[#This Row],[VeryActiveMinutes]]&gt;=30,"Very Active",tbl_working_daily[[#This Row],[VeryActiveMinutes]]&gt;=15,"Moderately Active",tbl_working_daily[[#This Row],[VeryActiveMinutes]]&gt;=1,"Lightly Active",tbl_working_daily[[#This Row],[VeryActiveMinutes]]=0,"Sedentary")</f>
        <v>Sedentary</v>
      </c>
      <c r="W907" t="str">
        <f>tbl_working_daily[[#This Row],[Id]]&amp;"|"&amp;TEXT(tbl_working_daily[[#This Row],[ActivityDate]],"yyyy-mm-dd")</f>
        <v>4445114986|2016-04-30</v>
      </c>
      <c r="X907" t="b">
        <f>ISNUMBER(MATCH(tbl_working_daily[[#This Row],[LookupKey]],tbl_working_sleep[LookupKey],0))</f>
        <v>1</v>
      </c>
    </row>
    <row r="908" spans="1:24" x14ac:dyDescent="0.3">
      <c r="A908">
        <v>4445114986</v>
      </c>
      <c r="B908" s="1">
        <v>42491</v>
      </c>
      <c r="C908">
        <v>5232</v>
      </c>
      <c r="D908">
        <v>3.5099999904632599</v>
      </c>
      <c r="E908">
        <v>3.5099999904632599</v>
      </c>
      <c r="F908">
        <v>0</v>
      </c>
      <c r="G908">
        <v>0</v>
      </c>
      <c r="H908">
        <v>0</v>
      </c>
      <c r="I908">
        <v>3.5099999904632599</v>
      </c>
      <c r="J908">
        <v>0</v>
      </c>
      <c r="K908">
        <v>0</v>
      </c>
      <c r="L908">
        <v>0</v>
      </c>
      <c r="M908">
        <v>240</v>
      </c>
      <c r="N908">
        <v>741</v>
      </c>
      <c r="O908">
        <v>2246</v>
      </c>
      <c r="P908" t="str">
        <f>TEXT(tbl_working_daily[[#This Row],[ActivityDate]],"dddd")</f>
        <v>Sunday</v>
      </c>
      <c r="Q908" t="str">
        <f>TEXT(tbl_working_daily[[#This Row],[ActivityDate]],"mmmm")</f>
        <v>May</v>
      </c>
      <c r="R908">
        <f t="shared" si="28"/>
        <v>240</v>
      </c>
      <c r="S908">
        <f t="shared" si="29"/>
        <v>981</v>
      </c>
      <c r="T908">
        <f>ROUND(tbl_working_daily[[#This Row],[SedentaryMinutes]]/60,2)</f>
        <v>12.35</v>
      </c>
      <c r="U908" t="str" cm="1">
        <f t="array" ref="U90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8" t="str" cm="1">
        <f t="array" ref="V908">_xlfn.IFS(tbl_working_daily[[#This Row],[VeryActiveMinutes]]&gt;=30,"Very Active",tbl_working_daily[[#This Row],[VeryActiveMinutes]]&gt;=15,"Moderately Active",tbl_working_daily[[#This Row],[VeryActiveMinutes]]&gt;=1,"Lightly Active",tbl_working_daily[[#This Row],[VeryActiveMinutes]]=0,"Sedentary")</f>
        <v>Sedentary</v>
      </c>
      <c r="W908" t="str">
        <f>tbl_working_daily[[#This Row],[Id]]&amp;"|"&amp;TEXT(tbl_working_daily[[#This Row],[ActivityDate]],"yyyy-mm-dd")</f>
        <v>4445114986|2016-05-01</v>
      </c>
      <c r="X908" t="b">
        <f>ISNUMBER(MATCH(tbl_working_daily[[#This Row],[LookupKey]],tbl_working_sleep[LookupKey],0))</f>
        <v>1</v>
      </c>
    </row>
    <row r="909" spans="1:24" x14ac:dyDescent="0.3">
      <c r="A909">
        <v>4445114986</v>
      </c>
      <c r="B909" s="1">
        <v>42492</v>
      </c>
      <c r="C909">
        <v>6910</v>
      </c>
      <c r="D909">
        <v>4.75</v>
      </c>
      <c r="E909">
        <v>4.75</v>
      </c>
      <c r="F909">
        <v>0</v>
      </c>
      <c r="G909">
        <v>2.21000003814697</v>
      </c>
      <c r="H909">
        <v>0.18999999761581399</v>
      </c>
      <c r="I909">
        <v>2.3499999046325701</v>
      </c>
      <c r="J909">
        <v>0</v>
      </c>
      <c r="K909">
        <v>27</v>
      </c>
      <c r="L909">
        <v>4</v>
      </c>
      <c r="M909">
        <v>200</v>
      </c>
      <c r="N909">
        <v>667</v>
      </c>
      <c r="O909">
        <v>2336</v>
      </c>
      <c r="P909" t="str">
        <f>TEXT(tbl_working_daily[[#This Row],[ActivityDate]],"dddd")</f>
        <v>Monday</v>
      </c>
      <c r="Q909" t="str">
        <f>TEXT(tbl_working_daily[[#This Row],[ActivityDate]],"mmmm")</f>
        <v>May</v>
      </c>
      <c r="R909">
        <f t="shared" si="28"/>
        <v>231</v>
      </c>
      <c r="S909">
        <f t="shared" si="29"/>
        <v>898</v>
      </c>
      <c r="T909">
        <f>ROUND(tbl_working_daily[[#This Row],[SedentaryMinutes]]/60,2)</f>
        <v>11.12</v>
      </c>
      <c r="U909" t="str" cm="1">
        <f t="array" ref="U90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09" t="str" cm="1">
        <f t="array" ref="V909">_xlfn.IFS(tbl_working_daily[[#This Row],[VeryActiveMinutes]]&gt;=30,"Very Active",tbl_working_daily[[#This Row],[VeryActiveMinutes]]&gt;=15,"Moderately Active",tbl_working_daily[[#This Row],[VeryActiveMinutes]]&gt;=1,"Lightly Active",tbl_working_daily[[#This Row],[VeryActiveMinutes]]=0,"Sedentary")</f>
        <v>Moderately Active</v>
      </c>
      <c r="W909" t="str">
        <f>tbl_working_daily[[#This Row],[Id]]&amp;"|"&amp;TEXT(tbl_working_daily[[#This Row],[ActivityDate]],"yyyy-mm-dd")</f>
        <v>4445114986|2016-05-02</v>
      </c>
      <c r="X909" t="b">
        <f>ISNUMBER(MATCH(tbl_working_daily[[#This Row],[LookupKey]],tbl_working_sleep[LookupKey],0))</f>
        <v>1</v>
      </c>
    </row>
    <row r="910" spans="1:24" x14ac:dyDescent="0.3">
      <c r="A910">
        <v>4445114986</v>
      </c>
      <c r="B910" s="1">
        <v>42493</v>
      </c>
      <c r="C910">
        <v>7502</v>
      </c>
      <c r="D910">
        <v>5.1799998283386204</v>
      </c>
      <c r="E910">
        <v>5.1799998283386204</v>
      </c>
      <c r="F910">
        <v>0</v>
      </c>
      <c r="G910">
        <v>2.4800000190734899</v>
      </c>
      <c r="H910">
        <v>0.109999999403954</v>
      </c>
      <c r="I910">
        <v>2.5799999237060498</v>
      </c>
      <c r="J910">
        <v>0</v>
      </c>
      <c r="K910">
        <v>30</v>
      </c>
      <c r="L910">
        <v>2</v>
      </c>
      <c r="M910">
        <v>233</v>
      </c>
      <c r="N910">
        <v>725</v>
      </c>
      <c r="O910">
        <v>2421</v>
      </c>
      <c r="P910" t="str">
        <f>TEXT(tbl_working_daily[[#This Row],[ActivityDate]],"dddd")</f>
        <v>Tuesday</v>
      </c>
      <c r="Q910" t="str">
        <f>TEXT(tbl_working_daily[[#This Row],[ActivityDate]],"mmmm")</f>
        <v>May</v>
      </c>
      <c r="R910">
        <f t="shared" si="28"/>
        <v>265</v>
      </c>
      <c r="S910">
        <f t="shared" si="29"/>
        <v>990</v>
      </c>
      <c r="T910">
        <f>ROUND(tbl_working_daily[[#This Row],[SedentaryMinutes]]/60,2)</f>
        <v>12.08</v>
      </c>
      <c r="U910" t="str" cm="1">
        <f t="array" ref="U91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10" t="str" cm="1">
        <f t="array" ref="V910">_xlfn.IFS(tbl_working_daily[[#This Row],[VeryActiveMinutes]]&gt;=30,"Very Active",tbl_working_daily[[#This Row],[VeryActiveMinutes]]&gt;=15,"Moderately Active",tbl_working_daily[[#This Row],[VeryActiveMinutes]]&gt;=1,"Lightly Active",tbl_working_daily[[#This Row],[VeryActiveMinutes]]=0,"Sedentary")</f>
        <v>Very Active</v>
      </c>
      <c r="W910" t="str">
        <f>tbl_working_daily[[#This Row],[Id]]&amp;"|"&amp;TEXT(tbl_working_daily[[#This Row],[ActivityDate]],"yyyy-mm-dd")</f>
        <v>4445114986|2016-05-03</v>
      </c>
      <c r="X910" t="b">
        <f>ISNUMBER(MATCH(tbl_working_daily[[#This Row],[LookupKey]],tbl_working_sleep[LookupKey],0))</f>
        <v>1</v>
      </c>
    </row>
    <row r="911" spans="1:24" x14ac:dyDescent="0.3">
      <c r="A911">
        <v>4445114986</v>
      </c>
      <c r="B911" s="1">
        <v>42494</v>
      </c>
      <c r="C911">
        <v>2923</v>
      </c>
      <c r="D911">
        <v>1.96000003814697</v>
      </c>
      <c r="E911">
        <v>1.96000003814697</v>
      </c>
      <c r="F911">
        <v>0</v>
      </c>
      <c r="G911">
        <v>0</v>
      </c>
      <c r="H911">
        <v>0</v>
      </c>
      <c r="I911">
        <v>1.96000003814697</v>
      </c>
      <c r="J911">
        <v>0</v>
      </c>
      <c r="K911">
        <v>0</v>
      </c>
      <c r="L911">
        <v>0</v>
      </c>
      <c r="M911">
        <v>180</v>
      </c>
      <c r="N911">
        <v>897</v>
      </c>
      <c r="O911">
        <v>2070</v>
      </c>
      <c r="P911" t="str">
        <f>TEXT(tbl_working_daily[[#This Row],[ActivityDate]],"dddd")</f>
        <v>Wednesday</v>
      </c>
      <c r="Q911" t="str">
        <f>TEXT(tbl_working_daily[[#This Row],[ActivityDate]],"mmmm")</f>
        <v>May</v>
      </c>
      <c r="R911">
        <f t="shared" si="28"/>
        <v>180</v>
      </c>
      <c r="S911">
        <f t="shared" si="29"/>
        <v>1077</v>
      </c>
      <c r="T911">
        <f>ROUND(tbl_working_daily[[#This Row],[SedentaryMinutes]]/60,2)</f>
        <v>14.95</v>
      </c>
      <c r="U911" t="str" cm="1">
        <f t="array" ref="U91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11" t="str" cm="1">
        <f t="array" ref="V911">_xlfn.IFS(tbl_working_daily[[#This Row],[VeryActiveMinutes]]&gt;=30,"Very Active",tbl_working_daily[[#This Row],[VeryActiveMinutes]]&gt;=15,"Moderately Active",tbl_working_daily[[#This Row],[VeryActiveMinutes]]&gt;=1,"Lightly Active",tbl_working_daily[[#This Row],[VeryActiveMinutes]]=0,"Sedentary")</f>
        <v>Sedentary</v>
      </c>
      <c r="W911" t="str">
        <f>tbl_working_daily[[#This Row],[Id]]&amp;"|"&amp;TEXT(tbl_working_daily[[#This Row],[ActivityDate]],"yyyy-mm-dd")</f>
        <v>4445114986|2016-05-04</v>
      </c>
      <c r="X911" t="b">
        <f>ISNUMBER(MATCH(tbl_working_daily[[#This Row],[LookupKey]],tbl_working_sleep[LookupKey],0))</f>
        <v>1</v>
      </c>
    </row>
    <row r="912" spans="1:24" x14ac:dyDescent="0.3">
      <c r="A912">
        <v>4445114986</v>
      </c>
      <c r="B912" s="1">
        <v>42495</v>
      </c>
      <c r="C912">
        <v>3800</v>
      </c>
      <c r="D912">
        <v>2.5499999523162802</v>
      </c>
      <c r="E912">
        <v>2.5499999523162802</v>
      </c>
      <c r="F912">
        <v>0</v>
      </c>
      <c r="G912">
        <v>0.119999997317791</v>
      </c>
      <c r="H912">
        <v>0.239999994635582</v>
      </c>
      <c r="I912">
        <v>2.1800000667571999</v>
      </c>
      <c r="J912">
        <v>0</v>
      </c>
      <c r="K912">
        <v>2</v>
      </c>
      <c r="L912">
        <v>6</v>
      </c>
      <c r="M912">
        <v>185</v>
      </c>
      <c r="N912">
        <v>734</v>
      </c>
      <c r="O912">
        <v>2120</v>
      </c>
      <c r="P912" t="str">
        <f>TEXT(tbl_working_daily[[#This Row],[ActivityDate]],"dddd")</f>
        <v>Thursday</v>
      </c>
      <c r="Q912" t="str">
        <f>TEXT(tbl_working_daily[[#This Row],[ActivityDate]],"mmmm")</f>
        <v>May</v>
      </c>
      <c r="R912">
        <f t="shared" si="28"/>
        <v>193</v>
      </c>
      <c r="S912">
        <f t="shared" si="29"/>
        <v>927</v>
      </c>
      <c r="T912">
        <f>ROUND(tbl_working_daily[[#This Row],[SedentaryMinutes]]/60,2)</f>
        <v>12.23</v>
      </c>
      <c r="U912" t="str" cm="1">
        <f t="array" ref="U9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12" t="str" cm="1">
        <f t="array" ref="V912">_xlfn.IFS(tbl_working_daily[[#This Row],[VeryActiveMinutes]]&gt;=30,"Very Active",tbl_working_daily[[#This Row],[VeryActiveMinutes]]&gt;=15,"Moderately Active",tbl_working_daily[[#This Row],[VeryActiveMinutes]]&gt;=1,"Lightly Active",tbl_working_daily[[#This Row],[VeryActiveMinutes]]=0,"Sedentary")</f>
        <v>Lightly Active</v>
      </c>
      <c r="W912" t="str">
        <f>tbl_working_daily[[#This Row],[Id]]&amp;"|"&amp;TEXT(tbl_working_daily[[#This Row],[ActivityDate]],"yyyy-mm-dd")</f>
        <v>4445114986|2016-05-05</v>
      </c>
      <c r="X912" t="b">
        <f>ISNUMBER(MATCH(tbl_working_daily[[#This Row],[LookupKey]],tbl_working_sleep[LookupKey],0))</f>
        <v>1</v>
      </c>
    </row>
    <row r="913" spans="1:24" x14ac:dyDescent="0.3">
      <c r="A913">
        <v>4445114986</v>
      </c>
      <c r="B913" s="1">
        <v>42496</v>
      </c>
      <c r="C913">
        <v>4514</v>
      </c>
      <c r="D913">
        <v>3.0299999713897701</v>
      </c>
      <c r="E913">
        <v>3.0299999713897701</v>
      </c>
      <c r="F913">
        <v>0</v>
      </c>
      <c r="G913">
        <v>0</v>
      </c>
      <c r="H913">
        <v>0</v>
      </c>
      <c r="I913">
        <v>3.0299999713897701</v>
      </c>
      <c r="J913">
        <v>0</v>
      </c>
      <c r="K913">
        <v>0</v>
      </c>
      <c r="L913">
        <v>0</v>
      </c>
      <c r="M913">
        <v>229</v>
      </c>
      <c r="N913">
        <v>809</v>
      </c>
      <c r="O913">
        <v>2211</v>
      </c>
      <c r="P913" t="str">
        <f>TEXT(tbl_working_daily[[#This Row],[ActivityDate]],"dddd")</f>
        <v>Friday</v>
      </c>
      <c r="Q913" t="str">
        <f>TEXT(tbl_working_daily[[#This Row],[ActivityDate]],"mmmm")</f>
        <v>May</v>
      </c>
      <c r="R913">
        <f t="shared" si="28"/>
        <v>229</v>
      </c>
      <c r="S913">
        <f t="shared" si="29"/>
        <v>1038</v>
      </c>
      <c r="T913">
        <f>ROUND(tbl_working_daily[[#This Row],[SedentaryMinutes]]/60,2)</f>
        <v>13.48</v>
      </c>
      <c r="U913" t="str" cm="1">
        <f t="array" ref="U91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13" t="str" cm="1">
        <f t="array" ref="V913">_xlfn.IFS(tbl_working_daily[[#This Row],[VeryActiveMinutes]]&gt;=30,"Very Active",tbl_working_daily[[#This Row],[VeryActiveMinutes]]&gt;=15,"Moderately Active",tbl_working_daily[[#This Row],[VeryActiveMinutes]]&gt;=1,"Lightly Active",tbl_working_daily[[#This Row],[VeryActiveMinutes]]=0,"Sedentary")</f>
        <v>Sedentary</v>
      </c>
      <c r="W913" t="str">
        <f>tbl_working_daily[[#This Row],[Id]]&amp;"|"&amp;TEXT(tbl_working_daily[[#This Row],[ActivityDate]],"yyyy-mm-dd")</f>
        <v>4445114986|2016-05-06</v>
      </c>
      <c r="X913" t="b">
        <f>ISNUMBER(MATCH(tbl_working_daily[[#This Row],[LookupKey]],tbl_working_sleep[LookupKey],0))</f>
        <v>1</v>
      </c>
    </row>
    <row r="914" spans="1:24" x14ac:dyDescent="0.3">
      <c r="A914">
        <v>4445114986</v>
      </c>
      <c r="B914" s="1">
        <v>42497</v>
      </c>
      <c r="C914">
        <v>5183</v>
      </c>
      <c r="D914">
        <v>3.5899999141693102</v>
      </c>
      <c r="E914">
        <v>3.5899999141693102</v>
      </c>
      <c r="F914">
        <v>0</v>
      </c>
      <c r="G914">
        <v>2.1300001144409202</v>
      </c>
      <c r="H914">
        <v>0.18999999761581399</v>
      </c>
      <c r="I914">
        <v>1.25</v>
      </c>
      <c r="J914">
        <v>0</v>
      </c>
      <c r="K914">
        <v>26</v>
      </c>
      <c r="L914">
        <v>4</v>
      </c>
      <c r="M914">
        <v>108</v>
      </c>
      <c r="N914">
        <v>866</v>
      </c>
      <c r="O914">
        <v>2123</v>
      </c>
      <c r="P914" t="str">
        <f>TEXT(tbl_working_daily[[#This Row],[ActivityDate]],"dddd")</f>
        <v>Saturday</v>
      </c>
      <c r="Q914" t="str">
        <f>TEXT(tbl_working_daily[[#This Row],[ActivityDate]],"mmmm")</f>
        <v>May</v>
      </c>
      <c r="R914">
        <f t="shared" si="28"/>
        <v>138</v>
      </c>
      <c r="S914">
        <f t="shared" si="29"/>
        <v>1004</v>
      </c>
      <c r="T914">
        <f>ROUND(tbl_working_daily[[#This Row],[SedentaryMinutes]]/60,2)</f>
        <v>14.43</v>
      </c>
      <c r="U914" t="str" cm="1">
        <f t="array" ref="U91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14" t="str" cm="1">
        <f t="array" ref="V914">_xlfn.IFS(tbl_working_daily[[#This Row],[VeryActiveMinutes]]&gt;=30,"Very Active",tbl_working_daily[[#This Row],[VeryActiveMinutes]]&gt;=15,"Moderately Active",tbl_working_daily[[#This Row],[VeryActiveMinutes]]&gt;=1,"Lightly Active",tbl_working_daily[[#This Row],[VeryActiveMinutes]]=0,"Sedentary")</f>
        <v>Moderately Active</v>
      </c>
      <c r="W914" t="str">
        <f>tbl_working_daily[[#This Row],[Id]]&amp;"|"&amp;TEXT(tbl_working_daily[[#This Row],[ActivityDate]],"yyyy-mm-dd")</f>
        <v>4445114986|2016-05-07</v>
      </c>
      <c r="X914" t="b">
        <f>ISNUMBER(MATCH(tbl_working_daily[[#This Row],[LookupKey]],tbl_working_sleep[LookupKey],0))</f>
        <v>1</v>
      </c>
    </row>
    <row r="915" spans="1:24" x14ac:dyDescent="0.3">
      <c r="A915">
        <v>4445114986</v>
      </c>
      <c r="B915" s="1">
        <v>42498</v>
      </c>
      <c r="C915">
        <v>7303</v>
      </c>
      <c r="D915">
        <v>4.9000000953674299</v>
      </c>
      <c r="E915">
        <v>4.9000000953674299</v>
      </c>
      <c r="F915">
        <v>0</v>
      </c>
      <c r="G915">
        <v>0</v>
      </c>
      <c r="H915">
        <v>0.25</v>
      </c>
      <c r="I915">
        <v>4.6500000953674299</v>
      </c>
      <c r="J915">
        <v>0</v>
      </c>
      <c r="K915">
        <v>0</v>
      </c>
      <c r="L915">
        <v>8</v>
      </c>
      <c r="M915">
        <v>308</v>
      </c>
      <c r="N915">
        <v>733</v>
      </c>
      <c r="O915">
        <v>2423</v>
      </c>
      <c r="P915" t="str">
        <f>TEXT(tbl_working_daily[[#This Row],[ActivityDate]],"dddd")</f>
        <v>Sunday</v>
      </c>
      <c r="Q915" t="str">
        <f>TEXT(tbl_working_daily[[#This Row],[ActivityDate]],"mmmm")</f>
        <v>May</v>
      </c>
      <c r="R915">
        <f t="shared" si="28"/>
        <v>316</v>
      </c>
      <c r="S915">
        <f t="shared" si="29"/>
        <v>1049</v>
      </c>
      <c r="T915">
        <f>ROUND(tbl_working_daily[[#This Row],[SedentaryMinutes]]/60,2)</f>
        <v>12.22</v>
      </c>
      <c r="U915" t="str" cm="1">
        <f t="array" ref="U91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15" t="str" cm="1">
        <f t="array" ref="V915">_xlfn.IFS(tbl_working_daily[[#This Row],[VeryActiveMinutes]]&gt;=30,"Very Active",tbl_working_daily[[#This Row],[VeryActiveMinutes]]&gt;=15,"Moderately Active",tbl_working_daily[[#This Row],[VeryActiveMinutes]]&gt;=1,"Lightly Active",tbl_working_daily[[#This Row],[VeryActiveMinutes]]=0,"Sedentary")</f>
        <v>Sedentary</v>
      </c>
      <c r="W915" t="str">
        <f>tbl_working_daily[[#This Row],[Id]]&amp;"|"&amp;TEXT(tbl_working_daily[[#This Row],[ActivityDate]],"yyyy-mm-dd")</f>
        <v>4445114986|2016-05-08</v>
      </c>
      <c r="X915" t="b">
        <f>ISNUMBER(MATCH(tbl_working_daily[[#This Row],[LookupKey]],tbl_working_sleep[LookupKey],0))</f>
        <v>1</v>
      </c>
    </row>
    <row r="916" spans="1:24" x14ac:dyDescent="0.3">
      <c r="A916">
        <v>4445114986</v>
      </c>
      <c r="B916" s="1">
        <v>42499</v>
      </c>
      <c r="C916">
        <v>5275</v>
      </c>
      <c r="D916">
        <v>3.53999996185303</v>
      </c>
      <c r="E916">
        <v>3.53999996185303</v>
      </c>
      <c r="F916">
        <v>0</v>
      </c>
      <c r="G916">
        <v>0</v>
      </c>
      <c r="H916">
        <v>0</v>
      </c>
      <c r="I916">
        <v>3.53999996185303</v>
      </c>
      <c r="J916">
        <v>0</v>
      </c>
      <c r="K916">
        <v>0</v>
      </c>
      <c r="L916">
        <v>0</v>
      </c>
      <c r="M916">
        <v>266</v>
      </c>
      <c r="N916">
        <v>641</v>
      </c>
      <c r="O916">
        <v>2281</v>
      </c>
      <c r="P916" t="str">
        <f>TEXT(tbl_working_daily[[#This Row],[ActivityDate]],"dddd")</f>
        <v>Monday</v>
      </c>
      <c r="Q916" t="str">
        <f>TEXT(tbl_working_daily[[#This Row],[ActivityDate]],"mmmm")</f>
        <v>May</v>
      </c>
      <c r="R916">
        <f t="shared" si="28"/>
        <v>266</v>
      </c>
      <c r="S916">
        <f t="shared" si="29"/>
        <v>907</v>
      </c>
      <c r="T916">
        <f>ROUND(tbl_working_daily[[#This Row],[SedentaryMinutes]]/60,2)</f>
        <v>10.68</v>
      </c>
      <c r="U916" t="str" cm="1">
        <f t="array" ref="U91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16" t="str" cm="1">
        <f t="array" ref="V916">_xlfn.IFS(tbl_working_daily[[#This Row],[VeryActiveMinutes]]&gt;=30,"Very Active",tbl_working_daily[[#This Row],[VeryActiveMinutes]]&gt;=15,"Moderately Active",tbl_working_daily[[#This Row],[VeryActiveMinutes]]&gt;=1,"Lightly Active",tbl_working_daily[[#This Row],[VeryActiveMinutes]]=0,"Sedentary")</f>
        <v>Sedentary</v>
      </c>
      <c r="W916" t="str">
        <f>tbl_working_daily[[#This Row],[Id]]&amp;"|"&amp;TEXT(tbl_working_daily[[#This Row],[ActivityDate]],"yyyy-mm-dd")</f>
        <v>4445114986|2016-05-09</v>
      </c>
      <c r="X916" t="b">
        <f>ISNUMBER(MATCH(tbl_working_daily[[#This Row],[LookupKey]],tbl_working_sleep[LookupKey],0))</f>
        <v>1</v>
      </c>
    </row>
    <row r="917" spans="1:24" x14ac:dyDescent="0.3">
      <c r="A917">
        <v>4445114986</v>
      </c>
      <c r="B917" s="1">
        <v>42500</v>
      </c>
      <c r="C917">
        <v>3915</v>
      </c>
      <c r="D917">
        <v>2.6300001144409202</v>
      </c>
      <c r="E917">
        <v>2.6300001144409202</v>
      </c>
      <c r="F917">
        <v>0</v>
      </c>
      <c r="G917">
        <v>0</v>
      </c>
      <c r="H917">
        <v>0</v>
      </c>
      <c r="I917">
        <v>2.6300001144409202</v>
      </c>
      <c r="J917">
        <v>0</v>
      </c>
      <c r="K917">
        <v>0</v>
      </c>
      <c r="L917">
        <v>0</v>
      </c>
      <c r="M917">
        <v>231</v>
      </c>
      <c r="N917">
        <v>783</v>
      </c>
      <c r="O917">
        <v>2181</v>
      </c>
      <c r="P917" t="str">
        <f>TEXT(tbl_working_daily[[#This Row],[ActivityDate]],"dddd")</f>
        <v>Tuesday</v>
      </c>
      <c r="Q917" t="str">
        <f>TEXT(tbl_working_daily[[#This Row],[ActivityDate]],"mmmm")</f>
        <v>May</v>
      </c>
      <c r="R917">
        <f t="shared" si="28"/>
        <v>231</v>
      </c>
      <c r="S917">
        <f t="shared" si="29"/>
        <v>1014</v>
      </c>
      <c r="T917">
        <f>ROUND(tbl_working_daily[[#This Row],[SedentaryMinutes]]/60,2)</f>
        <v>13.05</v>
      </c>
      <c r="U917" t="str" cm="1">
        <f t="array" ref="U91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17" t="str" cm="1">
        <f t="array" ref="V917">_xlfn.IFS(tbl_working_daily[[#This Row],[VeryActiveMinutes]]&gt;=30,"Very Active",tbl_working_daily[[#This Row],[VeryActiveMinutes]]&gt;=15,"Moderately Active",tbl_working_daily[[#This Row],[VeryActiveMinutes]]&gt;=1,"Lightly Active",tbl_working_daily[[#This Row],[VeryActiveMinutes]]=0,"Sedentary")</f>
        <v>Sedentary</v>
      </c>
      <c r="W917" t="str">
        <f>tbl_working_daily[[#This Row],[Id]]&amp;"|"&amp;TEXT(tbl_working_daily[[#This Row],[ActivityDate]],"yyyy-mm-dd")</f>
        <v>4445114986|2016-05-10</v>
      </c>
      <c r="X917" t="b">
        <f>ISNUMBER(MATCH(tbl_working_daily[[#This Row],[LookupKey]],tbl_working_sleep[LookupKey],0))</f>
        <v>1</v>
      </c>
    </row>
    <row r="918" spans="1:24" x14ac:dyDescent="0.3">
      <c r="A918">
        <v>4445114986</v>
      </c>
      <c r="B918" s="1">
        <v>42501</v>
      </c>
      <c r="C918">
        <v>9105</v>
      </c>
      <c r="D918">
        <v>6.1100001335143999</v>
      </c>
      <c r="E918">
        <v>6.1100001335143999</v>
      </c>
      <c r="F918">
        <v>0</v>
      </c>
      <c r="G918">
        <v>2.25</v>
      </c>
      <c r="H918">
        <v>1</v>
      </c>
      <c r="I918">
        <v>2.8599998950958301</v>
      </c>
      <c r="J918">
        <v>0</v>
      </c>
      <c r="K918">
        <v>34</v>
      </c>
      <c r="L918">
        <v>22</v>
      </c>
      <c r="M918">
        <v>232</v>
      </c>
      <c r="N918">
        <v>622</v>
      </c>
      <c r="O918">
        <v>2499</v>
      </c>
      <c r="P918" t="str">
        <f>TEXT(tbl_working_daily[[#This Row],[ActivityDate]],"dddd")</f>
        <v>Wednesday</v>
      </c>
      <c r="Q918" t="str">
        <f>TEXT(tbl_working_daily[[#This Row],[ActivityDate]],"mmmm")</f>
        <v>May</v>
      </c>
      <c r="R918">
        <f t="shared" si="28"/>
        <v>288</v>
      </c>
      <c r="S918">
        <f t="shared" si="29"/>
        <v>910</v>
      </c>
      <c r="T918">
        <f>ROUND(tbl_working_daily[[#This Row],[SedentaryMinutes]]/60,2)</f>
        <v>10.37</v>
      </c>
      <c r="U918" t="str" cm="1">
        <f t="array" ref="U91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18" t="str" cm="1">
        <f t="array" ref="V918">_xlfn.IFS(tbl_working_daily[[#This Row],[VeryActiveMinutes]]&gt;=30,"Very Active",tbl_working_daily[[#This Row],[VeryActiveMinutes]]&gt;=15,"Moderately Active",tbl_working_daily[[#This Row],[VeryActiveMinutes]]&gt;=1,"Lightly Active",tbl_working_daily[[#This Row],[VeryActiveMinutes]]=0,"Sedentary")</f>
        <v>Very Active</v>
      </c>
      <c r="W918" t="str">
        <f>tbl_working_daily[[#This Row],[Id]]&amp;"|"&amp;TEXT(tbl_working_daily[[#This Row],[ActivityDate]],"yyyy-mm-dd")</f>
        <v>4445114986|2016-05-11</v>
      </c>
      <c r="X918" t="b">
        <f>ISNUMBER(MATCH(tbl_working_daily[[#This Row],[LookupKey]],tbl_working_sleep[LookupKey],0))</f>
        <v>1</v>
      </c>
    </row>
    <row r="919" spans="1:24" x14ac:dyDescent="0.3">
      <c r="A919">
        <v>4445114986</v>
      </c>
      <c r="B919" s="1">
        <v>42502</v>
      </c>
      <c r="C919">
        <v>768</v>
      </c>
      <c r="D919">
        <v>0.519999980926514</v>
      </c>
      <c r="E919">
        <v>0.519999980926514</v>
      </c>
      <c r="F919">
        <v>0</v>
      </c>
      <c r="G919">
        <v>0</v>
      </c>
      <c r="H919">
        <v>0</v>
      </c>
      <c r="I919">
        <v>0.519999980926514</v>
      </c>
      <c r="J919">
        <v>0</v>
      </c>
      <c r="K919">
        <v>0</v>
      </c>
      <c r="L919">
        <v>0</v>
      </c>
      <c r="M919">
        <v>58</v>
      </c>
      <c r="N919">
        <v>380</v>
      </c>
      <c r="O919">
        <v>1212</v>
      </c>
      <c r="P919" t="str">
        <f>TEXT(tbl_working_daily[[#This Row],[ActivityDate]],"dddd")</f>
        <v>Thursday</v>
      </c>
      <c r="Q919" t="str">
        <f>TEXT(tbl_working_daily[[#This Row],[ActivityDate]],"mmmm")</f>
        <v>May</v>
      </c>
      <c r="R919">
        <f t="shared" si="28"/>
        <v>58</v>
      </c>
      <c r="S919">
        <f t="shared" si="29"/>
        <v>438</v>
      </c>
      <c r="T919">
        <f>ROUND(tbl_working_daily[[#This Row],[SedentaryMinutes]]/60,2)</f>
        <v>6.33</v>
      </c>
      <c r="U919" t="str" cm="1">
        <f t="array" ref="U91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19" t="str" cm="1">
        <f t="array" ref="V919">_xlfn.IFS(tbl_working_daily[[#This Row],[VeryActiveMinutes]]&gt;=30,"Very Active",tbl_working_daily[[#This Row],[VeryActiveMinutes]]&gt;=15,"Moderately Active",tbl_working_daily[[#This Row],[VeryActiveMinutes]]&gt;=1,"Lightly Active",tbl_working_daily[[#This Row],[VeryActiveMinutes]]=0,"Sedentary")</f>
        <v>Sedentary</v>
      </c>
      <c r="W919" t="str">
        <f>tbl_working_daily[[#This Row],[Id]]&amp;"|"&amp;TEXT(tbl_working_daily[[#This Row],[ActivityDate]],"yyyy-mm-dd")</f>
        <v>4445114986|2016-05-12</v>
      </c>
      <c r="X919" t="b">
        <f>ISNUMBER(MATCH(tbl_working_daily[[#This Row],[LookupKey]],tbl_working_sleep[LookupKey],0))</f>
        <v>1</v>
      </c>
    </row>
    <row r="920" spans="1:24" x14ac:dyDescent="0.3">
      <c r="A920">
        <v>4558609924</v>
      </c>
      <c r="B920" s="1">
        <v>42473</v>
      </c>
      <c r="C920">
        <v>4978</v>
      </c>
      <c r="D920">
        <v>3.28999996185303</v>
      </c>
      <c r="E920">
        <v>3.28999996185303</v>
      </c>
      <c r="F920">
        <v>0</v>
      </c>
      <c r="G920">
        <v>1.2400000095367401</v>
      </c>
      <c r="H920">
        <v>0.43999999761581399</v>
      </c>
      <c r="I920">
        <v>1.6100000143051101</v>
      </c>
      <c r="J920">
        <v>0</v>
      </c>
      <c r="K920">
        <v>19</v>
      </c>
      <c r="L920">
        <v>7</v>
      </c>
      <c r="M920">
        <v>127</v>
      </c>
      <c r="N920">
        <v>1287</v>
      </c>
      <c r="O920">
        <v>1722</v>
      </c>
      <c r="P920" t="str">
        <f>TEXT(tbl_working_daily[[#This Row],[ActivityDate]],"dddd")</f>
        <v>Wednesday</v>
      </c>
      <c r="Q920" t="str">
        <f>TEXT(tbl_working_daily[[#This Row],[ActivityDate]],"mmmm")</f>
        <v>April</v>
      </c>
      <c r="R920">
        <f t="shared" si="28"/>
        <v>153</v>
      </c>
      <c r="S920">
        <f t="shared" si="29"/>
        <v>1440</v>
      </c>
      <c r="T920">
        <f>ROUND(tbl_working_daily[[#This Row],[SedentaryMinutes]]/60,2)</f>
        <v>21.45</v>
      </c>
      <c r="U920" t="str" cm="1">
        <f t="array" ref="U92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20" t="str" cm="1">
        <f t="array" ref="V920">_xlfn.IFS(tbl_working_daily[[#This Row],[VeryActiveMinutes]]&gt;=30,"Very Active",tbl_working_daily[[#This Row],[VeryActiveMinutes]]&gt;=15,"Moderately Active",tbl_working_daily[[#This Row],[VeryActiveMinutes]]&gt;=1,"Lightly Active",tbl_working_daily[[#This Row],[VeryActiveMinutes]]=0,"Sedentary")</f>
        <v>Moderately Active</v>
      </c>
      <c r="W920" t="str">
        <f>tbl_working_daily[[#This Row],[Id]]&amp;"|"&amp;TEXT(tbl_working_daily[[#This Row],[ActivityDate]],"yyyy-mm-dd")</f>
        <v>4558609924|2016-04-13</v>
      </c>
      <c r="X920" t="b">
        <f>ISNUMBER(MATCH(tbl_working_daily[[#This Row],[LookupKey]],tbl_working_sleep[LookupKey],0))</f>
        <v>0</v>
      </c>
    </row>
    <row r="921" spans="1:24" x14ac:dyDescent="0.3">
      <c r="A921">
        <v>4558609924</v>
      </c>
      <c r="B921" s="1">
        <v>42474</v>
      </c>
      <c r="C921">
        <v>6799</v>
      </c>
      <c r="D921">
        <v>4.4899997711181596</v>
      </c>
      <c r="E921">
        <v>4.4899997711181596</v>
      </c>
      <c r="F921">
        <v>0</v>
      </c>
      <c r="G921">
        <v>0</v>
      </c>
      <c r="H921">
        <v>0</v>
      </c>
      <c r="I921">
        <v>4.4899997711181596</v>
      </c>
      <c r="J921">
        <v>0</v>
      </c>
      <c r="K921">
        <v>0</v>
      </c>
      <c r="L921">
        <v>0</v>
      </c>
      <c r="M921">
        <v>279</v>
      </c>
      <c r="N921">
        <v>1161</v>
      </c>
      <c r="O921">
        <v>1922</v>
      </c>
      <c r="P921" t="str">
        <f>TEXT(tbl_working_daily[[#This Row],[ActivityDate]],"dddd")</f>
        <v>Thursday</v>
      </c>
      <c r="Q921" t="str">
        <f>TEXT(tbl_working_daily[[#This Row],[ActivityDate]],"mmmm")</f>
        <v>April</v>
      </c>
      <c r="R921">
        <f t="shared" si="28"/>
        <v>279</v>
      </c>
      <c r="S921">
        <f t="shared" si="29"/>
        <v>1440</v>
      </c>
      <c r="T921">
        <f>ROUND(tbl_working_daily[[#This Row],[SedentaryMinutes]]/60,2)</f>
        <v>19.350000000000001</v>
      </c>
      <c r="U921" t="str" cm="1">
        <f t="array" ref="U92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21" t="str" cm="1">
        <f t="array" ref="V921">_xlfn.IFS(tbl_working_daily[[#This Row],[VeryActiveMinutes]]&gt;=30,"Very Active",tbl_working_daily[[#This Row],[VeryActiveMinutes]]&gt;=15,"Moderately Active",tbl_working_daily[[#This Row],[VeryActiveMinutes]]&gt;=1,"Lightly Active",tbl_working_daily[[#This Row],[VeryActiveMinutes]]=0,"Sedentary")</f>
        <v>Sedentary</v>
      </c>
      <c r="W921" t="str">
        <f>tbl_working_daily[[#This Row],[Id]]&amp;"|"&amp;TEXT(tbl_working_daily[[#This Row],[ActivityDate]],"yyyy-mm-dd")</f>
        <v>4558609924|2016-04-14</v>
      </c>
      <c r="X921" t="b">
        <f>ISNUMBER(MATCH(tbl_working_daily[[#This Row],[LookupKey]],tbl_working_sleep[LookupKey],0))</f>
        <v>0</v>
      </c>
    </row>
    <row r="922" spans="1:24" x14ac:dyDescent="0.3">
      <c r="A922">
        <v>4558609924</v>
      </c>
      <c r="B922" s="1">
        <v>42475</v>
      </c>
      <c r="C922">
        <v>7795</v>
      </c>
      <c r="D922">
        <v>5.1500000953674299</v>
      </c>
      <c r="E922">
        <v>5.1500000953674299</v>
      </c>
      <c r="F922">
        <v>0</v>
      </c>
      <c r="G922">
        <v>0.58999997377395597</v>
      </c>
      <c r="H922">
        <v>0.83999997377395597</v>
      </c>
      <c r="I922">
        <v>3.7300000190734899</v>
      </c>
      <c r="J922">
        <v>0</v>
      </c>
      <c r="K922">
        <v>17</v>
      </c>
      <c r="L922">
        <v>30</v>
      </c>
      <c r="M922">
        <v>262</v>
      </c>
      <c r="N922">
        <v>1131</v>
      </c>
      <c r="O922">
        <v>2121</v>
      </c>
      <c r="P922" t="str">
        <f>TEXT(tbl_working_daily[[#This Row],[ActivityDate]],"dddd")</f>
        <v>Friday</v>
      </c>
      <c r="Q922" t="str">
        <f>TEXT(tbl_working_daily[[#This Row],[ActivityDate]],"mmmm")</f>
        <v>April</v>
      </c>
      <c r="R922">
        <f t="shared" si="28"/>
        <v>309</v>
      </c>
      <c r="S922">
        <f t="shared" si="29"/>
        <v>1440</v>
      </c>
      <c r="T922">
        <f>ROUND(tbl_working_daily[[#This Row],[SedentaryMinutes]]/60,2)</f>
        <v>18.850000000000001</v>
      </c>
      <c r="U922" t="str" cm="1">
        <f t="array" ref="U92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22" t="str" cm="1">
        <f t="array" ref="V922">_xlfn.IFS(tbl_working_daily[[#This Row],[VeryActiveMinutes]]&gt;=30,"Very Active",tbl_working_daily[[#This Row],[VeryActiveMinutes]]&gt;=15,"Moderately Active",tbl_working_daily[[#This Row],[VeryActiveMinutes]]&gt;=1,"Lightly Active",tbl_working_daily[[#This Row],[VeryActiveMinutes]]=0,"Sedentary")</f>
        <v>Moderately Active</v>
      </c>
      <c r="W922" t="str">
        <f>tbl_working_daily[[#This Row],[Id]]&amp;"|"&amp;TEXT(tbl_working_daily[[#This Row],[ActivityDate]],"yyyy-mm-dd")</f>
        <v>4558609924|2016-04-15</v>
      </c>
      <c r="X922" t="b">
        <f>ISNUMBER(MATCH(tbl_working_daily[[#This Row],[LookupKey]],tbl_working_sleep[LookupKey],0))</f>
        <v>0</v>
      </c>
    </row>
    <row r="923" spans="1:24" x14ac:dyDescent="0.3">
      <c r="A923">
        <v>4558609924</v>
      </c>
      <c r="B923" s="1">
        <v>42476</v>
      </c>
      <c r="C923">
        <v>7289</v>
      </c>
      <c r="D923">
        <v>4.8200001716613796</v>
      </c>
      <c r="E923">
        <v>4.8200001716613796</v>
      </c>
      <c r="F923">
        <v>0</v>
      </c>
      <c r="G923">
        <v>0.55000001192092896</v>
      </c>
      <c r="H923">
        <v>0.75</v>
      </c>
      <c r="I923">
        <v>3.5</v>
      </c>
      <c r="J923">
        <v>0</v>
      </c>
      <c r="K923">
        <v>8</v>
      </c>
      <c r="L923">
        <v>12</v>
      </c>
      <c r="M923">
        <v>308</v>
      </c>
      <c r="N923">
        <v>1112</v>
      </c>
      <c r="O923">
        <v>1997</v>
      </c>
      <c r="P923" t="str">
        <f>TEXT(tbl_working_daily[[#This Row],[ActivityDate]],"dddd")</f>
        <v>Saturday</v>
      </c>
      <c r="Q923" t="str">
        <f>TEXT(tbl_working_daily[[#This Row],[ActivityDate]],"mmmm")</f>
        <v>April</v>
      </c>
      <c r="R923">
        <f t="shared" si="28"/>
        <v>328</v>
      </c>
      <c r="S923">
        <f t="shared" si="29"/>
        <v>1440</v>
      </c>
      <c r="T923">
        <f>ROUND(tbl_working_daily[[#This Row],[SedentaryMinutes]]/60,2)</f>
        <v>18.53</v>
      </c>
      <c r="U923" t="str" cm="1">
        <f t="array" ref="U92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23" t="str" cm="1">
        <f t="array" ref="V923">_xlfn.IFS(tbl_working_daily[[#This Row],[VeryActiveMinutes]]&gt;=30,"Very Active",tbl_working_daily[[#This Row],[VeryActiveMinutes]]&gt;=15,"Moderately Active",tbl_working_daily[[#This Row],[VeryActiveMinutes]]&gt;=1,"Lightly Active",tbl_working_daily[[#This Row],[VeryActiveMinutes]]=0,"Sedentary")</f>
        <v>Lightly Active</v>
      </c>
      <c r="W923" t="str">
        <f>tbl_working_daily[[#This Row],[Id]]&amp;"|"&amp;TEXT(tbl_working_daily[[#This Row],[ActivityDate]],"yyyy-mm-dd")</f>
        <v>4558609924|2016-04-16</v>
      </c>
      <c r="X923" t="b">
        <f>ISNUMBER(MATCH(tbl_working_daily[[#This Row],[LookupKey]],tbl_working_sleep[LookupKey],0))</f>
        <v>0</v>
      </c>
    </row>
    <row r="924" spans="1:24" x14ac:dyDescent="0.3">
      <c r="A924">
        <v>4558609924</v>
      </c>
      <c r="B924" s="1">
        <v>42477</v>
      </c>
      <c r="C924">
        <v>9634</v>
      </c>
      <c r="D924">
        <v>6.4000000953674299</v>
      </c>
      <c r="E924">
        <v>6.4000000953674299</v>
      </c>
      <c r="F924">
        <v>0</v>
      </c>
      <c r="G924">
        <v>0.55000001192092896</v>
      </c>
      <c r="H924">
        <v>1.1399999856948899</v>
      </c>
      <c r="I924">
        <v>4.71000003814697</v>
      </c>
      <c r="J924">
        <v>0</v>
      </c>
      <c r="K924">
        <v>7</v>
      </c>
      <c r="L924">
        <v>19</v>
      </c>
      <c r="M924">
        <v>304</v>
      </c>
      <c r="N924">
        <v>1110</v>
      </c>
      <c r="O924">
        <v>2117</v>
      </c>
      <c r="P924" t="str">
        <f>TEXT(tbl_working_daily[[#This Row],[ActivityDate]],"dddd")</f>
        <v>Sunday</v>
      </c>
      <c r="Q924" t="str">
        <f>TEXT(tbl_working_daily[[#This Row],[ActivityDate]],"mmmm")</f>
        <v>April</v>
      </c>
      <c r="R924">
        <f t="shared" si="28"/>
        <v>330</v>
      </c>
      <c r="S924">
        <f t="shared" si="29"/>
        <v>1440</v>
      </c>
      <c r="T924">
        <f>ROUND(tbl_working_daily[[#This Row],[SedentaryMinutes]]/60,2)</f>
        <v>18.5</v>
      </c>
      <c r="U924" t="str" cm="1">
        <f t="array" ref="U92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24" t="str" cm="1">
        <f t="array" ref="V924">_xlfn.IFS(tbl_working_daily[[#This Row],[VeryActiveMinutes]]&gt;=30,"Very Active",tbl_working_daily[[#This Row],[VeryActiveMinutes]]&gt;=15,"Moderately Active",tbl_working_daily[[#This Row],[VeryActiveMinutes]]&gt;=1,"Lightly Active",tbl_working_daily[[#This Row],[VeryActiveMinutes]]=0,"Sedentary")</f>
        <v>Lightly Active</v>
      </c>
      <c r="W924" t="str">
        <f>tbl_working_daily[[#This Row],[Id]]&amp;"|"&amp;TEXT(tbl_working_daily[[#This Row],[ActivityDate]],"yyyy-mm-dd")</f>
        <v>4558609924|2016-04-17</v>
      </c>
      <c r="X924" t="b">
        <f>ISNUMBER(MATCH(tbl_working_daily[[#This Row],[LookupKey]],tbl_working_sleep[LookupKey],0))</f>
        <v>0</v>
      </c>
    </row>
    <row r="925" spans="1:24" x14ac:dyDescent="0.3">
      <c r="A925">
        <v>4558609924</v>
      </c>
      <c r="B925" s="1">
        <v>42478</v>
      </c>
      <c r="C925">
        <v>8940</v>
      </c>
      <c r="D925">
        <v>5.9099998474121103</v>
      </c>
      <c r="E925">
        <v>5.9099998474121103</v>
      </c>
      <c r="F925">
        <v>0</v>
      </c>
      <c r="G925">
        <v>0.980000019073486</v>
      </c>
      <c r="H925">
        <v>0.93000000715255704</v>
      </c>
      <c r="I925">
        <v>4</v>
      </c>
      <c r="J925">
        <v>0</v>
      </c>
      <c r="K925">
        <v>14</v>
      </c>
      <c r="L925">
        <v>15</v>
      </c>
      <c r="M925">
        <v>331</v>
      </c>
      <c r="N925">
        <v>1080</v>
      </c>
      <c r="O925">
        <v>2116</v>
      </c>
      <c r="P925" t="str">
        <f>TEXT(tbl_working_daily[[#This Row],[ActivityDate]],"dddd")</f>
        <v>Monday</v>
      </c>
      <c r="Q925" t="str">
        <f>TEXT(tbl_working_daily[[#This Row],[ActivityDate]],"mmmm")</f>
        <v>April</v>
      </c>
      <c r="R925">
        <f t="shared" si="28"/>
        <v>360</v>
      </c>
      <c r="S925">
        <f t="shared" si="29"/>
        <v>1440</v>
      </c>
      <c r="T925">
        <f>ROUND(tbl_working_daily[[#This Row],[SedentaryMinutes]]/60,2)</f>
        <v>18</v>
      </c>
      <c r="U925" t="str" cm="1">
        <f t="array" ref="U92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25" t="str" cm="1">
        <f t="array" ref="V925">_xlfn.IFS(tbl_working_daily[[#This Row],[VeryActiveMinutes]]&gt;=30,"Very Active",tbl_working_daily[[#This Row],[VeryActiveMinutes]]&gt;=15,"Moderately Active",tbl_working_daily[[#This Row],[VeryActiveMinutes]]&gt;=1,"Lightly Active",tbl_working_daily[[#This Row],[VeryActiveMinutes]]=0,"Sedentary")</f>
        <v>Lightly Active</v>
      </c>
      <c r="W925" t="str">
        <f>tbl_working_daily[[#This Row],[Id]]&amp;"|"&amp;TEXT(tbl_working_daily[[#This Row],[ActivityDate]],"yyyy-mm-dd")</f>
        <v>4558609924|2016-04-18</v>
      </c>
      <c r="X925" t="b">
        <f>ISNUMBER(MATCH(tbl_working_daily[[#This Row],[LookupKey]],tbl_working_sleep[LookupKey],0))</f>
        <v>0</v>
      </c>
    </row>
    <row r="926" spans="1:24" x14ac:dyDescent="0.3">
      <c r="A926">
        <v>4558609924</v>
      </c>
      <c r="B926" s="1">
        <v>42479</v>
      </c>
      <c r="C926">
        <v>5401</v>
      </c>
      <c r="D926">
        <v>3.5699999332428001</v>
      </c>
      <c r="E926">
        <v>3.5699999332428001</v>
      </c>
      <c r="F926">
        <v>0</v>
      </c>
      <c r="G926">
        <v>5.0000000745058101E-2</v>
      </c>
      <c r="H926">
        <v>0.36000001430511502</v>
      </c>
      <c r="I926">
        <v>3.1600000858306898</v>
      </c>
      <c r="J926">
        <v>0</v>
      </c>
      <c r="K926">
        <v>1</v>
      </c>
      <c r="L926">
        <v>9</v>
      </c>
      <c r="M926">
        <v>248</v>
      </c>
      <c r="N926">
        <v>1182</v>
      </c>
      <c r="O926">
        <v>1876</v>
      </c>
      <c r="P926" t="str">
        <f>TEXT(tbl_working_daily[[#This Row],[ActivityDate]],"dddd")</f>
        <v>Tuesday</v>
      </c>
      <c r="Q926" t="str">
        <f>TEXT(tbl_working_daily[[#This Row],[ActivityDate]],"mmmm")</f>
        <v>April</v>
      </c>
      <c r="R926">
        <f t="shared" si="28"/>
        <v>258</v>
      </c>
      <c r="S926">
        <f t="shared" si="29"/>
        <v>1440</v>
      </c>
      <c r="T926">
        <f>ROUND(tbl_working_daily[[#This Row],[SedentaryMinutes]]/60,2)</f>
        <v>19.7</v>
      </c>
      <c r="U926" t="str" cm="1">
        <f t="array" ref="U92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26" t="str" cm="1">
        <f t="array" ref="V926">_xlfn.IFS(tbl_working_daily[[#This Row],[VeryActiveMinutes]]&gt;=30,"Very Active",tbl_working_daily[[#This Row],[VeryActiveMinutes]]&gt;=15,"Moderately Active",tbl_working_daily[[#This Row],[VeryActiveMinutes]]&gt;=1,"Lightly Active",tbl_working_daily[[#This Row],[VeryActiveMinutes]]=0,"Sedentary")</f>
        <v>Lightly Active</v>
      </c>
      <c r="W926" t="str">
        <f>tbl_working_daily[[#This Row],[Id]]&amp;"|"&amp;TEXT(tbl_working_daily[[#This Row],[ActivityDate]],"yyyy-mm-dd")</f>
        <v>4558609924|2016-04-19</v>
      </c>
      <c r="X926" t="b">
        <f>ISNUMBER(MATCH(tbl_working_daily[[#This Row],[LookupKey]],tbl_working_sleep[LookupKey],0))</f>
        <v>0</v>
      </c>
    </row>
    <row r="927" spans="1:24" x14ac:dyDescent="0.3">
      <c r="A927">
        <v>4558609924</v>
      </c>
      <c r="B927" s="1">
        <v>42480</v>
      </c>
      <c r="C927">
        <v>4803</v>
      </c>
      <c r="D927">
        <v>3.1700000762939502</v>
      </c>
      <c r="E927">
        <v>3.1700000762939502</v>
      </c>
      <c r="F927">
        <v>0</v>
      </c>
      <c r="G927">
        <v>0</v>
      </c>
      <c r="H927">
        <v>0</v>
      </c>
      <c r="I927">
        <v>3.1700000762939502</v>
      </c>
      <c r="J927">
        <v>0</v>
      </c>
      <c r="K927">
        <v>0</v>
      </c>
      <c r="L927">
        <v>0</v>
      </c>
      <c r="M927">
        <v>222</v>
      </c>
      <c r="N927">
        <v>1218</v>
      </c>
      <c r="O927">
        <v>1788</v>
      </c>
      <c r="P927" t="str">
        <f>TEXT(tbl_working_daily[[#This Row],[ActivityDate]],"dddd")</f>
        <v>Wednesday</v>
      </c>
      <c r="Q927" t="str">
        <f>TEXT(tbl_working_daily[[#This Row],[ActivityDate]],"mmmm")</f>
        <v>April</v>
      </c>
      <c r="R927">
        <f t="shared" si="28"/>
        <v>222</v>
      </c>
      <c r="S927">
        <f t="shared" si="29"/>
        <v>1440</v>
      </c>
      <c r="T927">
        <f>ROUND(tbl_working_daily[[#This Row],[SedentaryMinutes]]/60,2)</f>
        <v>20.3</v>
      </c>
      <c r="U927" t="str" cm="1">
        <f t="array" ref="U9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27" t="str" cm="1">
        <f t="array" ref="V927">_xlfn.IFS(tbl_working_daily[[#This Row],[VeryActiveMinutes]]&gt;=30,"Very Active",tbl_working_daily[[#This Row],[VeryActiveMinutes]]&gt;=15,"Moderately Active",tbl_working_daily[[#This Row],[VeryActiveMinutes]]&gt;=1,"Lightly Active",tbl_working_daily[[#This Row],[VeryActiveMinutes]]=0,"Sedentary")</f>
        <v>Sedentary</v>
      </c>
      <c r="W927" t="str">
        <f>tbl_working_daily[[#This Row],[Id]]&amp;"|"&amp;TEXT(tbl_working_daily[[#This Row],[ActivityDate]],"yyyy-mm-dd")</f>
        <v>4558609924|2016-04-20</v>
      </c>
      <c r="X927" t="b">
        <f>ISNUMBER(MATCH(tbl_working_daily[[#This Row],[LookupKey]],tbl_working_sleep[LookupKey],0))</f>
        <v>0</v>
      </c>
    </row>
    <row r="928" spans="1:24" x14ac:dyDescent="0.3">
      <c r="A928">
        <v>4558609924</v>
      </c>
      <c r="B928" s="1">
        <v>42481</v>
      </c>
      <c r="C928">
        <v>13743</v>
      </c>
      <c r="D928">
        <v>9.0799999237060494</v>
      </c>
      <c r="E928">
        <v>9.0799999237060494</v>
      </c>
      <c r="F928">
        <v>0</v>
      </c>
      <c r="G928">
        <v>0.41999998688697798</v>
      </c>
      <c r="H928">
        <v>0.97000002861022905</v>
      </c>
      <c r="I928">
        <v>7.6999998092651403</v>
      </c>
      <c r="J928">
        <v>0</v>
      </c>
      <c r="K928">
        <v>6</v>
      </c>
      <c r="L928">
        <v>21</v>
      </c>
      <c r="M928">
        <v>432</v>
      </c>
      <c r="N928">
        <v>844</v>
      </c>
      <c r="O928">
        <v>2486</v>
      </c>
      <c r="P928" t="str">
        <f>TEXT(tbl_working_daily[[#This Row],[ActivityDate]],"dddd")</f>
        <v>Thursday</v>
      </c>
      <c r="Q928" t="str">
        <f>TEXT(tbl_working_daily[[#This Row],[ActivityDate]],"mmmm")</f>
        <v>April</v>
      </c>
      <c r="R928">
        <f t="shared" si="28"/>
        <v>459</v>
      </c>
      <c r="S928">
        <f t="shared" si="29"/>
        <v>1303</v>
      </c>
      <c r="T928">
        <f>ROUND(tbl_working_daily[[#This Row],[SedentaryMinutes]]/60,2)</f>
        <v>14.07</v>
      </c>
      <c r="U928" t="str" cm="1">
        <f t="array" ref="U92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28" t="str" cm="1">
        <f t="array" ref="V928">_xlfn.IFS(tbl_working_daily[[#This Row],[VeryActiveMinutes]]&gt;=30,"Very Active",tbl_working_daily[[#This Row],[VeryActiveMinutes]]&gt;=15,"Moderately Active",tbl_working_daily[[#This Row],[VeryActiveMinutes]]&gt;=1,"Lightly Active",tbl_working_daily[[#This Row],[VeryActiveMinutes]]=0,"Sedentary")</f>
        <v>Lightly Active</v>
      </c>
      <c r="W928" t="str">
        <f>tbl_working_daily[[#This Row],[Id]]&amp;"|"&amp;TEXT(tbl_working_daily[[#This Row],[ActivityDate]],"yyyy-mm-dd")</f>
        <v>4558609924|2016-04-21</v>
      </c>
      <c r="X928" t="b">
        <f>ISNUMBER(MATCH(tbl_working_daily[[#This Row],[LookupKey]],tbl_working_sleep[LookupKey],0))</f>
        <v>1</v>
      </c>
    </row>
    <row r="929" spans="1:24" x14ac:dyDescent="0.3">
      <c r="A929">
        <v>4558609924</v>
      </c>
      <c r="B929" s="1">
        <v>42482</v>
      </c>
      <c r="C929">
        <v>9601</v>
      </c>
      <c r="D929">
        <v>6.3499999046325701</v>
      </c>
      <c r="E929">
        <v>6.3499999046325701</v>
      </c>
      <c r="F929">
        <v>0</v>
      </c>
      <c r="G929">
        <v>1.37000000476837</v>
      </c>
      <c r="H929">
        <v>1.5</v>
      </c>
      <c r="I929">
        <v>3.4700000286102299</v>
      </c>
      <c r="J929">
        <v>0</v>
      </c>
      <c r="K929">
        <v>20</v>
      </c>
      <c r="L929">
        <v>25</v>
      </c>
      <c r="M929">
        <v>273</v>
      </c>
      <c r="N929">
        <v>1122</v>
      </c>
      <c r="O929">
        <v>2094</v>
      </c>
      <c r="P929" t="str">
        <f>TEXT(tbl_working_daily[[#This Row],[ActivityDate]],"dddd")</f>
        <v>Friday</v>
      </c>
      <c r="Q929" t="str">
        <f>TEXT(tbl_working_daily[[#This Row],[ActivityDate]],"mmmm")</f>
        <v>April</v>
      </c>
      <c r="R929">
        <f t="shared" si="28"/>
        <v>318</v>
      </c>
      <c r="S929">
        <f t="shared" si="29"/>
        <v>1440</v>
      </c>
      <c r="T929">
        <f>ROUND(tbl_working_daily[[#This Row],[SedentaryMinutes]]/60,2)</f>
        <v>18.7</v>
      </c>
      <c r="U929" t="str" cm="1">
        <f t="array" ref="U92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29" t="str" cm="1">
        <f t="array" ref="V929">_xlfn.IFS(tbl_working_daily[[#This Row],[VeryActiveMinutes]]&gt;=30,"Very Active",tbl_working_daily[[#This Row],[VeryActiveMinutes]]&gt;=15,"Moderately Active",tbl_working_daily[[#This Row],[VeryActiveMinutes]]&gt;=1,"Lightly Active",tbl_working_daily[[#This Row],[VeryActiveMinutes]]=0,"Sedentary")</f>
        <v>Moderately Active</v>
      </c>
      <c r="W929" t="str">
        <f>tbl_working_daily[[#This Row],[Id]]&amp;"|"&amp;TEXT(tbl_working_daily[[#This Row],[ActivityDate]],"yyyy-mm-dd")</f>
        <v>4558609924|2016-04-22</v>
      </c>
      <c r="X929" t="b">
        <f>ISNUMBER(MATCH(tbl_working_daily[[#This Row],[LookupKey]],tbl_working_sleep[LookupKey],0))</f>
        <v>0</v>
      </c>
    </row>
    <row r="930" spans="1:24" x14ac:dyDescent="0.3">
      <c r="A930">
        <v>4558609924</v>
      </c>
      <c r="B930" s="1">
        <v>42483</v>
      </c>
      <c r="C930">
        <v>6890</v>
      </c>
      <c r="D930">
        <v>4.5500001907348597</v>
      </c>
      <c r="E930">
        <v>4.5500001907348597</v>
      </c>
      <c r="F930">
        <v>0</v>
      </c>
      <c r="G930">
        <v>0.34000000357627902</v>
      </c>
      <c r="H930">
        <v>0.20000000298023199</v>
      </c>
      <c r="I930">
        <v>4.0100002288818404</v>
      </c>
      <c r="J930">
        <v>0</v>
      </c>
      <c r="K930">
        <v>5</v>
      </c>
      <c r="L930">
        <v>5</v>
      </c>
      <c r="M930">
        <v>308</v>
      </c>
      <c r="N930">
        <v>1122</v>
      </c>
      <c r="O930">
        <v>2085</v>
      </c>
      <c r="P930" t="str">
        <f>TEXT(tbl_working_daily[[#This Row],[ActivityDate]],"dddd")</f>
        <v>Saturday</v>
      </c>
      <c r="Q930" t="str">
        <f>TEXT(tbl_working_daily[[#This Row],[ActivityDate]],"mmmm")</f>
        <v>April</v>
      </c>
      <c r="R930">
        <f t="shared" si="28"/>
        <v>318</v>
      </c>
      <c r="S930">
        <f t="shared" si="29"/>
        <v>1440</v>
      </c>
      <c r="T930">
        <f>ROUND(tbl_working_daily[[#This Row],[SedentaryMinutes]]/60,2)</f>
        <v>18.7</v>
      </c>
      <c r="U930" t="str" cm="1">
        <f t="array" ref="U93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30" t="str" cm="1">
        <f t="array" ref="V930">_xlfn.IFS(tbl_working_daily[[#This Row],[VeryActiveMinutes]]&gt;=30,"Very Active",tbl_working_daily[[#This Row],[VeryActiveMinutes]]&gt;=15,"Moderately Active",tbl_working_daily[[#This Row],[VeryActiveMinutes]]&gt;=1,"Lightly Active",tbl_working_daily[[#This Row],[VeryActiveMinutes]]=0,"Sedentary")</f>
        <v>Lightly Active</v>
      </c>
      <c r="W930" t="str">
        <f>tbl_working_daily[[#This Row],[Id]]&amp;"|"&amp;TEXT(tbl_working_daily[[#This Row],[ActivityDate]],"yyyy-mm-dd")</f>
        <v>4558609924|2016-04-23</v>
      </c>
      <c r="X930" t="b">
        <f>ISNUMBER(MATCH(tbl_working_daily[[#This Row],[LookupKey]],tbl_working_sleep[LookupKey],0))</f>
        <v>0</v>
      </c>
    </row>
    <row r="931" spans="1:24" x14ac:dyDescent="0.3">
      <c r="A931">
        <v>4558609924</v>
      </c>
      <c r="B931" s="1">
        <v>42484</v>
      </c>
      <c r="C931">
        <v>8563</v>
      </c>
      <c r="D931">
        <v>5.6599998474121103</v>
      </c>
      <c r="E931">
        <v>5.6599998474121103</v>
      </c>
      <c r="F931">
        <v>0</v>
      </c>
      <c r="G931">
        <v>0</v>
      </c>
      <c r="H931">
        <v>0</v>
      </c>
      <c r="I931">
        <v>5.6500000953674299</v>
      </c>
      <c r="J931">
        <v>0</v>
      </c>
      <c r="K931">
        <v>0</v>
      </c>
      <c r="L931">
        <v>0</v>
      </c>
      <c r="M931">
        <v>395</v>
      </c>
      <c r="N931">
        <v>1045</v>
      </c>
      <c r="O931">
        <v>2173</v>
      </c>
      <c r="P931" t="str">
        <f>TEXT(tbl_working_daily[[#This Row],[ActivityDate]],"dddd")</f>
        <v>Sunday</v>
      </c>
      <c r="Q931" t="str">
        <f>TEXT(tbl_working_daily[[#This Row],[ActivityDate]],"mmmm")</f>
        <v>April</v>
      </c>
      <c r="R931">
        <f t="shared" si="28"/>
        <v>395</v>
      </c>
      <c r="S931">
        <f t="shared" si="29"/>
        <v>1440</v>
      </c>
      <c r="T931">
        <f>ROUND(tbl_working_daily[[#This Row],[SedentaryMinutes]]/60,2)</f>
        <v>17.420000000000002</v>
      </c>
      <c r="U931" t="str" cm="1">
        <f t="array" ref="U93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1" t="str" cm="1">
        <f t="array" ref="V931">_xlfn.IFS(tbl_working_daily[[#This Row],[VeryActiveMinutes]]&gt;=30,"Very Active",tbl_working_daily[[#This Row],[VeryActiveMinutes]]&gt;=15,"Moderately Active",tbl_working_daily[[#This Row],[VeryActiveMinutes]]&gt;=1,"Lightly Active",tbl_working_daily[[#This Row],[VeryActiveMinutes]]=0,"Sedentary")</f>
        <v>Sedentary</v>
      </c>
      <c r="W931" t="str">
        <f>tbl_working_daily[[#This Row],[Id]]&amp;"|"&amp;TEXT(tbl_working_daily[[#This Row],[ActivityDate]],"yyyy-mm-dd")</f>
        <v>4558609924|2016-04-24</v>
      </c>
      <c r="X931" t="b">
        <f>ISNUMBER(MATCH(tbl_working_daily[[#This Row],[LookupKey]],tbl_working_sleep[LookupKey],0))</f>
        <v>0</v>
      </c>
    </row>
    <row r="932" spans="1:24" x14ac:dyDescent="0.3">
      <c r="A932">
        <v>4558609924</v>
      </c>
      <c r="B932" s="1">
        <v>42485</v>
      </c>
      <c r="C932">
        <v>8095</v>
      </c>
      <c r="D932">
        <v>5.3499999046325701</v>
      </c>
      <c r="E932">
        <v>5.3499999046325701</v>
      </c>
      <c r="F932">
        <v>0</v>
      </c>
      <c r="G932">
        <v>0.58999997377395597</v>
      </c>
      <c r="H932">
        <v>0.25</v>
      </c>
      <c r="I932">
        <v>4.5100002288818404</v>
      </c>
      <c r="J932">
        <v>0</v>
      </c>
      <c r="K932">
        <v>18</v>
      </c>
      <c r="L932">
        <v>10</v>
      </c>
      <c r="M932">
        <v>340</v>
      </c>
      <c r="N932">
        <v>993</v>
      </c>
      <c r="O932">
        <v>2225</v>
      </c>
      <c r="P932" t="str">
        <f>TEXT(tbl_working_daily[[#This Row],[ActivityDate]],"dddd")</f>
        <v>Monday</v>
      </c>
      <c r="Q932" t="str">
        <f>TEXT(tbl_working_daily[[#This Row],[ActivityDate]],"mmmm")</f>
        <v>April</v>
      </c>
      <c r="R932">
        <f t="shared" si="28"/>
        <v>368</v>
      </c>
      <c r="S932">
        <f t="shared" si="29"/>
        <v>1361</v>
      </c>
      <c r="T932">
        <f>ROUND(tbl_working_daily[[#This Row],[SedentaryMinutes]]/60,2)</f>
        <v>16.55</v>
      </c>
      <c r="U932" t="str" cm="1">
        <f t="array" ref="U93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2" t="str" cm="1">
        <f t="array" ref="V932">_xlfn.IFS(tbl_working_daily[[#This Row],[VeryActiveMinutes]]&gt;=30,"Very Active",tbl_working_daily[[#This Row],[VeryActiveMinutes]]&gt;=15,"Moderately Active",tbl_working_daily[[#This Row],[VeryActiveMinutes]]&gt;=1,"Lightly Active",tbl_working_daily[[#This Row],[VeryActiveMinutes]]=0,"Sedentary")</f>
        <v>Moderately Active</v>
      </c>
      <c r="W932" t="str">
        <f>tbl_working_daily[[#This Row],[Id]]&amp;"|"&amp;TEXT(tbl_working_daily[[#This Row],[ActivityDate]],"yyyy-mm-dd")</f>
        <v>4558609924|2016-04-25</v>
      </c>
      <c r="X932" t="b">
        <f>ISNUMBER(MATCH(tbl_working_daily[[#This Row],[LookupKey]],tbl_working_sleep[LookupKey],0))</f>
        <v>0</v>
      </c>
    </row>
    <row r="933" spans="1:24" x14ac:dyDescent="0.3">
      <c r="A933">
        <v>4558609924</v>
      </c>
      <c r="B933" s="1">
        <v>42486</v>
      </c>
      <c r="C933">
        <v>9148</v>
      </c>
      <c r="D933">
        <v>6.0500001907348597</v>
      </c>
      <c r="E933">
        <v>6.0500001907348597</v>
      </c>
      <c r="F933">
        <v>0</v>
      </c>
      <c r="G933">
        <v>0.43000000715255698</v>
      </c>
      <c r="H933">
        <v>2.0299999713897701</v>
      </c>
      <c r="I933">
        <v>3.5899999141693102</v>
      </c>
      <c r="J933">
        <v>0</v>
      </c>
      <c r="K933">
        <v>12</v>
      </c>
      <c r="L933">
        <v>41</v>
      </c>
      <c r="M933">
        <v>283</v>
      </c>
      <c r="N933">
        <v>1062</v>
      </c>
      <c r="O933">
        <v>2223</v>
      </c>
      <c r="P933" t="str">
        <f>TEXT(tbl_working_daily[[#This Row],[ActivityDate]],"dddd")</f>
        <v>Tuesday</v>
      </c>
      <c r="Q933" t="str">
        <f>TEXT(tbl_working_daily[[#This Row],[ActivityDate]],"mmmm")</f>
        <v>April</v>
      </c>
      <c r="R933">
        <f t="shared" si="28"/>
        <v>336</v>
      </c>
      <c r="S933">
        <f t="shared" si="29"/>
        <v>1398</v>
      </c>
      <c r="T933">
        <f>ROUND(tbl_working_daily[[#This Row],[SedentaryMinutes]]/60,2)</f>
        <v>17.7</v>
      </c>
      <c r="U933" t="str" cm="1">
        <f t="array" ref="U93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3" t="str" cm="1">
        <f t="array" ref="V933">_xlfn.IFS(tbl_working_daily[[#This Row],[VeryActiveMinutes]]&gt;=30,"Very Active",tbl_working_daily[[#This Row],[VeryActiveMinutes]]&gt;=15,"Moderately Active",tbl_working_daily[[#This Row],[VeryActiveMinutes]]&gt;=1,"Lightly Active",tbl_working_daily[[#This Row],[VeryActiveMinutes]]=0,"Sedentary")</f>
        <v>Lightly Active</v>
      </c>
      <c r="W933" t="str">
        <f>tbl_working_daily[[#This Row],[Id]]&amp;"|"&amp;TEXT(tbl_working_daily[[#This Row],[ActivityDate]],"yyyy-mm-dd")</f>
        <v>4558609924|2016-04-26</v>
      </c>
      <c r="X933" t="b">
        <f>ISNUMBER(MATCH(tbl_working_daily[[#This Row],[LookupKey]],tbl_working_sleep[LookupKey],0))</f>
        <v>1</v>
      </c>
    </row>
    <row r="934" spans="1:24" x14ac:dyDescent="0.3">
      <c r="A934">
        <v>4558609924</v>
      </c>
      <c r="B934" s="1">
        <v>42487</v>
      </c>
      <c r="C934">
        <v>9557</v>
      </c>
      <c r="D934">
        <v>6.3200001716613796</v>
      </c>
      <c r="E934">
        <v>6.3200001716613796</v>
      </c>
      <c r="F934">
        <v>0</v>
      </c>
      <c r="G934">
        <v>1.96000003814697</v>
      </c>
      <c r="H934">
        <v>0.88999998569488503</v>
      </c>
      <c r="I934">
        <v>3.46000003814697</v>
      </c>
      <c r="J934">
        <v>0</v>
      </c>
      <c r="K934">
        <v>27</v>
      </c>
      <c r="L934">
        <v>14</v>
      </c>
      <c r="M934">
        <v>312</v>
      </c>
      <c r="N934">
        <v>1087</v>
      </c>
      <c r="O934">
        <v>2098</v>
      </c>
      <c r="P934" t="str">
        <f>TEXT(tbl_working_daily[[#This Row],[ActivityDate]],"dddd")</f>
        <v>Wednesday</v>
      </c>
      <c r="Q934" t="str">
        <f>TEXT(tbl_working_daily[[#This Row],[ActivityDate]],"mmmm")</f>
        <v>April</v>
      </c>
      <c r="R934">
        <f t="shared" si="28"/>
        <v>353</v>
      </c>
      <c r="S934">
        <f t="shared" si="29"/>
        <v>1440</v>
      </c>
      <c r="T934">
        <f>ROUND(tbl_working_daily[[#This Row],[SedentaryMinutes]]/60,2)</f>
        <v>18.12</v>
      </c>
      <c r="U934" t="str" cm="1">
        <f t="array" ref="U93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4" t="str" cm="1">
        <f t="array" ref="V934">_xlfn.IFS(tbl_working_daily[[#This Row],[VeryActiveMinutes]]&gt;=30,"Very Active",tbl_working_daily[[#This Row],[VeryActiveMinutes]]&gt;=15,"Moderately Active",tbl_working_daily[[#This Row],[VeryActiveMinutes]]&gt;=1,"Lightly Active",tbl_working_daily[[#This Row],[VeryActiveMinutes]]=0,"Sedentary")</f>
        <v>Moderately Active</v>
      </c>
      <c r="W934" t="str">
        <f>tbl_working_daily[[#This Row],[Id]]&amp;"|"&amp;TEXT(tbl_working_daily[[#This Row],[ActivityDate]],"yyyy-mm-dd")</f>
        <v>4558609924|2016-04-27</v>
      </c>
      <c r="X934" t="b">
        <f>ISNUMBER(MATCH(tbl_working_daily[[#This Row],[LookupKey]],tbl_working_sleep[LookupKey],0))</f>
        <v>0</v>
      </c>
    </row>
    <row r="935" spans="1:24" x14ac:dyDescent="0.3">
      <c r="A935">
        <v>4558609924</v>
      </c>
      <c r="B935" s="1">
        <v>42488</v>
      </c>
      <c r="C935">
        <v>9451</v>
      </c>
      <c r="D935">
        <v>6.25</v>
      </c>
      <c r="E935">
        <v>6.25</v>
      </c>
      <c r="F935">
        <v>0</v>
      </c>
      <c r="G935">
        <v>1.9999999552965199E-2</v>
      </c>
      <c r="H935">
        <v>0.270000010728836</v>
      </c>
      <c r="I935">
        <v>5.9499998092651403</v>
      </c>
      <c r="J935">
        <v>0</v>
      </c>
      <c r="K935">
        <v>1</v>
      </c>
      <c r="L935">
        <v>11</v>
      </c>
      <c r="M935">
        <v>367</v>
      </c>
      <c r="N935">
        <v>985</v>
      </c>
      <c r="O935">
        <v>2185</v>
      </c>
      <c r="P935" t="str">
        <f>TEXT(tbl_working_daily[[#This Row],[ActivityDate]],"dddd")</f>
        <v>Thursday</v>
      </c>
      <c r="Q935" t="str">
        <f>TEXT(tbl_working_daily[[#This Row],[ActivityDate]],"mmmm")</f>
        <v>April</v>
      </c>
      <c r="R935">
        <f t="shared" si="28"/>
        <v>379</v>
      </c>
      <c r="S935">
        <f t="shared" si="29"/>
        <v>1364</v>
      </c>
      <c r="T935">
        <f>ROUND(tbl_working_daily[[#This Row],[SedentaryMinutes]]/60,2)</f>
        <v>16.420000000000002</v>
      </c>
      <c r="U935" t="str" cm="1">
        <f t="array" ref="U93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5" t="str" cm="1">
        <f t="array" ref="V935">_xlfn.IFS(tbl_working_daily[[#This Row],[VeryActiveMinutes]]&gt;=30,"Very Active",tbl_working_daily[[#This Row],[VeryActiveMinutes]]&gt;=15,"Moderately Active",tbl_working_daily[[#This Row],[VeryActiveMinutes]]&gt;=1,"Lightly Active",tbl_working_daily[[#This Row],[VeryActiveMinutes]]=0,"Sedentary")</f>
        <v>Lightly Active</v>
      </c>
      <c r="W935" t="str">
        <f>tbl_working_daily[[#This Row],[Id]]&amp;"|"&amp;TEXT(tbl_working_daily[[#This Row],[ActivityDate]],"yyyy-mm-dd")</f>
        <v>4558609924|2016-04-28</v>
      </c>
      <c r="X935" t="b">
        <f>ISNUMBER(MATCH(tbl_working_daily[[#This Row],[LookupKey]],tbl_working_sleep[LookupKey],0))</f>
        <v>0</v>
      </c>
    </row>
    <row r="936" spans="1:24" x14ac:dyDescent="0.3">
      <c r="A936">
        <v>4558609924</v>
      </c>
      <c r="B936" s="1">
        <v>42489</v>
      </c>
      <c r="C936">
        <v>7833</v>
      </c>
      <c r="D936">
        <v>5.1799998283386204</v>
      </c>
      <c r="E936">
        <v>5.1799998283386204</v>
      </c>
      <c r="F936">
        <v>0</v>
      </c>
      <c r="G936">
        <v>1.0199999809265099</v>
      </c>
      <c r="H936">
        <v>1.8500000238418599</v>
      </c>
      <c r="I936">
        <v>2.3099999427795401</v>
      </c>
      <c r="J936">
        <v>0</v>
      </c>
      <c r="K936">
        <v>15</v>
      </c>
      <c r="L936">
        <v>29</v>
      </c>
      <c r="M936">
        <v>197</v>
      </c>
      <c r="N936">
        <v>1096</v>
      </c>
      <c r="O936">
        <v>1918</v>
      </c>
      <c r="P936" t="str">
        <f>TEXT(tbl_working_daily[[#This Row],[ActivityDate]],"dddd")</f>
        <v>Friday</v>
      </c>
      <c r="Q936" t="str">
        <f>TEXT(tbl_working_daily[[#This Row],[ActivityDate]],"mmmm")</f>
        <v>April</v>
      </c>
      <c r="R936">
        <f t="shared" si="28"/>
        <v>241</v>
      </c>
      <c r="S936">
        <f t="shared" si="29"/>
        <v>1337</v>
      </c>
      <c r="T936">
        <f>ROUND(tbl_working_daily[[#This Row],[SedentaryMinutes]]/60,2)</f>
        <v>18.27</v>
      </c>
      <c r="U936" t="str" cm="1">
        <f t="array" ref="U93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6" t="str" cm="1">
        <f t="array" ref="V936">_xlfn.IFS(tbl_working_daily[[#This Row],[VeryActiveMinutes]]&gt;=30,"Very Active",tbl_working_daily[[#This Row],[VeryActiveMinutes]]&gt;=15,"Moderately Active",tbl_working_daily[[#This Row],[VeryActiveMinutes]]&gt;=1,"Lightly Active",tbl_working_daily[[#This Row],[VeryActiveMinutes]]=0,"Sedentary")</f>
        <v>Moderately Active</v>
      </c>
      <c r="W936" t="str">
        <f>tbl_working_daily[[#This Row],[Id]]&amp;"|"&amp;TEXT(tbl_working_daily[[#This Row],[ActivityDate]],"yyyy-mm-dd")</f>
        <v>4558609924|2016-04-29</v>
      </c>
      <c r="X936" t="b">
        <f>ISNUMBER(MATCH(tbl_working_daily[[#This Row],[LookupKey]],tbl_working_sleep[LookupKey],0))</f>
        <v>1</v>
      </c>
    </row>
    <row r="937" spans="1:24" x14ac:dyDescent="0.3">
      <c r="A937">
        <v>4558609924</v>
      </c>
      <c r="B937" s="1">
        <v>42490</v>
      </c>
      <c r="C937">
        <v>10319</v>
      </c>
      <c r="D937">
        <v>6.8200001716613796</v>
      </c>
      <c r="E937">
        <v>6.8200001716613796</v>
      </c>
      <c r="F937">
        <v>0</v>
      </c>
      <c r="G937">
        <v>0.46999999880790699</v>
      </c>
      <c r="H937">
        <v>1.8899999856948899</v>
      </c>
      <c r="I937">
        <v>4.46000003814697</v>
      </c>
      <c r="J937">
        <v>0</v>
      </c>
      <c r="K937">
        <v>7</v>
      </c>
      <c r="L937">
        <v>29</v>
      </c>
      <c r="M937">
        <v>293</v>
      </c>
      <c r="N937">
        <v>1111</v>
      </c>
      <c r="O937">
        <v>2105</v>
      </c>
      <c r="P937" t="str">
        <f>TEXT(tbl_working_daily[[#This Row],[ActivityDate]],"dddd")</f>
        <v>Saturday</v>
      </c>
      <c r="Q937" t="str">
        <f>TEXT(tbl_working_daily[[#This Row],[ActivityDate]],"mmmm")</f>
        <v>April</v>
      </c>
      <c r="R937">
        <f t="shared" si="28"/>
        <v>329</v>
      </c>
      <c r="S937">
        <f t="shared" si="29"/>
        <v>1440</v>
      </c>
      <c r="T937">
        <f>ROUND(tbl_working_daily[[#This Row],[SedentaryMinutes]]/60,2)</f>
        <v>18.52</v>
      </c>
      <c r="U937" t="str" cm="1">
        <f t="array" ref="U93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37" t="str" cm="1">
        <f t="array" ref="V937">_xlfn.IFS(tbl_working_daily[[#This Row],[VeryActiveMinutes]]&gt;=30,"Very Active",tbl_working_daily[[#This Row],[VeryActiveMinutes]]&gt;=15,"Moderately Active",tbl_working_daily[[#This Row],[VeryActiveMinutes]]&gt;=1,"Lightly Active",tbl_working_daily[[#This Row],[VeryActiveMinutes]]=0,"Sedentary")</f>
        <v>Lightly Active</v>
      </c>
      <c r="W937" t="str">
        <f>tbl_working_daily[[#This Row],[Id]]&amp;"|"&amp;TEXT(tbl_working_daily[[#This Row],[ActivityDate]],"yyyy-mm-dd")</f>
        <v>4558609924|2016-04-30</v>
      </c>
      <c r="X937" t="b">
        <f>ISNUMBER(MATCH(tbl_working_daily[[#This Row],[LookupKey]],tbl_working_sleep[LookupKey],0))</f>
        <v>0</v>
      </c>
    </row>
    <row r="938" spans="1:24" x14ac:dyDescent="0.3">
      <c r="A938">
        <v>4558609924</v>
      </c>
      <c r="B938" s="1">
        <v>42491</v>
      </c>
      <c r="C938">
        <v>3428</v>
      </c>
      <c r="D938">
        <v>2.2699999809265101</v>
      </c>
      <c r="E938">
        <v>2.2699999809265101</v>
      </c>
      <c r="F938">
        <v>0</v>
      </c>
      <c r="G938">
        <v>0</v>
      </c>
      <c r="H938">
        <v>0</v>
      </c>
      <c r="I938">
        <v>2.2699999809265101</v>
      </c>
      <c r="J938">
        <v>0</v>
      </c>
      <c r="K938">
        <v>0</v>
      </c>
      <c r="L938">
        <v>0</v>
      </c>
      <c r="M938">
        <v>190</v>
      </c>
      <c r="N938">
        <v>1121</v>
      </c>
      <c r="O938">
        <v>1692</v>
      </c>
      <c r="P938" t="str">
        <f>TEXT(tbl_working_daily[[#This Row],[ActivityDate]],"dddd")</f>
        <v>Sunday</v>
      </c>
      <c r="Q938" t="str">
        <f>TEXT(tbl_working_daily[[#This Row],[ActivityDate]],"mmmm")</f>
        <v>May</v>
      </c>
      <c r="R938">
        <f t="shared" si="28"/>
        <v>190</v>
      </c>
      <c r="S938">
        <f t="shared" si="29"/>
        <v>1311</v>
      </c>
      <c r="T938">
        <f>ROUND(tbl_working_daily[[#This Row],[SedentaryMinutes]]/60,2)</f>
        <v>18.68</v>
      </c>
      <c r="U938" t="str" cm="1">
        <f t="array" ref="U93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38" t="str" cm="1">
        <f t="array" ref="V938">_xlfn.IFS(tbl_working_daily[[#This Row],[VeryActiveMinutes]]&gt;=30,"Very Active",tbl_working_daily[[#This Row],[VeryActiveMinutes]]&gt;=15,"Moderately Active",tbl_working_daily[[#This Row],[VeryActiveMinutes]]&gt;=1,"Lightly Active",tbl_working_daily[[#This Row],[VeryActiveMinutes]]=0,"Sedentary")</f>
        <v>Sedentary</v>
      </c>
      <c r="W938" t="str">
        <f>tbl_working_daily[[#This Row],[Id]]&amp;"|"&amp;TEXT(tbl_working_daily[[#This Row],[ActivityDate]],"yyyy-mm-dd")</f>
        <v>4558609924|2016-05-01</v>
      </c>
      <c r="X938" t="b">
        <f>ISNUMBER(MATCH(tbl_working_daily[[#This Row],[LookupKey]],tbl_working_sleep[LookupKey],0))</f>
        <v>1</v>
      </c>
    </row>
    <row r="939" spans="1:24" x14ac:dyDescent="0.3">
      <c r="A939">
        <v>4558609924</v>
      </c>
      <c r="B939" s="1">
        <v>42492</v>
      </c>
      <c r="C939">
        <v>7891</v>
      </c>
      <c r="D939">
        <v>5.2199997901916504</v>
      </c>
      <c r="E939">
        <v>5.2199997901916504</v>
      </c>
      <c r="F939">
        <v>0</v>
      </c>
      <c r="G939">
        <v>0</v>
      </c>
      <c r="H939">
        <v>0</v>
      </c>
      <c r="I939">
        <v>5.2199997901916504</v>
      </c>
      <c r="J939">
        <v>0</v>
      </c>
      <c r="K939">
        <v>0</v>
      </c>
      <c r="L939">
        <v>0</v>
      </c>
      <c r="M939">
        <v>383</v>
      </c>
      <c r="N939">
        <v>1057</v>
      </c>
      <c r="O939">
        <v>2066</v>
      </c>
      <c r="P939" t="str">
        <f>TEXT(tbl_working_daily[[#This Row],[ActivityDate]],"dddd")</f>
        <v>Monday</v>
      </c>
      <c r="Q939" t="str">
        <f>TEXT(tbl_working_daily[[#This Row],[ActivityDate]],"mmmm")</f>
        <v>May</v>
      </c>
      <c r="R939">
        <f t="shared" si="28"/>
        <v>383</v>
      </c>
      <c r="S939">
        <f t="shared" si="29"/>
        <v>1440</v>
      </c>
      <c r="T939">
        <f>ROUND(tbl_working_daily[[#This Row],[SedentaryMinutes]]/60,2)</f>
        <v>17.62</v>
      </c>
      <c r="U939" t="str" cm="1">
        <f t="array" ref="U93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39" t="str" cm="1">
        <f t="array" ref="V939">_xlfn.IFS(tbl_working_daily[[#This Row],[VeryActiveMinutes]]&gt;=30,"Very Active",tbl_working_daily[[#This Row],[VeryActiveMinutes]]&gt;=15,"Moderately Active",tbl_working_daily[[#This Row],[VeryActiveMinutes]]&gt;=1,"Lightly Active",tbl_working_daily[[#This Row],[VeryActiveMinutes]]=0,"Sedentary")</f>
        <v>Sedentary</v>
      </c>
      <c r="W939" t="str">
        <f>tbl_working_daily[[#This Row],[Id]]&amp;"|"&amp;TEXT(tbl_working_daily[[#This Row],[ActivityDate]],"yyyy-mm-dd")</f>
        <v>4558609924|2016-05-02</v>
      </c>
      <c r="X939" t="b">
        <f>ISNUMBER(MATCH(tbl_working_daily[[#This Row],[LookupKey]],tbl_working_sleep[LookupKey],0))</f>
        <v>0</v>
      </c>
    </row>
    <row r="940" spans="1:24" x14ac:dyDescent="0.3">
      <c r="A940">
        <v>4558609924</v>
      </c>
      <c r="B940" s="1">
        <v>42493</v>
      </c>
      <c r="C940">
        <v>5267</v>
      </c>
      <c r="D940">
        <v>3.4800000190734899</v>
      </c>
      <c r="E940">
        <v>3.4800000190734899</v>
      </c>
      <c r="F940">
        <v>0</v>
      </c>
      <c r="G940">
        <v>0.60000002384185802</v>
      </c>
      <c r="H940">
        <v>0.28000000119209301</v>
      </c>
      <c r="I940">
        <v>2.5999999046325701</v>
      </c>
      <c r="J940">
        <v>0</v>
      </c>
      <c r="K940">
        <v>21</v>
      </c>
      <c r="L940">
        <v>10</v>
      </c>
      <c r="M940">
        <v>237</v>
      </c>
      <c r="N940">
        <v>1172</v>
      </c>
      <c r="O940">
        <v>1953</v>
      </c>
      <c r="P940" t="str">
        <f>TEXT(tbl_working_daily[[#This Row],[ActivityDate]],"dddd")</f>
        <v>Tuesday</v>
      </c>
      <c r="Q940" t="str">
        <f>TEXT(tbl_working_daily[[#This Row],[ActivityDate]],"mmmm")</f>
        <v>May</v>
      </c>
      <c r="R940">
        <f t="shared" si="28"/>
        <v>268</v>
      </c>
      <c r="S940">
        <f t="shared" si="29"/>
        <v>1440</v>
      </c>
      <c r="T940">
        <f>ROUND(tbl_working_daily[[#This Row],[SedentaryMinutes]]/60,2)</f>
        <v>19.53</v>
      </c>
      <c r="U940" t="str" cm="1">
        <f t="array" ref="U94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40" t="str" cm="1">
        <f t="array" ref="V940">_xlfn.IFS(tbl_working_daily[[#This Row],[VeryActiveMinutes]]&gt;=30,"Very Active",tbl_working_daily[[#This Row],[VeryActiveMinutes]]&gt;=15,"Moderately Active",tbl_working_daily[[#This Row],[VeryActiveMinutes]]&gt;=1,"Lightly Active",tbl_working_daily[[#This Row],[VeryActiveMinutes]]=0,"Sedentary")</f>
        <v>Moderately Active</v>
      </c>
      <c r="W940" t="str">
        <f>tbl_working_daily[[#This Row],[Id]]&amp;"|"&amp;TEXT(tbl_working_daily[[#This Row],[ActivityDate]],"yyyy-mm-dd")</f>
        <v>4558609924|2016-05-03</v>
      </c>
      <c r="X940" t="b">
        <f>ISNUMBER(MATCH(tbl_working_daily[[#This Row],[LookupKey]],tbl_working_sleep[LookupKey],0))</f>
        <v>0</v>
      </c>
    </row>
    <row r="941" spans="1:24" x14ac:dyDescent="0.3">
      <c r="A941">
        <v>4558609924</v>
      </c>
      <c r="B941" s="1">
        <v>42494</v>
      </c>
      <c r="C941">
        <v>5232</v>
      </c>
      <c r="D941">
        <v>3.46000003814697</v>
      </c>
      <c r="E941">
        <v>3.46000003814697</v>
      </c>
      <c r="F941">
        <v>0</v>
      </c>
      <c r="G941">
        <v>0</v>
      </c>
      <c r="H941">
        <v>0</v>
      </c>
      <c r="I941">
        <v>3.46000003814697</v>
      </c>
      <c r="J941">
        <v>0</v>
      </c>
      <c r="K941">
        <v>0</v>
      </c>
      <c r="L941">
        <v>0</v>
      </c>
      <c r="M941">
        <v>252</v>
      </c>
      <c r="N941">
        <v>1188</v>
      </c>
      <c r="O941">
        <v>1842</v>
      </c>
      <c r="P941" t="str">
        <f>TEXT(tbl_working_daily[[#This Row],[ActivityDate]],"dddd")</f>
        <v>Wednesday</v>
      </c>
      <c r="Q941" t="str">
        <f>TEXT(tbl_working_daily[[#This Row],[ActivityDate]],"mmmm")</f>
        <v>May</v>
      </c>
      <c r="R941">
        <f t="shared" si="28"/>
        <v>252</v>
      </c>
      <c r="S941">
        <f t="shared" si="29"/>
        <v>1440</v>
      </c>
      <c r="T941">
        <f>ROUND(tbl_working_daily[[#This Row],[SedentaryMinutes]]/60,2)</f>
        <v>19.8</v>
      </c>
      <c r="U941" t="str" cm="1">
        <f t="array" ref="U94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41" t="str" cm="1">
        <f t="array" ref="V941">_xlfn.IFS(tbl_working_daily[[#This Row],[VeryActiveMinutes]]&gt;=30,"Very Active",tbl_working_daily[[#This Row],[VeryActiveMinutes]]&gt;=15,"Moderately Active",tbl_working_daily[[#This Row],[VeryActiveMinutes]]&gt;=1,"Lightly Active",tbl_working_daily[[#This Row],[VeryActiveMinutes]]=0,"Sedentary")</f>
        <v>Sedentary</v>
      </c>
      <c r="W941" t="str">
        <f>tbl_working_daily[[#This Row],[Id]]&amp;"|"&amp;TEXT(tbl_working_daily[[#This Row],[ActivityDate]],"yyyy-mm-dd")</f>
        <v>4558609924|2016-05-04</v>
      </c>
      <c r="X941" t="b">
        <f>ISNUMBER(MATCH(tbl_working_daily[[#This Row],[LookupKey]],tbl_working_sleep[LookupKey],0))</f>
        <v>0</v>
      </c>
    </row>
    <row r="942" spans="1:24" x14ac:dyDescent="0.3">
      <c r="A942">
        <v>4558609924</v>
      </c>
      <c r="B942" s="1">
        <v>42495</v>
      </c>
      <c r="C942">
        <v>10611</v>
      </c>
      <c r="D942">
        <v>7.0100002288818404</v>
      </c>
      <c r="E942">
        <v>7.0100002288818404</v>
      </c>
      <c r="F942">
        <v>0</v>
      </c>
      <c r="G942">
        <v>1.0099999904632599</v>
      </c>
      <c r="H942">
        <v>0.5</v>
      </c>
      <c r="I942">
        <v>5.5100002288818404</v>
      </c>
      <c r="J942">
        <v>0</v>
      </c>
      <c r="K942">
        <v>14</v>
      </c>
      <c r="L942">
        <v>8</v>
      </c>
      <c r="M942">
        <v>370</v>
      </c>
      <c r="N942">
        <v>1048</v>
      </c>
      <c r="O942">
        <v>2262</v>
      </c>
      <c r="P942" t="str">
        <f>TEXT(tbl_working_daily[[#This Row],[ActivityDate]],"dddd")</f>
        <v>Thursday</v>
      </c>
      <c r="Q942" t="str">
        <f>TEXT(tbl_working_daily[[#This Row],[ActivityDate]],"mmmm")</f>
        <v>May</v>
      </c>
      <c r="R942">
        <f t="shared" si="28"/>
        <v>392</v>
      </c>
      <c r="S942">
        <f t="shared" si="29"/>
        <v>1440</v>
      </c>
      <c r="T942">
        <f>ROUND(tbl_working_daily[[#This Row],[SedentaryMinutes]]/60,2)</f>
        <v>17.47</v>
      </c>
      <c r="U942" t="str" cm="1">
        <f t="array" ref="U94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42" t="str" cm="1">
        <f t="array" ref="V942">_xlfn.IFS(tbl_working_daily[[#This Row],[VeryActiveMinutes]]&gt;=30,"Very Active",tbl_working_daily[[#This Row],[VeryActiveMinutes]]&gt;=15,"Moderately Active",tbl_working_daily[[#This Row],[VeryActiveMinutes]]&gt;=1,"Lightly Active",tbl_working_daily[[#This Row],[VeryActiveMinutes]]=0,"Sedentary")</f>
        <v>Lightly Active</v>
      </c>
      <c r="W942" t="str">
        <f>tbl_working_daily[[#This Row],[Id]]&amp;"|"&amp;TEXT(tbl_working_daily[[#This Row],[ActivityDate]],"yyyy-mm-dd")</f>
        <v>4558609924|2016-05-05</v>
      </c>
      <c r="X942" t="b">
        <f>ISNUMBER(MATCH(tbl_working_daily[[#This Row],[LookupKey]],tbl_working_sleep[LookupKey],0))</f>
        <v>0</v>
      </c>
    </row>
    <row r="943" spans="1:24" x14ac:dyDescent="0.3">
      <c r="A943">
        <v>4558609924</v>
      </c>
      <c r="B943" s="1">
        <v>42496</v>
      </c>
      <c r="C943">
        <v>3755</v>
      </c>
      <c r="D943">
        <v>2.4800000190734899</v>
      </c>
      <c r="E943">
        <v>2.4800000190734899</v>
      </c>
      <c r="F943">
        <v>0</v>
      </c>
      <c r="G943">
        <v>0</v>
      </c>
      <c r="H943">
        <v>0</v>
      </c>
      <c r="I943">
        <v>2.4800000190734899</v>
      </c>
      <c r="J943">
        <v>0</v>
      </c>
      <c r="K943">
        <v>0</v>
      </c>
      <c r="L943">
        <v>0</v>
      </c>
      <c r="M943">
        <v>202</v>
      </c>
      <c r="N943">
        <v>1238</v>
      </c>
      <c r="O943">
        <v>1722</v>
      </c>
      <c r="P943" t="str">
        <f>TEXT(tbl_working_daily[[#This Row],[ActivityDate]],"dddd")</f>
        <v>Friday</v>
      </c>
      <c r="Q943" t="str">
        <f>TEXT(tbl_working_daily[[#This Row],[ActivityDate]],"mmmm")</f>
        <v>May</v>
      </c>
      <c r="R943">
        <f t="shared" si="28"/>
        <v>202</v>
      </c>
      <c r="S943">
        <f t="shared" si="29"/>
        <v>1440</v>
      </c>
      <c r="T943">
        <f>ROUND(tbl_working_daily[[#This Row],[SedentaryMinutes]]/60,2)</f>
        <v>20.63</v>
      </c>
      <c r="U943" t="str" cm="1">
        <f t="array" ref="U9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43" t="str" cm="1">
        <f t="array" ref="V943">_xlfn.IFS(tbl_working_daily[[#This Row],[VeryActiveMinutes]]&gt;=30,"Very Active",tbl_working_daily[[#This Row],[VeryActiveMinutes]]&gt;=15,"Moderately Active",tbl_working_daily[[#This Row],[VeryActiveMinutes]]&gt;=1,"Lightly Active",tbl_working_daily[[#This Row],[VeryActiveMinutes]]=0,"Sedentary")</f>
        <v>Sedentary</v>
      </c>
      <c r="W943" t="str">
        <f>tbl_working_daily[[#This Row],[Id]]&amp;"|"&amp;TEXT(tbl_working_daily[[#This Row],[ActivityDate]],"yyyy-mm-dd")</f>
        <v>4558609924|2016-05-06</v>
      </c>
      <c r="X943" t="b">
        <f>ISNUMBER(MATCH(tbl_working_daily[[#This Row],[LookupKey]],tbl_working_sleep[LookupKey],0))</f>
        <v>0</v>
      </c>
    </row>
    <row r="944" spans="1:24" x14ac:dyDescent="0.3">
      <c r="A944">
        <v>4558609924</v>
      </c>
      <c r="B944" s="1">
        <v>42497</v>
      </c>
      <c r="C944">
        <v>8237</v>
      </c>
      <c r="D944">
        <v>5.4400000572204599</v>
      </c>
      <c r="E944">
        <v>5.4400000572204599</v>
      </c>
      <c r="F944">
        <v>0</v>
      </c>
      <c r="G944">
        <v>1.6100000143051101</v>
      </c>
      <c r="H944">
        <v>1</v>
      </c>
      <c r="I944">
        <v>2.8299999237060498</v>
      </c>
      <c r="J944">
        <v>0</v>
      </c>
      <c r="K944">
        <v>23</v>
      </c>
      <c r="L944">
        <v>16</v>
      </c>
      <c r="M944">
        <v>233</v>
      </c>
      <c r="N944">
        <v>1116</v>
      </c>
      <c r="O944">
        <v>1973</v>
      </c>
      <c r="P944" t="str">
        <f>TEXT(tbl_working_daily[[#This Row],[ActivityDate]],"dddd")</f>
        <v>Saturday</v>
      </c>
      <c r="Q944" t="str">
        <f>TEXT(tbl_working_daily[[#This Row],[ActivityDate]],"mmmm")</f>
        <v>May</v>
      </c>
      <c r="R944">
        <f t="shared" si="28"/>
        <v>272</v>
      </c>
      <c r="S944">
        <f t="shared" si="29"/>
        <v>1388</v>
      </c>
      <c r="T944">
        <f>ROUND(tbl_working_daily[[#This Row],[SedentaryMinutes]]/60,2)</f>
        <v>18.600000000000001</v>
      </c>
      <c r="U944" t="str" cm="1">
        <f t="array" ref="U94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44" t="str" cm="1">
        <f t="array" ref="V944">_xlfn.IFS(tbl_working_daily[[#This Row],[VeryActiveMinutes]]&gt;=30,"Very Active",tbl_working_daily[[#This Row],[VeryActiveMinutes]]&gt;=15,"Moderately Active",tbl_working_daily[[#This Row],[VeryActiveMinutes]]&gt;=1,"Lightly Active",tbl_working_daily[[#This Row],[VeryActiveMinutes]]=0,"Sedentary")</f>
        <v>Moderately Active</v>
      </c>
      <c r="W944" t="str">
        <f>tbl_working_daily[[#This Row],[Id]]&amp;"|"&amp;TEXT(tbl_working_daily[[#This Row],[ActivityDate]],"yyyy-mm-dd")</f>
        <v>4558609924|2016-05-07</v>
      </c>
      <c r="X944" t="b">
        <f>ISNUMBER(MATCH(tbl_working_daily[[#This Row],[LookupKey]],tbl_working_sleep[LookupKey],0))</f>
        <v>0</v>
      </c>
    </row>
    <row r="945" spans="1:24" x14ac:dyDescent="0.3">
      <c r="A945">
        <v>4558609924</v>
      </c>
      <c r="B945" s="1">
        <v>42498</v>
      </c>
      <c r="C945">
        <v>6543</v>
      </c>
      <c r="D945">
        <v>4.3299999237060502</v>
      </c>
      <c r="E945">
        <v>4.3299999237060502</v>
      </c>
      <c r="F945">
        <v>0</v>
      </c>
      <c r="G945">
        <v>1.79999995231628</v>
      </c>
      <c r="H945">
        <v>0.5</v>
      </c>
      <c r="I945">
        <v>2.0199999809265101</v>
      </c>
      <c r="J945">
        <v>0</v>
      </c>
      <c r="K945">
        <v>66</v>
      </c>
      <c r="L945">
        <v>35</v>
      </c>
      <c r="M945">
        <v>238</v>
      </c>
      <c r="N945">
        <v>1019</v>
      </c>
      <c r="O945">
        <v>2666</v>
      </c>
      <c r="P945" t="str">
        <f>TEXT(tbl_working_daily[[#This Row],[ActivityDate]],"dddd")</f>
        <v>Sunday</v>
      </c>
      <c r="Q945" t="str">
        <f>TEXT(tbl_working_daily[[#This Row],[ActivityDate]],"mmmm")</f>
        <v>May</v>
      </c>
      <c r="R945">
        <f t="shared" si="28"/>
        <v>339</v>
      </c>
      <c r="S945">
        <f t="shared" si="29"/>
        <v>1358</v>
      </c>
      <c r="T945">
        <f>ROUND(tbl_working_daily[[#This Row],[SedentaryMinutes]]/60,2)</f>
        <v>16.98</v>
      </c>
      <c r="U945" t="str" cm="1">
        <f t="array" ref="U94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45" t="str" cm="1">
        <f t="array" ref="V945">_xlfn.IFS(tbl_working_daily[[#This Row],[VeryActiveMinutes]]&gt;=30,"Very Active",tbl_working_daily[[#This Row],[VeryActiveMinutes]]&gt;=15,"Moderately Active",tbl_working_daily[[#This Row],[VeryActiveMinutes]]&gt;=1,"Lightly Active",tbl_working_daily[[#This Row],[VeryActiveMinutes]]=0,"Sedentary")</f>
        <v>Very Active</v>
      </c>
      <c r="W945" t="str">
        <f>tbl_working_daily[[#This Row],[Id]]&amp;"|"&amp;TEXT(tbl_working_daily[[#This Row],[ActivityDate]],"yyyy-mm-dd")</f>
        <v>4558609924|2016-05-08</v>
      </c>
      <c r="X945" t="b">
        <f>ISNUMBER(MATCH(tbl_working_daily[[#This Row],[LookupKey]],tbl_working_sleep[LookupKey],0))</f>
        <v>1</v>
      </c>
    </row>
    <row r="946" spans="1:24" x14ac:dyDescent="0.3">
      <c r="A946">
        <v>4558609924</v>
      </c>
      <c r="B946" s="1">
        <v>42499</v>
      </c>
      <c r="C946">
        <v>11451</v>
      </c>
      <c r="D946">
        <v>7.5700001716613796</v>
      </c>
      <c r="E946">
        <v>7.5700001716613796</v>
      </c>
      <c r="F946">
        <v>0</v>
      </c>
      <c r="G946">
        <v>0.43000000715255698</v>
      </c>
      <c r="H946">
        <v>1.62000000476837</v>
      </c>
      <c r="I946">
        <v>5.5199999809265101</v>
      </c>
      <c r="J946">
        <v>0</v>
      </c>
      <c r="K946">
        <v>6</v>
      </c>
      <c r="L946">
        <v>30</v>
      </c>
      <c r="M946">
        <v>339</v>
      </c>
      <c r="N946">
        <v>1065</v>
      </c>
      <c r="O946">
        <v>2223</v>
      </c>
      <c r="P946" t="str">
        <f>TEXT(tbl_working_daily[[#This Row],[ActivityDate]],"dddd")</f>
        <v>Monday</v>
      </c>
      <c r="Q946" t="str">
        <f>TEXT(tbl_working_daily[[#This Row],[ActivityDate]],"mmmm")</f>
        <v>May</v>
      </c>
      <c r="R946">
        <f t="shared" si="28"/>
        <v>375</v>
      </c>
      <c r="S946">
        <f t="shared" si="29"/>
        <v>1440</v>
      </c>
      <c r="T946">
        <f>ROUND(tbl_working_daily[[#This Row],[SedentaryMinutes]]/60,2)</f>
        <v>17.75</v>
      </c>
      <c r="U946" t="str" cm="1">
        <f t="array" ref="U94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46" t="str" cm="1">
        <f t="array" ref="V946">_xlfn.IFS(tbl_working_daily[[#This Row],[VeryActiveMinutes]]&gt;=30,"Very Active",tbl_working_daily[[#This Row],[VeryActiveMinutes]]&gt;=15,"Moderately Active",tbl_working_daily[[#This Row],[VeryActiveMinutes]]&gt;=1,"Lightly Active",tbl_working_daily[[#This Row],[VeryActiveMinutes]]=0,"Sedentary")</f>
        <v>Lightly Active</v>
      </c>
      <c r="W946" t="str">
        <f>tbl_working_daily[[#This Row],[Id]]&amp;"|"&amp;TEXT(tbl_working_daily[[#This Row],[ActivityDate]],"yyyy-mm-dd")</f>
        <v>4558609924|2016-05-09</v>
      </c>
      <c r="X946" t="b">
        <f>ISNUMBER(MATCH(tbl_working_daily[[#This Row],[LookupKey]],tbl_working_sleep[LookupKey],0))</f>
        <v>0</v>
      </c>
    </row>
    <row r="947" spans="1:24" x14ac:dyDescent="0.3">
      <c r="A947">
        <v>4558609924</v>
      </c>
      <c r="B947" s="1">
        <v>42500</v>
      </c>
      <c r="C947">
        <v>6435</v>
      </c>
      <c r="D947">
        <v>4.25</v>
      </c>
      <c r="E947">
        <v>4.25</v>
      </c>
      <c r="F947">
        <v>0</v>
      </c>
      <c r="G947">
        <v>0.74000000953674305</v>
      </c>
      <c r="H947">
        <v>1.12000000476837</v>
      </c>
      <c r="I947">
        <v>2.3900001049041699</v>
      </c>
      <c r="J947">
        <v>0</v>
      </c>
      <c r="K947">
        <v>11</v>
      </c>
      <c r="L947">
        <v>18</v>
      </c>
      <c r="M947">
        <v>220</v>
      </c>
      <c r="N947">
        <v>1191</v>
      </c>
      <c r="O947">
        <v>1889</v>
      </c>
      <c r="P947" t="str">
        <f>TEXT(tbl_working_daily[[#This Row],[ActivityDate]],"dddd")</f>
        <v>Tuesday</v>
      </c>
      <c r="Q947" t="str">
        <f>TEXT(tbl_working_daily[[#This Row],[ActivityDate]],"mmmm")</f>
        <v>May</v>
      </c>
      <c r="R947">
        <f t="shared" si="28"/>
        <v>249</v>
      </c>
      <c r="S947">
        <f t="shared" si="29"/>
        <v>1440</v>
      </c>
      <c r="T947">
        <f>ROUND(tbl_working_daily[[#This Row],[SedentaryMinutes]]/60,2)</f>
        <v>19.850000000000001</v>
      </c>
      <c r="U947" t="str" cm="1">
        <f t="array" ref="U94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47" t="str" cm="1">
        <f t="array" ref="V947">_xlfn.IFS(tbl_working_daily[[#This Row],[VeryActiveMinutes]]&gt;=30,"Very Active",tbl_working_daily[[#This Row],[VeryActiveMinutes]]&gt;=15,"Moderately Active",tbl_working_daily[[#This Row],[VeryActiveMinutes]]&gt;=1,"Lightly Active",tbl_working_daily[[#This Row],[VeryActiveMinutes]]=0,"Sedentary")</f>
        <v>Lightly Active</v>
      </c>
      <c r="W947" t="str">
        <f>tbl_working_daily[[#This Row],[Id]]&amp;"|"&amp;TEXT(tbl_working_daily[[#This Row],[ActivityDate]],"yyyy-mm-dd")</f>
        <v>4558609924|2016-05-10</v>
      </c>
      <c r="X947" t="b">
        <f>ISNUMBER(MATCH(tbl_working_daily[[#This Row],[LookupKey]],tbl_working_sleep[LookupKey],0))</f>
        <v>0</v>
      </c>
    </row>
    <row r="948" spans="1:24" x14ac:dyDescent="0.3">
      <c r="A948">
        <v>4558609924</v>
      </c>
      <c r="B948" s="1">
        <v>42501</v>
      </c>
      <c r="C948">
        <v>9108</v>
      </c>
      <c r="D948">
        <v>6.0199999809265101</v>
      </c>
      <c r="E948">
        <v>6.0199999809265101</v>
      </c>
      <c r="F948">
        <v>0</v>
      </c>
      <c r="G948">
        <v>0.259999990463257</v>
      </c>
      <c r="H948">
        <v>1.8200000524520901</v>
      </c>
      <c r="I948">
        <v>3.9400000572204599</v>
      </c>
      <c r="J948">
        <v>0</v>
      </c>
      <c r="K948">
        <v>4</v>
      </c>
      <c r="L948">
        <v>31</v>
      </c>
      <c r="M948">
        <v>324</v>
      </c>
      <c r="N948">
        <v>1081</v>
      </c>
      <c r="O948">
        <v>2131</v>
      </c>
      <c r="P948" t="str">
        <f>TEXT(tbl_working_daily[[#This Row],[ActivityDate]],"dddd")</f>
        <v>Wednesday</v>
      </c>
      <c r="Q948" t="str">
        <f>TEXT(tbl_working_daily[[#This Row],[ActivityDate]],"mmmm")</f>
        <v>May</v>
      </c>
      <c r="R948">
        <f t="shared" si="28"/>
        <v>359</v>
      </c>
      <c r="S948">
        <f t="shared" si="29"/>
        <v>1440</v>
      </c>
      <c r="T948">
        <f>ROUND(tbl_working_daily[[#This Row],[SedentaryMinutes]]/60,2)</f>
        <v>18.02</v>
      </c>
      <c r="U948" t="str" cm="1">
        <f t="array" ref="U94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48" t="str" cm="1">
        <f t="array" ref="V948">_xlfn.IFS(tbl_working_daily[[#This Row],[VeryActiveMinutes]]&gt;=30,"Very Active",tbl_working_daily[[#This Row],[VeryActiveMinutes]]&gt;=15,"Moderately Active",tbl_working_daily[[#This Row],[VeryActiveMinutes]]&gt;=1,"Lightly Active",tbl_working_daily[[#This Row],[VeryActiveMinutes]]=0,"Sedentary")</f>
        <v>Lightly Active</v>
      </c>
      <c r="W948" t="str">
        <f>tbl_working_daily[[#This Row],[Id]]&amp;"|"&amp;TEXT(tbl_working_daily[[#This Row],[ActivityDate]],"yyyy-mm-dd")</f>
        <v>4558609924|2016-05-11</v>
      </c>
      <c r="X948" t="b">
        <f>ISNUMBER(MATCH(tbl_working_daily[[#This Row],[LookupKey]],tbl_working_sleep[LookupKey],0))</f>
        <v>0</v>
      </c>
    </row>
    <row r="949" spans="1:24" x14ac:dyDescent="0.3">
      <c r="A949">
        <v>4558609924</v>
      </c>
      <c r="B949" s="1">
        <v>42502</v>
      </c>
      <c r="C949">
        <v>6307</v>
      </c>
      <c r="D949">
        <v>4.1700000762939498</v>
      </c>
      <c r="E949">
        <v>4.1700000762939498</v>
      </c>
      <c r="F949">
        <v>0</v>
      </c>
      <c r="G949">
        <v>0</v>
      </c>
      <c r="H949">
        <v>0</v>
      </c>
      <c r="I949">
        <v>4.1700000762939498</v>
      </c>
      <c r="J949">
        <v>0</v>
      </c>
      <c r="K949">
        <v>0</v>
      </c>
      <c r="L949">
        <v>0</v>
      </c>
      <c r="M949">
        <v>247</v>
      </c>
      <c r="N949">
        <v>736</v>
      </c>
      <c r="O949">
        <v>1452</v>
      </c>
      <c r="P949" t="str">
        <f>TEXT(tbl_working_daily[[#This Row],[ActivityDate]],"dddd")</f>
        <v>Thursday</v>
      </c>
      <c r="Q949" t="str">
        <f>TEXT(tbl_working_daily[[#This Row],[ActivityDate]],"mmmm")</f>
        <v>May</v>
      </c>
      <c r="R949">
        <f t="shared" si="28"/>
        <v>247</v>
      </c>
      <c r="S949">
        <f t="shared" si="29"/>
        <v>983</v>
      </c>
      <c r="T949">
        <f>ROUND(tbl_working_daily[[#This Row],[SedentaryMinutes]]/60,2)</f>
        <v>12.27</v>
      </c>
      <c r="U949" t="str" cm="1">
        <f t="array" ref="U94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49" t="str" cm="1">
        <f t="array" ref="V949">_xlfn.IFS(tbl_working_daily[[#This Row],[VeryActiveMinutes]]&gt;=30,"Very Active",tbl_working_daily[[#This Row],[VeryActiveMinutes]]&gt;=15,"Moderately Active",tbl_working_daily[[#This Row],[VeryActiveMinutes]]&gt;=1,"Lightly Active",tbl_working_daily[[#This Row],[VeryActiveMinutes]]=0,"Sedentary")</f>
        <v>Sedentary</v>
      </c>
      <c r="W949" t="str">
        <f>tbl_working_daily[[#This Row],[Id]]&amp;"|"&amp;TEXT(tbl_working_daily[[#This Row],[ActivityDate]],"yyyy-mm-dd")</f>
        <v>4558609924|2016-05-12</v>
      </c>
      <c r="X949" t="b">
        <f>ISNUMBER(MATCH(tbl_working_daily[[#This Row],[LookupKey]],tbl_working_sleep[LookupKey],0))</f>
        <v>0</v>
      </c>
    </row>
    <row r="950" spans="1:24" x14ac:dyDescent="0.3">
      <c r="A950">
        <v>4702921684</v>
      </c>
      <c r="B950" s="1">
        <v>42473</v>
      </c>
      <c r="C950">
        <v>6877</v>
      </c>
      <c r="D950">
        <v>5.5799999237060502</v>
      </c>
      <c r="E950">
        <v>5.5799999237060502</v>
      </c>
      <c r="F950">
        <v>0</v>
      </c>
      <c r="G950">
        <v>0</v>
      </c>
      <c r="H950">
        <v>0</v>
      </c>
      <c r="I950">
        <v>5.5799999237060502</v>
      </c>
      <c r="J950">
        <v>0</v>
      </c>
      <c r="K950">
        <v>0</v>
      </c>
      <c r="L950">
        <v>0</v>
      </c>
      <c r="M950">
        <v>258</v>
      </c>
      <c r="N950">
        <v>777</v>
      </c>
      <c r="O950">
        <v>2898</v>
      </c>
      <c r="P950" t="str">
        <f>TEXT(tbl_working_daily[[#This Row],[ActivityDate]],"dddd")</f>
        <v>Wednesday</v>
      </c>
      <c r="Q950" t="str">
        <f>TEXT(tbl_working_daily[[#This Row],[ActivityDate]],"mmmm")</f>
        <v>April</v>
      </c>
      <c r="R950">
        <f t="shared" si="28"/>
        <v>258</v>
      </c>
      <c r="S950">
        <f t="shared" si="29"/>
        <v>1035</v>
      </c>
      <c r="T950">
        <f>ROUND(tbl_working_daily[[#This Row],[SedentaryMinutes]]/60,2)</f>
        <v>12.95</v>
      </c>
      <c r="U950" t="str" cm="1">
        <f t="array" ref="U95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50" t="str" cm="1">
        <f t="array" ref="V950">_xlfn.IFS(tbl_working_daily[[#This Row],[VeryActiveMinutes]]&gt;=30,"Very Active",tbl_working_daily[[#This Row],[VeryActiveMinutes]]&gt;=15,"Moderately Active",tbl_working_daily[[#This Row],[VeryActiveMinutes]]&gt;=1,"Lightly Active",tbl_working_daily[[#This Row],[VeryActiveMinutes]]=0,"Sedentary")</f>
        <v>Sedentary</v>
      </c>
      <c r="W950" t="str">
        <f>tbl_working_daily[[#This Row],[Id]]&amp;"|"&amp;TEXT(tbl_working_daily[[#This Row],[ActivityDate]],"yyyy-mm-dd")</f>
        <v>4702921684|2016-04-13</v>
      </c>
      <c r="X950" t="b">
        <f>ISNUMBER(MATCH(tbl_working_daily[[#This Row],[LookupKey]],tbl_working_sleep[LookupKey],0))</f>
        <v>1</v>
      </c>
    </row>
    <row r="951" spans="1:24" x14ac:dyDescent="0.3">
      <c r="A951">
        <v>4702921684</v>
      </c>
      <c r="B951" s="1">
        <v>42474</v>
      </c>
      <c r="C951">
        <v>7860</v>
      </c>
      <c r="D951">
        <v>6.3699998855590803</v>
      </c>
      <c r="E951">
        <v>6.3699998855590803</v>
      </c>
      <c r="F951">
        <v>0</v>
      </c>
      <c r="G951">
        <v>0</v>
      </c>
      <c r="H951">
        <v>0</v>
      </c>
      <c r="I951">
        <v>6.3699998855590803</v>
      </c>
      <c r="J951">
        <v>0</v>
      </c>
      <c r="K951">
        <v>0</v>
      </c>
      <c r="L951">
        <v>0</v>
      </c>
      <c r="M951">
        <v>271</v>
      </c>
      <c r="N951">
        <v>772</v>
      </c>
      <c r="O951">
        <v>2984</v>
      </c>
      <c r="P951" t="str">
        <f>TEXT(tbl_working_daily[[#This Row],[ActivityDate]],"dddd")</f>
        <v>Thursday</v>
      </c>
      <c r="Q951" t="str">
        <f>TEXT(tbl_working_daily[[#This Row],[ActivityDate]],"mmmm")</f>
        <v>April</v>
      </c>
      <c r="R951">
        <f t="shared" si="28"/>
        <v>271</v>
      </c>
      <c r="S951">
        <f t="shared" si="29"/>
        <v>1043</v>
      </c>
      <c r="T951">
        <f>ROUND(tbl_working_daily[[#This Row],[SedentaryMinutes]]/60,2)</f>
        <v>12.87</v>
      </c>
      <c r="U951" t="str" cm="1">
        <f t="array" ref="U95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51" t="str" cm="1">
        <f t="array" ref="V951">_xlfn.IFS(tbl_working_daily[[#This Row],[VeryActiveMinutes]]&gt;=30,"Very Active",tbl_working_daily[[#This Row],[VeryActiveMinutes]]&gt;=15,"Moderately Active",tbl_working_daily[[#This Row],[VeryActiveMinutes]]&gt;=1,"Lightly Active",tbl_working_daily[[#This Row],[VeryActiveMinutes]]=0,"Sedentary")</f>
        <v>Sedentary</v>
      </c>
      <c r="W951" t="str">
        <f>tbl_working_daily[[#This Row],[Id]]&amp;"|"&amp;TEXT(tbl_working_daily[[#This Row],[ActivityDate]],"yyyy-mm-dd")</f>
        <v>4702921684|2016-04-14</v>
      </c>
      <c r="X951" t="b">
        <f>ISNUMBER(MATCH(tbl_working_daily[[#This Row],[LookupKey]],tbl_working_sleep[LookupKey],0))</f>
        <v>1</v>
      </c>
    </row>
    <row r="952" spans="1:24" x14ac:dyDescent="0.3">
      <c r="A952">
        <v>4702921684</v>
      </c>
      <c r="B952" s="1">
        <v>42475</v>
      </c>
      <c r="C952">
        <v>6506</v>
      </c>
      <c r="D952">
        <v>5.2800002098083496</v>
      </c>
      <c r="E952">
        <v>5.2800002098083496</v>
      </c>
      <c r="F952">
        <v>0</v>
      </c>
      <c r="G952">
        <v>7.0000000298023196E-2</v>
      </c>
      <c r="H952">
        <v>0.41999998688697798</v>
      </c>
      <c r="I952">
        <v>4.78999996185303</v>
      </c>
      <c r="J952">
        <v>0</v>
      </c>
      <c r="K952">
        <v>1</v>
      </c>
      <c r="L952">
        <v>8</v>
      </c>
      <c r="M952">
        <v>256</v>
      </c>
      <c r="N952">
        <v>944</v>
      </c>
      <c r="O952">
        <v>2896</v>
      </c>
      <c r="P952" t="str">
        <f>TEXT(tbl_working_daily[[#This Row],[ActivityDate]],"dddd")</f>
        <v>Friday</v>
      </c>
      <c r="Q952" t="str">
        <f>TEXT(tbl_working_daily[[#This Row],[ActivityDate]],"mmmm")</f>
        <v>April</v>
      </c>
      <c r="R952">
        <f t="shared" si="28"/>
        <v>265</v>
      </c>
      <c r="S952">
        <f t="shared" si="29"/>
        <v>1209</v>
      </c>
      <c r="T952">
        <f>ROUND(tbl_working_daily[[#This Row],[SedentaryMinutes]]/60,2)</f>
        <v>15.73</v>
      </c>
      <c r="U952" t="str" cm="1">
        <f t="array" ref="U95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52" t="str" cm="1">
        <f t="array" ref="V952">_xlfn.IFS(tbl_working_daily[[#This Row],[VeryActiveMinutes]]&gt;=30,"Very Active",tbl_working_daily[[#This Row],[VeryActiveMinutes]]&gt;=15,"Moderately Active",tbl_working_daily[[#This Row],[VeryActiveMinutes]]&gt;=1,"Lightly Active",tbl_working_daily[[#This Row],[VeryActiveMinutes]]=0,"Sedentary")</f>
        <v>Lightly Active</v>
      </c>
      <c r="W952" t="str">
        <f>tbl_working_daily[[#This Row],[Id]]&amp;"|"&amp;TEXT(tbl_working_daily[[#This Row],[ActivityDate]],"yyyy-mm-dd")</f>
        <v>4702921684|2016-04-15</v>
      </c>
      <c r="X952" t="b">
        <f>ISNUMBER(MATCH(tbl_working_daily[[#This Row],[LookupKey]],tbl_working_sleep[LookupKey],0))</f>
        <v>1</v>
      </c>
    </row>
    <row r="953" spans="1:24" x14ac:dyDescent="0.3">
      <c r="A953">
        <v>4702921684</v>
      </c>
      <c r="B953" s="1">
        <v>42476</v>
      </c>
      <c r="C953">
        <v>11140</v>
      </c>
      <c r="D953">
        <v>9.0299997329711896</v>
      </c>
      <c r="E953">
        <v>9.0299997329711896</v>
      </c>
      <c r="F953">
        <v>0</v>
      </c>
      <c r="G953">
        <v>0.239999994635582</v>
      </c>
      <c r="H953">
        <v>1.25</v>
      </c>
      <c r="I953">
        <v>7.53999996185303</v>
      </c>
      <c r="J953">
        <v>0</v>
      </c>
      <c r="K953">
        <v>3</v>
      </c>
      <c r="L953">
        <v>24</v>
      </c>
      <c r="M953">
        <v>335</v>
      </c>
      <c r="N953">
        <v>556</v>
      </c>
      <c r="O953">
        <v>3328</v>
      </c>
      <c r="P953" t="str">
        <f>TEXT(tbl_working_daily[[#This Row],[ActivityDate]],"dddd")</f>
        <v>Saturday</v>
      </c>
      <c r="Q953" t="str">
        <f>TEXT(tbl_working_daily[[#This Row],[ActivityDate]],"mmmm")</f>
        <v>April</v>
      </c>
      <c r="R953">
        <f t="shared" si="28"/>
        <v>362</v>
      </c>
      <c r="S953">
        <f t="shared" si="29"/>
        <v>918</v>
      </c>
      <c r="T953">
        <f>ROUND(tbl_working_daily[[#This Row],[SedentaryMinutes]]/60,2)</f>
        <v>9.27</v>
      </c>
      <c r="U953" t="str" cm="1">
        <f t="array" ref="U95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53" t="str" cm="1">
        <f t="array" ref="V953">_xlfn.IFS(tbl_working_daily[[#This Row],[VeryActiveMinutes]]&gt;=30,"Very Active",tbl_working_daily[[#This Row],[VeryActiveMinutes]]&gt;=15,"Moderately Active",tbl_working_daily[[#This Row],[VeryActiveMinutes]]&gt;=1,"Lightly Active",tbl_working_daily[[#This Row],[VeryActiveMinutes]]=0,"Sedentary")</f>
        <v>Lightly Active</v>
      </c>
      <c r="W953" t="str">
        <f>tbl_working_daily[[#This Row],[Id]]&amp;"|"&amp;TEXT(tbl_working_daily[[#This Row],[ActivityDate]],"yyyy-mm-dd")</f>
        <v>4702921684|2016-04-16</v>
      </c>
      <c r="X953" t="b">
        <f>ISNUMBER(MATCH(tbl_working_daily[[#This Row],[LookupKey]],tbl_working_sleep[LookupKey],0))</f>
        <v>1</v>
      </c>
    </row>
    <row r="954" spans="1:24" x14ac:dyDescent="0.3">
      <c r="A954">
        <v>4702921684</v>
      </c>
      <c r="B954" s="1">
        <v>42477</v>
      </c>
      <c r="C954">
        <v>12692</v>
      </c>
      <c r="D954">
        <v>10.289999961853001</v>
      </c>
      <c r="E954">
        <v>10.289999961853001</v>
      </c>
      <c r="F954">
        <v>0</v>
      </c>
      <c r="G954">
        <v>0.95999997854232799</v>
      </c>
      <c r="H954">
        <v>3.46000003814697</v>
      </c>
      <c r="I954">
        <v>5.8800001144409197</v>
      </c>
      <c r="J954">
        <v>0</v>
      </c>
      <c r="K954">
        <v>12</v>
      </c>
      <c r="L954">
        <v>66</v>
      </c>
      <c r="M954">
        <v>302</v>
      </c>
      <c r="N954">
        <v>437</v>
      </c>
      <c r="O954">
        <v>3394</v>
      </c>
      <c r="P954" t="str">
        <f>TEXT(tbl_working_daily[[#This Row],[ActivityDate]],"dddd")</f>
        <v>Sunday</v>
      </c>
      <c r="Q954" t="str">
        <f>TEXT(tbl_working_daily[[#This Row],[ActivityDate]],"mmmm")</f>
        <v>April</v>
      </c>
      <c r="R954">
        <f t="shared" si="28"/>
        <v>380</v>
      </c>
      <c r="S954">
        <f t="shared" si="29"/>
        <v>817</v>
      </c>
      <c r="T954">
        <f>ROUND(tbl_working_daily[[#This Row],[SedentaryMinutes]]/60,2)</f>
        <v>7.28</v>
      </c>
      <c r="U954" t="str" cm="1">
        <f t="array" ref="U95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54" t="str" cm="1">
        <f t="array" ref="V954">_xlfn.IFS(tbl_working_daily[[#This Row],[VeryActiveMinutes]]&gt;=30,"Very Active",tbl_working_daily[[#This Row],[VeryActiveMinutes]]&gt;=15,"Moderately Active",tbl_working_daily[[#This Row],[VeryActiveMinutes]]&gt;=1,"Lightly Active",tbl_working_daily[[#This Row],[VeryActiveMinutes]]=0,"Sedentary")</f>
        <v>Lightly Active</v>
      </c>
      <c r="W954" t="str">
        <f>tbl_working_daily[[#This Row],[Id]]&amp;"|"&amp;TEXT(tbl_working_daily[[#This Row],[ActivityDate]],"yyyy-mm-dd")</f>
        <v>4702921684|2016-04-17</v>
      </c>
      <c r="X954" t="b">
        <f>ISNUMBER(MATCH(tbl_working_daily[[#This Row],[LookupKey]],tbl_working_sleep[LookupKey],0))</f>
        <v>1</v>
      </c>
    </row>
    <row r="955" spans="1:24" x14ac:dyDescent="0.3">
      <c r="A955">
        <v>4702921684</v>
      </c>
      <c r="B955" s="1">
        <v>42478</v>
      </c>
      <c r="C955">
        <v>9105</v>
      </c>
      <c r="D955">
        <v>7.3800001144409197</v>
      </c>
      <c r="E955">
        <v>7.3800001144409197</v>
      </c>
      <c r="F955">
        <v>0</v>
      </c>
      <c r="G955">
        <v>1.8200000524520901</v>
      </c>
      <c r="H955">
        <v>1.4900000095367401</v>
      </c>
      <c r="I955">
        <v>4.0700001716613796</v>
      </c>
      <c r="J955">
        <v>0</v>
      </c>
      <c r="K955">
        <v>22</v>
      </c>
      <c r="L955">
        <v>30</v>
      </c>
      <c r="M955">
        <v>191</v>
      </c>
      <c r="N955">
        <v>890</v>
      </c>
      <c r="O955">
        <v>3013</v>
      </c>
      <c r="P955" t="str">
        <f>TEXT(tbl_working_daily[[#This Row],[ActivityDate]],"dddd")</f>
        <v>Monday</v>
      </c>
      <c r="Q955" t="str">
        <f>TEXT(tbl_working_daily[[#This Row],[ActivityDate]],"mmmm")</f>
        <v>April</v>
      </c>
      <c r="R955">
        <f t="shared" si="28"/>
        <v>243</v>
      </c>
      <c r="S955">
        <f t="shared" si="29"/>
        <v>1133</v>
      </c>
      <c r="T955">
        <f>ROUND(tbl_working_daily[[#This Row],[SedentaryMinutes]]/60,2)</f>
        <v>14.83</v>
      </c>
      <c r="U955" t="str" cm="1">
        <f t="array" ref="U95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55" t="str" cm="1">
        <f t="array" ref="V955">_xlfn.IFS(tbl_working_daily[[#This Row],[VeryActiveMinutes]]&gt;=30,"Very Active",tbl_working_daily[[#This Row],[VeryActiveMinutes]]&gt;=15,"Moderately Active",tbl_working_daily[[#This Row],[VeryActiveMinutes]]&gt;=1,"Lightly Active",tbl_working_daily[[#This Row],[VeryActiveMinutes]]=0,"Sedentary")</f>
        <v>Moderately Active</v>
      </c>
      <c r="W955" t="str">
        <f>tbl_working_daily[[#This Row],[Id]]&amp;"|"&amp;TEXT(tbl_working_daily[[#This Row],[ActivityDate]],"yyyy-mm-dd")</f>
        <v>4702921684|2016-04-18</v>
      </c>
      <c r="X955" t="b">
        <f>ISNUMBER(MATCH(tbl_working_daily[[#This Row],[LookupKey]],tbl_working_sleep[LookupKey],0))</f>
        <v>1</v>
      </c>
    </row>
    <row r="956" spans="1:24" x14ac:dyDescent="0.3">
      <c r="A956">
        <v>4702921684</v>
      </c>
      <c r="B956" s="1">
        <v>42479</v>
      </c>
      <c r="C956">
        <v>6708</v>
      </c>
      <c r="D956">
        <v>5.4400000572204599</v>
      </c>
      <c r="E956">
        <v>5.4400000572204599</v>
      </c>
      <c r="F956">
        <v>0</v>
      </c>
      <c r="G956">
        <v>0.87999999523162797</v>
      </c>
      <c r="H956">
        <v>0.37000000476837203</v>
      </c>
      <c r="I956">
        <v>4.1900000572204599</v>
      </c>
      <c r="J956">
        <v>0</v>
      </c>
      <c r="K956">
        <v>10</v>
      </c>
      <c r="L956">
        <v>8</v>
      </c>
      <c r="M956">
        <v>179</v>
      </c>
      <c r="N956">
        <v>757</v>
      </c>
      <c r="O956">
        <v>2812</v>
      </c>
      <c r="P956" t="str">
        <f>TEXT(tbl_working_daily[[#This Row],[ActivityDate]],"dddd")</f>
        <v>Tuesday</v>
      </c>
      <c r="Q956" t="str">
        <f>TEXT(tbl_working_daily[[#This Row],[ActivityDate]],"mmmm")</f>
        <v>April</v>
      </c>
      <c r="R956">
        <f t="shared" si="28"/>
        <v>197</v>
      </c>
      <c r="S956">
        <f t="shared" si="29"/>
        <v>954</v>
      </c>
      <c r="T956">
        <f>ROUND(tbl_working_daily[[#This Row],[SedentaryMinutes]]/60,2)</f>
        <v>12.62</v>
      </c>
      <c r="U956" t="str" cm="1">
        <f t="array" ref="U95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56" t="str" cm="1">
        <f t="array" ref="V956">_xlfn.IFS(tbl_working_daily[[#This Row],[VeryActiveMinutes]]&gt;=30,"Very Active",tbl_working_daily[[#This Row],[VeryActiveMinutes]]&gt;=15,"Moderately Active",tbl_working_daily[[#This Row],[VeryActiveMinutes]]&gt;=1,"Lightly Active",tbl_working_daily[[#This Row],[VeryActiveMinutes]]=0,"Sedentary")</f>
        <v>Lightly Active</v>
      </c>
      <c r="W956" t="str">
        <f>tbl_working_daily[[#This Row],[Id]]&amp;"|"&amp;TEXT(tbl_working_daily[[#This Row],[ActivityDate]],"yyyy-mm-dd")</f>
        <v>4702921684|2016-04-19</v>
      </c>
      <c r="X956" t="b">
        <f>ISNUMBER(MATCH(tbl_working_daily[[#This Row],[LookupKey]],tbl_working_sleep[LookupKey],0))</f>
        <v>1</v>
      </c>
    </row>
    <row r="957" spans="1:24" x14ac:dyDescent="0.3">
      <c r="A957">
        <v>4702921684</v>
      </c>
      <c r="B957" s="1">
        <v>42480</v>
      </c>
      <c r="C957">
        <v>8793</v>
      </c>
      <c r="D957">
        <v>7.1300001144409197</v>
      </c>
      <c r="E957">
        <v>7.1300001144409197</v>
      </c>
      <c r="F957">
        <v>0</v>
      </c>
      <c r="G957">
        <v>0.15999999642372101</v>
      </c>
      <c r="H957">
        <v>1.2300000190734901</v>
      </c>
      <c r="I957">
        <v>5.7300000190734899</v>
      </c>
      <c r="J957">
        <v>0</v>
      </c>
      <c r="K957">
        <v>2</v>
      </c>
      <c r="L957">
        <v>29</v>
      </c>
      <c r="M957">
        <v>260</v>
      </c>
      <c r="N957">
        <v>717</v>
      </c>
      <c r="O957">
        <v>3061</v>
      </c>
      <c r="P957" t="str">
        <f>TEXT(tbl_working_daily[[#This Row],[ActivityDate]],"dddd")</f>
        <v>Wednesday</v>
      </c>
      <c r="Q957" t="str">
        <f>TEXT(tbl_working_daily[[#This Row],[ActivityDate]],"mmmm")</f>
        <v>April</v>
      </c>
      <c r="R957">
        <f t="shared" si="28"/>
        <v>291</v>
      </c>
      <c r="S957">
        <f t="shared" si="29"/>
        <v>1008</v>
      </c>
      <c r="T957">
        <f>ROUND(tbl_working_daily[[#This Row],[SedentaryMinutes]]/60,2)</f>
        <v>11.95</v>
      </c>
      <c r="U957" t="str" cm="1">
        <f t="array" ref="U95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57" t="str" cm="1">
        <f t="array" ref="V957">_xlfn.IFS(tbl_working_daily[[#This Row],[VeryActiveMinutes]]&gt;=30,"Very Active",tbl_working_daily[[#This Row],[VeryActiveMinutes]]&gt;=15,"Moderately Active",tbl_working_daily[[#This Row],[VeryActiveMinutes]]&gt;=1,"Lightly Active",tbl_working_daily[[#This Row],[VeryActiveMinutes]]=0,"Sedentary")</f>
        <v>Lightly Active</v>
      </c>
      <c r="W957" t="str">
        <f>tbl_working_daily[[#This Row],[Id]]&amp;"|"&amp;TEXT(tbl_working_daily[[#This Row],[ActivityDate]],"yyyy-mm-dd")</f>
        <v>4702921684|2016-04-20</v>
      </c>
      <c r="X957" t="b">
        <f>ISNUMBER(MATCH(tbl_working_daily[[#This Row],[LookupKey]],tbl_working_sleep[LookupKey],0))</f>
        <v>1</v>
      </c>
    </row>
    <row r="958" spans="1:24" x14ac:dyDescent="0.3">
      <c r="A958">
        <v>4702921684</v>
      </c>
      <c r="B958" s="1">
        <v>42481</v>
      </c>
      <c r="C958">
        <v>6530</v>
      </c>
      <c r="D958">
        <v>5.3000001907348597</v>
      </c>
      <c r="E958">
        <v>5.3000001907348597</v>
      </c>
      <c r="F958">
        <v>0</v>
      </c>
      <c r="G958">
        <v>0.31000000238418601</v>
      </c>
      <c r="H958">
        <v>2.0499999523162802</v>
      </c>
      <c r="I958">
        <v>2.9400000572204599</v>
      </c>
      <c r="J958">
        <v>0</v>
      </c>
      <c r="K958">
        <v>4</v>
      </c>
      <c r="L958">
        <v>41</v>
      </c>
      <c r="M958">
        <v>144</v>
      </c>
      <c r="N958">
        <v>901</v>
      </c>
      <c r="O958">
        <v>2729</v>
      </c>
      <c r="P958" t="str">
        <f>TEXT(tbl_working_daily[[#This Row],[ActivityDate]],"dddd")</f>
        <v>Thursday</v>
      </c>
      <c r="Q958" t="str">
        <f>TEXT(tbl_working_daily[[#This Row],[ActivityDate]],"mmmm")</f>
        <v>April</v>
      </c>
      <c r="R958">
        <f t="shared" si="28"/>
        <v>189</v>
      </c>
      <c r="S958">
        <f t="shared" si="29"/>
        <v>1090</v>
      </c>
      <c r="T958">
        <f>ROUND(tbl_working_daily[[#This Row],[SedentaryMinutes]]/60,2)</f>
        <v>15.02</v>
      </c>
      <c r="U958" t="str" cm="1">
        <f t="array" ref="U95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58" t="str" cm="1">
        <f t="array" ref="V958">_xlfn.IFS(tbl_working_daily[[#This Row],[VeryActiveMinutes]]&gt;=30,"Very Active",tbl_working_daily[[#This Row],[VeryActiveMinutes]]&gt;=15,"Moderately Active",tbl_working_daily[[#This Row],[VeryActiveMinutes]]&gt;=1,"Lightly Active",tbl_working_daily[[#This Row],[VeryActiveMinutes]]=0,"Sedentary")</f>
        <v>Lightly Active</v>
      </c>
      <c r="W958" t="str">
        <f>tbl_working_daily[[#This Row],[Id]]&amp;"|"&amp;TEXT(tbl_working_daily[[#This Row],[ActivityDate]],"yyyy-mm-dd")</f>
        <v>4702921684|2016-04-21</v>
      </c>
      <c r="X958" t="b">
        <f>ISNUMBER(MATCH(tbl_working_daily[[#This Row],[LookupKey]],tbl_working_sleep[LookupKey],0))</f>
        <v>1</v>
      </c>
    </row>
    <row r="959" spans="1:24" x14ac:dyDescent="0.3">
      <c r="A959">
        <v>4702921684</v>
      </c>
      <c r="B959" s="1">
        <v>42482</v>
      </c>
      <c r="C959">
        <v>1664</v>
      </c>
      <c r="D959">
        <v>1.3500000238418599</v>
      </c>
      <c r="E959">
        <v>1.3500000238418599</v>
      </c>
      <c r="F959">
        <v>0</v>
      </c>
      <c r="G959">
        <v>0</v>
      </c>
      <c r="H959">
        <v>0</v>
      </c>
      <c r="I959">
        <v>1.3500000238418599</v>
      </c>
      <c r="J959">
        <v>0</v>
      </c>
      <c r="K959">
        <v>0</v>
      </c>
      <c r="L959">
        <v>0</v>
      </c>
      <c r="M959">
        <v>72</v>
      </c>
      <c r="N959">
        <v>1341</v>
      </c>
      <c r="O959">
        <v>2241</v>
      </c>
      <c r="P959" t="str">
        <f>TEXT(tbl_working_daily[[#This Row],[ActivityDate]],"dddd")</f>
        <v>Friday</v>
      </c>
      <c r="Q959" t="str">
        <f>TEXT(tbl_working_daily[[#This Row],[ActivityDate]],"mmmm")</f>
        <v>April</v>
      </c>
      <c r="R959">
        <f t="shared" si="28"/>
        <v>72</v>
      </c>
      <c r="S959">
        <f t="shared" si="29"/>
        <v>1413</v>
      </c>
      <c r="T959">
        <f>ROUND(tbl_working_daily[[#This Row],[SedentaryMinutes]]/60,2)</f>
        <v>22.35</v>
      </c>
      <c r="U959" t="str" cm="1">
        <f t="array" ref="U95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59" t="str" cm="1">
        <f t="array" ref="V959">_xlfn.IFS(tbl_working_daily[[#This Row],[VeryActiveMinutes]]&gt;=30,"Very Active",tbl_working_daily[[#This Row],[VeryActiveMinutes]]&gt;=15,"Moderately Active",tbl_working_daily[[#This Row],[VeryActiveMinutes]]&gt;=1,"Lightly Active",tbl_working_daily[[#This Row],[VeryActiveMinutes]]=0,"Sedentary")</f>
        <v>Sedentary</v>
      </c>
      <c r="W959" t="str">
        <f>tbl_working_daily[[#This Row],[Id]]&amp;"|"&amp;TEXT(tbl_working_daily[[#This Row],[ActivityDate]],"yyyy-mm-dd")</f>
        <v>4702921684|2016-04-22</v>
      </c>
      <c r="X959" t="b">
        <f>ISNUMBER(MATCH(tbl_working_daily[[#This Row],[LookupKey]],tbl_working_sleep[LookupKey],0))</f>
        <v>0</v>
      </c>
    </row>
    <row r="960" spans="1:24" x14ac:dyDescent="0.3">
      <c r="A960">
        <v>4702921684</v>
      </c>
      <c r="B960" s="1">
        <v>42483</v>
      </c>
      <c r="C960">
        <v>15126</v>
      </c>
      <c r="D960">
        <v>12.2700004577637</v>
      </c>
      <c r="E960">
        <v>12.2700004577637</v>
      </c>
      <c r="F960">
        <v>0</v>
      </c>
      <c r="G960">
        <v>0.75999999046325695</v>
      </c>
      <c r="H960">
        <v>3.2400000095367401</v>
      </c>
      <c r="I960">
        <v>8.2700004577636701</v>
      </c>
      <c r="J960">
        <v>0</v>
      </c>
      <c r="K960">
        <v>9</v>
      </c>
      <c r="L960">
        <v>66</v>
      </c>
      <c r="M960">
        <v>408</v>
      </c>
      <c r="N960">
        <v>469</v>
      </c>
      <c r="O960">
        <v>3691</v>
      </c>
      <c r="P960" t="str">
        <f>TEXT(tbl_working_daily[[#This Row],[ActivityDate]],"dddd")</f>
        <v>Saturday</v>
      </c>
      <c r="Q960" t="str">
        <f>TEXT(tbl_working_daily[[#This Row],[ActivityDate]],"mmmm")</f>
        <v>April</v>
      </c>
      <c r="R960">
        <f t="shared" si="28"/>
        <v>483</v>
      </c>
      <c r="S960">
        <f t="shared" si="29"/>
        <v>952</v>
      </c>
      <c r="T960">
        <f>ROUND(tbl_working_daily[[#This Row],[SedentaryMinutes]]/60,2)</f>
        <v>7.82</v>
      </c>
      <c r="U960" t="str" cm="1">
        <f t="array" ref="U96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60" t="str" cm="1">
        <f t="array" ref="V960">_xlfn.IFS(tbl_working_daily[[#This Row],[VeryActiveMinutes]]&gt;=30,"Very Active",tbl_working_daily[[#This Row],[VeryActiveMinutes]]&gt;=15,"Moderately Active",tbl_working_daily[[#This Row],[VeryActiveMinutes]]&gt;=1,"Lightly Active",tbl_working_daily[[#This Row],[VeryActiveMinutes]]=0,"Sedentary")</f>
        <v>Lightly Active</v>
      </c>
      <c r="W960" t="str">
        <f>tbl_working_daily[[#This Row],[Id]]&amp;"|"&amp;TEXT(tbl_working_daily[[#This Row],[ActivityDate]],"yyyy-mm-dd")</f>
        <v>4702921684|2016-04-23</v>
      </c>
      <c r="X960" t="b">
        <f>ISNUMBER(MATCH(tbl_working_daily[[#This Row],[LookupKey]],tbl_working_sleep[LookupKey],0))</f>
        <v>1</v>
      </c>
    </row>
    <row r="961" spans="1:24" x14ac:dyDescent="0.3">
      <c r="A961">
        <v>4702921684</v>
      </c>
      <c r="B961" s="1">
        <v>42484</v>
      </c>
      <c r="C961">
        <v>15050</v>
      </c>
      <c r="D961">
        <v>12.2200002670288</v>
      </c>
      <c r="E961">
        <v>12.2200002670288</v>
      </c>
      <c r="F961">
        <v>0</v>
      </c>
      <c r="G961">
        <v>1.20000004768372</v>
      </c>
      <c r="H961">
        <v>5.1199998855590803</v>
      </c>
      <c r="I961">
        <v>5.8800001144409197</v>
      </c>
      <c r="J961">
        <v>0</v>
      </c>
      <c r="K961">
        <v>15</v>
      </c>
      <c r="L961">
        <v>95</v>
      </c>
      <c r="M961">
        <v>281</v>
      </c>
      <c r="N961">
        <v>542</v>
      </c>
      <c r="O961">
        <v>3538</v>
      </c>
      <c r="P961" t="str">
        <f>TEXT(tbl_working_daily[[#This Row],[ActivityDate]],"dddd")</f>
        <v>Sunday</v>
      </c>
      <c r="Q961" t="str">
        <f>TEXT(tbl_working_daily[[#This Row],[ActivityDate]],"mmmm")</f>
        <v>April</v>
      </c>
      <c r="R961">
        <f t="shared" si="28"/>
        <v>391</v>
      </c>
      <c r="S961">
        <f t="shared" si="29"/>
        <v>933</v>
      </c>
      <c r="T961">
        <f>ROUND(tbl_working_daily[[#This Row],[SedentaryMinutes]]/60,2)</f>
        <v>9.0299999999999994</v>
      </c>
      <c r="U961" t="str" cm="1">
        <f t="array" ref="U96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61" t="str" cm="1">
        <f t="array" ref="V961">_xlfn.IFS(tbl_working_daily[[#This Row],[VeryActiveMinutes]]&gt;=30,"Very Active",tbl_working_daily[[#This Row],[VeryActiveMinutes]]&gt;=15,"Moderately Active",tbl_working_daily[[#This Row],[VeryActiveMinutes]]&gt;=1,"Lightly Active",tbl_working_daily[[#This Row],[VeryActiveMinutes]]=0,"Sedentary")</f>
        <v>Moderately Active</v>
      </c>
      <c r="W961" t="str">
        <f>tbl_working_daily[[#This Row],[Id]]&amp;"|"&amp;TEXT(tbl_working_daily[[#This Row],[ActivityDate]],"yyyy-mm-dd")</f>
        <v>4702921684|2016-04-24</v>
      </c>
      <c r="X961" t="b">
        <f>ISNUMBER(MATCH(tbl_working_daily[[#This Row],[LookupKey]],tbl_working_sleep[LookupKey],0))</f>
        <v>1</v>
      </c>
    </row>
    <row r="962" spans="1:24" x14ac:dyDescent="0.3">
      <c r="A962">
        <v>4702921684</v>
      </c>
      <c r="B962" s="1">
        <v>42485</v>
      </c>
      <c r="C962">
        <v>9167</v>
      </c>
      <c r="D962">
        <v>7.4299998283386204</v>
      </c>
      <c r="E962">
        <v>7.4299998283386204</v>
      </c>
      <c r="F962">
        <v>0</v>
      </c>
      <c r="G962">
        <v>0.490000009536743</v>
      </c>
      <c r="H962">
        <v>0.81999999284744296</v>
      </c>
      <c r="I962">
        <v>6.1100001335143999</v>
      </c>
      <c r="J962">
        <v>0</v>
      </c>
      <c r="K962">
        <v>6</v>
      </c>
      <c r="L962">
        <v>15</v>
      </c>
      <c r="M962">
        <v>270</v>
      </c>
      <c r="N962">
        <v>730</v>
      </c>
      <c r="O962">
        <v>3064</v>
      </c>
      <c r="P962" t="str">
        <f>TEXT(tbl_working_daily[[#This Row],[ActivityDate]],"dddd")</f>
        <v>Monday</v>
      </c>
      <c r="Q962" t="str">
        <f>TEXT(tbl_working_daily[[#This Row],[ActivityDate]],"mmmm")</f>
        <v>April</v>
      </c>
      <c r="R962">
        <f t="shared" ref="R962:R1025" si="30">K962+L962+M962</f>
        <v>291</v>
      </c>
      <c r="S962">
        <f t="shared" ref="S962:S1025" si="31">R962+N962</f>
        <v>1021</v>
      </c>
      <c r="T962">
        <f>ROUND(tbl_working_daily[[#This Row],[SedentaryMinutes]]/60,2)</f>
        <v>12.17</v>
      </c>
      <c r="U962" t="str" cm="1">
        <f t="array" ref="U96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62" t="str" cm="1">
        <f t="array" ref="V962">_xlfn.IFS(tbl_working_daily[[#This Row],[VeryActiveMinutes]]&gt;=30,"Very Active",tbl_working_daily[[#This Row],[VeryActiveMinutes]]&gt;=15,"Moderately Active",tbl_working_daily[[#This Row],[VeryActiveMinutes]]&gt;=1,"Lightly Active",tbl_working_daily[[#This Row],[VeryActiveMinutes]]=0,"Sedentary")</f>
        <v>Lightly Active</v>
      </c>
      <c r="W962" t="str">
        <f>tbl_working_daily[[#This Row],[Id]]&amp;"|"&amp;TEXT(tbl_working_daily[[#This Row],[ActivityDate]],"yyyy-mm-dd")</f>
        <v>4702921684|2016-04-25</v>
      </c>
      <c r="X962" t="b">
        <f>ISNUMBER(MATCH(tbl_working_daily[[#This Row],[LookupKey]],tbl_working_sleep[LookupKey],0))</f>
        <v>1</v>
      </c>
    </row>
    <row r="963" spans="1:24" x14ac:dyDescent="0.3">
      <c r="A963">
        <v>4702921684</v>
      </c>
      <c r="B963" s="1">
        <v>42486</v>
      </c>
      <c r="C963">
        <v>6108</v>
      </c>
      <c r="D963">
        <v>4.9499998092651403</v>
      </c>
      <c r="E963">
        <v>4.9499998092651403</v>
      </c>
      <c r="F963">
        <v>0</v>
      </c>
      <c r="G963">
        <v>7.0000000298023196E-2</v>
      </c>
      <c r="H963">
        <v>0.34999999403953602</v>
      </c>
      <c r="I963">
        <v>4.53999996185303</v>
      </c>
      <c r="J963">
        <v>0</v>
      </c>
      <c r="K963">
        <v>1</v>
      </c>
      <c r="L963">
        <v>8</v>
      </c>
      <c r="M963">
        <v>216</v>
      </c>
      <c r="N963">
        <v>765</v>
      </c>
      <c r="O963">
        <v>2784</v>
      </c>
      <c r="P963" t="str">
        <f>TEXT(tbl_working_daily[[#This Row],[ActivityDate]],"dddd")</f>
        <v>Tuesday</v>
      </c>
      <c r="Q963" t="str">
        <f>TEXT(tbl_working_daily[[#This Row],[ActivityDate]],"mmmm")</f>
        <v>April</v>
      </c>
      <c r="R963">
        <f t="shared" si="30"/>
        <v>225</v>
      </c>
      <c r="S963">
        <f t="shared" si="31"/>
        <v>990</v>
      </c>
      <c r="T963">
        <f>ROUND(tbl_working_daily[[#This Row],[SedentaryMinutes]]/60,2)</f>
        <v>12.75</v>
      </c>
      <c r="U963" t="str" cm="1">
        <f t="array" ref="U96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63" t="str" cm="1">
        <f t="array" ref="V963">_xlfn.IFS(tbl_working_daily[[#This Row],[VeryActiveMinutes]]&gt;=30,"Very Active",tbl_working_daily[[#This Row],[VeryActiveMinutes]]&gt;=15,"Moderately Active",tbl_working_daily[[#This Row],[VeryActiveMinutes]]&gt;=1,"Lightly Active",tbl_working_daily[[#This Row],[VeryActiveMinutes]]=0,"Sedentary")</f>
        <v>Lightly Active</v>
      </c>
      <c r="W963" t="str">
        <f>tbl_working_daily[[#This Row],[Id]]&amp;"|"&amp;TEXT(tbl_working_daily[[#This Row],[ActivityDate]],"yyyy-mm-dd")</f>
        <v>4702921684|2016-04-26</v>
      </c>
      <c r="X963" t="b">
        <f>ISNUMBER(MATCH(tbl_working_daily[[#This Row],[LookupKey]],tbl_working_sleep[LookupKey],0))</f>
        <v>1</v>
      </c>
    </row>
    <row r="964" spans="1:24" x14ac:dyDescent="0.3">
      <c r="A964">
        <v>4702921684</v>
      </c>
      <c r="B964" s="1">
        <v>42487</v>
      </c>
      <c r="C964">
        <v>7047</v>
      </c>
      <c r="D964">
        <v>5.7199997901916504</v>
      </c>
      <c r="E964">
        <v>5.7199997901916504</v>
      </c>
      <c r="F964">
        <v>0</v>
      </c>
      <c r="G964">
        <v>9.00000035762787E-2</v>
      </c>
      <c r="H964">
        <v>0.80000001192092896</v>
      </c>
      <c r="I964">
        <v>4.7800002098083496</v>
      </c>
      <c r="J964">
        <v>0</v>
      </c>
      <c r="K964">
        <v>1</v>
      </c>
      <c r="L964">
        <v>16</v>
      </c>
      <c r="M964">
        <v>238</v>
      </c>
      <c r="N964">
        <v>733</v>
      </c>
      <c r="O964">
        <v>2908</v>
      </c>
      <c r="P964" t="str">
        <f>TEXT(tbl_working_daily[[#This Row],[ActivityDate]],"dddd")</f>
        <v>Wednesday</v>
      </c>
      <c r="Q964" t="str">
        <f>TEXT(tbl_working_daily[[#This Row],[ActivityDate]],"mmmm")</f>
        <v>April</v>
      </c>
      <c r="R964">
        <f t="shared" si="30"/>
        <v>255</v>
      </c>
      <c r="S964">
        <f t="shared" si="31"/>
        <v>988</v>
      </c>
      <c r="T964">
        <f>ROUND(tbl_working_daily[[#This Row],[SedentaryMinutes]]/60,2)</f>
        <v>12.22</v>
      </c>
      <c r="U964" t="str" cm="1">
        <f t="array" ref="U96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64" t="str" cm="1">
        <f t="array" ref="V964">_xlfn.IFS(tbl_working_daily[[#This Row],[VeryActiveMinutes]]&gt;=30,"Very Active",tbl_working_daily[[#This Row],[VeryActiveMinutes]]&gt;=15,"Moderately Active",tbl_working_daily[[#This Row],[VeryActiveMinutes]]&gt;=1,"Lightly Active",tbl_working_daily[[#This Row],[VeryActiveMinutes]]=0,"Sedentary")</f>
        <v>Lightly Active</v>
      </c>
      <c r="W964" t="str">
        <f>tbl_working_daily[[#This Row],[Id]]&amp;"|"&amp;TEXT(tbl_working_daily[[#This Row],[ActivityDate]],"yyyy-mm-dd")</f>
        <v>4702921684|2016-04-27</v>
      </c>
      <c r="X964" t="b">
        <f>ISNUMBER(MATCH(tbl_working_daily[[#This Row],[LookupKey]],tbl_working_sleep[LookupKey],0))</f>
        <v>1</v>
      </c>
    </row>
    <row r="965" spans="1:24" x14ac:dyDescent="0.3">
      <c r="A965">
        <v>4702921684</v>
      </c>
      <c r="B965" s="1">
        <v>42488</v>
      </c>
      <c r="C965">
        <v>9023</v>
      </c>
      <c r="D965">
        <v>7.3200001716613796</v>
      </c>
      <c r="E965">
        <v>7.3200001716613796</v>
      </c>
      <c r="F965">
        <v>0</v>
      </c>
      <c r="G965">
        <v>1.12999999523163</v>
      </c>
      <c r="H965">
        <v>0.41999998688697798</v>
      </c>
      <c r="I965">
        <v>5.7699999809265101</v>
      </c>
      <c r="J965">
        <v>0</v>
      </c>
      <c r="K965">
        <v>14</v>
      </c>
      <c r="L965">
        <v>9</v>
      </c>
      <c r="M965">
        <v>232</v>
      </c>
      <c r="N965">
        <v>738</v>
      </c>
      <c r="O965">
        <v>3033</v>
      </c>
      <c r="P965" t="str">
        <f>TEXT(tbl_working_daily[[#This Row],[ActivityDate]],"dddd")</f>
        <v>Thursday</v>
      </c>
      <c r="Q965" t="str">
        <f>TEXT(tbl_working_daily[[#This Row],[ActivityDate]],"mmmm")</f>
        <v>April</v>
      </c>
      <c r="R965">
        <f t="shared" si="30"/>
        <v>255</v>
      </c>
      <c r="S965">
        <f t="shared" si="31"/>
        <v>993</v>
      </c>
      <c r="T965">
        <f>ROUND(tbl_working_daily[[#This Row],[SedentaryMinutes]]/60,2)</f>
        <v>12.3</v>
      </c>
      <c r="U965" t="str" cm="1">
        <f t="array" ref="U96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65" t="str" cm="1">
        <f t="array" ref="V965">_xlfn.IFS(tbl_working_daily[[#This Row],[VeryActiveMinutes]]&gt;=30,"Very Active",tbl_working_daily[[#This Row],[VeryActiveMinutes]]&gt;=15,"Moderately Active",tbl_working_daily[[#This Row],[VeryActiveMinutes]]&gt;=1,"Lightly Active",tbl_working_daily[[#This Row],[VeryActiveMinutes]]=0,"Sedentary")</f>
        <v>Lightly Active</v>
      </c>
      <c r="W965" t="str">
        <f>tbl_working_daily[[#This Row],[Id]]&amp;"|"&amp;TEXT(tbl_working_daily[[#This Row],[ActivityDate]],"yyyy-mm-dd")</f>
        <v>4702921684|2016-04-28</v>
      </c>
      <c r="X965" t="b">
        <f>ISNUMBER(MATCH(tbl_working_daily[[#This Row],[LookupKey]],tbl_working_sleep[LookupKey],0))</f>
        <v>1</v>
      </c>
    </row>
    <row r="966" spans="1:24" x14ac:dyDescent="0.3">
      <c r="A966">
        <v>4702921684</v>
      </c>
      <c r="B966" s="1">
        <v>42489</v>
      </c>
      <c r="C966">
        <v>9930</v>
      </c>
      <c r="D966">
        <v>8.0500001907348597</v>
      </c>
      <c r="E966">
        <v>8.0500001907348597</v>
      </c>
      <c r="F966">
        <v>0</v>
      </c>
      <c r="G966">
        <v>1.0599999427795399</v>
      </c>
      <c r="H966">
        <v>0.92000001668930098</v>
      </c>
      <c r="I966">
        <v>6.0700001716613796</v>
      </c>
      <c r="J966">
        <v>0</v>
      </c>
      <c r="K966">
        <v>12</v>
      </c>
      <c r="L966">
        <v>19</v>
      </c>
      <c r="M966">
        <v>267</v>
      </c>
      <c r="N966">
        <v>692</v>
      </c>
      <c r="O966">
        <v>3165</v>
      </c>
      <c r="P966" t="str">
        <f>TEXT(tbl_working_daily[[#This Row],[ActivityDate]],"dddd")</f>
        <v>Friday</v>
      </c>
      <c r="Q966" t="str">
        <f>TEXT(tbl_working_daily[[#This Row],[ActivityDate]],"mmmm")</f>
        <v>April</v>
      </c>
      <c r="R966">
        <f t="shared" si="30"/>
        <v>298</v>
      </c>
      <c r="S966">
        <f t="shared" si="31"/>
        <v>990</v>
      </c>
      <c r="T966">
        <f>ROUND(tbl_working_daily[[#This Row],[SedentaryMinutes]]/60,2)</f>
        <v>11.53</v>
      </c>
      <c r="U966" t="str" cm="1">
        <f t="array" ref="U96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66" t="str" cm="1">
        <f t="array" ref="V966">_xlfn.IFS(tbl_working_daily[[#This Row],[VeryActiveMinutes]]&gt;=30,"Very Active",tbl_working_daily[[#This Row],[VeryActiveMinutes]]&gt;=15,"Moderately Active",tbl_working_daily[[#This Row],[VeryActiveMinutes]]&gt;=1,"Lightly Active",tbl_working_daily[[#This Row],[VeryActiveMinutes]]=0,"Sedentary")</f>
        <v>Lightly Active</v>
      </c>
      <c r="W966" t="str">
        <f>tbl_working_daily[[#This Row],[Id]]&amp;"|"&amp;TEXT(tbl_working_daily[[#This Row],[ActivityDate]],"yyyy-mm-dd")</f>
        <v>4702921684|2016-04-29</v>
      </c>
      <c r="X966" t="b">
        <f>ISNUMBER(MATCH(tbl_working_daily[[#This Row],[LookupKey]],tbl_working_sleep[LookupKey],0))</f>
        <v>1</v>
      </c>
    </row>
    <row r="967" spans="1:24" x14ac:dyDescent="0.3">
      <c r="A967">
        <v>4702921684</v>
      </c>
      <c r="B967" s="1">
        <v>42490</v>
      </c>
      <c r="C967">
        <v>10144</v>
      </c>
      <c r="D967">
        <v>8.2299995422363299</v>
      </c>
      <c r="E967">
        <v>8.2299995422363299</v>
      </c>
      <c r="F967">
        <v>0</v>
      </c>
      <c r="G967">
        <v>0.31999999284744302</v>
      </c>
      <c r="H967">
        <v>2.0299999713897701</v>
      </c>
      <c r="I967">
        <v>5.8800001144409197</v>
      </c>
      <c r="J967">
        <v>0</v>
      </c>
      <c r="K967">
        <v>4</v>
      </c>
      <c r="L967">
        <v>36</v>
      </c>
      <c r="M967">
        <v>263</v>
      </c>
      <c r="N967">
        <v>728</v>
      </c>
      <c r="O967">
        <v>3115</v>
      </c>
      <c r="P967" t="str">
        <f>TEXT(tbl_working_daily[[#This Row],[ActivityDate]],"dddd")</f>
        <v>Saturday</v>
      </c>
      <c r="Q967" t="str">
        <f>TEXT(tbl_working_daily[[#This Row],[ActivityDate]],"mmmm")</f>
        <v>April</v>
      </c>
      <c r="R967">
        <f t="shared" si="30"/>
        <v>303</v>
      </c>
      <c r="S967">
        <f t="shared" si="31"/>
        <v>1031</v>
      </c>
      <c r="T967">
        <f>ROUND(tbl_working_daily[[#This Row],[SedentaryMinutes]]/60,2)</f>
        <v>12.13</v>
      </c>
      <c r="U967" t="str" cm="1">
        <f t="array" ref="U96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67" t="str" cm="1">
        <f t="array" ref="V967">_xlfn.IFS(tbl_working_daily[[#This Row],[VeryActiveMinutes]]&gt;=30,"Very Active",tbl_working_daily[[#This Row],[VeryActiveMinutes]]&gt;=15,"Moderately Active",tbl_working_daily[[#This Row],[VeryActiveMinutes]]&gt;=1,"Lightly Active",tbl_working_daily[[#This Row],[VeryActiveMinutes]]=0,"Sedentary")</f>
        <v>Lightly Active</v>
      </c>
      <c r="W967" t="str">
        <f>tbl_working_daily[[#This Row],[Id]]&amp;"|"&amp;TEXT(tbl_working_daily[[#This Row],[ActivityDate]],"yyyy-mm-dd")</f>
        <v>4702921684|2016-04-30</v>
      </c>
      <c r="X967" t="b">
        <f>ISNUMBER(MATCH(tbl_working_daily[[#This Row],[LookupKey]],tbl_working_sleep[LookupKey],0))</f>
        <v>1</v>
      </c>
    </row>
    <row r="968" spans="1:24" x14ac:dyDescent="0.3">
      <c r="A968">
        <v>4702921684</v>
      </c>
      <c r="B968" s="1">
        <v>42491</v>
      </c>
      <c r="C968">
        <v>0</v>
      </c>
      <c r="D968">
        <v>0</v>
      </c>
      <c r="E968">
        <v>0</v>
      </c>
      <c r="F968">
        <v>0</v>
      </c>
      <c r="G968">
        <v>0</v>
      </c>
      <c r="H968">
        <v>0</v>
      </c>
      <c r="I968">
        <v>0</v>
      </c>
      <c r="J968">
        <v>0</v>
      </c>
      <c r="K968">
        <v>0</v>
      </c>
      <c r="L968">
        <v>0</v>
      </c>
      <c r="M968">
        <v>0</v>
      </c>
      <c r="N968">
        <v>1440</v>
      </c>
      <c r="O968">
        <v>2017</v>
      </c>
      <c r="P968" t="str">
        <f>TEXT(tbl_working_daily[[#This Row],[ActivityDate]],"dddd")</f>
        <v>Sunday</v>
      </c>
      <c r="Q968" t="str">
        <f>TEXT(tbl_working_daily[[#This Row],[ActivityDate]],"mmmm")</f>
        <v>May</v>
      </c>
      <c r="R968">
        <f t="shared" si="30"/>
        <v>0</v>
      </c>
      <c r="S968">
        <f t="shared" si="31"/>
        <v>1440</v>
      </c>
      <c r="T968">
        <f>ROUND(tbl_working_daily[[#This Row],[SedentaryMinutes]]/60,2)</f>
        <v>24</v>
      </c>
      <c r="U968" t="str" cm="1">
        <f t="array" ref="U96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68" t="str" cm="1">
        <f t="array" ref="V968">_xlfn.IFS(tbl_working_daily[[#This Row],[VeryActiveMinutes]]&gt;=30,"Very Active",tbl_working_daily[[#This Row],[VeryActiveMinutes]]&gt;=15,"Moderately Active",tbl_working_daily[[#This Row],[VeryActiveMinutes]]&gt;=1,"Lightly Active",tbl_working_daily[[#This Row],[VeryActiveMinutes]]=0,"Sedentary")</f>
        <v>Sedentary</v>
      </c>
      <c r="W968" t="str">
        <f>tbl_working_daily[[#This Row],[Id]]&amp;"|"&amp;TEXT(tbl_working_daily[[#This Row],[ActivityDate]],"yyyy-mm-dd")</f>
        <v>4702921684|2016-05-01</v>
      </c>
      <c r="X968" t="b">
        <f>ISNUMBER(MATCH(tbl_working_daily[[#This Row],[LookupKey]],tbl_working_sleep[LookupKey],0))</f>
        <v>0</v>
      </c>
    </row>
    <row r="969" spans="1:24" x14ac:dyDescent="0.3">
      <c r="A969">
        <v>4702921684</v>
      </c>
      <c r="B969" s="1">
        <v>42492</v>
      </c>
      <c r="C969">
        <v>7245</v>
      </c>
      <c r="D969">
        <v>5.9200000762939498</v>
      </c>
      <c r="E969">
        <v>5.9200000762939498</v>
      </c>
      <c r="F969">
        <v>0</v>
      </c>
      <c r="G969">
        <v>0.37999999523162797</v>
      </c>
      <c r="H969">
        <v>1.7400000095367401</v>
      </c>
      <c r="I969">
        <v>3.7599999904632599</v>
      </c>
      <c r="J969">
        <v>0</v>
      </c>
      <c r="K969">
        <v>5</v>
      </c>
      <c r="L969">
        <v>40</v>
      </c>
      <c r="M969">
        <v>195</v>
      </c>
      <c r="N969">
        <v>1131</v>
      </c>
      <c r="O969">
        <v>2859</v>
      </c>
      <c r="P969" t="str">
        <f>TEXT(tbl_working_daily[[#This Row],[ActivityDate]],"dddd")</f>
        <v>Monday</v>
      </c>
      <c r="Q969" t="str">
        <f>TEXT(tbl_working_daily[[#This Row],[ActivityDate]],"mmmm")</f>
        <v>May</v>
      </c>
      <c r="R969">
        <f t="shared" si="30"/>
        <v>240</v>
      </c>
      <c r="S969">
        <f t="shared" si="31"/>
        <v>1371</v>
      </c>
      <c r="T969">
        <f>ROUND(tbl_working_daily[[#This Row],[SedentaryMinutes]]/60,2)</f>
        <v>18.850000000000001</v>
      </c>
      <c r="U969" t="str" cm="1">
        <f t="array" ref="U96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69" t="str" cm="1">
        <f t="array" ref="V969">_xlfn.IFS(tbl_working_daily[[#This Row],[VeryActiveMinutes]]&gt;=30,"Very Active",tbl_working_daily[[#This Row],[VeryActiveMinutes]]&gt;=15,"Moderately Active",tbl_working_daily[[#This Row],[VeryActiveMinutes]]&gt;=1,"Lightly Active",tbl_working_daily[[#This Row],[VeryActiveMinutes]]=0,"Sedentary")</f>
        <v>Lightly Active</v>
      </c>
      <c r="W969" t="str">
        <f>tbl_working_daily[[#This Row],[Id]]&amp;"|"&amp;TEXT(tbl_working_daily[[#This Row],[ActivityDate]],"yyyy-mm-dd")</f>
        <v>4702921684|2016-05-02</v>
      </c>
      <c r="X969" t="b">
        <f>ISNUMBER(MATCH(tbl_working_daily[[#This Row],[LookupKey]],tbl_working_sleep[LookupKey],0))</f>
        <v>0</v>
      </c>
    </row>
    <row r="970" spans="1:24" x14ac:dyDescent="0.3">
      <c r="A970">
        <v>4702921684</v>
      </c>
      <c r="B970" s="1">
        <v>42493</v>
      </c>
      <c r="C970">
        <v>9454</v>
      </c>
      <c r="D970">
        <v>7.6700000762939498</v>
      </c>
      <c r="E970">
        <v>7.6700000762939498</v>
      </c>
      <c r="F970">
        <v>0</v>
      </c>
      <c r="G970">
        <v>0</v>
      </c>
      <c r="H970">
        <v>0</v>
      </c>
      <c r="I970">
        <v>7.6700000762939498</v>
      </c>
      <c r="J970">
        <v>0</v>
      </c>
      <c r="K970">
        <v>0</v>
      </c>
      <c r="L970">
        <v>0</v>
      </c>
      <c r="M970">
        <v>313</v>
      </c>
      <c r="N970">
        <v>729</v>
      </c>
      <c r="O970">
        <v>3145</v>
      </c>
      <c r="P970" t="str">
        <f>TEXT(tbl_working_daily[[#This Row],[ActivityDate]],"dddd")</f>
        <v>Tuesday</v>
      </c>
      <c r="Q970" t="str">
        <f>TEXT(tbl_working_daily[[#This Row],[ActivityDate]],"mmmm")</f>
        <v>May</v>
      </c>
      <c r="R970">
        <f t="shared" si="30"/>
        <v>313</v>
      </c>
      <c r="S970">
        <f t="shared" si="31"/>
        <v>1042</v>
      </c>
      <c r="T970">
        <f>ROUND(tbl_working_daily[[#This Row],[SedentaryMinutes]]/60,2)</f>
        <v>12.15</v>
      </c>
      <c r="U970" t="str" cm="1">
        <f t="array" ref="U97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70" t="str" cm="1">
        <f t="array" ref="V970">_xlfn.IFS(tbl_working_daily[[#This Row],[VeryActiveMinutes]]&gt;=30,"Very Active",tbl_working_daily[[#This Row],[VeryActiveMinutes]]&gt;=15,"Moderately Active",tbl_working_daily[[#This Row],[VeryActiveMinutes]]&gt;=1,"Lightly Active",tbl_working_daily[[#This Row],[VeryActiveMinutes]]=0,"Sedentary")</f>
        <v>Sedentary</v>
      </c>
      <c r="W970" t="str">
        <f>tbl_working_daily[[#This Row],[Id]]&amp;"|"&amp;TEXT(tbl_working_daily[[#This Row],[ActivityDate]],"yyyy-mm-dd")</f>
        <v>4702921684|2016-05-03</v>
      </c>
      <c r="X970" t="b">
        <f>ISNUMBER(MATCH(tbl_working_daily[[#This Row],[LookupKey]],tbl_working_sleep[LookupKey],0))</f>
        <v>1</v>
      </c>
    </row>
    <row r="971" spans="1:24" x14ac:dyDescent="0.3">
      <c r="A971">
        <v>4702921684</v>
      </c>
      <c r="B971" s="1">
        <v>42494</v>
      </c>
      <c r="C971">
        <v>8161</v>
      </c>
      <c r="D971">
        <v>6.6199998855590803</v>
      </c>
      <c r="E971">
        <v>6.6199998855590803</v>
      </c>
      <c r="F971">
        <v>0</v>
      </c>
      <c r="G971">
        <v>0.34000000357627902</v>
      </c>
      <c r="H971">
        <v>0.730000019073486</v>
      </c>
      <c r="I971">
        <v>5.53999996185303</v>
      </c>
      <c r="J971">
        <v>0</v>
      </c>
      <c r="K971">
        <v>4</v>
      </c>
      <c r="L971">
        <v>15</v>
      </c>
      <c r="M971">
        <v>251</v>
      </c>
      <c r="N971">
        <v>757</v>
      </c>
      <c r="O971">
        <v>3004</v>
      </c>
      <c r="P971" t="str">
        <f>TEXT(tbl_working_daily[[#This Row],[ActivityDate]],"dddd")</f>
        <v>Wednesday</v>
      </c>
      <c r="Q971" t="str">
        <f>TEXT(tbl_working_daily[[#This Row],[ActivityDate]],"mmmm")</f>
        <v>May</v>
      </c>
      <c r="R971">
        <f t="shared" si="30"/>
        <v>270</v>
      </c>
      <c r="S971">
        <f t="shared" si="31"/>
        <v>1027</v>
      </c>
      <c r="T971">
        <f>ROUND(tbl_working_daily[[#This Row],[SedentaryMinutes]]/60,2)</f>
        <v>12.62</v>
      </c>
      <c r="U971" t="str" cm="1">
        <f t="array" ref="U97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71" t="str" cm="1">
        <f t="array" ref="V971">_xlfn.IFS(tbl_working_daily[[#This Row],[VeryActiveMinutes]]&gt;=30,"Very Active",tbl_working_daily[[#This Row],[VeryActiveMinutes]]&gt;=15,"Moderately Active",tbl_working_daily[[#This Row],[VeryActiveMinutes]]&gt;=1,"Lightly Active",tbl_working_daily[[#This Row],[VeryActiveMinutes]]=0,"Sedentary")</f>
        <v>Lightly Active</v>
      </c>
      <c r="W971" t="str">
        <f>tbl_working_daily[[#This Row],[Id]]&amp;"|"&amp;TEXT(tbl_working_daily[[#This Row],[ActivityDate]],"yyyy-mm-dd")</f>
        <v>4702921684|2016-05-04</v>
      </c>
      <c r="X971" t="b">
        <f>ISNUMBER(MATCH(tbl_working_daily[[#This Row],[LookupKey]],tbl_working_sleep[LookupKey],0))</f>
        <v>1</v>
      </c>
    </row>
    <row r="972" spans="1:24" x14ac:dyDescent="0.3">
      <c r="A972">
        <v>4702921684</v>
      </c>
      <c r="B972" s="1">
        <v>42495</v>
      </c>
      <c r="C972">
        <v>8614</v>
      </c>
      <c r="D972">
        <v>6.9899997711181596</v>
      </c>
      <c r="E972">
        <v>6.9899997711181596</v>
      </c>
      <c r="F972">
        <v>0</v>
      </c>
      <c r="G972">
        <v>0.67000001668930098</v>
      </c>
      <c r="H972">
        <v>0.21999999880790699</v>
      </c>
      <c r="I972">
        <v>6.0900001525878897</v>
      </c>
      <c r="J972">
        <v>0</v>
      </c>
      <c r="K972">
        <v>8</v>
      </c>
      <c r="L972">
        <v>5</v>
      </c>
      <c r="M972">
        <v>241</v>
      </c>
      <c r="N972">
        <v>745</v>
      </c>
      <c r="O972">
        <v>3006</v>
      </c>
      <c r="P972" t="str">
        <f>TEXT(tbl_working_daily[[#This Row],[ActivityDate]],"dddd")</f>
        <v>Thursday</v>
      </c>
      <c r="Q972" t="str">
        <f>TEXT(tbl_working_daily[[#This Row],[ActivityDate]],"mmmm")</f>
        <v>May</v>
      </c>
      <c r="R972">
        <f t="shared" si="30"/>
        <v>254</v>
      </c>
      <c r="S972">
        <f t="shared" si="31"/>
        <v>999</v>
      </c>
      <c r="T972">
        <f>ROUND(tbl_working_daily[[#This Row],[SedentaryMinutes]]/60,2)</f>
        <v>12.42</v>
      </c>
      <c r="U972" t="str" cm="1">
        <f t="array" ref="U97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72" t="str" cm="1">
        <f t="array" ref="V972">_xlfn.IFS(tbl_working_daily[[#This Row],[VeryActiveMinutes]]&gt;=30,"Very Active",tbl_working_daily[[#This Row],[VeryActiveMinutes]]&gt;=15,"Moderately Active",tbl_working_daily[[#This Row],[VeryActiveMinutes]]&gt;=1,"Lightly Active",tbl_working_daily[[#This Row],[VeryActiveMinutes]]=0,"Sedentary")</f>
        <v>Lightly Active</v>
      </c>
      <c r="W972" t="str">
        <f>tbl_working_daily[[#This Row],[Id]]&amp;"|"&amp;TEXT(tbl_working_daily[[#This Row],[ActivityDate]],"yyyy-mm-dd")</f>
        <v>4702921684|2016-05-05</v>
      </c>
      <c r="X972" t="b">
        <f>ISNUMBER(MATCH(tbl_working_daily[[#This Row],[LookupKey]],tbl_working_sleep[LookupKey],0))</f>
        <v>1</v>
      </c>
    </row>
    <row r="973" spans="1:24" x14ac:dyDescent="0.3">
      <c r="A973">
        <v>4702921684</v>
      </c>
      <c r="B973" s="1">
        <v>42496</v>
      </c>
      <c r="C973">
        <v>6943</v>
      </c>
      <c r="D973">
        <v>5.6300001144409197</v>
      </c>
      <c r="E973">
        <v>5.6300001144409197</v>
      </c>
      <c r="F973">
        <v>0</v>
      </c>
      <c r="G973">
        <v>7.9999998211860698E-2</v>
      </c>
      <c r="H973">
        <v>0.66000002622604403</v>
      </c>
      <c r="I973">
        <v>4.8699998855590803</v>
      </c>
      <c r="J973">
        <v>0</v>
      </c>
      <c r="K973">
        <v>1</v>
      </c>
      <c r="L973">
        <v>16</v>
      </c>
      <c r="M973">
        <v>207</v>
      </c>
      <c r="N973">
        <v>682</v>
      </c>
      <c r="O973">
        <v>2859</v>
      </c>
      <c r="P973" t="str">
        <f>TEXT(tbl_working_daily[[#This Row],[ActivityDate]],"dddd")</f>
        <v>Friday</v>
      </c>
      <c r="Q973" t="str">
        <f>TEXT(tbl_working_daily[[#This Row],[ActivityDate]],"mmmm")</f>
        <v>May</v>
      </c>
      <c r="R973">
        <f t="shared" si="30"/>
        <v>224</v>
      </c>
      <c r="S973">
        <f t="shared" si="31"/>
        <v>906</v>
      </c>
      <c r="T973">
        <f>ROUND(tbl_working_daily[[#This Row],[SedentaryMinutes]]/60,2)</f>
        <v>11.37</v>
      </c>
      <c r="U973" t="str" cm="1">
        <f t="array" ref="U97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73" t="str" cm="1">
        <f t="array" ref="V973">_xlfn.IFS(tbl_working_daily[[#This Row],[VeryActiveMinutes]]&gt;=30,"Very Active",tbl_working_daily[[#This Row],[VeryActiveMinutes]]&gt;=15,"Moderately Active",tbl_working_daily[[#This Row],[VeryActiveMinutes]]&gt;=1,"Lightly Active",tbl_working_daily[[#This Row],[VeryActiveMinutes]]=0,"Sedentary")</f>
        <v>Lightly Active</v>
      </c>
      <c r="W973" t="str">
        <f>tbl_working_daily[[#This Row],[Id]]&amp;"|"&amp;TEXT(tbl_working_daily[[#This Row],[ActivityDate]],"yyyy-mm-dd")</f>
        <v>4702921684|2016-05-06</v>
      </c>
      <c r="X973" t="b">
        <f>ISNUMBER(MATCH(tbl_working_daily[[#This Row],[LookupKey]],tbl_working_sleep[LookupKey],0))</f>
        <v>1</v>
      </c>
    </row>
    <row r="974" spans="1:24" x14ac:dyDescent="0.3">
      <c r="A974">
        <v>4702921684</v>
      </c>
      <c r="B974" s="1">
        <v>42497</v>
      </c>
      <c r="C974">
        <v>14370</v>
      </c>
      <c r="D974">
        <v>11.6499996185303</v>
      </c>
      <c r="E974">
        <v>11.6499996185303</v>
      </c>
      <c r="F974">
        <v>0</v>
      </c>
      <c r="G974">
        <v>0.37000000476837203</v>
      </c>
      <c r="H974">
        <v>2.3099999427795401</v>
      </c>
      <c r="I974">
        <v>8.9700002670288104</v>
      </c>
      <c r="J974">
        <v>0</v>
      </c>
      <c r="K974">
        <v>5</v>
      </c>
      <c r="L974">
        <v>46</v>
      </c>
      <c r="M974">
        <v>439</v>
      </c>
      <c r="N974">
        <v>577</v>
      </c>
      <c r="O974">
        <v>3683</v>
      </c>
      <c r="P974" t="str">
        <f>TEXT(tbl_working_daily[[#This Row],[ActivityDate]],"dddd")</f>
        <v>Saturday</v>
      </c>
      <c r="Q974" t="str">
        <f>TEXT(tbl_working_daily[[#This Row],[ActivityDate]],"mmmm")</f>
        <v>May</v>
      </c>
      <c r="R974">
        <f t="shared" si="30"/>
        <v>490</v>
      </c>
      <c r="S974">
        <f t="shared" si="31"/>
        <v>1067</v>
      </c>
      <c r="T974">
        <f>ROUND(tbl_working_daily[[#This Row],[SedentaryMinutes]]/60,2)</f>
        <v>9.6199999999999992</v>
      </c>
      <c r="U974" t="str" cm="1">
        <f t="array" ref="U97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74" t="str" cm="1">
        <f t="array" ref="V974">_xlfn.IFS(tbl_working_daily[[#This Row],[VeryActiveMinutes]]&gt;=30,"Very Active",tbl_working_daily[[#This Row],[VeryActiveMinutes]]&gt;=15,"Moderately Active",tbl_working_daily[[#This Row],[VeryActiveMinutes]]&gt;=1,"Lightly Active",tbl_working_daily[[#This Row],[VeryActiveMinutes]]=0,"Sedentary")</f>
        <v>Lightly Active</v>
      </c>
      <c r="W974" t="str">
        <f>tbl_working_daily[[#This Row],[Id]]&amp;"|"&amp;TEXT(tbl_working_daily[[#This Row],[ActivityDate]],"yyyy-mm-dd")</f>
        <v>4702921684|2016-05-07</v>
      </c>
      <c r="X974" t="b">
        <f>ISNUMBER(MATCH(tbl_working_daily[[#This Row],[LookupKey]],tbl_working_sleep[LookupKey],0))</f>
        <v>1</v>
      </c>
    </row>
    <row r="975" spans="1:24" x14ac:dyDescent="0.3">
      <c r="A975">
        <v>4702921684</v>
      </c>
      <c r="B975" s="1">
        <v>42498</v>
      </c>
      <c r="C975">
        <v>12857</v>
      </c>
      <c r="D975">
        <v>10.430000305175801</v>
      </c>
      <c r="E975">
        <v>10.430000305175801</v>
      </c>
      <c r="F975">
        <v>0</v>
      </c>
      <c r="G975">
        <v>0.68000000715255704</v>
      </c>
      <c r="H975">
        <v>6.21000003814697</v>
      </c>
      <c r="I975">
        <v>3.53999996185303</v>
      </c>
      <c r="J975">
        <v>0</v>
      </c>
      <c r="K975">
        <v>9</v>
      </c>
      <c r="L975">
        <v>125</v>
      </c>
      <c r="M975">
        <v>192</v>
      </c>
      <c r="N975">
        <v>1019</v>
      </c>
      <c r="O975">
        <v>3287</v>
      </c>
      <c r="P975" t="str">
        <f>TEXT(tbl_working_daily[[#This Row],[ActivityDate]],"dddd")</f>
        <v>Sunday</v>
      </c>
      <c r="Q975" t="str">
        <f>TEXT(tbl_working_daily[[#This Row],[ActivityDate]],"mmmm")</f>
        <v>May</v>
      </c>
      <c r="R975">
        <f t="shared" si="30"/>
        <v>326</v>
      </c>
      <c r="S975">
        <f t="shared" si="31"/>
        <v>1345</v>
      </c>
      <c r="T975">
        <f>ROUND(tbl_working_daily[[#This Row],[SedentaryMinutes]]/60,2)</f>
        <v>16.98</v>
      </c>
      <c r="U975" t="str" cm="1">
        <f t="array" ref="U97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75" t="str" cm="1">
        <f t="array" ref="V975">_xlfn.IFS(tbl_working_daily[[#This Row],[VeryActiveMinutes]]&gt;=30,"Very Active",tbl_working_daily[[#This Row],[VeryActiveMinutes]]&gt;=15,"Moderately Active",tbl_working_daily[[#This Row],[VeryActiveMinutes]]&gt;=1,"Lightly Active",tbl_working_daily[[#This Row],[VeryActiveMinutes]]=0,"Sedentary")</f>
        <v>Lightly Active</v>
      </c>
      <c r="W975" t="str">
        <f>tbl_working_daily[[#This Row],[Id]]&amp;"|"&amp;TEXT(tbl_working_daily[[#This Row],[ActivityDate]],"yyyy-mm-dd")</f>
        <v>4702921684|2016-05-08</v>
      </c>
      <c r="X975" t="b">
        <f>ISNUMBER(MATCH(tbl_working_daily[[#This Row],[LookupKey]],tbl_working_sleep[LookupKey],0))</f>
        <v>0</v>
      </c>
    </row>
    <row r="976" spans="1:24" x14ac:dyDescent="0.3">
      <c r="A976">
        <v>4702921684</v>
      </c>
      <c r="B976" s="1">
        <v>42499</v>
      </c>
      <c r="C976">
        <v>8232</v>
      </c>
      <c r="D976">
        <v>6.6799998283386204</v>
      </c>
      <c r="E976">
        <v>6.6799998283386204</v>
      </c>
      <c r="F976">
        <v>0</v>
      </c>
      <c r="G976">
        <v>0</v>
      </c>
      <c r="H976">
        <v>0.56999999284744296</v>
      </c>
      <c r="I976">
        <v>6.0999999046325701</v>
      </c>
      <c r="J976">
        <v>0</v>
      </c>
      <c r="K976">
        <v>0</v>
      </c>
      <c r="L976">
        <v>12</v>
      </c>
      <c r="M976">
        <v>253</v>
      </c>
      <c r="N976">
        <v>746</v>
      </c>
      <c r="O976">
        <v>2990</v>
      </c>
      <c r="P976" t="str">
        <f>TEXT(tbl_working_daily[[#This Row],[ActivityDate]],"dddd")</f>
        <v>Monday</v>
      </c>
      <c r="Q976" t="str">
        <f>TEXT(tbl_working_daily[[#This Row],[ActivityDate]],"mmmm")</f>
        <v>May</v>
      </c>
      <c r="R976">
        <f t="shared" si="30"/>
        <v>265</v>
      </c>
      <c r="S976">
        <f t="shared" si="31"/>
        <v>1011</v>
      </c>
      <c r="T976">
        <f>ROUND(tbl_working_daily[[#This Row],[SedentaryMinutes]]/60,2)</f>
        <v>12.43</v>
      </c>
      <c r="U976" t="str" cm="1">
        <f t="array" ref="U97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76" t="str" cm="1">
        <f t="array" ref="V976">_xlfn.IFS(tbl_working_daily[[#This Row],[VeryActiveMinutes]]&gt;=30,"Very Active",tbl_working_daily[[#This Row],[VeryActiveMinutes]]&gt;=15,"Moderately Active",tbl_working_daily[[#This Row],[VeryActiveMinutes]]&gt;=1,"Lightly Active",tbl_working_daily[[#This Row],[VeryActiveMinutes]]=0,"Sedentary")</f>
        <v>Sedentary</v>
      </c>
      <c r="W976" t="str">
        <f>tbl_working_daily[[#This Row],[Id]]&amp;"|"&amp;TEXT(tbl_working_daily[[#This Row],[ActivityDate]],"yyyy-mm-dd")</f>
        <v>4702921684|2016-05-09</v>
      </c>
      <c r="X976" t="b">
        <f>ISNUMBER(MATCH(tbl_working_daily[[#This Row],[LookupKey]],tbl_working_sleep[LookupKey],0))</f>
        <v>1</v>
      </c>
    </row>
    <row r="977" spans="1:24" x14ac:dyDescent="0.3">
      <c r="A977">
        <v>4702921684</v>
      </c>
      <c r="B977" s="1">
        <v>42500</v>
      </c>
      <c r="C977">
        <v>10613</v>
      </c>
      <c r="D977">
        <v>8.6099996566772496</v>
      </c>
      <c r="E977">
        <v>8.6099996566772496</v>
      </c>
      <c r="F977">
        <v>0</v>
      </c>
      <c r="G977">
        <v>7.9999998211860698E-2</v>
      </c>
      <c r="H977">
        <v>1.87999999523163</v>
      </c>
      <c r="I977">
        <v>6.6500000953674299</v>
      </c>
      <c r="J977">
        <v>0</v>
      </c>
      <c r="K977">
        <v>1</v>
      </c>
      <c r="L977">
        <v>37</v>
      </c>
      <c r="M977">
        <v>262</v>
      </c>
      <c r="N977">
        <v>701</v>
      </c>
      <c r="O977">
        <v>3172</v>
      </c>
      <c r="P977" t="str">
        <f>TEXT(tbl_working_daily[[#This Row],[ActivityDate]],"dddd")</f>
        <v>Tuesday</v>
      </c>
      <c r="Q977" t="str">
        <f>TEXT(tbl_working_daily[[#This Row],[ActivityDate]],"mmmm")</f>
        <v>May</v>
      </c>
      <c r="R977">
        <f t="shared" si="30"/>
        <v>300</v>
      </c>
      <c r="S977">
        <f t="shared" si="31"/>
        <v>1001</v>
      </c>
      <c r="T977">
        <f>ROUND(tbl_working_daily[[#This Row],[SedentaryMinutes]]/60,2)</f>
        <v>11.68</v>
      </c>
      <c r="U977" t="str" cm="1">
        <f t="array" ref="U97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77" t="str" cm="1">
        <f t="array" ref="V977">_xlfn.IFS(tbl_working_daily[[#This Row],[VeryActiveMinutes]]&gt;=30,"Very Active",tbl_working_daily[[#This Row],[VeryActiveMinutes]]&gt;=15,"Moderately Active",tbl_working_daily[[#This Row],[VeryActiveMinutes]]&gt;=1,"Lightly Active",tbl_working_daily[[#This Row],[VeryActiveMinutes]]=0,"Sedentary")</f>
        <v>Lightly Active</v>
      </c>
      <c r="W977" t="str">
        <f>tbl_working_daily[[#This Row],[Id]]&amp;"|"&amp;TEXT(tbl_working_daily[[#This Row],[ActivityDate]],"yyyy-mm-dd")</f>
        <v>4702921684|2016-05-10</v>
      </c>
      <c r="X977" t="b">
        <f>ISNUMBER(MATCH(tbl_working_daily[[#This Row],[LookupKey]],tbl_working_sleep[LookupKey],0))</f>
        <v>1</v>
      </c>
    </row>
    <row r="978" spans="1:24" x14ac:dyDescent="0.3">
      <c r="A978">
        <v>4702921684</v>
      </c>
      <c r="B978" s="1">
        <v>42501</v>
      </c>
      <c r="C978">
        <v>9810</v>
      </c>
      <c r="D978">
        <v>7.96000003814697</v>
      </c>
      <c r="E978">
        <v>7.96000003814697</v>
      </c>
      <c r="F978">
        <v>0</v>
      </c>
      <c r="G978">
        <v>0.77999997138977095</v>
      </c>
      <c r="H978">
        <v>2.1600000858306898</v>
      </c>
      <c r="I978">
        <v>4.9800000190734899</v>
      </c>
      <c r="J978">
        <v>0</v>
      </c>
      <c r="K978">
        <v>10</v>
      </c>
      <c r="L978">
        <v>41</v>
      </c>
      <c r="M978">
        <v>235</v>
      </c>
      <c r="N978">
        <v>784</v>
      </c>
      <c r="O978">
        <v>3069</v>
      </c>
      <c r="P978" t="str">
        <f>TEXT(tbl_working_daily[[#This Row],[ActivityDate]],"dddd")</f>
        <v>Wednesday</v>
      </c>
      <c r="Q978" t="str">
        <f>TEXT(tbl_working_daily[[#This Row],[ActivityDate]],"mmmm")</f>
        <v>May</v>
      </c>
      <c r="R978">
        <f t="shared" si="30"/>
        <v>286</v>
      </c>
      <c r="S978">
        <f t="shared" si="31"/>
        <v>1070</v>
      </c>
      <c r="T978">
        <f>ROUND(tbl_working_daily[[#This Row],[SedentaryMinutes]]/60,2)</f>
        <v>13.07</v>
      </c>
      <c r="U978" t="str" cm="1">
        <f t="array" ref="U97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78" t="str" cm="1">
        <f t="array" ref="V978">_xlfn.IFS(tbl_working_daily[[#This Row],[VeryActiveMinutes]]&gt;=30,"Very Active",tbl_working_daily[[#This Row],[VeryActiveMinutes]]&gt;=15,"Moderately Active",tbl_working_daily[[#This Row],[VeryActiveMinutes]]&gt;=1,"Lightly Active",tbl_working_daily[[#This Row],[VeryActiveMinutes]]=0,"Sedentary")</f>
        <v>Lightly Active</v>
      </c>
      <c r="W978" t="str">
        <f>tbl_working_daily[[#This Row],[Id]]&amp;"|"&amp;TEXT(tbl_working_daily[[#This Row],[ActivityDate]],"yyyy-mm-dd")</f>
        <v>4702921684|2016-05-11</v>
      </c>
      <c r="X978" t="b">
        <f>ISNUMBER(MATCH(tbl_working_daily[[#This Row],[LookupKey]],tbl_working_sleep[LookupKey],0))</f>
        <v>1</v>
      </c>
    </row>
    <row r="979" spans="1:24" x14ac:dyDescent="0.3">
      <c r="A979">
        <v>4702921684</v>
      </c>
      <c r="B979" s="1">
        <v>42502</v>
      </c>
      <c r="C979">
        <v>2752</v>
      </c>
      <c r="D979">
        <v>2.2300000190734899</v>
      </c>
      <c r="E979">
        <v>2.2300000190734899</v>
      </c>
      <c r="F979">
        <v>0</v>
      </c>
      <c r="G979">
        <v>0</v>
      </c>
      <c r="H979">
        <v>0</v>
      </c>
      <c r="I979">
        <v>2.2300000190734899</v>
      </c>
      <c r="J979">
        <v>0</v>
      </c>
      <c r="K979">
        <v>0</v>
      </c>
      <c r="L979">
        <v>0</v>
      </c>
      <c r="M979">
        <v>68</v>
      </c>
      <c r="N979">
        <v>241</v>
      </c>
      <c r="O979">
        <v>1240</v>
      </c>
      <c r="P979" t="str">
        <f>TEXT(tbl_working_daily[[#This Row],[ActivityDate]],"dddd")</f>
        <v>Thursday</v>
      </c>
      <c r="Q979" t="str">
        <f>TEXT(tbl_working_daily[[#This Row],[ActivityDate]],"mmmm")</f>
        <v>May</v>
      </c>
      <c r="R979">
        <f t="shared" si="30"/>
        <v>68</v>
      </c>
      <c r="S979">
        <f t="shared" si="31"/>
        <v>309</v>
      </c>
      <c r="T979">
        <f>ROUND(tbl_working_daily[[#This Row],[SedentaryMinutes]]/60,2)</f>
        <v>4.0199999999999996</v>
      </c>
      <c r="U979" t="str" cm="1">
        <f t="array" ref="U97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79" t="str" cm="1">
        <f t="array" ref="V979">_xlfn.IFS(tbl_working_daily[[#This Row],[VeryActiveMinutes]]&gt;=30,"Very Active",tbl_working_daily[[#This Row],[VeryActiveMinutes]]&gt;=15,"Moderately Active",tbl_working_daily[[#This Row],[VeryActiveMinutes]]&gt;=1,"Lightly Active",tbl_working_daily[[#This Row],[VeryActiveMinutes]]=0,"Sedentary")</f>
        <v>Sedentary</v>
      </c>
      <c r="W979" t="str">
        <f>tbl_working_daily[[#This Row],[Id]]&amp;"|"&amp;TEXT(tbl_working_daily[[#This Row],[ActivityDate]],"yyyy-mm-dd")</f>
        <v>4702921684|2016-05-12</v>
      </c>
      <c r="X979" t="b">
        <f>ISNUMBER(MATCH(tbl_working_daily[[#This Row],[LookupKey]],tbl_working_sleep[LookupKey],0))</f>
        <v>1</v>
      </c>
    </row>
    <row r="980" spans="1:24" x14ac:dyDescent="0.3">
      <c r="A980">
        <v>5553957443</v>
      </c>
      <c r="B980" s="1">
        <v>42473</v>
      </c>
      <c r="C980">
        <v>4832</v>
      </c>
      <c r="D980">
        <v>3.1600000858306898</v>
      </c>
      <c r="E980">
        <v>3.1600000858306898</v>
      </c>
      <c r="F980">
        <v>0</v>
      </c>
      <c r="G980">
        <v>0</v>
      </c>
      <c r="H980">
        <v>0</v>
      </c>
      <c r="I980">
        <v>3.1600000858306898</v>
      </c>
      <c r="J980">
        <v>0</v>
      </c>
      <c r="K980">
        <v>0</v>
      </c>
      <c r="L980">
        <v>0</v>
      </c>
      <c r="M980">
        <v>226</v>
      </c>
      <c r="N980">
        <v>647</v>
      </c>
      <c r="O980">
        <v>1718</v>
      </c>
      <c r="P980" t="str">
        <f>TEXT(tbl_working_daily[[#This Row],[ActivityDate]],"dddd")</f>
        <v>Wednesday</v>
      </c>
      <c r="Q980" t="str">
        <f>TEXT(tbl_working_daily[[#This Row],[ActivityDate]],"mmmm")</f>
        <v>April</v>
      </c>
      <c r="R980">
        <f t="shared" si="30"/>
        <v>226</v>
      </c>
      <c r="S980">
        <f t="shared" si="31"/>
        <v>873</v>
      </c>
      <c r="T980">
        <f>ROUND(tbl_working_daily[[#This Row],[SedentaryMinutes]]/60,2)</f>
        <v>10.78</v>
      </c>
      <c r="U980" t="str" cm="1">
        <f t="array" ref="U98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80" t="str" cm="1">
        <f t="array" ref="V980">_xlfn.IFS(tbl_working_daily[[#This Row],[VeryActiveMinutes]]&gt;=30,"Very Active",tbl_working_daily[[#This Row],[VeryActiveMinutes]]&gt;=15,"Moderately Active",tbl_working_daily[[#This Row],[VeryActiveMinutes]]&gt;=1,"Lightly Active",tbl_working_daily[[#This Row],[VeryActiveMinutes]]=0,"Sedentary")</f>
        <v>Sedentary</v>
      </c>
      <c r="W980" t="str">
        <f>tbl_working_daily[[#This Row],[Id]]&amp;"|"&amp;TEXT(tbl_working_daily[[#This Row],[ActivityDate]],"yyyy-mm-dd")</f>
        <v>5553957443|2016-04-13</v>
      </c>
      <c r="X980" t="b">
        <f>ISNUMBER(MATCH(tbl_working_daily[[#This Row],[LookupKey]],tbl_working_sleep[LookupKey],0))</f>
        <v>1</v>
      </c>
    </row>
    <row r="981" spans="1:24" x14ac:dyDescent="0.3">
      <c r="A981">
        <v>5553957443</v>
      </c>
      <c r="B981" s="1">
        <v>42474</v>
      </c>
      <c r="C981">
        <v>17022</v>
      </c>
      <c r="D981">
        <v>11.1199998855591</v>
      </c>
      <c r="E981">
        <v>11.1199998855591</v>
      </c>
      <c r="F981">
        <v>0</v>
      </c>
      <c r="G981">
        <v>4</v>
      </c>
      <c r="H981">
        <v>2.4500000476837198</v>
      </c>
      <c r="I981">
        <v>4.6700000762939498</v>
      </c>
      <c r="J981">
        <v>0</v>
      </c>
      <c r="K981">
        <v>61</v>
      </c>
      <c r="L981">
        <v>41</v>
      </c>
      <c r="M981">
        <v>256</v>
      </c>
      <c r="N981">
        <v>693</v>
      </c>
      <c r="O981">
        <v>2324</v>
      </c>
      <c r="P981" t="str">
        <f>TEXT(tbl_working_daily[[#This Row],[ActivityDate]],"dddd")</f>
        <v>Thursday</v>
      </c>
      <c r="Q981" t="str">
        <f>TEXT(tbl_working_daily[[#This Row],[ActivityDate]],"mmmm")</f>
        <v>April</v>
      </c>
      <c r="R981">
        <f t="shared" si="30"/>
        <v>358</v>
      </c>
      <c r="S981">
        <f t="shared" si="31"/>
        <v>1051</v>
      </c>
      <c r="T981">
        <f>ROUND(tbl_working_daily[[#This Row],[SedentaryMinutes]]/60,2)</f>
        <v>11.55</v>
      </c>
      <c r="U981" t="str" cm="1">
        <f t="array" ref="U98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81" t="str" cm="1">
        <f t="array" ref="V981">_xlfn.IFS(tbl_working_daily[[#This Row],[VeryActiveMinutes]]&gt;=30,"Very Active",tbl_working_daily[[#This Row],[VeryActiveMinutes]]&gt;=15,"Moderately Active",tbl_working_daily[[#This Row],[VeryActiveMinutes]]&gt;=1,"Lightly Active",tbl_working_daily[[#This Row],[VeryActiveMinutes]]=0,"Sedentary")</f>
        <v>Very Active</v>
      </c>
      <c r="W981" t="str">
        <f>tbl_working_daily[[#This Row],[Id]]&amp;"|"&amp;TEXT(tbl_working_daily[[#This Row],[ActivityDate]],"yyyy-mm-dd")</f>
        <v>5553957443|2016-04-14</v>
      </c>
      <c r="X981" t="b">
        <f>ISNUMBER(MATCH(tbl_working_daily[[#This Row],[LookupKey]],tbl_working_sleep[LookupKey],0))</f>
        <v>1</v>
      </c>
    </row>
    <row r="982" spans="1:24" x14ac:dyDescent="0.3">
      <c r="A982">
        <v>5553957443</v>
      </c>
      <c r="B982" s="1">
        <v>42475</v>
      </c>
      <c r="C982">
        <v>16556</v>
      </c>
      <c r="D982">
        <v>10.8599996566772</v>
      </c>
      <c r="E982">
        <v>10.8599996566772</v>
      </c>
      <c r="F982">
        <v>0</v>
      </c>
      <c r="G982">
        <v>4.1599998474121103</v>
      </c>
      <c r="H982">
        <v>1.9800000190734901</v>
      </c>
      <c r="I982">
        <v>4.71000003814697</v>
      </c>
      <c r="J982">
        <v>0</v>
      </c>
      <c r="K982">
        <v>58</v>
      </c>
      <c r="L982">
        <v>38</v>
      </c>
      <c r="M982">
        <v>239</v>
      </c>
      <c r="N982">
        <v>689</v>
      </c>
      <c r="O982">
        <v>2254</v>
      </c>
      <c r="P982" t="str">
        <f>TEXT(tbl_working_daily[[#This Row],[ActivityDate]],"dddd")</f>
        <v>Friday</v>
      </c>
      <c r="Q982" t="str">
        <f>TEXT(tbl_working_daily[[#This Row],[ActivityDate]],"mmmm")</f>
        <v>April</v>
      </c>
      <c r="R982">
        <f t="shared" si="30"/>
        <v>335</v>
      </c>
      <c r="S982">
        <f t="shared" si="31"/>
        <v>1024</v>
      </c>
      <c r="T982">
        <f>ROUND(tbl_working_daily[[#This Row],[SedentaryMinutes]]/60,2)</f>
        <v>11.48</v>
      </c>
      <c r="U982" t="str" cm="1">
        <f t="array" ref="U98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82" t="str" cm="1">
        <f t="array" ref="V982">_xlfn.IFS(tbl_working_daily[[#This Row],[VeryActiveMinutes]]&gt;=30,"Very Active",tbl_working_daily[[#This Row],[VeryActiveMinutes]]&gt;=15,"Moderately Active",tbl_working_daily[[#This Row],[VeryActiveMinutes]]&gt;=1,"Lightly Active",tbl_working_daily[[#This Row],[VeryActiveMinutes]]=0,"Sedentary")</f>
        <v>Very Active</v>
      </c>
      <c r="W982" t="str">
        <f>tbl_working_daily[[#This Row],[Id]]&amp;"|"&amp;TEXT(tbl_working_daily[[#This Row],[ActivityDate]],"yyyy-mm-dd")</f>
        <v>5553957443|2016-04-15</v>
      </c>
      <c r="X982" t="b">
        <f>ISNUMBER(MATCH(tbl_working_daily[[#This Row],[LookupKey]],tbl_working_sleep[LookupKey],0))</f>
        <v>1</v>
      </c>
    </row>
    <row r="983" spans="1:24" x14ac:dyDescent="0.3">
      <c r="A983">
        <v>5553957443</v>
      </c>
      <c r="B983" s="1">
        <v>42476</v>
      </c>
      <c r="C983">
        <v>5771</v>
      </c>
      <c r="D983">
        <v>3.7699999809265101</v>
      </c>
      <c r="E983">
        <v>3.7699999809265101</v>
      </c>
      <c r="F983">
        <v>0</v>
      </c>
      <c r="G983">
        <v>0</v>
      </c>
      <c r="H983">
        <v>0</v>
      </c>
      <c r="I983">
        <v>3.7699999809265101</v>
      </c>
      <c r="J983">
        <v>0</v>
      </c>
      <c r="K983">
        <v>0</v>
      </c>
      <c r="L983">
        <v>0</v>
      </c>
      <c r="M983">
        <v>288</v>
      </c>
      <c r="N983">
        <v>521</v>
      </c>
      <c r="O983">
        <v>1831</v>
      </c>
      <c r="P983" t="str">
        <f>TEXT(tbl_working_daily[[#This Row],[ActivityDate]],"dddd")</f>
        <v>Saturday</v>
      </c>
      <c r="Q983" t="str">
        <f>TEXT(tbl_working_daily[[#This Row],[ActivityDate]],"mmmm")</f>
        <v>April</v>
      </c>
      <c r="R983">
        <f t="shared" si="30"/>
        <v>288</v>
      </c>
      <c r="S983">
        <f t="shared" si="31"/>
        <v>809</v>
      </c>
      <c r="T983">
        <f>ROUND(tbl_working_daily[[#This Row],[SedentaryMinutes]]/60,2)</f>
        <v>8.68</v>
      </c>
      <c r="U983" t="str" cm="1">
        <f t="array" ref="U98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83" t="str" cm="1">
        <f t="array" ref="V983">_xlfn.IFS(tbl_working_daily[[#This Row],[VeryActiveMinutes]]&gt;=30,"Very Active",tbl_working_daily[[#This Row],[VeryActiveMinutes]]&gt;=15,"Moderately Active",tbl_working_daily[[#This Row],[VeryActiveMinutes]]&gt;=1,"Lightly Active",tbl_working_daily[[#This Row],[VeryActiveMinutes]]=0,"Sedentary")</f>
        <v>Sedentary</v>
      </c>
      <c r="W983" t="str">
        <f>tbl_working_daily[[#This Row],[Id]]&amp;"|"&amp;TEXT(tbl_working_daily[[#This Row],[ActivityDate]],"yyyy-mm-dd")</f>
        <v>5553957443|2016-04-16</v>
      </c>
      <c r="X983" t="b">
        <f>ISNUMBER(MATCH(tbl_working_daily[[#This Row],[LookupKey]],tbl_working_sleep[LookupKey],0))</f>
        <v>1</v>
      </c>
    </row>
    <row r="984" spans="1:24" x14ac:dyDescent="0.3">
      <c r="A984">
        <v>5553957443</v>
      </c>
      <c r="B984" s="1">
        <v>42477</v>
      </c>
      <c r="C984">
        <v>655</v>
      </c>
      <c r="D984">
        <v>0.43000000715255698</v>
      </c>
      <c r="E984">
        <v>0.43000000715255698</v>
      </c>
      <c r="F984">
        <v>0</v>
      </c>
      <c r="G984">
        <v>0</v>
      </c>
      <c r="H984">
        <v>0</v>
      </c>
      <c r="I984">
        <v>0.43000000715255698</v>
      </c>
      <c r="J984">
        <v>0</v>
      </c>
      <c r="K984">
        <v>0</v>
      </c>
      <c r="L984">
        <v>0</v>
      </c>
      <c r="M984">
        <v>46</v>
      </c>
      <c r="N984">
        <v>943</v>
      </c>
      <c r="O984">
        <v>1397</v>
      </c>
      <c r="P984" t="str">
        <f>TEXT(tbl_working_daily[[#This Row],[ActivityDate]],"dddd")</f>
        <v>Sunday</v>
      </c>
      <c r="Q984" t="str">
        <f>TEXT(tbl_working_daily[[#This Row],[ActivityDate]],"mmmm")</f>
        <v>April</v>
      </c>
      <c r="R984">
        <f t="shared" si="30"/>
        <v>46</v>
      </c>
      <c r="S984">
        <f t="shared" si="31"/>
        <v>989</v>
      </c>
      <c r="T984">
        <f>ROUND(tbl_working_daily[[#This Row],[SedentaryMinutes]]/60,2)</f>
        <v>15.72</v>
      </c>
      <c r="U984" t="str" cm="1">
        <f t="array" ref="U98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84" t="str" cm="1">
        <f t="array" ref="V984">_xlfn.IFS(tbl_working_daily[[#This Row],[VeryActiveMinutes]]&gt;=30,"Very Active",tbl_working_daily[[#This Row],[VeryActiveMinutes]]&gt;=15,"Moderately Active",tbl_working_daily[[#This Row],[VeryActiveMinutes]]&gt;=1,"Lightly Active",tbl_working_daily[[#This Row],[VeryActiveMinutes]]=0,"Sedentary")</f>
        <v>Sedentary</v>
      </c>
      <c r="W984" t="str">
        <f>tbl_working_daily[[#This Row],[Id]]&amp;"|"&amp;TEXT(tbl_working_daily[[#This Row],[ActivityDate]],"yyyy-mm-dd")</f>
        <v>5553957443|2016-04-17</v>
      </c>
      <c r="X984" t="b">
        <f>ISNUMBER(MATCH(tbl_working_daily[[#This Row],[LookupKey]],tbl_working_sleep[LookupKey],0))</f>
        <v>1</v>
      </c>
    </row>
    <row r="985" spans="1:24" x14ac:dyDescent="0.3">
      <c r="A985">
        <v>5553957443</v>
      </c>
      <c r="B985" s="1">
        <v>42478</v>
      </c>
      <c r="C985">
        <v>3727</v>
      </c>
      <c r="D985">
        <v>2.4300000667571999</v>
      </c>
      <c r="E985">
        <v>2.4300000667571999</v>
      </c>
      <c r="F985">
        <v>0</v>
      </c>
      <c r="G985">
        <v>0</v>
      </c>
      <c r="H985">
        <v>0</v>
      </c>
      <c r="I985">
        <v>2.4300000667571999</v>
      </c>
      <c r="J985">
        <v>0</v>
      </c>
      <c r="K985">
        <v>0</v>
      </c>
      <c r="L985">
        <v>0</v>
      </c>
      <c r="M985">
        <v>206</v>
      </c>
      <c r="N985">
        <v>622</v>
      </c>
      <c r="O985">
        <v>1683</v>
      </c>
      <c r="P985" t="str">
        <f>TEXT(tbl_working_daily[[#This Row],[ActivityDate]],"dddd")</f>
        <v>Monday</v>
      </c>
      <c r="Q985" t="str">
        <f>TEXT(tbl_working_daily[[#This Row],[ActivityDate]],"mmmm")</f>
        <v>April</v>
      </c>
      <c r="R985">
        <f t="shared" si="30"/>
        <v>206</v>
      </c>
      <c r="S985">
        <f t="shared" si="31"/>
        <v>828</v>
      </c>
      <c r="T985">
        <f>ROUND(tbl_working_daily[[#This Row],[SedentaryMinutes]]/60,2)</f>
        <v>10.37</v>
      </c>
      <c r="U985" t="str" cm="1">
        <f t="array" ref="U98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85" t="str" cm="1">
        <f t="array" ref="V985">_xlfn.IFS(tbl_working_daily[[#This Row],[VeryActiveMinutes]]&gt;=30,"Very Active",tbl_working_daily[[#This Row],[VeryActiveMinutes]]&gt;=15,"Moderately Active",tbl_working_daily[[#This Row],[VeryActiveMinutes]]&gt;=1,"Lightly Active",tbl_working_daily[[#This Row],[VeryActiveMinutes]]=0,"Sedentary")</f>
        <v>Sedentary</v>
      </c>
      <c r="W985" t="str">
        <f>tbl_working_daily[[#This Row],[Id]]&amp;"|"&amp;TEXT(tbl_working_daily[[#This Row],[ActivityDate]],"yyyy-mm-dd")</f>
        <v>5553957443|2016-04-18</v>
      </c>
      <c r="X985" t="b">
        <f>ISNUMBER(MATCH(tbl_working_daily[[#This Row],[LookupKey]],tbl_working_sleep[LookupKey],0))</f>
        <v>1</v>
      </c>
    </row>
    <row r="986" spans="1:24" x14ac:dyDescent="0.3">
      <c r="A986">
        <v>5553957443</v>
      </c>
      <c r="B986" s="1">
        <v>42479</v>
      </c>
      <c r="C986">
        <v>15482</v>
      </c>
      <c r="D986">
        <v>10.1099996566772</v>
      </c>
      <c r="E986">
        <v>10.1099996566772</v>
      </c>
      <c r="F986">
        <v>0</v>
      </c>
      <c r="G986">
        <v>4.2800002098083496</v>
      </c>
      <c r="H986">
        <v>1.6599999666214</v>
      </c>
      <c r="I986">
        <v>4.1799998283386204</v>
      </c>
      <c r="J986">
        <v>0</v>
      </c>
      <c r="K986">
        <v>69</v>
      </c>
      <c r="L986">
        <v>28</v>
      </c>
      <c r="M986">
        <v>249</v>
      </c>
      <c r="N986">
        <v>756</v>
      </c>
      <c r="O986">
        <v>2284</v>
      </c>
      <c r="P986" t="str">
        <f>TEXT(tbl_working_daily[[#This Row],[ActivityDate]],"dddd")</f>
        <v>Tuesday</v>
      </c>
      <c r="Q986" t="str">
        <f>TEXT(tbl_working_daily[[#This Row],[ActivityDate]],"mmmm")</f>
        <v>April</v>
      </c>
      <c r="R986">
        <f t="shared" si="30"/>
        <v>346</v>
      </c>
      <c r="S986">
        <f t="shared" si="31"/>
        <v>1102</v>
      </c>
      <c r="T986">
        <f>ROUND(tbl_working_daily[[#This Row],[SedentaryMinutes]]/60,2)</f>
        <v>12.6</v>
      </c>
      <c r="U986" t="str" cm="1">
        <f t="array" ref="U98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86" t="str" cm="1">
        <f t="array" ref="V986">_xlfn.IFS(tbl_working_daily[[#This Row],[VeryActiveMinutes]]&gt;=30,"Very Active",tbl_working_daily[[#This Row],[VeryActiveMinutes]]&gt;=15,"Moderately Active",tbl_working_daily[[#This Row],[VeryActiveMinutes]]&gt;=1,"Lightly Active",tbl_working_daily[[#This Row],[VeryActiveMinutes]]=0,"Sedentary")</f>
        <v>Very Active</v>
      </c>
      <c r="W986" t="str">
        <f>tbl_working_daily[[#This Row],[Id]]&amp;"|"&amp;TEXT(tbl_working_daily[[#This Row],[ActivityDate]],"yyyy-mm-dd")</f>
        <v>5553957443|2016-04-19</v>
      </c>
      <c r="X986" t="b">
        <f>ISNUMBER(MATCH(tbl_working_daily[[#This Row],[LookupKey]],tbl_working_sleep[LookupKey],0))</f>
        <v>1</v>
      </c>
    </row>
    <row r="987" spans="1:24" x14ac:dyDescent="0.3">
      <c r="A987">
        <v>5553957443</v>
      </c>
      <c r="B987" s="1">
        <v>42480</v>
      </c>
      <c r="C987">
        <v>2713</v>
      </c>
      <c r="D987">
        <v>1.7699999809265099</v>
      </c>
      <c r="E987">
        <v>1.7699999809265099</v>
      </c>
      <c r="F987">
        <v>0</v>
      </c>
      <c r="G987">
        <v>0</v>
      </c>
      <c r="H987">
        <v>0</v>
      </c>
      <c r="I987">
        <v>1.7699999809265099</v>
      </c>
      <c r="J987">
        <v>0</v>
      </c>
      <c r="K987">
        <v>0</v>
      </c>
      <c r="L987">
        <v>0</v>
      </c>
      <c r="M987">
        <v>148</v>
      </c>
      <c r="N987">
        <v>598</v>
      </c>
      <c r="O987">
        <v>1570</v>
      </c>
      <c r="P987" t="str">
        <f>TEXT(tbl_working_daily[[#This Row],[ActivityDate]],"dddd")</f>
        <v>Wednesday</v>
      </c>
      <c r="Q987" t="str">
        <f>TEXT(tbl_working_daily[[#This Row],[ActivityDate]],"mmmm")</f>
        <v>April</v>
      </c>
      <c r="R987">
        <f t="shared" si="30"/>
        <v>148</v>
      </c>
      <c r="S987">
        <f t="shared" si="31"/>
        <v>746</v>
      </c>
      <c r="T987">
        <f>ROUND(tbl_working_daily[[#This Row],[SedentaryMinutes]]/60,2)</f>
        <v>9.9700000000000006</v>
      </c>
      <c r="U987" t="str" cm="1">
        <f t="array" ref="U98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87" t="str" cm="1">
        <f t="array" ref="V987">_xlfn.IFS(tbl_working_daily[[#This Row],[VeryActiveMinutes]]&gt;=30,"Very Active",tbl_working_daily[[#This Row],[VeryActiveMinutes]]&gt;=15,"Moderately Active",tbl_working_daily[[#This Row],[VeryActiveMinutes]]&gt;=1,"Lightly Active",tbl_working_daily[[#This Row],[VeryActiveMinutes]]=0,"Sedentary")</f>
        <v>Sedentary</v>
      </c>
      <c r="W987" t="str">
        <f>tbl_working_daily[[#This Row],[Id]]&amp;"|"&amp;TEXT(tbl_working_daily[[#This Row],[ActivityDate]],"yyyy-mm-dd")</f>
        <v>5553957443|2016-04-20</v>
      </c>
      <c r="X987" t="b">
        <f>ISNUMBER(MATCH(tbl_working_daily[[#This Row],[LookupKey]],tbl_working_sleep[LookupKey],0))</f>
        <v>1</v>
      </c>
    </row>
    <row r="988" spans="1:24" x14ac:dyDescent="0.3">
      <c r="A988">
        <v>5553957443</v>
      </c>
      <c r="B988" s="1">
        <v>42481</v>
      </c>
      <c r="C988">
        <v>12346</v>
      </c>
      <c r="D988">
        <v>8.0600004196166992</v>
      </c>
      <c r="E988">
        <v>8.0600004196166992</v>
      </c>
      <c r="F988">
        <v>0</v>
      </c>
      <c r="G988">
        <v>2.9500000476837198</v>
      </c>
      <c r="H988">
        <v>2.1600000858306898</v>
      </c>
      <c r="I988">
        <v>2.96000003814697</v>
      </c>
      <c r="J988">
        <v>0</v>
      </c>
      <c r="K988">
        <v>47</v>
      </c>
      <c r="L988">
        <v>42</v>
      </c>
      <c r="M988">
        <v>177</v>
      </c>
      <c r="N988">
        <v>801</v>
      </c>
      <c r="O988">
        <v>2066</v>
      </c>
      <c r="P988" t="str">
        <f>TEXT(tbl_working_daily[[#This Row],[ActivityDate]],"dddd")</f>
        <v>Thursday</v>
      </c>
      <c r="Q988" t="str">
        <f>TEXT(tbl_working_daily[[#This Row],[ActivityDate]],"mmmm")</f>
        <v>April</v>
      </c>
      <c r="R988">
        <f t="shared" si="30"/>
        <v>266</v>
      </c>
      <c r="S988">
        <f t="shared" si="31"/>
        <v>1067</v>
      </c>
      <c r="T988">
        <f>ROUND(tbl_working_daily[[#This Row],[SedentaryMinutes]]/60,2)</f>
        <v>13.35</v>
      </c>
      <c r="U988" t="str" cm="1">
        <f t="array" ref="U98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88" t="str" cm="1">
        <f t="array" ref="V988">_xlfn.IFS(tbl_working_daily[[#This Row],[VeryActiveMinutes]]&gt;=30,"Very Active",tbl_working_daily[[#This Row],[VeryActiveMinutes]]&gt;=15,"Moderately Active",tbl_working_daily[[#This Row],[VeryActiveMinutes]]&gt;=1,"Lightly Active",tbl_working_daily[[#This Row],[VeryActiveMinutes]]=0,"Sedentary")</f>
        <v>Very Active</v>
      </c>
      <c r="W988" t="str">
        <f>tbl_working_daily[[#This Row],[Id]]&amp;"|"&amp;TEXT(tbl_working_daily[[#This Row],[ActivityDate]],"yyyy-mm-dd")</f>
        <v>5553957443|2016-04-21</v>
      </c>
      <c r="X988" t="b">
        <f>ISNUMBER(MATCH(tbl_working_daily[[#This Row],[LookupKey]],tbl_working_sleep[LookupKey],0))</f>
        <v>1</v>
      </c>
    </row>
    <row r="989" spans="1:24" x14ac:dyDescent="0.3">
      <c r="A989">
        <v>5553957443</v>
      </c>
      <c r="B989" s="1">
        <v>42482</v>
      </c>
      <c r="C989">
        <v>11682</v>
      </c>
      <c r="D989">
        <v>7.6300001144409197</v>
      </c>
      <c r="E989">
        <v>7.6300001144409197</v>
      </c>
      <c r="F989">
        <v>0</v>
      </c>
      <c r="G989">
        <v>1.37999999523163</v>
      </c>
      <c r="H989">
        <v>0.62999999523162797</v>
      </c>
      <c r="I989">
        <v>5.5999999046325701</v>
      </c>
      <c r="J989">
        <v>0</v>
      </c>
      <c r="K989">
        <v>25</v>
      </c>
      <c r="L989">
        <v>16</v>
      </c>
      <c r="M989">
        <v>270</v>
      </c>
      <c r="N989">
        <v>781</v>
      </c>
      <c r="O989">
        <v>2105</v>
      </c>
      <c r="P989" t="str">
        <f>TEXT(tbl_working_daily[[#This Row],[ActivityDate]],"dddd")</f>
        <v>Friday</v>
      </c>
      <c r="Q989" t="str">
        <f>TEXT(tbl_working_daily[[#This Row],[ActivityDate]],"mmmm")</f>
        <v>April</v>
      </c>
      <c r="R989">
        <f t="shared" si="30"/>
        <v>311</v>
      </c>
      <c r="S989">
        <f t="shared" si="31"/>
        <v>1092</v>
      </c>
      <c r="T989">
        <f>ROUND(tbl_working_daily[[#This Row],[SedentaryMinutes]]/60,2)</f>
        <v>13.02</v>
      </c>
      <c r="U989" t="str" cm="1">
        <f t="array" ref="U98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89" t="str" cm="1">
        <f t="array" ref="V989">_xlfn.IFS(tbl_working_daily[[#This Row],[VeryActiveMinutes]]&gt;=30,"Very Active",tbl_working_daily[[#This Row],[VeryActiveMinutes]]&gt;=15,"Moderately Active",tbl_working_daily[[#This Row],[VeryActiveMinutes]]&gt;=1,"Lightly Active",tbl_working_daily[[#This Row],[VeryActiveMinutes]]=0,"Sedentary")</f>
        <v>Moderately Active</v>
      </c>
      <c r="W989" t="str">
        <f>tbl_working_daily[[#This Row],[Id]]&amp;"|"&amp;TEXT(tbl_working_daily[[#This Row],[ActivityDate]],"yyyy-mm-dd")</f>
        <v>5553957443|2016-04-22</v>
      </c>
      <c r="X989" t="b">
        <f>ISNUMBER(MATCH(tbl_working_daily[[#This Row],[LookupKey]],tbl_working_sleep[LookupKey],0))</f>
        <v>1</v>
      </c>
    </row>
    <row r="990" spans="1:24" x14ac:dyDescent="0.3">
      <c r="A990">
        <v>5553957443</v>
      </c>
      <c r="B990" s="1">
        <v>42483</v>
      </c>
      <c r="C990">
        <v>4112</v>
      </c>
      <c r="D990">
        <v>2.6900000572204599</v>
      </c>
      <c r="E990">
        <v>2.6900000572204599</v>
      </c>
      <c r="F990">
        <v>0</v>
      </c>
      <c r="G990">
        <v>0</v>
      </c>
      <c r="H990">
        <v>0</v>
      </c>
      <c r="I990">
        <v>2.6800000667571999</v>
      </c>
      <c r="J990">
        <v>0</v>
      </c>
      <c r="K990">
        <v>0</v>
      </c>
      <c r="L990">
        <v>0</v>
      </c>
      <c r="M990">
        <v>272</v>
      </c>
      <c r="N990">
        <v>443</v>
      </c>
      <c r="O990">
        <v>1776</v>
      </c>
      <c r="P990" t="str">
        <f>TEXT(tbl_working_daily[[#This Row],[ActivityDate]],"dddd")</f>
        <v>Saturday</v>
      </c>
      <c r="Q990" t="str">
        <f>TEXT(tbl_working_daily[[#This Row],[ActivityDate]],"mmmm")</f>
        <v>April</v>
      </c>
      <c r="R990">
        <f t="shared" si="30"/>
        <v>272</v>
      </c>
      <c r="S990">
        <f t="shared" si="31"/>
        <v>715</v>
      </c>
      <c r="T990">
        <f>ROUND(tbl_working_daily[[#This Row],[SedentaryMinutes]]/60,2)</f>
        <v>7.38</v>
      </c>
      <c r="U990" t="str" cm="1">
        <f t="array" ref="U99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90" t="str" cm="1">
        <f t="array" ref="V990">_xlfn.IFS(tbl_working_daily[[#This Row],[VeryActiveMinutes]]&gt;=30,"Very Active",tbl_working_daily[[#This Row],[VeryActiveMinutes]]&gt;=15,"Moderately Active",tbl_working_daily[[#This Row],[VeryActiveMinutes]]&gt;=1,"Lightly Active",tbl_working_daily[[#This Row],[VeryActiveMinutes]]=0,"Sedentary")</f>
        <v>Sedentary</v>
      </c>
      <c r="W990" t="str">
        <f>tbl_working_daily[[#This Row],[Id]]&amp;"|"&amp;TEXT(tbl_working_daily[[#This Row],[ActivityDate]],"yyyy-mm-dd")</f>
        <v>5553957443|2016-04-23</v>
      </c>
      <c r="X990" t="b">
        <f>ISNUMBER(MATCH(tbl_working_daily[[#This Row],[LookupKey]],tbl_working_sleep[LookupKey],0))</f>
        <v>1</v>
      </c>
    </row>
    <row r="991" spans="1:24" x14ac:dyDescent="0.3">
      <c r="A991">
        <v>5553957443</v>
      </c>
      <c r="B991" s="1">
        <v>42484</v>
      </c>
      <c r="C991">
        <v>1807</v>
      </c>
      <c r="D991">
        <v>1.1799999475479099</v>
      </c>
      <c r="E991">
        <v>1.1799999475479099</v>
      </c>
      <c r="F991">
        <v>0</v>
      </c>
      <c r="G991">
        <v>0</v>
      </c>
      <c r="H991">
        <v>0</v>
      </c>
      <c r="I991">
        <v>1.1799999475479099</v>
      </c>
      <c r="J991">
        <v>0</v>
      </c>
      <c r="K991">
        <v>0</v>
      </c>
      <c r="L991">
        <v>0</v>
      </c>
      <c r="M991">
        <v>104</v>
      </c>
      <c r="N991">
        <v>582</v>
      </c>
      <c r="O991">
        <v>1507</v>
      </c>
      <c r="P991" t="str">
        <f>TEXT(tbl_working_daily[[#This Row],[ActivityDate]],"dddd")</f>
        <v>Sunday</v>
      </c>
      <c r="Q991" t="str">
        <f>TEXT(tbl_working_daily[[#This Row],[ActivityDate]],"mmmm")</f>
        <v>April</v>
      </c>
      <c r="R991">
        <f t="shared" si="30"/>
        <v>104</v>
      </c>
      <c r="S991">
        <f t="shared" si="31"/>
        <v>686</v>
      </c>
      <c r="T991">
        <f>ROUND(tbl_working_daily[[#This Row],[SedentaryMinutes]]/60,2)</f>
        <v>9.6999999999999993</v>
      </c>
      <c r="U991" t="str" cm="1">
        <f t="array" ref="U9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91" t="str" cm="1">
        <f t="array" ref="V991">_xlfn.IFS(tbl_working_daily[[#This Row],[VeryActiveMinutes]]&gt;=30,"Very Active",tbl_working_daily[[#This Row],[VeryActiveMinutes]]&gt;=15,"Moderately Active",tbl_working_daily[[#This Row],[VeryActiveMinutes]]&gt;=1,"Lightly Active",tbl_working_daily[[#This Row],[VeryActiveMinutes]]=0,"Sedentary")</f>
        <v>Sedentary</v>
      </c>
      <c r="W991" t="str">
        <f>tbl_working_daily[[#This Row],[Id]]&amp;"|"&amp;TEXT(tbl_working_daily[[#This Row],[ActivityDate]],"yyyy-mm-dd")</f>
        <v>5553957443|2016-04-24</v>
      </c>
      <c r="X991" t="b">
        <f>ISNUMBER(MATCH(tbl_working_daily[[#This Row],[LookupKey]],tbl_working_sleep[LookupKey],0))</f>
        <v>1</v>
      </c>
    </row>
    <row r="992" spans="1:24" x14ac:dyDescent="0.3">
      <c r="A992">
        <v>5553957443</v>
      </c>
      <c r="B992" s="1">
        <v>42485</v>
      </c>
      <c r="C992">
        <v>10946</v>
      </c>
      <c r="D992">
        <v>7.1900000572204599</v>
      </c>
      <c r="E992">
        <v>7.1900000572204599</v>
      </c>
      <c r="F992">
        <v>0</v>
      </c>
      <c r="G992">
        <v>2.9300000667571999</v>
      </c>
      <c r="H992">
        <v>0.56999999284744296</v>
      </c>
      <c r="I992">
        <v>3.6900000572204599</v>
      </c>
      <c r="J992">
        <v>0</v>
      </c>
      <c r="K992">
        <v>51</v>
      </c>
      <c r="L992">
        <v>11</v>
      </c>
      <c r="M992">
        <v>201</v>
      </c>
      <c r="N992">
        <v>732</v>
      </c>
      <c r="O992">
        <v>2033</v>
      </c>
      <c r="P992" t="str">
        <f>TEXT(tbl_working_daily[[#This Row],[ActivityDate]],"dddd")</f>
        <v>Monday</v>
      </c>
      <c r="Q992" t="str">
        <f>TEXT(tbl_working_daily[[#This Row],[ActivityDate]],"mmmm")</f>
        <v>April</v>
      </c>
      <c r="R992">
        <f t="shared" si="30"/>
        <v>263</v>
      </c>
      <c r="S992">
        <f t="shared" si="31"/>
        <v>995</v>
      </c>
      <c r="T992">
        <f>ROUND(tbl_working_daily[[#This Row],[SedentaryMinutes]]/60,2)</f>
        <v>12.2</v>
      </c>
      <c r="U992" t="str" cm="1">
        <f t="array" ref="U99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92" t="str" cm="1">
        <f t="array" ref="V992">_xlfn.IFS(tbl_working_daily[[#This Row],[VeryActiveMinutes]]&gt;=30,"Very Active",tbl_working_daily[[#This Row],[VeryActiveMinutes]]&gt;=15,"Moderately Active",tbl_working_daily[[#This Row],[VeryActiveMinutes]]&gt;=1,"Lightly Active",tbl_working_daily[[#This Row],[VeryActiveMinutes]]=0,"Sedentary")</f>
        <v>Very Active</v>
      </c>
      <c r="W992" t="str">
        <f>tbl_working_daily[[#This Row],[Id]]&amp;"|"&amp;TEXT(tbl_working_daily[[#This Row],[ActivityDate]],"yyyy-mm-dd")</f>
        <v>5553957443|2016-04-25</v>
      </c>
      <c r="X992" t="b">
        <f>ISNUMBER(MATCH(tbl_working_daily[[#This Row],[LookupKey]],tbl_working_sleep[LookupKey],0))</f>
        <v>1</v>
      </c>
    </row>
    <row r="993" spans="1:24" x14ac:dyDescent="0.3">
      <c r="A993">
        <v>5553957443</v>
      </c>
      <c r="B993" s="1">
        <v>42486</v>
      </c>
      <c r="C993">
        <v>11886</v>
      </c>
      <c r="D993">
        <v>7.7600002288818404</v>
      </c>
      <c r="E993">
        <v>7.7600002288818404</v>
      </c>
      <c r="F993">
        <v>0</v>
      </c>
      <c r="G993">
        <v>2.3699998855590798</v>
      </c>
      <c r="H993">
        <v>0.93000000715255704</v>
      </c>
      <c r="I993">
        <v>4.46000003814697</v>
      </c>
      <c r="J993">
        <v>0</v>
      </c>
      <c r="K993">
        <v>40</v>
      </c>
      <c r="L993">
        <v>18</v>
      </c>
      <c r="M993">
        <v>238</v>
      </c>
      <c r="N993">
        <v>750</v>
      </c>
      <c r="O993">
        <v>2093</v>
      </c>
      <c r="P993" t="str">
        <f>TEXT(tbl_working_daily[[#This Row],[ActivityDate]],"dddd")</f>
        <v>Tuesday</v>
      </c>
      <c r="Q993" t="str">
        <f>TEXT(tbl_working_daily[[#This Row],[ActivityDate]],"mmmm")</f>
        <v>April</v>
      </c>
      <c r="R993">
        <f t="shared" si="30"/>
        <v>296</v>
      </c>
      <c r="S993">
        <f t="shared" si="31"/>
        <v>1046</v>
      </c>
      <c r="T993">
        <f>ROUND(tbl_working_daily[[#This Row],[SedentaryMinutes]]/60,2)</f>
        <v>12.5</v>
      </c>
      <c r="U993" t="str" cm="1">
        <f t="array" ref="U99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93" t="str" cm="1">
        <f t="array" ref="V993">_xlfn.IFS(tbl_working_daily[[#This Row],[VeryActiveMinutes]]&gt;=30,"Very Active",tbl_working_daily[[#This Row],[VeryActiveMinutes]]&gt;=15,"Moderately Active",tbl_working_daily[[#This Row],[VeryActiveMinutes]]&gt;=1,"Lightly Active",tbl_working_daily[[#This Row],[VeryActiveMinutes]]=0,"Sedentary")</f>
        <v>Very Active</v>
      </c>
      <c r="W993" t="str">
        <f>tbl_working_daily[[#This Row],[Id]]&amp;"|"&amp;TEXT(tbl_working_daily[[#This Row],[ActivityDate]],"yyyy-mm-dd")</f>
        <v>5553957443|2016-04-26</v>
      </c>
      <c r="X993" t="b">
        <f>ISNUMBER(MATCH(tbl_working_daily[[#This Row],[LookupKey]],tbl_working_sleep[LookupKey],0))</f>
        <v>1</v>
      </c>
    </row>
    <row r="994" spans="1:24" x14ac:dyDescent="0.3">
      <c r="A994">
        <v>5553957443</v>
      </c>
      <c r="B994" s="1">
        <v>42487</v>
      </c>
      <c r="C994">
        <v>10538</v>
      </c>
      <c r="D994">
        <v>6.8800001144409197</v>
      </c>
      <c r="E994">
        <v>6.8800001144409197</v>
      </c>
      <c r="F994">
        <v>0</v>
      </c>
      <c r="G994">
        <v>1.1399999856948899</v>
      </c>
      <c r="H994">
        <v>1</v>
      </c>
      <c r="I994">
        <v>4.7399997711181596</v>
      </c>
      <c r="J994">
        <v>0</v>
      </c>
      <c r="K994">
        <v>16</v>
      </c>
      <c r="L994">
        <v>16</v>
      </c>
      <c r="M994">
        <v>206</v>
      </c>
      <c r="N994">
        <v>745</v>
      </c>
      <c r="O994">
        <v>1922</v>
      </c>
      <c r="P994" t="str">
        <f>TEXT(tbl_working_daily[[#This Row],[ActivityDate]],"dddd")</f>
        <v>Wednesday</v>
      </c>
      <c r="Q994" t="str">
        <f>TEXT(tbl_working_daily[[#This Row],[ActivityDate]],"mmmm")</f>
        <v>April</v>
      </c>
      <c r="R994">
        <f t="shared" si="30"/>
        <v>238</v>
      </c>
      <c r="S994">
        <f t="shared" si="31"/>
        <v>983</v>
      </c>
      <c r="T994">
        <f>ROUND(tbl_working_daily[[#This Row],[SedentaryMinutes]]/60,2)</f>
        <v>12.42</v>
      </c>
      <c r="U994" t="str" cm="1">
        <f t="array" ref="U99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94" t="str" cm="1">
        <f t="array" ref="V994">_xlfn.IFS(tbl_working_daily[[#This Row],[VeryActiveMinutes]]&gt;=30,"Very Active",tbl_working_daily[[#This Row],[VeryActiveMinutes]]&gt;=15,"Moderately Active",tbl_working_daily[[#This Row],[VeryActiveMinutes]]&gt;=1,"Lightly Active",tbl_working_daily[[#This Row],[VeryActiveMinutes]]=0,"Sedentary")</f>
        <v>Moderately Active</v>
      </c>
      <c r="W994" t="str">
        <f>tbl_working_daily[[#This Row],[Id]]&amp;"|"&amp;TEXT(tbl_working_daily[[#This Row],[ActivityDate]],"yyyy-mm-dd")</f>
        <v>5553957443|2016-04-27</v>
      </c>
      <c r="X994" t="b">
        <f>ISNUMBER(MATCH(tbl_working_daily[[#This Row],[LookupKey]],tbl_working_sleep[LookupKey],0))</f>
        <v>1</v>
      </c>
    </row>
    <row r="995" spans="1:24" x14ac:dyDescent="0.3">
      <c r="A995">
        <v>5553957443</v>
      </c>
      <c r="B995" s="1">
        <v>42488</v>
      </c>
      <c r="C995">
        <v>11393</v>
      </c>
      <c r="D995">
        <v>7.6300001144409197</v>
      </c>
      <c r="E995">
        <v>7.6300001144409197</v>
      </c>
      <c r="F995">
        <v>0</v>
      </c>
      <c r="G995">
        <v>3.71000003814697</v>
      </c>
      <c r="H995">
        <v>0.75</v>
      </c>
      <c r="I995">
        <v>3.1700000762939502</v>
      </c>
      <c r="J995">
        <v>0</v>
      </c>
      <c r="K995">
        <v>49</v>
      </c>
      <c r="L995">
        <v>13</v>
      </c>
      <c r="M995">
        <v>165</v>
      </c>
      <c r="N995">
        <v>727</v>
      </c>
      <c r="O995">
        <v>1999</v>
      </c>
      <c r="P995" t="str">
        <f>TEXT(tbl_working_daily[[#This Row],[ActivityDate]],"dddd")</f>
        <v>Thursday</v>
      </c>
      <c r="Q995" t="str">
        <f>TEXT(tbl_working_daily[[#This Row],[ActivityDate]],"mmmm")</f>
        <v>April</v>
      </c>
      <c r="R995">
        <f t="shared" si="30"/>
        <v>227</v>
      </c>
      <c r="S995">
        <f t="shared" si="31"/>
        <v>954</v>
      </c>
      <c r="T995">
        <f>ROUND(tbl_working_daily[[#This Row],[SedentaryMinutes]]/60,2)</f>
        <v>12.12</v>
      </c>
      <c r="U995" t="str" cm="1">
        <f t="array" ref="U99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995" t="str" cm="1">
        <f t="array" ref="V995">_xlfn.IFS(tbl_working_daily[[#This Row],[VeryActiveMinutes]]&gt;=30,"Very Active",tbl_working_daily[[#This Row],[VeryActiveMinutes]]&gt;=15,"Moderately Active",tbl_working_daily[[#This Row],[VeryActiveMinutes]]&gt;=1,"Lightly Active",tbl_working_daily[[#This Row],[VeryActiveMinutes]]=0,"Sedentary")</f>
        <v>Very Active</v>
      </c>
      <c r="W995" t="str">
        <f>tbl_working_daily[[#This Row],[Id]]&amp;"|"&amp;TEXT(tbl_working_daily[[#This Row],[ActivityDate]],"yyyy-mm-dd")</f>
        <v>5553957443|2016-04-28</v>
      </c>
      <c r="X995" t="b">
        <f>ISNUMBER(MATCH(tbl_working_daily[[#This Row],[LookupKey]],tbl_working_sleep[LookupKey],0))</f>
        <v>1</v>
      </c>
    </row>
    <row r="996" spans="1:24" x14ac:dyDescent="0.3">
      <c r="A996">
        <v>5553957443</v>
      </c>
      <c r="B996" s="1">
        <v>42489</v>
      </c>
      <c r="C996">
        <v>12764</v>
      </c>
      <c r="D996">
        <v>8.3299999237060494</v>
      </c>
      <c r="E996">
        <v>8.3299999237060494</v>
      </c>
      <c r="F996">
        <v>0</v>
      </c>
      <c r="G996">
        <v>2.78999996185303</v>
      </c>
      <c r="H996">
        <v>0.63999998569488503</v>
      </c>
      <c r="I996">
        <v>4.9099998474121103</v>
      </c>
      <c r="J996">
        <v>0</v>
      </c>
      <c r="K996">
        <v>46</v>
      </c>
      <c r="L996">
        <v>15</v>
      </c>
      <c r="M996">
        <v>270</v>
      </c>
      <c r="N996">
        <v>709</v>
      </c>
      <c r="O996">
        <v>2169</v>
      </c>
      <c r="P996" t="str">
        <f>TEXT(tbl_working_daily[[#This Row],[ActivityDate]],"dddd")</f>
        <v>Friday</v>
      </c>
      <c r="Q996" t="str">
        <f>TEXT(tbl_working_daily[[#This Row],[ActivityDate]],"mmmm")</f>
        <v>April</v>
      </c>
      <c r="R996">
        <f t="shared" si="30"/>
        <v>331</v>
      </c>
      <c r="S996">
        <f t="shared" si="31"/>
        <v>1040</v>
      </c>
      <c r="T996">
        <f>ROUND(tbl_working_daily[[#This Row],[SedentaryMinutes]]/60,2)</f>
        <v>11.82</v>
      </c>
      <c r="U996" t="str" cm="1">
        <f t="array" ref="U99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996" t="str" cm="1">
        <f t="array" ref="V996">_xlfn.IFS(tbl_working_daily[[#This Row],[VeryActiveMinutes]]&gt;=30,"Very Active",tbl_working_daily[[#This Row],[VeryActiveMinutes]]&gt;=15,"Moderately Active",tbl_working_daily[[#This Row],[VeryActiveMinutes]]&gt;=1,"Lightly Active",tbl_working_daily[[#This Row],[VeryActiveMinutes]]=0,"Sedentary")</f>
        <v>Very Active</v>
      </c>
      <c r="W996" t="str">
        <f>tbl_working_daily[[#This Row],[Id]]&amp;"|"&amp;TEXT(tbl_working_daily[[#This Row],[ActivityDate]],"yyyy-mm-dd")</f>
        <v>5553957443|2016-04-29</v>
      </c>
      <c r="X996" t="b">
        <f>ISNUMBER(MATCH(tbl_working_daily[[#This Row],[LookupKey]],tbl_working_sleep[LookupKey],0))</f>
        <v>1</v>
      </c>
    </row>
    <row r="997" spans="1:24" x14ac:dyDescent="0.3">
      <c r="A997">
        <v>5553957443</v>
      </c>
      <c r="B997" s="1">
        <v>42490</v>
      </c>
      <c r="C997">
        <v>1202</v>
      </c>
      <c r="D997">
        <v>0.77999997138977095</v>
      </c>
      <c r="E997">
        <v>0.77999997138977095</v>
      </c>
      <c r="F997">
        <v>0</v>
      </c>
      <c r="G997">
        <v>0</v>
      </c>
      <c r="H997">
        <v>0</v>
      </c>
      <c r="I997">
        <v>0.77999997138977095</v>
      </c>
      <c r="J997">
        <v>0</v>
      </c>
      <c r="K997">
        <v>0</v>
      </c>
      <c r="L997">
        <v>0</v>
      </c>
      <c r="M997">
        <v>84</v>
      </c>
      <c r="N997">
        <v>506</v>
      </c>
      <c r="O997">
        <v>1463</v>
      </c>
      <c r="P997" t="str">
        <f>TEXT(tbl_working_daily[[#This Row],[ActivityDate]],"dddd")</f>
        <v>Saturday</v>
      </c>
      <c r="Q997" t="str">
        <f>TEXT(tbl_working_daily[[#This Row],[ActivityDate]],"mmmm")</f>
        <v>April</v>
      </c>
      <c r="R997">
        <f t="shared" si="30"/>
        <v>84</v>
      </c>
      <c r="S997">
        <f t="shared" si="31"/>
        <v>590</v>
      </c>
      <c r="T997">
        <f>ROUND(tbl_working_daily[[#This Row],[SedentaryMinutes]]/60,2)</f>
        <v>8.43</v>
      </c>
      <c r="U997" t="str" cm="1">
        <f t="array" ref="U9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997" t="str" cm="1">
        <f t="array" ref="V997">_xlfn.IFS(tbl_working_daily[[#This Row],[VeryActiveMinutes]]&gt;=30,"Very Active",tbl_working_daily[[#This Row],[VeryActiveMinutes]]&gt;=15,"Moderately Active",tbl_working_daily[[#This Row],[VeryActiveMinutes]]&gt;=1,"Lightly Active",tbl_working_daily[[#This Row],[VeryActiveMinutes]]=0,"Sedentary")</f>
        <v>Sedentary</v>
      </c>
      <c r="W997" t="str">
        <f>tbl_working_daily[[#This Row],[Id]]&amp;"|"&amp;TEXT(tbl_working_daily[[#This Row],[ActivityDate]],"yyyy-mm-dd")</f>
        <v>5553957443|2016-04-30</v>
      </c>
      <c r="X997" t="b">
        <f>ISNUMBER(MATCH(tbl_working_daily[[#This Row],[LookupKey]],tbl_working_sleep[LookupKey],0))</f>
        <v>1</v>
      </c>
    </row>
    <row r="998" spans="1:24" x14ac:dyDescent="0.3">
      <c r="A998">
        <v>5553957443</v>
      </c>
      <c r="B998" s="1">
        <v>42491</v>
      </c>
      <c r="C998">
        <v>5164</v>
      </c>
      <c r="D998">
        <v>3.3699998855590798</v>
      </c>
      <c r="E998">
        <v>3.3699998855590798</v>
      </c>
      <c r="F998">
        <v>0</v>
      </c>
      <c r="G998">
        <v>0</v>
      </c>
      <c r="H998">
        <v>0</v>
      </c>
      <c r="I998">
        <v>3.3699998855590798</v>
      </c>
      <c r="J998">
        <v>0</v>
      </c>
      <c r="K998">
        <v>0</v>
      </c>
      <c r="L998">
        <v>0</v>
      </c>
      <c r="M998">
        <v>237</v>
      </c>
      <c r="N998">
        <v>436</v>
      </c>
      <c r="O998">
        <v>1747</v>
      </c>
      <c r="P998" t="str">
        <f>TEXT(tbl_working_daily[[#This Row],[ActivityDate]],"dddd")</f>
        <v>Sunday</v>
      </c>
      <c r="Q998" t="str">
        <f>TEXT(tbl_working_daily[[#This Row],[ActivityDate]],"mmmm")</f>
        <v>May</v>
      </c>
      <c r="R998">
        <f t="shared" si="30"/>
        <v>237</v>
      </c>
      <c r="S998">
        <f t="shared" si="31"/>
        <v>673</v>
      </c>
      <c r="T998">
        <f>ROUND(tbl_working_daily[[#This Row],[SedentaryMinutes]]/60,2)</f>
        <v>7.27</v>
      </c>
      <c r="U998" t="str" cm="1">
        <f t="array" ref="U99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998" t="str" cm="1">
        <f t="array" ref="V998">_xlfn.IFS(tbl_working_daily[[#This Row],[VeryActiveMinutes]]&gt;=30,"Very Active",tbl_working_daily[[#This Row],[VeryActiveMinutes]]&gt;=15,"Moderately Active",tbl_working_daily[[#This Row],[VeryActiveMinutes]]&gt;=1,"Lightly Active",tbl_working_daily[[#This Row],[VeryActiveMinutes]]=0,"Sedentary")</f>
        <v>Sedentary</v>
      </c>
      <c r="W998" t="str">
        <f>tbl_working_daily[[#This Row],[Id]]&amp;"|"&amp;TEXT(tbl_working_daily[[#This Row],[ActivityDate]],"yyyy-mm-dd")</f>
        <v>5553957443|2016-05-01</v>
      </c>
      <c r="X998" t="b">
        <f>ISNUMBER(MATCH(tbl_working_daily[[#This Row],[LookupKey]],tbl_working_sleep[LookupKey],0))</f>
        <v>1</v>
      </c>
    </row>
    <row r="999" spans="1:24" x14ac:dyDescent="0.3">
      <c r="A999">
        <v>5553957443</v>
      </c>
      <c r="B999" s="1">
        <v>42492</v>
      </c>
      <c r="C999">
        <v>9769</v>
      </c>
      <c r="D999">
        <v>6.3800001144409197</v>
      </c>
      <c r="E999">
        <v>6.3800001144409197</v>
      </c>
      <c r="F999">
        <v>0</v>
      </c>
      <c r="G999">
        <v>1.0599999427795399</v>
      </c>
      <c r="H999">
        <v>0.40999999642372098</v>
      </c>
      <c r="I999">
        <v>4.9000000953674299</v>
      </c>
      <c r="J999">
        <v>0</v>
      </c>
      <c r="K999">
        <v>23</v>
      </c>
      <c r="L999">
        <v>9</v>
      </c>
      <c r="M999">
        <v>227</v>
      </c>
      <c r="N999">
        <v>724</v>
      </c>
      <c r="O999">
        <v>1996</v>
      </c>
      <c r="P999" t="str">
        <f>TEXT(tbl_working_daily[[#This Row],[ActivityDate]],"dddd")</f>
        <v>Monday</v>
      </c>
      <c r="Q999" t="str">
        <f>TEXT(tbl_working_daily[[#This Row],[ActivityDate]],"mmmm")</f>
        <v>May</v>
      </c>
      <c r="R999">
        <f t="shared" si="30"/>
        <v>259</v>
      </c>
      <c r="S999">
        <f t="shared" si="31"/>
        <v>983</v>
      </c>
      <c r="T999">
        <f>ROUND(tbl_working_daily[[#This Row],[SedentaryMinutes]]/60,2)</f>
        <v>12.07</v>
      </c>
      <c r="U999" t="str" cm="1">
        <f t="array" ref="U99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999" t="str" cm="1">
        <f t="array" ref="V999">_xlfn.IFS(tbl_working_daily[[#This Row],[VeryActiveMinutes]]&gt;=30,"Very Active",tbl_working_daily[[#This Row],[VeryActiveMinutes]]&gt;=15,"Moderately Active",tbl_working_daily[[#This Row],[VeryActiveMinutes]]&gt;=1,"Lightly Active",tbl_working_daily[[#This Row],[VeryActiveMinutes]]=0,"Sedentary")</f>
        <v>Moderately Active</v>
      </c>
      <c r="W999" t="str">
        <f>tbl_working_daily[[#This Row],[Id]]&amp;"|"&amp;TEXT(tbl_working_daily[[#This Row],[ActivityDate]],"yyyy-mm-dd")</f>
        <v>5553957443|2016-05-02</v>
      </c>
      <c r="X999" t="b">
        <f>ISNUMBER(MATCH(tbl_working_daily[[#This Row],[LookupKey]],tbl_working_sleep[LookupKey],0))</f>
        <v>1</v>
      </c>
    </row>
    <row r="1000" spans="1:24" x14ac:dyDescent="0.3">
      <c r="A1000">
        <v>5553957443</v>
      </c>
      <c r="B1000" s="1">
        <v>42493</v>
      </c>
      <c r="C1000">
        <v>12848</v>
      </c>
      <c r="D1000">
        <v>8.3900003433227504</v>
      </c>
      <c r="E1000">
        <v>8.3900003433227504</v>
      </c>
      <c r="F1000">
        <v>0</v>
      </c>
      <c r="G1000">
        <v>1.5</v>
      </c>
      <c r="H1000">
        <v>1.20000004768372</v>
      </c>
      <c r="I1000">
        <v>5.6799998283386204</v>
      </c>
      <c r="J1000">
        <v>0</v>
      </c>
      <c r="K1000">
        <v>26</v>
      </c>
      <c r="L1000">
        <v>29</v>
      </c>
      <c r="M1000">
        <v>247</v>
      </c>
      <c r="N1000">
        <v>812</v>
      </c>
      <c r="O1000">
        <v>2116</v>
      </c>
      <c r="P1000" t="str">
        <f>TEXT(tbl_working_daily[[#This Row],[ActivityDate]],"dddd")</f>
        <v>Tuesday</v>
      </c>
      <c r="Q1000" t="str">
        <f>TEXT(tbl_working_daily[[#This Row],[ActivityDate]],"mmmm")</f>
        <v>May</v>
      </c>
      <c r="R1000">
        <f t="shared" si="30"/>
        <v>302</v>
      </c>
      <c r="S1000">
        <f t="shared" si="31"/>
        <v>1114</v>
      </c>
      <c r="T1000">
        <f>ROUND(tbl_working_daily[[#This Row],[SedentaryMinutes]]/60,2)</f>
        <v>13.53</v>
      </c>
      <c r="U1000" t="str" cm="1">
        <f t="array" ref="U100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00" t="str" cm="1">
        <f t="array" ref="V1000">_xlfn.IFS(tbl_working_daily[[#This Row],[VeryActiveMinutes]]&gt;=30,"Very Active",tbl_working_daily[[#This Row],[VeryActiveMinutes]]&gt;=15,"Moderately Active",tbl_working_daily[[#This Row],[VeryActiveMinutes]]&gt;=1,"Lightly Active",tbl_working_daily[[#This Row],[VeryActiveMinutes]]=0,"Sedentary")</f>
        <v>Moderately Active</v>
      </c>
      <c r="W1000" t="str">
        <f>tbl_working_daily[[#This Row],[Id]]&amp;"|"&amp;TEXT(tbl_working_daily[[#This Row],[ActivityDate]],"yyyy-mm-dd")</f>
        <v>5553957443|2016-05-03</v>
      </c>
      <c r="X1000" t="b">
        <f>ISNUMBER(MATCH(tbl_working_daily[[#This Row],[LookupKey]],tbl_working_sleep[LookupKey],0))</f>
        <v>1</v>
      </c>
    </row>
    <row r="1001" spans="1:24" x14ac:dyDescent="0.3">
      <c r="A1001">
        <v>5553957443</v>
      </c>
      <c r="B1001" s="1">
        <v>42494</v>
      </c>
      <c r="C1001">
        <v>4249</v>
      </c>
      <c r="D1001">
        <v>2.7699999809265101</v>
      </c>
      <c r="E1001">
        <v>2.7699999809265101</v>
      </c>
      <c r="F1001">
        <v>0</v>
      </c>
      <c r="G1001">
        <v>0</v>
      </c>
      <c r="H1001">
        <v>0</v>
      </c>
      <c r="I1001">
        <v>2.7699999809265101</v>
      </c>
      <c r="J1001">
        <v>0</v>
      </c>
      <c r="K1001">
        <v>0</v>
      </c>
      <c r="L1001">
        <v>0</v>
      </c>
      <c r="M1001">
        <v>224</v>
      </c>
      <c r="N1001">
        <v>651</v>
      </c>
      <c r="O1001">
        <v>1698</v>
      </c>
      <c r="P1001" t="str">
        <f>TEXT(tbl_working_daily[[#This Row],[ActivityDate]],"dddd")</f>
        <v>Wednesday</v>
      </c>
      <c r="Q1001" t="str">
        <f>TEXT(tbl_working_daily[[#This Row],[ActivityDate]],"mmmm")</f>
        <v>May</v>
      </c>
      <c r="R1001">
        <f t="shared" si="30"/>
        <v>224</v>
      </c>
      <c r="S1001">
        <f t="shared" si="31"/>
        <v>875</v>
      </c>
      <c r="T1001">
        <f>ROUND(tbl_working_daily[[#This Row],[SedentaryMinutes]]/60,2)</f>
        <v>10.85</v>
      </c>
      <c r="U1001" t="str" cm="1">
        <f t="array" ref="U100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01" t="str" cm="1">
        <f t="array" ref="V1001">_xlfn.IFS(tbl_working_daily[[#This Row],[VeryActiveMinutes]]&gt;=30,"Very Active",tbl_working_daily[[#This Row],[VeryActiveMinutes]]&gt;=15,"Moderately Active",tbl_working_daily[[#This Row],[VeryActiveMinutes]]&gt;=1,"Lightly Active",tbl_working_daily[[#This Row],[VeryActiveMinutes]]=0,"Sedentary")</f>
        <v>Sedentary</v>
      </c>
      <c r="W1001" t="str">
        <f>tbl_working_daily[[#This Row],[Id]]&amp;"|"&amp;TEXT(tbl_working_daily[[#This Row],[ActivityDate]],"yyyy-mm-dd")</f>
        <v>5553957443|2016-05-04</v>
      </c>
      <c r="X1001" t="b">
        <f>ISNUMBER(MATCH(tbl_working_daily[[#This Row],[LookupKey]],tbl_working_sleep[LookupKey],0))</f>
        <v>1</v>
      </c>
    </row>
    <row r="1002" spans="1:24" x14ac:dyDescent="0.3">
      <c r="A1002">
        <v>5553957443</v>
      </c>
      <c r="B1002" s="1">
        <v>42495</v>
      </c>
      <c r="C1002">
        <v>14331</v>
      </c>
      <c r="D1002">
        <v>9.5100002288818395</v>
      </c>
      <c r="E1002">
        <v>9.5100002288818395</v>
      </c>
      <c r="F1002">
        <v>0</v>
      </c>
      <c r="G1002">
        <v>3.4300000667571999</v>
      </c>
      <c r="H1002">
        <v>1.6599999666214</v>
      </c>
      <c r="I1002">
        <v>4.4299998283386204</v>
      </c>
      <c r="J1002">
        <v>0</v>
      </c>
      <c r="K1002">
        <v>44</v>
      </c>
      <c r="L1002">
        <v>29</v>
      </c>
      <c r="M1002">
        <v>241</v>
      </c>
      <c r="N1002">
        <v>692</v>
      </c>
      <c r="O1002">
        <v>2156</v>
      </c>
      <c r="P1002" t="str">
        <f>TEXT(tbl_working_daily[[#This Row],[ActivityDate]],"dddd")</f>
        <v>Thursday</v>
      </c>
      <c r="Q1002" t="str">
        <f>TEXT(tbl_working_daily[[#This Row],[ActivityDate]],"mmmm")</f>
        <v>May</v>
      </c>
      <c r="R1002">
        <f t="shared" si="30"/>
        <v>314</v>
      </c>
      <c r="S1002">
        <f t="shared" si="31"/>
        <v>1006</v>
      </c>
      <c r="T1002">
        <f>ROUND(tbl_working_daily[[#This Row],[SedentaryMinutes]]/60,2)</f>
        <v>11.53</v>
      </c>
      <c r="U1002" t="str" cm="1">
        <f t="array" ref="U100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02" t="str" cm="1">
        <f t="array" ref="V1002">_xlfn.IFS(tbl_working_daily[[#This Row],[VeryActiveMinutes]]&gt;=30,"Very Active",tbl_working_daily[[#This Row],[VeryActiveMinutes]]&gt;=15,"Moderately Active",tbl_working_daily[[#This Row],[VeryActiveMinutes]]&gt;=1,"Lightly Active",tbl_working_daily[[#This Row],[VeryActiveMinutes]]=0,"Sedentary")</f>
        <v>Very Active</v>
      </c>
      <c r="W1002" t="str">
        <f>tbl_working_daily[[#This Row],[Id]]&amp;"|"&amp;TEXT(tbl_working_daily[[#This Row],[ActivityDate]],"yyyy-mm-dd")</f>
        <v>5553957443|2016-05-05</v>
      </c>
      <c r="X1002" t="b">
        <f>ISNUMBER(MATCH(tbl_working_daily[[#This Row],[LookupKey]],tbl_working_sleep[LookupKey],0))</f>
        <v>1</v>
      </c>
    </row>
    <row r="1003" spans="1:24" x14ac:dyDescent="0.3">
      <c r="A1003">
        <v>5553957443</v>
      </c>
      <c r="B1003" s="1">
        <v>42496</v>
      </c>
      <c r="C1003">
        <v>9632</v>
      </c>
      <c r="D1003">
        <v>6.28999996185303</v>
      </c>
      <c r="E1003">
        <v>6.28999996185303</v>
      </c>
      <c r="F1003">
        <v>0</v>
      </c>
      <c r="G1003">
        <v>1.5199999809265099</v>
      </c>
      <c r="H1003">
        <v>0.54000002145767201</v>
      </c>
      <c r="I1003">
        <v>4.2300000190734899</v>
      </c>
      <c r="J1003">
        <v>0</v>
      </c>
      <c r="K1003">
        <v>21</v>
      </c>
      <c r="L1003">
        <v>9</v>
      </c>
      <c r="M1003">
        <v>229</v>
      </c>
      <c r="N1003">
        <v>761</v>
      </c>
      <c r="O1003">
        <v>1916</v>
      </c>
      <c r="P1003" t="str">
        <f>TEXT(tbl_working_daily[[#This Row],[ActivityDate]],"dddd")</f>
        <v>Friday</v>
      </c>
      <c r="Q1003" t="str">
        <f>TEXT(tbl_working_daily[[#This Row],[ActivityDate]],"mmmm")</f>
        <v>May</v>
      </c>
      <c r="R1003">
        <f t="shared" si="30"/>
        <v>259</v>
      </c>
      <c r="S1003">
        <f t="shared" si="31"/>
        <v>1020</v>
      </c>
      <c r="T1003">
        <f>ROUND(tbl_working_daily[[#This Row],[SedentaryMinutes]]/60,2)</f>
        <v>12.68</v>
      </c>
      <c r="U1003" t="str" cm="1">
        <f t="array" ref="U100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03" t="str" cm="1">
        <f t="array" ref="V1003">_xlfn.IFS(tbl_working_daily[[#This Row],[VeryActiveMinutes]]&gt;=30,"Very Active",tbl_working_daily[[#This Row],[VeryActiveMinutes]]&gt;=15,"Moderately Active",tbl_working_daily[[#This Row],[VeryActiveMinutes]]&gt;=1,"Lightly Active",tbl_working_daily[[#This Row],[VeryActiveMinutes]]=0,"Sedentary")</f>
        <v>Moderately Active</v>
      </c>
      <c r="W1003" t="str">
        <f>tbl_working_daily[[#This Row],[Id]]&amp;"|"&amp;TEXT(tbl_working_daily[[#This Row],[ActivityDate]],"yyyy-mm-dd")</f>
        <v>5553957443|2016-05-06</v>
      </c>
      <c r="X1003" t="b">
        <f>ISNUMBER(MATCH(tbl_working_daily[[#This Row],[LookupKey]],tbl_working_sleep[LookupKey],0))</f>
        <v>1</v>
      </c>
    </row>
    <row r="1004" spans="1:24" x14ac:dyDescent="0.3">
      <c r="A1004">
        <v>5553957443</v>
      </c>
      <c r="B1004" s="1">
        <v>42497</v>
      </c>
      <c r="C1004">
        <v>1868</v>
      </c>
      <c r="D1004">
        <v>1.2200000286102299</v>
      </c>
      <c r="E1004">
        <v>1.2200000286102299</v>
      </c>
      <c r="F1004">
        <v>0</v>
      </c>
      <c r="G1004">
        <v>0</v>
      </c>
      <c r="H1004">
        <v>0</v>
      </c>
      <c r="I1004">
        <v>1.2200000286102299</v>
      </c>
      <c r="J1004">
        <v>0</v>
      </c>
      <c r="K1004">
        <v>0</v>
      </c>
      <c r="L1004">
        <v>0</v>
      </c>
      <c r="M1004">
        <v>96</v>
      </c>
      <c r="N1004">
        <v>902</v>
      </c>
      <c r="O1004">
        <v>1494</v>
      </c>
      <c r="P1004" t="str">
        <f>TEXT(tbl_working_daily[[#This Row],[ActivityDate]],"dddd")</f>
        <v>Saturday</v>
      </c>
      <c r="Q1004" t="str">
        <f>TEXT(tbl_working_daily[[#This Row],[ActivityDate]],"mmmm")</f>
        <v>May</v>
      </c>
      <c r="R1004">
        <f t="shared" si="30"/>
        <v>96</v>
      </c>
      <c r="S1004">
        <f t="shared" si="31"/>
        <v>998</v>
      </c>
      <c r="T1004">
        <f>ROUND(tbl_working_daily[[#This Row],[SedentaryMinutes]]/60,2)</f>
        <v>15.03</v>
      </c>
      <c r="U1004" t="str" cm="1">
        <f t="array" ref="U10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04" t="str" cm="1">
        <f t="array" ref="V1004">_xlfn.IFS(tbl_working_daily[[#This Row],[VeryActiveMinutes]]&gt;=30,"Very Active",tbl_working_daily[[#This Row],[VeryActiveMinutes]]&gt;=15,"Moderately Active",tbl_working_daily[[#This Row],[VeryActiveMinutes]]&gt;=1,"Lightly Active",tbl_working_daily[[#This Row],[VeryActiveMinutes]]=0,"Sedentary")</f>
        <v>Sedentary</v>
      </c>
      <c r="W1004" t="str">
        <f>tbl_working_daily[[#This Row],[Id]]&amp;"|"&amp;TEXT(tbl_working_daily[[#This Row],[ActivityDate]],"yyyy-mm-dd")</f>
        <v>5553957443|2016-05-07</v>
      </c>
      <c r="X1004" t="b">
        <f>ISNUMBER(MATCH(tbl_working_daily[[#This Row],[LookupKey]],tbl_working_sleep[LookupKey],0))</f>
        <v>1</v>
      </c>
    </row>
    <row r="1005" spans="1:24" x14ac:dyDescent="0.3">
      <c r="A1005">
        <v>5553957443</v>
      </c>
      <c r="B1005" s="1">
        <v>42498</v>
      </c>
      <c r="C1005">
        <v>6083</v>
      </c>
      <c r="D1005">
        <v>4</v>
      </c>
      <c r="E1005">
        <v>4</v>
      </c>
      <c r="F1005">
        <v>0</v>
      </c>
      <c r="G1005">
        <v>0.21999999880790699</v>
      </c>
      <c r="H1005">
        <v>0.46999999880790699</v>
      </c>
      <c r="I1005">
        <v>3.2999999523162802</v>
      </c>
      <c r="J1005">
        <v>0</v>
      </c>
      <c r="K1005">
        <v>3</v>
      </c>
      <c r="L1005">
        <v>8</v>
      </c>
      <c r="M1005">
        <v>210</v>
      </c>
      <c r="N1005">
        <v>505</v>
      </c>
      <c r="O1005">
        <v>1762</v>
      </c>
      <c r="P1005" t="str">
        <f>TEXT(tbl_working_daily[[#This Row],[ActivityDate]],"dddd")</f>
        <v>Sunday</v>
      </c>
      <c r="Q1005" t="str">
        <f>TEXT(tbl_working_daily[[#This Row],[ActivityDate]],"mmmm")</f>
        <v>May</v>
      </c>
      <c r="R1005">
        <f t="shared" si="30"/>
        <v>221</v>
      </c>
      <c r="S1005">
        <f t="shared" si="31"/>
        <v>726</v>
      </c>
      <c r="T1005">
        <f>ROUND(tbl_working_daily[[#This Row],[SedentaryMinutes]]/60,2)</f>
        <v>8.42</v>
      </c>
      <c r="U1005" t="str" cm="1">
        <f t="array" ref="U100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05" t="str" cm="1">
        <f t="array" ref="V1005">_xlfn.IFS(tbl_working_daily[[#This Row],[VeryActiveMinutes]]&gt;=30,"Very Active",tbl_working_daily[[#This Row],[VeryActiveMinutes]]&gt;=15,"Moderately Active",tbl_working_daily[[#This Row],[VeryActiveMinutes]]&gt;=1,"Lightly Active",tbl_working_daily[[#This Row],[VeryActiveMinutes]]=0,"Sedentary")</f>
        <v>Lightly Active</v>
      </c>
      <c r="W1005" t="str">
        <f>tbl_working_daily[[#This Row],[Id]]&amp;"|"&amp;TEXT(tbl_working_daily[[#This Row],[ActivityDate]],"yyyy-mm-dd")</f>
        <v>5553957443|2016-05-08</v>
      </c>
      <c r="X1005" t="b">
        <f>ISNUMBER(MATCH(tbl_working_daily[[#This Row],[LookupKey]],tbl_working_sleep[LookupKey],0))</f>
        <v>1</v>
      </c>
    </row>
    <row r="1006" spans="1:24" x14ac:dyDescent="0.3">
      <c r="A1006">
        <v>5553957443</v>
      </c>
      <c r="B1006" s="1">
        <v>42499</v>
      </c>
      <c r="C1006">
        <v>11611</v>
      </c>
      <c r="D1006">
        <v>7.5799999237060502</v>
      </c>
      <c r="E1006">
        <v>7.5799999237060502</v>
      </c>
      <c r="F1006">
        <v>0</v>
      </c>
      <c r="G1006">
        <v>2.1300001144409202</v>
      </c>
      <c r="H1006">
        <v>0.88999998569488503</v>
      </c>
      <c r="I1006">
        <v>4.5599999427795401</v>
      </c>
      <c r="J1006">
        <v>0</v>
      </c>
      <c r="K1006">
        <v>59</v>
      </c>
      <c r="L1006">
        <v>22</v>
      </c>
      <c r="M1006">
        <v>251</v>
      </c>
      <c r="N1006">
        <v>667</v>
      </c>
      <c r="O1006">
        <v>2272</v>
      </c>
      <c r="P1006" t="str">
        <f>TEXT(tbl_working_daily[[#This Row],[ActivityDate]],"dddd")</f>
        <v>Monday</v>
      </c>
      <c r="Q1006" t="str">
        <f>TEXT(tbl_working_daily[[#This Row],[ActivityDate]],"mmmm")</f>
        <v>May</v>
      </c>
      <c r="R1006">
        <f t="shared" si="30"/>
        <v>332</v>
      </c>
      <c r="S1006">
        <f t="shared" si="31"/>
        <v>999</v>
      </c>
      <c r="T1006">
        <f>ROUND(tbl_working_daily[[#This Row],[SedentaryMinutes]]/60,2)</f>
        <v>11.12</v>
      </c>
      <c r="U1006" t="str" cm="1">
        <f t="array" ref="U100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06" t="str" cm="1">
        <f t="array" ref="V1006">_xlfn.IFS(tbl_working_daily[[#This Row],[VeryActiveMinutes]]&gt;=30,"Very Active",tbl_working_daily[[#This Row],[VeryActiveMinutes]]&gt;=15,"Moderately Active",tbl_working_daily[[#This Row],[VeryActiveMinutes]]&gt;=1,"Lightly Active",tbl_working_daily[[#This Row],[VeryActiveMinutes]]=0,"Sedentary")</f>
        <v>Very Active</v>
      </c>
      <c r="W1006" t="str">
        <f>tbl_working_daily[[#This Row],[Id]]&amp;"|"&amp;TEXT(tbl_working_daily[[#This Row],[ActivityDate]],"yyyy-mm-dd")</f>
        <v>5553957443|2016-05-09</v>
      </c>
      <c r="X1006" t="b">
        <f>ISNUMBER(MATCH(tbl_working_daily[[#This Row],[LookupKey]],tbl_working_sleep[LookupKey],0))</f>
        <v>1</v>
      </c>
    </row>
    <row r="1007" spans="1:24" x14ac:dyDescent="0.3">
      <c r="A1007">
        <v>5553957443</v>
      </c>
      <c r="B1007" s="1">
        <v>42500</v>
      </c>
      <c r="C1007">
        <v>16358</v>
      </c>
      <c r="D1007">
        <v>10.710000038146999</v>
      </c>
      <c r="E1007">
        <v>10.710000038146999</v>
      </c>
      <c r="F1007">
        <v>0</v>
      </c>
      <c r="G1007">
        <v>3.8699998855590798</v>
      </c>
      <c r="H1007">
        <v>1.6100000143051101</v>
      </c>
      <c r="I1007">
        <v>5.1999998092651403</v>
      </c>
      <c r="J1007">
        <v>0</v>
      </c>
      <c r="K1007">
        <v>61</v>
      </c>
      <c r="L1007">
        <v>40</v>
      </c>
      <c r="M1007">
        <v>265</v>
      </c>
      <c r="N1007">
        <v>707</v>
      </c>
      <c r="O1007">
        <v>2335</v>
      </c>
      <c r="P1007" t="str">
        <f>TEXT(tbl_working_daily[[#This Row],[ActivityDate]],"dddd")</f>
        <v>Tuesday</v>
      </c>
      <c r="Q1007" t="str">
        <f>TEXT(tbl_working_daily[[#This Row],[ActivityDate]],"mmmm")</f>
        <v>May</v>
      </c>
      <c r="R1007">
        <f t="shared" si="30"/>
        <v>366</v>
      </c>
      <c r="S1007">
        <f t="shared" si="31"/>
        <v>1073</v>
      </c>
      <c r="T1007">
        <f>ROUND(tbl_working_daily[[#This Row],[SedentaryMinutes]]/60,2)</f>
        <v>11.78</v>
      </c>
      <c r="U1007" t="str" cm="1">
        <f t="array" ref="U100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07" t="str" cm="1">
        <f t="array" ref="V1007">_xlfn.IFS(tbl_working_daily[[#This Row],[VeryActiveMinutes]]&gt;=30,"Very Active",tbl_working_daily[[#This Row],[VeryActiveMinutes]]&gt;=15,"Moderately Active",tbl_working_daily[[#This Row],[VeryActiveMinutes]]&gt;=1,"Lightly Active",tbl_working_daily[[#This Row],[VeryActiveMinutes]]=0,"Sedentary")</f>
        <v>Very Active</v>
      </c>
      <c r="W1007" t="str">
        <f>tbl_working_daily[[#This Row],[Id]]&amp;"|"&amp;TEXT(tbl_working_daily[[#This Row],[ActivityDate]],"yyyy-mm-dd")</f>
        <v>5553957443|2016-05-10</v>
      </c>
      <c r="X1007" t="b">
        <f>ISNUMBER(MATCH(tbl_working_daily[[#This Row],[LookupKey]],tbl_working_sleep[LookupKey],0))</f>
        <v>1</v>
      </c>
    </row>
    <row r="1008" spans="1:24" x14ac:dyDescent="0.3">
      <c r="A1008">
        <v>5553957443</v>
      </c>
      <c r="B1008" s="1">
        <v>42501</v>
      </c>
      <c r="C1008">
        <v>4926</v>
      </c>
      <c r="D1008">
        <v>3.2200000286102299</v>
      </c>
      <c r="E1008">
        <v>3.2200000286102299</v>
      </c>
      <c r="F1008">
        <v>0</v>
      </c>
      <c r="G1008">
        <v>0</v>
      </c>
      <c r="H1008">
        <v>0</v>
      </c>
      <c r="I1008">
        <v>3.2200000286102299</v>
      </c>
      <c r="J1008">
        <v>0</v>
      </c>
      <c r="K1008">
        <v>0</v>
      </c>
      <c r="L1008">
        <v>0</v>
      </c>
      <c r="M1008">
        <v>195</v>
      </c>
      <c r="N1008">
        <v>628</v>
      </c>
      <c r="O1008">
        <v>1693</v>
      </c>
      <c r="P1008" t="str">
        <f>TEXT(tbl_working_daily[[#This Row],[ActivityDate]],"dddd")</f>
        <v>Wednesday</v>
      </c>
      <c r="Q1008" t="str">
        <f>TEXT(tbl_working_daily[[#This Row],[ActivityDate]],"mmmm")</f>
        <v>May</v>
      </c>
      <c r="R1008">
        <f t="shared" si="30"/>
        <v>195</v>
      </c>
      <c r="S1008">
        <f t="shared" si="31"/>
        <v>823</v>
      </c>
      <c r="T1008">
        <f>ROUND(tbl_working_daily[[#This Row],[SedentaryMinutes]]/60,2)</f>
        <v>10.47</v>
      </c>
      <c r="U1008" t="str" cm="1">
        <f t="array" ref="U10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08" t="str" cm="1">
        <f t="array" ref="V1008">_xlfn.IFS(tbl_working_daily[[#This Row],[VeryActiveMinutes]]&gt;=30,"Very Active",tbl_working_daily[[#This Row],[VeryActiveMinutes]]&gt;=15,"Moderately Active",tbl_working_daily[[#This Row],[VeryActiveMinutes]]&gt;=1,"Lightly Active",tbl_working_daily[[#This Row],[VeryActiveMinutes]]=0,"Sedentary")</f>
        <v>Sedentary</v>
      </c>
      <c r="W1008" t="str">
        <f>tbl_working_daily[[#This Row],[Id]]&amp;"|"&amp;TEXT(tbl_working_daily[[#This Row],[ActivityDate]],"yyyy-mm-dd")</f>
        <v>5553957443|2016-05-11</v>
      </c>
      <c r="X1008" t="b">
        <f>ISNUMBER(MATCH(tbl_working_daily[[#This Row],[LookupKey]],tbl_working_sleep[LookupKey],0))</f>
        <v>1</v>
      </c>
    </row>
    <row r="1009" spans="1:24" x14ac:dyDescent="0.3">
      <c r="A1009">
        <v>5553957443</v>
      </c>
      <c r="B1009" s="1">
        <v>42502</v>
      </c>
      <c r="C1009">
        <v>3121</v>
      </c>
      <c r="D1009">
        <v>2.03999996185303</v>
      </c>
      <c r="E1009">
        <v>2.03999996185303</v>
      </c>
      <c r="F1009">
        <v>0</v>
      </c>
      <c r="G1009">
        <v>0.57999998331069902</v>
      </c>
      <c r="H1009">
        <v>0.40000000596046398</v>
      </c>
      <c r="I1009">
        <v>1.0599999427795399</v>
      </c>
      <c r="J1009">
        <v>0</v>
      </c>
      <c r="K1009">
        <v>8</v>
      </c>
      <c r="L1009">
        <v>6</v>
      </c>
      <c r="M1009">
        <v>48</v>
      </c>
      <c r="N1009">
        <v>222</v>
      </c>
      <c r="O1009">
        <v>741</v>
      </c>
      <c r="P1009" t="str">
        <f>TEXT(tbl_working_daily[[#This Row],[ActivityDate]],"dddd")</f>
        <v>Thursday</v>
      </c>
      <c r="Q1009" t="str">
        <f>TEXT(tbl_working_daily[[#This Row],[ActivityDate]],"mmmm")</f>
        <v>May</v>
      </c>
      <c r="R1009">
        <f t="shared" si="30"/>
        <v>62</v>
      </c>
      <c r="S1009">
        <f t="shared" si="31"/>
        <v>284</v>
      </c>
      <c r="T1009">
        <f>ROUND(tbl_working_daily[[#This Row],[SedentaryMinutes]]/60,2)</f>
        <v>3.7</v>
      </c>
      <c r="U1009" t="str" cm="1">
        <f t="array" ref="U100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09" t="str" cm="1">
        <f t="array" ref="V1009">_xlfn.IFS(tbl_working_daily[[#This Row],[VeryActiveMinutes]]&gt;=30,"Very Active",tbl_working_daily[[#This Row],[VeryActiveMinutes]]&gt;=15,"Moderately Active",tbl_working_daily[[#This Row],[VeryActiveMinutes]]&gt;=1,"Lightly Active",tbl_working_daily[[#This Row],[VeryActiveMinutes]]=0,"Sedentary")</f>
        <v>Lightly Active</v>
      </c>
      <c r="W1009" t="str">
        <f>tbl_working_daily[[#This Row],[Id]]&amp;"|"&amp;TEXT(tbl_working_daily[[#This Row],[ActivityDate]],"yyyy-mm-dd")</f>
        <v>5553957443|2016-05-12</v>
      </c>
      <c r="X1009" t="b">
        <f>ISNUMBER(MATCH(tbl_working_daily[[#This Row],[LookupKey]],tbl_working_sleep[LookupKey],0))</f>
        <v>1</v>
      </c>
    </row>
    <row r="1010" spans="1:24" x14ac:dyDescent="0.3">
      <c r="A1010">
        <v>5577150313</v>
      </c>
      <c r="B1010" s="1">
        <v>42472</v>
      </c>
      <c r="C1010">
        <v>8135</v>
      </c>
      <c r="D1010">
        <v>6.0799999237060502</v>
      </c>
      <c r="E1010">
        <v>6.0799999237060502</v>
      </c>
      <c r="F1010">
        <v>0</v>
      </c>
      <c r="G1010">
        <v>3.5999999046325701</v>
      </c>
      <c r="H1010">
        <v>0.37999999523162797</v>
      </c>
      <c r="I1010">
        <v>2.0999999046325701</v>
      </c>
      <c r="J1010">
        <v>0</v>
      </c>
      <c r="K1010">
        <v>86</v>
      </c>
      <c r="L1010">
        <v>16</v>
      </c>
      <c r="M1010">
        <v>140</v>
      </c>
      <c r="N1010">
        <v>728</v>
      </c>
      <c r="O1010">
        <v>3405</v>
      </c>
      <c r="P1010" t="str">
        <f>TEXT(tbl_working_daily[[#This Row],[ActivityDate]],"dddd")</f>
        <v>Tuesday</v>
      </c>
      <c r="Q1010" t="str">
        <f>TEXT(tbl_working_daily[[#This Row],[ActivityDate]],"mmmm")</f>
        <v>April</v>
      </c>
      <c r="R1010">
        <f t="shared" si="30"/>
        <v>242</v>
      </c>
      <c r="S1010">
        <f t="shared" si="31"/>
        <v>970</v>
      </c>
      <c r="T1010">
        <f>ROUND(tbl_working_daily[[#This Row],[SedentaryMinutes]]/60,2)</f>
        <v>12.13</v>
      </c>
      <c r="U1010" t="str" cm="1">
        <f t="array" ref="U101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10" t="str" cm="1">
        <f t="array" ref="V1010">_xlfn.IFS(tbl_working_daily[[#This Row],[VeryActiveMinutes]]&gt;=30,"Very Active",tbl_working_daily[[#This Row],[VeryActiveMinutes]]&gt;=15,"Moderately Active",tbl_working_daily[[#This Row],[VeryActiveMinutes]]&gt;=1,"Lightly Active",tbl_working_daily[[#This Row],[VeryActiveMinutes]]=0,"Sedentary")</f>
        <v>Very Active</v>
      </c>
      <c r="W1010" t="str">
        <f>tbl_working_daily[[#This Row],[Id]]&amp;"|"&amp;TEXT(tbl_working_daily[[#This Row],[ActivityDate]],"yyyy-mm-dd")</f>
        <v>5577150313|2016-04-12</v>
      </c>
      <c r="X1010" t="b">
        <f>ISNUMBER(MATCH(tbl_working_daily[[#This Row],[LookupKey]],tbl_working_sleep[LookupKey],0))</f>
        <v>1</v>
      </c>
    </row>
    <row r="1011" spans="1:24" x14ac:dyDescent="0.3">
      <c r="A1011">
        <v>5577150313</v>
      </c>
      <c r="B1011" s="1">
        <v>42473</v>
      </c>
      <c r="C1011">
        <v>5077</v>
      </c>
      <c r="D1011">
        <v>3.78999996185303</v>
      </c>
      <c r="E1011">
        <v>3.78999996185303</v>
      </c>
      <c r="F1011">
        <v>0</v>
      </c>
      <c r="G1011">
        <v>0.31999999284744302</v>
      </c>
      <c r="H1011">
        <v>0.21999999880790699</v>
      </c>
      <c r="I1011">
        <v>3.25</v>
      </c>
      <c r="J1011">
        <v>0</v>
      </c>
      <c r="K1011">
        <v>15</v>
      </c>
      <c r="L1011">
        <v>11</v>
      </c>
      <c r="M1011">
        <v>144</v>
      </c>
      <c r="N1011">
        <v>776</v>
      </c>
      <c r="O1011">
        <v>2551</v>
      </c>
      <c r="P1011" t="str">
        <f>TEXT(tbl_working_daily[[#This Row],[ActivityDate]],"dddd")</f>
        <v>Wednesday</v>
      </c>
      <c r="Q1011" t="str">
        <f>TEXT(tbl_working_daily[[#This Row],[ActivityDate]],"mmmm")</f>
        <v>April</v>
      </c>
      <c r="R1011">
        <f t="shared" si="30"/>
        <v>170</v>
      </c>
      <c r="S1011">
        <f t="shared" si="31"/>
        <v>946</v>
      </c>
      <c r="T1011">
        <f>ROUND(tbl_working_daily[[#This Row],[SedentaryMinutes]]/60,2)</f>
        <v>12.93</v>
      </c>
      <c r="U1011" t="str" cm="1">
        <f t="array" ref="U101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11" t="str" cm="1">
        <f t="array" ref="V1011">_xlfn.IFS(tbl_working_daily[[#This Row],[VeryActiveMinutes]]&gt;=30,"Very Active",tbl_working_daily[[#This Row],[VeryActiveMinutes]]&gt;=15,"Moderately Active",tbl_working_daily[[#This Row],[VeryActiveMinutes]]&gt;=1,"Lightly Active",tbl_working_daily[[#This Row],[VeryActiveMinutes]]=0,"Sedentary")</f>
        <v>Moderately Active</v>
      </c>
      <c r="W1011" t="str">
        <f>tbl_working_daily[[#This Row],[Id]]&amp;"|"&amp;TEXT(tbl_working_daily[[#This Row],[ActivityDate]],"yyyy-mm-dd")</f>
        <v>5577150313|2016-04-13</v>
      </c>
      <c r="X1011" t="b">
        <f>ISNUMBER(MATCH(tbl_working_daily[[#This Row],[LookupKey]],tbl_working_sleep[LookupKey],0))</f>
        <v>1</v>
      </c>
    </row>
    <row r="1012" spans="1:24" x14ac:dyDescent="0.3">
      <c r="A1012">
        <v>5577150313</v>
      </c>
      <c r="B1012" s="1">
        <v>42474</v>
      </c>
      <c r="C1012">
        <v>8596</v>
      </c>
      <c r="D1012">
        <v>6.4200000762939498</v>
      </c>
      <c r="E1012">
        <v>6.4200000762939498</v>
      </c>
      <c r="F1012">
        <v>0</v>
      </c>
      <c r="G1012">
        <v>3.3299999237060498</v>
      </c>
      <c r="H1012">
        <v>0.31000000238418601</v>
      </c>
      <c r="I1012">
        <v>2.7799999713897701</v>
      </c>
      <c r="J1012">
        <v>0</v>
      </c>
      <c r="K1012">
        <v>118</v>
      </c>
      <c r="L1012">
        <v>30</v>
      </c>
      <c r="M1012">
        <v>176</v>
      </c>
      <c r="N1012">
        <v>662</v>
      </c>
      <c r="O1012">
        <v>4022</v>
      </c>
      <c r="P1012" t="str">
        <f>TEXT(tbl_working_daily[[#This Row],[ActivityDate]],"dddd")</f>
        <v>Thursday</v>
      </c>
      <c r="Q1012" t="str">
        <f>TEXT(tbl_working_daily[[#This Row],[ActivityDate]],"mmmm")</f>
        <v>April</v>
      </c>
      <c r="R1012">
        <f t="shared" si="30"/>
        <v>324</v>
      </c>
      <c r="S1012">
        <f t="shared" si="31"/>
        <v>986</v>
      </c>
      <c r="T1012">
        <f>ROUND(tbl_working_daily[[#This Row],[SedentaryMinutes]]/60,2)</f>
        <v>11.03</v>
      </c>
      <c r="U1012" t="str" cm="1">
        <f t="array" ref="U101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12" t="str" cm="1">
        <f t="array" ref="V1012">_xlfn.IFS(tbl_working_daily[[#This Row],[VeryActiveMinutes]]&gt;=30,"Very Active",tbl_working_daily[[#This Row],[VeryActiveMinutes]]&gt;=15,"Moderately Active",tbl_working_daily[[#This Row],[VeryActiveMinutes]]&gt;=1,"Lightly Active",tbl_working_daily[[#This Row],[VeryActiveMinutes]]=0,"Sedentary")</f>
        <v>Very Active</v>
      </c>
      <c r="W1012" t="str">
        <f>tbl_working_daily[[#This Row],[Id]]&amp;"|"&amp;TEXT(tbl_working_daily[[#This Row],[ActivityDate]],"yyyy-mm-dd")</f>
        <v>5577150313|2016-04-14</v>
      </c>
      <c r="X1012" t="b">
        <f>ISNUMBER(MATCH(tbl_working_daily[[#This Row],[LookupKey]],tbl_working_sleep[LookupKey],0))</f>
        <v>1</v>
      </c>
    </row>
    <row r="1013" spans="1:24" x14ac:dyDescent="0.3">
      <c r="A1013">
        <v>5577150313</v>
      </c>
      <c r="B1013" s="1">
        <v>42475</v>
      </c>
      <c r="C1013">
        <v>12087</v>
      </c>
      <c r="D1013">
        <v>9.0799999237060494</v>
      </c>
      <c r="E1013">
        <v>9.0799999237060494</v>
      </c>
      <c r="F1013">
        <v>0</v>
      </c>
      <c r="G1013">
        <v>3.9200000762939502</v>
      </c>
      <c r="H1013">
        <v>1.6000000238418599</v>
      </c>
      <c r="I1013">
        <v>3.5599999427795401</v>
      </c>
      <c r="J1013">
        <v>0</v>
      </c>
      <c r="K1013">
        <v>115</v>
      </c>
      <c r="L1013">
        <v>54</v>
      </c>
      <c r="M1013">
        <v>199</v>
      </c>
      <c r="N1013">
        <v>695</v>
      </c>
      <c r="O1013">
        <v>4005</v>
      </c>
      <c r="P1013" t="str">
        <f>TEXT(tbl_working_daily[[#This Row],[ActivityDate]],"dddd")</f>
        <v>Friday</v>
      </c>
      <c r="Q1013" t="str">
        <f>TEXT(tbl_working_daily[[#This Row],[ActivityDate]],"mmmm")</f>
        <v>April</v>
      </c>
      <c r="R1013">
        <f t="shared" si="30"/>
        <v>368</v>
      </c>
      <c r="S1013">
        <f t="shared" si="31"/>
        <v>1063</v>
      </c>
      <c r="T1013">
        <f>ROUND(tbl_working_daily[[#This Row],[SedentaryMinutes]]/60,2)</f>
        <v>11.58</v>
      </c>
      <c r="U1013" t="str" cm="1">
        <f t="array" ref="U101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13" t="str" cm="1">
        <f t="array" ref="V1013">_xlfn.IFS(tbl_working_daily[[#This Row],[VeryActiveMinutes]]&gt;=30,"Very Active",tbl_working_daily[[#This Row],[VeryActiveMinutes]]&gt;=15,"Moderately Active",tbl_working_daily[[#This Row],[VeryActiveMinutes]]&gt;=1,"Lightly Active",tbl_working_daily[[#This Row],[VeryActiveMinutes]]=0,"Sedentary")</f>
        <v>Very Active</v>
      </c>
      <c r="W1013" t="str">
        <f>tbl_working_daily[[#This Row],[Id]]&amp;"|"&amp;TEXT(tbl_working_daily[[#This Row],[ActivityDate]],"yyyy-mm-dd")</f>
        <v>5577150313|2016-04-15</v>
      </c>
      <c r="X1013" t="b">
        <f>ISNUMBER(MATCH(tbl_working_daily[[#This Row],[LookupKey]],tbl_working_sleep[LookupKey],0))</f>
        <v>1</v>
      </c>
    </row>
    <row r="1014" spans="1:24" x14ac:dyDescent="0.3">
      <c r="A1014">
        <v>5577150313</v>
      </c>
      <c r="B1014" s="1">
        <v>42476</v>
      </c>
      <c r="C1014">
        <v>14269</v>
      </c>
      <c r="D1014">
        <v>10.6599998474121</v>
      </c>
      <c r="E1014">
        <v>10.6599998474121</v>
      </c>
      <c r="F1014">
        <v>0</v>
      </c>
      <c r="G1014">
        <v>6.6399998664856001</v>
      </c>
      <c r="H1014">
        <v>1.2799999713897701</v>
      </c>
      <c r="I1014">
        <v>2.7300000190734899</v>
      </c>
      <c r="J1014">
        <v>0</v>
      </c>
      <c r="K1014">
        <v>184</v>
      </c>
      <c r="L1014">
        <v>56</v>
      </c>
      <c r="M1014">
        <v>158</v>
      </c>
      <c r="N1014">
        <v>472</v>
      </c>
      <c r="O1014">
        <v>4274</v>
      </c>
      <c r="P1014" t="str">
        <f>TEXT(tbl_working_daily[[#This Row],[ActivityDate]],"dddd")</f>
        <v>Saturday</v>
      </c>
      <c r="Q1014" t="str">
        <f>TEXT(tbl_working_daily[[#This Row],[ActivityDate]],"mmmm")</f>
        <v>April</v>
      </c>
      <c r="R1014">
        <f t="shared" si="30"/>
        <v>398</v>
      </c>
      <c r="S1014">
        <f t="shared" si="31"/>
        <v>870</v>
      </c>
      <c r="T1014">
        <f>ROUND(tbl_working_daily[[#This Row],[SedentaryMinutes]]/60,2)</f>
        <v>7.87</v>
      </c>
      <c r="U1014" t="str" cm="1">
        <f t="array" ref="U101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14" t="str" cm="1">
        <f t="array" ref="V1014">_xlfn.IFS(tbl_working_daily[[#This Row],[VeryActiveMinutes]]&gt;=30,"Very Active",tbl_working_daily[[#This Row],[VeryActiveMinutes]]&gt;=15,"Moderately Active",tbl_working_daily[[#This Row],[VeryActiveMinutes]]&gt;=1,"Lightly Active",tbl_working_daily[[#This Row],[VeryActiveMinutes]]=0,"Sedentary")</f>
        <v>Very Active</v>
      </c>
      <c r="W1014" t="str">
        <f>tbl_working_daily[[#This Row],[Id]]&amp;"|"&amp;TEXT(tbl_working_daily[[#This Row],[ActivityDate]],"yyyy-mm-dd")</f>
        <v>5577150313|2016-04-16</v>
      </c>
      <c r="X1014" t="b">
        <f>ISNUMBER(MATCH(tbl_working_daily[[#This Row],[LookupKey]],tbl_working_sleep[LookupKey],0))</f>
        <v>1</v>
      </c>
    </row>
    <row r="1015" spans="1:24" x14ac:dyDescent="0.3">
      <c r="A1015">
        <v>5577150313</v>
      </c>
      <c r="B1015" s="1">
        <v>42477</v>
      </c>
      <c r="C1015">
        <v>12231</v>
      </c>
      <c r="D1015">
        <v>9.1400003433227504</v>
      </c>
      <c r="E1015">
        <v>9.1400003433227504</v>
      </c>
      <c r="F1015">
        <v>0</v>
      </c>
      <c r="G1015">
        <v>5.9800000190734899</v>
      </c>
      <c r="H1015">
        <v>0.82999998331069902</v>
      </c>
      <c r="I1015">
        <v>2.3199999332428001</v>
      </c>
      <c r="J1015">
        <v>0</v>
      </c>
      <c r="K1015">
        <v>200</v>
      </c>
      <c r="L1015">
        <v>37</v>
      </c>
      <c r="M1015">
        <v>159</v>
      </c>
      <c r="N1015">
        <v>525</v>
      </c>
      <c r="O1015">
        <v>4552</v>
      </c>
      <c r="P1015" t="str">
        <f>TEXT(tbl_working_daily[[#This Row],[ActivityDate]],"dddd")</f>
        <v>Sunday</v>
      </c>
      <c r="Q1015" t="str">
        <f>TEXT(tbl_working_daily[[#This Row],[ActivityDate]],"mmmm")</f>
        <v>April</v>
      </c>
      <c r="R1015">
        <f t="shared" si="30"/>
        <v>396</v>
      </c>
      <c r="S1015">
        <f t="shared" si="31"/>
        <v>921</v>
      </c>
      <c r="T1015">
        <f>ROUND(tbl_working_daily[[#This Row],[SedentaryMinutes]]/60,2)</f>
        <v>8.75</v>
      </c>
      <c r="U1015" t="str" cm="1">
        <f t="array" ref="U101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15" t="str" cm="1">
        <f t="array" ref="V1015">_xlfn.IFS(tbl_working_daily[[#This Row],[VeryActiveMinutes]]&gt;=30,"Very Active",tbl_working_daily[[#This Row],[VeryActiveMinutes]]&gt;=15,"Moderately Active",tbl_working_daily[[#This Row],[VeryActiveMinutes]]&gt;=1,"Lightly Active",tbl_working_daily[[#This Row],[VeryActiveMinutes]]=0,"Sedentary")</f>
        <v>Very Active</v>
      </c>
      <c r="W1015" t="str">
        <f>tbl_working_daily[[#This Row],[Id]]&amp;"|"&amp;TEXT(tbl_working_daily[[#This Row],[ActivityDate]],"yyyy-mm-dd")</f>
        <v>5577150313|2016-04-17</v>
      </c>
      <c r="X1015" t="b">
        <f>ISNUMBER(MATCH(tbl_working_daily[[#This Row],[LookupKey]],tbl_working_sleep[LookupKey],0))</f>
        <v>1</v>
      </c>
    </row>
    <row r="1016" spans="1:24" x14ac:dyDescent="0.3">
      <c r="A1016">
        <v>5577150313</v>
      </c>
      <c r="B1016" s="1">
        <v>42478</v>
      </c>
      <c r="C1016">
        <v>9893</v>
      </c>
      <c r="D1016">
        <v>7.3899998664856001</v>
      </c>
      <c r="E1016">
        <v>7.3899998664856001</v>
      </c>
      <c r="F1016">
        <v>0</v>
      </c>
      <c r="G1016">
        <v>4.8600001335143999</v>
      </c>
      <c r="H1016">
        <v>0.72000002861022905</v>
      </c>
      <c r="I1016">
        <v>1.8200000524520901</v>
      </c>
      <c r="J1016">
        <v>0</v>
      </c>
      <c r="K1016">
        <v>114</v>
      </c>
      <c r="L1016">
        <v>32</v>
      </c>
      <c r="M1016">
        <v>130</v>
      </c>
      <c r="N1016">
        <v>623</v>
      </c>
      <c r="O1016">
        <v>3625</v>
      </c>
      <c r="P1016" t="str">
        <f>TEXT(tbl_working_daily[[#This Row],[ActivityDate]],"dddd")</f>
        <v>Monday</v>
      </c>
      <c r="Q1016" t="str">
        <f>TEXT(tbl_working_daily[[#This Row],[ActivityDate]],"mmmm")</f>
        <v>April</v>
      </c>
      <c r="R1016">
        <f t="shared" si="30"/>
        <v>276</v>
      </c>
      <c r="S1016">
        <f t="shared" si="31"/>
        <v>899</v>
      </c>
      <c r="T1016">
        <f>ROUND(tbl_working_daily[[#This Row],[SedentaryMinutes]]/60,2)</f>
        <v>10.38</v>
      </c>
      <c r="U1016" t="str" cm="1">
        <f t="array" ref="U101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16" t="str" cm="1">
        <f t="array" ref="V1016">_xlfn.IFS(tbl_working_daily[[#This Row],[VeryActiveMinutes]]&gt;=30,"Very Active",tbl_working_daily[[#This Row],[VeryActiveMinutes]]&gt;=15,"Moderately Active",tbl_working_daily[[#This Row],[VeryActiveMinutes]]&gt;=1,"Lightly Active",tbl_working_daily[[#This Row],[VeryActiveMinutes]]=0,"Sedentary")</f>
        <v>Very Active</v>
      </c>
      <c r="W1016" t="str">
        <f>tbl_working_daily[[#This Row],[Id]]&amp;"|"&amp;TEXT(tbl_working_daily[[#This Row],[ActivityDate]],"yyyy-mm-dd")</f>
        <v>5577150313|2016-04-18</v>
      </c>
      <c r="X1016" t="b">
        <f>ISNUMBER(MATCH(tbl_working_daily[[#This Row],[LookupKey]],tbl_working_sleep[LookupKey],0))</f>
        <v>1</v>
      </c>
    </row>
    <row r="1017" spans="1:24" x14ac:dyDescent="0.3">
      <c r="A1017">
        <v>5577150313</v>
      </c>
      <c r="B1017" s="1">
        <v>42479</v>
      </c>
      <c r="C1017">
        <v>12574</v>
      </c>
      <c r="D1017">
        <v>9.4200000762939506</v>
      </c>
      <c r="E1017">
        <v>9.4200000762939506</v>
      </c>
      <c r="F1017">
        <v>0</v>
      </c>
      <c r="G1017">
        <v>7.0199999809265101</v>
      </c>
      <c r="H1017">
        <v>0.63999998569488503</v>
      </c>
      <c r="I1017">
        <v>1.7599999904632599</v>
      </c>
      <c r="J1017">
        <v>0</v>
      </c>
      <c r="K1017">
        <v>108</v>
      </c>
      <c r="L1017">
        <v>23</v>
      </c>
      <c r="M1017">
        <v>111</v>
      </c>
      <c r="N1017">
        <v>733</v>
      </c>
      <c r="O1017">
        <v>3501</v>
      </c>
      <c r="P1017" t="str">
        <f>TEXT(tbl_working_daily[[#This Row],[ActivityDate]],"dddd")</f>
        <v>Tuesday</v>
      </c>
      <c r="Q1017" t="str">
        <f>TEXT(tbl_working_daily[[#This Row],[ActivityDate]],"mmmm")</f>
        <v>April</v>
      </c>
      <c r="R1017">
        <f t="shared" si="30"/>
        <v>242</v>
      </c>
      <c r="S1017">
        <f t="shared" si="31"/>
        <v>975</v>
      </c>
      <c r="T1017">
        <f>ROUND(tbl_working_daily[[#This Row],[SedentaryMinutes]]/60,2)</f>
        <v>12.22</v>
      </c>
      <c r="U1017" t="str" cm="1">
        <f t="array" ref="U101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17" t="str" cm="1">
        <f t="array" ref="V1017">_xlfn.IFS(tbl_working_daily[[#This Row],[VeryActiveMinutes]]&gt;=30,"Very Active",tbl_working_daily[[#This Row],[VeryActiveMinutes]]&gt;=15,"Moderately Active",tbl_working_daily[[#This Row],[VeryActiveMinutes]]&gt;=1,"Lightly Active",tbl_working_daily[[#This Row],[VeryActiveMinutes]]=0,"Sedentary")</f>
        <v>Very Active</v>
      </c>
      <c r="W1017" t="str">
        <f>tbl_working_daily[[#This Row],[Id]]&amp;"|"&amp;TEXT(tbl_working_daily[[#This Row],[ActivityDate]],"yyyy-mm-dd")</f>
        <v>5577150313|2016-04-19</v>
      </c>
      <c r="X1017" t="b">
        <f>ISNUMBER(MATCH(tbl_working_daily[[#This Row],[LookupKey]],tbl_working_sleep[LookupKey],0))</f>
        <v>1</v>
      </c>
    </row>
    <row r="1018" spans="1:24" x14ac:dyDescent="0.3">
      <c r="A1018">
        <v>5577150313</v>
      </c>
      <c r="B1018" s="1">
        <v>42480</v>
      </c>
      <c r="C1018">
        <v>8330</v>
      </c>
      <c r="D1018">
        <v>6.2199997901916504</v>
      </c>
      <c r="E1018">
        <v>6.2199997901916504</v>
      </c>
      <c r="F1018">
        <v>0</v>
      </c>
      <c r="G1018">
        <v>4.1199998855590803</v>
      </c>
      <c r="H1018">
        <v>0.34000000357627902</v>
      </c>
      <c r="I1018">
        <v>1.7599999904632599</v>
      </c>
      <c r="J1018">
        <v>0</v>
      </c>
      <c r="K1018">
        <v>87</v>
      </c>
      <c r="L1018">
        <v>16</v>
      </c>
      <c r="M1018">
        <v>113</v>
      </c>
      <c r="N1018">
        <v>773</v>
      </c>
      <c r="O1018">
        <v>3192</v>
      </c>
      <c r="P1018" t="str">
        <f>TEXT(tbl_working_daily[[#This Row],[ActivityDate]],"dddd")</f>
        <v>Wednesday</v>
      </c>
      <c r="Q1018" t="str">
        <f>TEXT(tbl_working_daily[[#This Row],[ActivityDate]],"mmmm")</f>
        <v>April</v>
      </c>
      <c r="R1018">
        <f t="shared" si="30"/>
        <v>216</v>
      </c>
      <c r="S1018">
        <f t="shared" si="31"/>
        <v>989</v>
      </c>
      <c r="T1018">
        <f>ROUND(tbl_working_daily[[#This Row],[SedentaryMinutes]]/60,2)</f>
        <v>12.88</v>
      </c>
      <c r="U1018" t="str" cm="1">
        <f t="array" ref="U101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18" t="str" cm="1">
        <f t="array" ref="V1018">_xlfn.IFS(tbl_working_daily[[#This Row],[VeryActiveMinutes]]&gt;=30,"Very Active",tbl_working_daily[[#This Row],[VeryActiveMinutes]]&gt;=15,"Moderately Active",tbl_working_daily[[#This Row],[VeryActiveMinutes]]&gt;=1,"Lightly Active",tbl_working_daily[[#This Row],[VeryActiveMinutes]]=0,"Sedentary")</f>
        <v>Very Active</v>
      </c>
      <c r="W1018" t="str">
        <f>tbl_working_daily[[#This Row],[Id]]&amp;"|"&amp;TEXT(tbl_working_daily[[#This Row],[ActivityDate]],"yyyy-mm-dd")</f>
        <v>5577150313|2016-04-20</v>
      </c>
      <c r="X1018" t="b">
        <f>ISNUMBER(MATCH(tbl_working_daily[[#This Row],[LookupKey]],tbl_working_sleep[LookupKey],0))</f>
        <v>1</v>
      </c>
    </row>
    <row r="1019" spans="1:24" x14ac:dyDescent="0.3">
      <c r="A1019">
        <v>5577150313</v>
      </c>
      <c r="B1019" s="1">
        <v>42481</v>
      </c>
      <c r="C1019">
        <v>10830</v>
      </c>
      <c r="D1019">
        <v>8.0900001525878906</v>
      </c>
      <c r="E1019">
        <v>8.0900001525878906</v>
      </c>
      <c r="F1019">
        <v>0</v>
      </c>
      <c r="G1019">
        <v>3.6500000953674299</v>
      </c>
      <c r="H1019">
        <v>1.6599999666214</v>
      </c>
      <c r="I1019">
        <v>2.7799999713897701</v>
      </c>
      <c r="J1019">
        <v>0</v>
      </c>
      <c r="K1019">
        <v>110</v>
      </c>
      <c r="L1019">
        <v>74</v>
      </c>
      <c r="M1019">
        <v>175</v>
      </c>
      <c r="N1019">
        <v>670</v>
      </c>
      <c r="O1019">
        <v>4018</v>
      </c>
      <c r="P1019" t="str">
        <f>TEXT(tbl_working_daily[[#This Row],[ActivityDate]],"dddd")</f>
        <v>Thursday</v>
      </c>
      <c r="Q1019" t="str">
        <f>TEXT(tbl_working_daily[[#This Row],[ActivityDate]],"mmmm")</f>
        <v>April</v>
      </c>
      <c r="R1019">
        <f t="shared" si="30"/>
        <v>359</v>
      </c>
      <c r="S1019">
        <f t="shared" si="31"/>
        <v>1029</v>
      </c>
      <c r="T1019">
        <f>ROUND(tbl_working_daily[[#This Row],[SedentaryMinutes]]/60,2)</f>
        <v>11.17</v>
      </c>
      <c r="U1019" t="str" cm="1">
        <f t="array" ref="U101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19" t="str" cm="1">
        <f t="array" ref="V1019">_xlfn.IFS(tbl_working_daily[[#This Row],[VeryActiveMinutes]]&gt;=30,"Very Active",tbl_working_daily[[#This Row],[VeryActiveMinutes]]&gt;=15,"Moderately Active",tbl_working_daily[[#This Row],[VeryActiveMinutes]]&gt;=1,"Lightly Active",tbl_working_daily[[#This Row],[VeryActiveMinutes]]=0,"Sedentary")</f>
        <v>Very Active</v>
      </c>
      <c r="W1019" t="str">
        <f>tbl_working_daily[[#This Row],[Id]]&amp;"|"&amp;TEXT(tbl_working_daily[[#This Row],[ActivityDate]],"yyyy-mm-dd")</f>
        <v>5577150313|2016-04-21</v>
      </c>
      <c r="X1019" t="b">
        <f>ISNUMBER(MATCH(tbl_working_daily[[#This Row],[LookupKey]],tbl_working_sleep[LookupKey],0))</f>
        <v>1</v>
      </c>
    </row>
    <row r="1020" spans="1:24" x14ac:dyDescent="0.3">
      <c r="A1020">
        <v>5577150313</v>
      </c>
      <c r="B1020" s="1">
        <v>42482</v>
      </c>
      <c r="C1020">
        <v>9172</v>
      </c>
      <c r="D1020">
        <v>6.8499999046325701</v>
      </c>
      <c r="E1020">
        <v>6.8499999046325701</v>
      </c>
      <c r="F1020">
        <v>0</v>
      </c>
      <c r="G1020">
        <v>2.4200000762939502</v>
      </c>
      <c r="H1020">
        <v>0.79000002145767201</v>
      </c>
      <c r="I1020">
        <v>3.2999999523162802</v>
      </c>
      <c r="J1020">
        <v>0</v>
      </c>
      <c r="K1020">
        <v>62</v>
      </c>
      <c r="L1020">
        <v>30</v>
      </c>
      <c r="M1020">
        <v>200</v>
      </c>
      <c r="N1020">
        <v>823</v>
      </c>
      <c r="O1020">
        <v>3329</v>
      </c>
      <c r="P1020" t="str">
        <f>TEXT(tbl_working_daily[[#This Row],[ActivityDate]],"dddd")</f>
        <v>Friday</v>
      </c>
      <c r="Q1020" t="str">
        <f>TEXT(tbl_working_daily[[#This Row],[ActivityDate]],"mmmm")</f>
        <v>April</v>
      </c>
      <c r="R1020">
        <f t="shared" si="30"/>
        <v>292</v>
      </c>
      <c r="S1020">
        <f t="shared" si="31"/>
        <v>1115</v>
      </c>
      <c r="T1020">
        <f>ROUND(tbl_working_daily[[#This Row],[SedentaryMinutes]]/60,2)</f>
        <v>13.72</v>
      </c>
      <c r="U1020" t="str" cm="1">
        <f t="array" ref="U102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20" t="str" cm="1">
        <f t="array" ref="V1020">_xlfn.IFS(tbl_working_daily[[#This Row],[VeryActiveMinutes]]&gt;=30,"Very Active",tbl_working_daily[[#This Row],[VeryActiveMinutes]]&gt;=15,"Moderately Active",tbl_working_daily[[#This Row],[VeryActiveMinutes]]&gt;=1,"Lightly Active",tbl_working_daily[[#This Row],[VeryActiveMinutes]]=0,"Sedentary")</f>
        <v>Very Active</v>
      </c>
      <c r="W1020" t="str">
        <f>tbl_working_daily[[#This Row],[Id]]&amp;"|"&amp;TEXT(tbl_working_daily[[#This Row],[ActivityDate]],"yyyy-mm-dd")</f>
        <v>5577150313|2016-04-22</v>
      </c>
      <c r="X1020" t="b">
        <f>ISNUMBER(MATCH(tbl_working_daily[[#This Row],[LookupKey]],tbl_working_sleep[LookupKey],0))</f>
        <v>1</v>
      </c>
    </row>
    <row r="1021" spans="1:24" x14ac:dyDescent="0.3">
      <c r="A1021">
        <v>5577150313</v>
      </c>
      <c r="B1021" s="1">
        <v>42483</v>
      </c>
      <c r="C1021">
        <v>7638</v>
      </c>
      <c r="D1021">
        <v>5.71000003814697</v>
      </c>
      <c r="E1021">
        <v>5.71000003814697</v>
      </c>
      <c r="F1021">
        <v>0</v>
      </c>
      <c r="G1021">
        <v>1.21000003814697</v>
      </c>
      <c r="H1021">
        <v>0.36000001430511502</v>
      </c>
      <c r="I1021">
        <v>4.1399998664856001</v>
      </c>
      <c r="J1021">
        <v>0</v>
      </c>
      <c r="K1021">
        <v>24</v>
      </c>
      <c r="L1021">
        <v>24</v>
      </c>
      <c r="M1021">
        <v>223</v>
      </c>
      <c r="N1021">
        <v>627</v>
      </c>
      <c r="O1021">
        <v>3152</v>
      </c>
      <c r="P1021" t="str">
        <f>TEXT(tbl_working_daily[[#This Row],[ActivityDate]],"dddd")</f>
        <v>Saturday</v>
      </c>
      <c r="Q1021" t="str">
        <f>TEXT(tbl_working_daily[[#This Row],[ActivityDate]],"mmmm")</f>
        <v>April</v>
      </c>
      <c r="R1021">
        <f t="shared" si="30"/>
        <v>271</v>
      </c>
      <c r="S1021">
        <f t="shared" si="31"/>
        <v>898</v>
      </c>
      <c r="T1021">
        <f>ROUND(tbl_working_daily[[#This Row],[SedentaryMinutes]]/60,2)</f>
        <v>10.45</v>
      </c>
      <c r="U1021" t="str" cm="1">
        <f t="array" ref="U102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21" t="str" cm="1">
        <f t="array" ref="V1021">_xlfn.IFS(tbl_working_daily[[#This Row],[VeryActiveMinutes]]&gt;=30,"Very Active",tbl_working_daily[[#This Row],[VeryActiveMinutes]]&gt;=15,"Moderately Active",tbl_working_daily[[#This Row],[VeryActiveMinutes]]&gt;=1,"Lightly Active",tbl_working_daily[[#This Row],[VeryActiveMinutes]]=0,"Sedentary")</f>
        <v>Moderately Active</v>
      </c>
      <c r="W1021" t="str">
        <f>tbl_working_daily[[#This Row],[Id]]&amp;"|"&amp;TEXT(tbl_working_daily[[#This Row],[ActivityDate]],"yyyy-mm-dd")</f>
        <v>5577150313|2016-04-23</v>
      </c>
      <c r="X1021" t="b">
        <f>ISNUMBER(MATCH(tbl_working_daily[[#This Row],[LookupKey]],tbl_working_sleep[LookupKey],0))</f>
        <v>1</v>
      </c>
    </row>
    <row r="1022" spans="1:24" x14ac:dyDescent="0.3">
      <c r="A1022">
        <v>5577150313</v>
      </c>
      <c r="B1022" s="1">
        <v>42484</v>
      </c>
      <c r="C1022">
        <v>15764</v>
      </c>
      <c r="D1022">
        <v>11.7799997329712</v>
      </c>
      <c r="E1022">
        <v>11.7799997329712</v>
      </c>
      <c r="F1022">
        <v>0</v>
      </c>
      <c r="G1022">
        <v>7.6500000953674299</v>
      </c>
      <c r="H1022">
        <v>2.1500000953674299</v>
      </c>
      <c r="I1022">
        <v>1.9800000190734901</v>
      </c>
      <c r="J1022">
        <v>0</v>
      </c>
      <c r="K1022">
        <v>210</v>
      </c>
      <c r="L1022">
        <v>65</v>
      </c>
      <c r="M1022">
        <v>141</v>
      </c>
      <c r="N1022">
        <v>425</v>
      </c>
      <c r="O1022">
        <v>4392</v>
      </c>
      <c r="P1022" t="str">
        <f>TEXT(tbl_working_daily[[#This Row],[ActivityDate]],"dddd")</f>
        <v>Sunday</v>
      </c>
      <c r="Q1022" t="str">
        <f>TEXT(tbl_working_daily[[#This Row],[ActivityDate]],"mmmm")</f>
        <v>April</v>
      </c>
      <c r="R1022">
        <f t="shared" si="30"/>
        <v>416</v>
      </c>
      <c r="S1022">
        <f t="shared" si="31"/>
        <v>841</v>
      </c>
      <c r="T1022">
        <f>ROUND(tbl_working_daily[[#This Row],[SedentaryMinutes]]/60,2)</f>
        <v>7.08</v>
      </c>
      <c r="U1022" t="str" cm="1">
        <f t="array" ref="U102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22" t="str" cm="1">
        <f t="array" ref="V1022">_xlfn.IFS(tbl_working_daily[[#This Row],[VeryActiveMinutes]]&gt;=30,"Very Active",tbl_working_daily[[#This Row],[VeryActiveMinutes]]&gt;=15,"Moderately Active",tbl_working_daily[[#This Row],[VeryActiveMinutes]]&gt;=1,"Lightly Active",tbl_working_daily[[#This Row],[VeryActiveMinutes]]=0,"Sedentary")</f>
        <v>Very Active</v>
      </c>
      <c r="W1022" t="str">
        <f>tbl_working_daily[[#This Row],[Id]]&amp;"|"&amp;TEXT(tbl_working_daily[[#This Row],[ActivityDate]],"yyyy-mm-dd")</f>
        <v>5577150313|2016-04-24</v>
      </c>
      <c r="X1022" t="b">
        <f>ISNUMBER(MATCH(tbl_working_daily[[#This Row],[LookupKey]],tbl_working_sleep[LookupKey],0))</f>
        <v>1</v>
      </c>
    </row>
    <row r="1023" spans="1:24" x14ac:dyDescent="0.3">
      <c r="A1023">
        <v>5577150313</v>
      </c>
      <c r="B1023" s="1">
        <v>42485</v>
      </c>
      <c r="C1023">
        <v>6393</v>
      </c>
      <c r="D1023">
        <v>4.7800002098083496</v>
      </c>
      <c r="E1023">
        <v>4.7800002098083496</v>
      </c>
      <c r="F1023">
        <v>0</v>
      </c>
      <c r="G1023">
        <v>1.3500000238418599</v>
      </c>
      <c r="H1023">
        <v>0.67000001668930098</v>
      </c>
      <c r="I1023">
        <v>2.7599999904632599</v>
      </c>
      <c r="J1023">
        <v>0</v>
      </c>
      <c r="K1023">
        <v>61</v>
      </c>
      <c r="L1023">
        <v>38</v>
      </c>
      <c r="M1023">
        <v>214</v>
      </c>
      <c r="N1023">
        <v>743</v>
      </c>
      <c r="O1023">
        <v>3374</v>
      </c>
      <c r="P1023" t="str">
        <f>TEXT(tbl_working_daily[[#This Row],[ActivityDate]],"dddd")</f>
        <v>Monday</v>
      </c>
      <c r="Q1023" t="str">
        <f>TEXT(tbl_working_daily[[#This Row],[ActivityDate]],"mmmm")</f>
        <v>April</v>
      </c>
      <c r="R1023">
        <f t="shared" si="30"/>
        <v>313</v>
      </c>
      <c r="S1023">
        <f t="shared" si="31"/>
        <v>1056</v>
      </c>
      <c r="T1023">
        <f>ROUND(tbl_working_daily[[#This Row],[SedentaryMinutes]]/60,2)</f>
        <v>12.38</v>
      </c>
      <c r="U1023" t="str" cm="1">
        <f t="array" ref="U102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23" t="str" cm="1">
        <f t="array" ref="V1023">_xlfn.IFS(tbl_working_daily[[#This Row],[VeryActiveMinutes]]&gt;=30,"Very Active",tbl_working_daily[[#This Row],[VeryActiveMinutes]]&gt;=15,"Moderately Active",tbl_working_daily[[#This Row],[VeryActiveMinutes]]&gt;=1,"Lightly Active",tbl_working_daily[[#This Row],[VeryActiveMinutes]]=0,"Sedentary")</f>
        <v>Very Active</v>
      </c>
      <c r="W1023" t="str">
        <f>tbl_working_daily[[#This Row],[Id]]&amp;"|"&amp;TEXT(tbl_working_daily[[#This Row],[ActivityDate]],"yyyy-mm-dd")</f>
        <v>5577150313|2016-04-25</v>
      </c>
      <c r="X1023" t="b">
        <f>ISNUMBER(MATCH(tbl_working_daily[[#This Row],[LookupKey]],tbl_working_sleep[LookupKey],0))</f>
        <v>1</v>
      </c>
    </row>
    <row r="1024" spans="1:24" x14ac:dyDescent="0.3">
      <c r="A1024">
        <v>5577150313</v>
      </c>
      <c r="B1024" s="1">
        <v>42486</v>
      </c>
      <c r="C1024">
        <v>5325</v>
      </c>
      <c r="D1024">
        <v>3.9800000190734899</v>
      </c>
      <c r="E1024">
        <v>3.9800000190734899</v>
      </c>
      <c r="F1024">
        <v>0</v>
      </c>
      <c r="G1024">
        <v>0.85000002384185802</v>
      </c>
      <c r="H1024">
        <v>0.64999997615814198</v>
      </c>
      <c r="I1024">
        <v>2.4700000286102299</v>
      </c>
      <c r="J1024">
        <v>0</v>
      </c>
      <c r="K1024">
        <v>38</v>
      </c>
      <c r="L1024">
        <v>32</v>
      </c>
      <c r="M1024">
        <v>181</v>
      </c>
      <c r="N1024">
        <v>759</v>
      </c>
      <c r="O1024">
        <v>3088</v>
      </c>
      <c r="P1024" t="str">
        <f>TEXT(tbl_working_daily[[#This Row],[ActivityDate]],"dddd")</f>
        <v>Tuesday</v>
      </c>
      <c r="Q1024" t="str">
        <f>TEXT(tbl_working_daily[[#This Row],[ActivityDate]],"mmmm")</f>
        <v>April</v>
      </c>
      <c r="R1024">
        <f t="shared" si="30"/>
        <v>251</v>
      </c>
      <c r="S1024">
        <f t="shared" si="31"/>
        <v>1010</v>
      </c>
      <c r="T1024">
        <f>ROUND(tbl_working_daily[[#This Row],[SedentaryMinutes]]/60,2)</f>
        <v>12.65</v>
      </c>
      <c r="U1024" t="str" cm="1">
        <f t="array" ref="U102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24" t="str" cm="1">
        <f t="array" ref="V1024">_xlfn.IFS(tbl_working_daily[[#This Row],[VeryActiveMinutes]]&gt;=30,"Very Active",tbl_working_daily[[#This Row],[VeryActiveMinutes]]&gt;=15,"Moderately Active",tbl_working_daily[[#This Row],[VeryActiveMinutes]]&gt;=1,"Lightly Active",tbl_working_daily[[#This Row],[VeryActiveMinutes]]=0,"Sedentary")</f>
        <v>Very Active</v>
      </c>
      <c r="W1024" t="str">
        <f>tbl_working_daily[[#This Row],[Id]]&amp;"|"&amp;TEXT(tbl_working_daily[[#This Row],[ActivityDate]],"yyyy-mm-dd")</f>
        <v>5577150313|2016-04-26</v>
      </c>
      <c r="X1024" t="b">
        <f>ISNUMBER(MATCH(tbl_working_daily[[#This Row],[LookupKey]],tbl_working_sleep[LookupKey],0))</f>
        <v>1</v>
      </c>
    </row>
    <row r="1025" spans="1:24" x14ac:dyDescent="0.3">
      <c r="A1025">
        <v>5577150313</v>
      </c>
      <c r="B1025" s="1">
        <v>42487</v>
      </c>
      <c r="C1025">
        <v>6805</v>
      </c>
      <c r="D1025">
        <v>5.1399998664856001</v>
      </c>
      <c r="E1025">
        <v>5.1399998664856001</v>
      </c>
      <c r="F1025">
        <v>0</v>
      </c>
      <c r="G1025">
        <v>1.8099999427795399</v>
      </c>
      <c r="H1025">
        <v>0.40000000596046398</v>
      </c>
      <c r="I1025">
        <v>2.9300000667571999</v>
      </c>
      <c r="J1025">
        <v>0</v>
      </c>
      <c r="K1025">
        <v>63</v>
      </c>
      <c r="L1025">
        <v>16</v>
      </c>
      <c r="M1025">
        <v>190</v>
      </c>
      <c r="N1025">
        <v>773</v>
      </c>
      <c r="O1025">
        <v>3294</v>
      </c>
      <c r="P1025" t="str">
        <f>TEXT(tbl_working_daily[[#This Row],[ActivityDate]],"dddd")</f>
        <v>Wednesday</v>
      </c>
      <c r="Q1025" t="str">
        <f>TEXT(tbl_working_daily[[#This Row],[ActivityDate]],"mmmm")</f>
        <v>April</v>
      </c>
      <c r="R1025">
        <f t="shared" si="30"/>
        <v>269</v>
      </c>
      <c r="S1025">
        <f t="shared" si="31"/>
        <v>1042</v>
      </c>
      <c r="T1025">
        <f>ROUND(tbl_working_daily[[#This Row],[SedentaryMinutes]]/60,2)</f>
        <v>12.88</v>
      </c>
      <c r="U1025" t="str" cm="1">
        <f t="array" ref="U102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25" t="str" cm="1">
        <f t="array" ref="V1025">_xlfn.IFS(tbl_working_daily[[#This Row],[VeryActiveMinutes]]&gt;=30,"Very Active",tbl_working_daily[[#This Row],[VeryActiveMinutes]]&gt;=15,"Moderately Active",tbl_working_daily[[#This Row],[VeryActiveMinutes]]&gt;=1,"Lightly Active",tbl_working_daily[[#This Row],[VeryActiveMinutes]]=0,"Sedentary")</f>
        <v>Very Active</v>
      </c>
      <c r="W1025" t="str">
        <f>tbl_working_daily[[#This Row],[Id]]&amp;"|"&amp;TEXT(tbl_working_daily[[#This Row],[ActivityDate]],"yyyy-mm-dd")</f>
        <v>5577150313|2016-04-27</v>
      </c>
      <c r="X1025" t="b">
        <f>ISNUMBER(MATCH(tbl_working_daily[[#This Row],[LookupKey]],tbl_working_sleep[LookupKey],0))</f>
        <v>1</v>
      </c>
    </row>
    <row r="1026" spans="1:24" x14ac:dyDescent="0.3">
      <c r="A1026">
        <v>5577150313</v>
      </c>
      <c r="B1026" s="1">
        <v>42488</v>
      </c>
      <c r="C1026">
        <v>9841</v>
      </c>
      <c r="D1026">
        <v>7.4299998283386204</v>
      </c>
      <c r="E1026">
        <v>7.4299998283386204</v>
      </c>
      <c r="F1026">
        <v>0</v>
      </c>
      <c r="G1026">
        <v>3.25</v>
      </c>
      <c r="H1026">
        <v>1.16999995708466</v>
      </c>
      <c r="I1026">
        <v>3.0099999904632599</v>
      </c>
      <c r="J1026">
        <v>0</v>
      </c>
      <c r="K1026">
        <v>99</v>
      </c>
      <c r="L1026">
        <v>51</v>
      </c>
      <c r="M1026">
        <v>141</v>
      </c>
      <c r="N1026">
        <v>692</v>
      </c>
      <c r="O1026">
        <v>3580</v>
      </c>
      <c r="P1026" t="str">
        <f>TEXT(tbl_working_daily[[#This Row],[ActivityDate]],"dddd")</f>
        <v>Thursday</v>
      </c>
      <c r="Q1026" t="str">
        <f>TEXT(tbl_working_daily[[#This Row],[ActivityDate]],"mmmm")</f>
        <v>April</v>
      </c>
      <c r="R1026">
        <f t="shared" ref="R1026:R1089" si="32">K1026+L1026+M1026</f>
        <v>291</v>
      </c>
      <c r="S1026">
        <f t="shared" ref="S1026:S1089" si="33">R1026+N1026</f>
        <v>983</v>
      </c>
      <c r="T1026">
        <f>ROUND(tbl_working_daily[[#This Row],[SedentaryMinutes]]/60,2)</f>
        <v>11.53</v>
      </c>
      <c r="U1026" t="str" cm="1">
        <f t="array" ref="U102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26" t="str" cm="1">
        <f t="array" ref="V1026">_xlfn.IFS(tbl_working_daily[[#This Row],[VeryActiveMinutes]]&gt;=30,"Very Active",tbl_working_daily[[#This Row],[VeryActiveMinutes]]&gt;=15,"Moderately Active",tbl_working_daily[[#This Row],[VeryActiveMinutes]]&gt;=1,"Lightly Active",tbl_working_daily[[#This Row],[VeryActiveMinutes]]=0,"Sedentary")</f>
        <v>Very Active</v>
      </c>
      <c r="W1026" t="str">
        <f>tbl_working_daily[[#This Row],[Id]]&amp;"|"&amp;TEXT(tbl_working_daily[[#This Row],[ActivityDate]],"yyyy-mm-dd")</f>
        <v>5577150313|2016-04-28</v>
      </c>
      <c r="X1026" t="b">
        <f>ISNUMBER(MATCH(tbl_working_daily[[#This Row],[LookupKey]],tbl_working_sleep[LookupKey],0))</f>
        <v>1</v>
      </c>
    </row>
    <row r="1027" spans="1:24" x14ac:dyDescent="0.3">
      <c r="A1027">
        <v>5577150313</v>
      </c>
      <c r="B1027" s="1">
        <v>42489</v>
      </c>
      <c r="C1027">
        <v>7924</v>
      </c>
      <c r="D1027">
        <v>5.9200000762939498</v>
      </c>
      <c r="E1027">
        <v>5.9200000762939498</v>
      </c>
      <c r="F1027">
        <v>0</v>
      </c>
      <c r="G1027">
        <v>2.8399999141693102</v>
      </c>
      <c r="H1027">
        <v>0.61000001430511497</v>
      </c>
      <c r="I1027">
        <v>2.4700000286102299</v>
      </c>
      <c r="J1027">
        <v>0</v>
      </c>
      <c r="K1027">
        <v>97</v>
      </c>
      <c r="L1027">
        <v>36</v>
      </c>
      <c r="M1027">
        <v>165</v>
      </c>
      <c r="N1027">
        <v>739</v>
      </c>
      <c r="O1027">
        <v>3544</v>
      </c>
      <c r="P1027" t="str">
        <f>TEXT(tbl_working_daily[[#This Row],[ActivityDate]],"dddd")</f>
        <v>Friday</v>
      </c>
      <c r="Q1027" t="str">
        <f>TEXT(tbl_working_daily[[#This Row],[ActivityDate]],"mmmm")</f>
        <v>April</v>
      </c>
      <c r="R1027">
        <f t="shared" si="32"/>
        <v>298</v>
      </c>
      <c r="S1027">
        <f t="shared" si="33"/>
        <v>1037</v>
      </c>
      <c r="T1027">
        <f>ROUND(tbl_working_daily[[#This Row],[SedentaryMinutes]]/60,2)</f>
        <v>12.32</v>
      </c>
      <c r="U1027" t="str" cm="1">
        <f t="array" ref="U102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27" t="str" cm="1">
        <f t="array" ref="V1027">_xlfn.IFS(tbl_working_daily[[#This Row],[VeryActiveMinutes]]&gt;=30,"Very Active",tbl_working_daily[[#This Row],[VeryActiveMinutes]]&gt;=15,"Moderately Active",tbl_working_daily[[#This Row],[VeryActiveMinutes]]&gt;=1,"Lightly Active",tbl_working_daily[[#This Row],[VeryActiveMinutes]]=0,"Sedentary")</f>
        <v>Very Active</v>
      </c>
      <c r="W1027" t="str">
        <f>tbl_working_daily[[#This Row],[Id]]&amp;"|"&amp;TEXT(tbl_working_daily[[#This Row],[ActivityDate]],"yyyy-mm-dd")</f>
        <v>5577150313|2016-04-29</v>
      </c>
      <c r="X1027" t="b">
        <f>ISNUMBER(MATCH(tbl_working_daily[[#This Row],[LookupKey]],tbl_working_sleep[LookupKey],0))</f>
        <v>1</v>
      </c>
    </row>
    <row r="1028" spans="1:24" x14ac:dyDescent="0.3">
      <c r="A1028">
        <v>5577150313</v>
      </c>
      <c r="B1028" s="1">
        <v>42490</v>
      </c>
      <c r="C1028">
        <v>12363</v>
      </c>
      <c r="D1028">
        <v>9.2399997711181605</v>
      </c>
      <c r="E1028">
        <v>9.2399997711181605</v>
      </c>
      <c r="F1028">
        <v>0</v>
      </c>
      <c r="G1028">
        <v>5.8299999237060502</v>
      </c>
      <c r="H1028">
        <v>0.79000002145767201</v>
      </c>
      <c r="I1028">
        <v>2.6099998950958301</v>
      </c>
      <c r="J1028">
        <v>0</v>
      </c>
      <c r="K1028">
        <v>207</v>
      </c>
      <c r="L1028">
        <v>45</v>
      </c>
      <c r="M1028">
        <v>163</v>
      </c>
      <c r="N1028">
        <v>621</v>
      </c>
      <c r="O1028">
        <v>4501</v>
      </c>
      <c r="P1028" t="str">
        <f>TEXT(tbl_working_daily[[#This Row],[ActivityDate]],"dddd")</f>
        <v>Saturday</v>
      </c>
      <c r="Q1028" t="str">
        <f>TEXT(tbl_working_daily[[#This Row],[ActivityDate]],"mmmm")</f>
        <v>April</v>
      </c>
      <c r="R1028">
        <f t="shared" si="32"/>
        <v>415</v>
      </c>
      <c r="S1028">
        <f t="shared" si="33"/>
        <v>1036</v>
      </c>
      <c r="T1028">
        <f>ROUND(tbl_working_daily[[#This Row],[SedentaryMinutes]]/60,2)</f>
        <v>10.35</v>
      </c>
      <c r="U1028" t="str" cm="1">
        <f t="array" ref="U102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28" t="str" cm="1">
        <f t="array" ref="V1028">_xlfn.IFS(tbl_working_daily[[#This Row],[VeryActiveMinutes]]&gt;=30,"Very Active",tbl_working_daily[[#This Row],[VeryActiveMinutes]]&gt;=15,"Moderately Active",tbl_working_daily[[#This Row],[VeryActiveMinutes]]&gt;=1,"Lightly Active",tbl_working_daily[[#This Row],[VeryActiveMinutes]]=0,"Sedentary")</f>
        <v>Very Active</v>
      </c>
      <c r="W1028" t="str">
        <f>tbl_working_daily[[#This Row],[Id]]&amp;"|"&amp;TEXT(tbl_working_daily[[#This Row],[ActivityDate]],"yyyy-mm-dd")</f>
        <v>5577150313|2016-04-30</v>
      </c>
      <c r="X1028" t="b">
        <f>ISNUMBER(MATCH(tbl_working_daily[[#This Row],[LookupKey]],tbl_working_sleep[LookupKey],0))</f>
        <v>1</v>
      </c>
    </row>
    <row r="1029" spans="1:24" x14ac:dyDescent="0.3">
      <c r="A1029">
        <v>5577150313</v>
      </c>
      <c r="B1029" s="1">
        <v>42491</v>
      </c>
      <c r="C1029">
        <v>13368</v>
      </c>
      <c r="D1029">
        <v>9.9899997711181605</v>
      </c>
      <c r="E1029">
        <v>9.9899997711181605</v>
      </c>
      <c r="F1029">
        <v>0</v>
      </c>
      <c r="G1029">
        <v>5.3099999427795401</v>
      </c>
      <c r="H1029">
        <v>1.4400000572204601</v>
      </c>
      <c r="I1029">
        <v>3.2400000095367401</v>
      </c>
      <c r="J1029">
        <v>0</v>
      </c>
      <c r="K1029">
        <v>194</v>
      </c>
      <c r="L1029">
        <v>72</v>
      </c>
      <c r="M1029">
        <v>178</v>
      </c>
      <c r="N1029">
        <v>499</v>
      </c>
      <c r="O1029">
        <v>4546</v>
      </c>
      <c r="P1029" t="str">
        <f>TEXT(tbl_working_daily[[#This Row],[ActivityDate]],"dddd")</f>
        <v>Sunday</v>
      </c>
      <c r="Q1029" t="str">
        <f>TEXT(tbl_working_daily[[#This Row],[ActivityDate]],"mmmm")</f>
        <v>May</v>
      </c>
      <c r="R1029">
        <f t="shared" si="32"/>
        <v>444</v>
      </c>
      <c r="S1029">
        <f t="shared" si="33"/>
        <v>943</v>
      </c>
      <c r="T1029">
        <f>ROUND(tbl_working_daily[[#This Row],[SedentaryMinutes]]/60,2)</f>
        <v>8.32</v>
      </c>
      <c r="U1029" t="str" cm="1">
        <f t="array" ref="U102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29" t="str" cm="1">
        <f t="array" ref="V1029">_xlfn.IFS(tbl_working_daily[[#This Row],[VeryActiveMinutes]]&gt;=30,"Very Active",tbl_working_daily[[#This Row],[VeryActiveMinutes]]&gt;=15,"Moderately Active",tbl_working_daily[[#This Row],[VeryActiveMinutes]]&gt;=1,"Lightly Active",tbl_working_daily[[#This Row],[VeryActiveMinutes]]=0,"Sedentary")</f>
        <v>Very Active</v>
      </c>
      <c r="W1029" t="str">
        <f>tbl_working_daily[[#This Row],[Id]]&amp;"|"&amp;TEXT(tbl_working_daily[[#This Row],[ActivityDate]],"yyyy-mm-dd")</f>
        <v>5577150313|2016-05-01</v>
      </c>
      <c r="X1029" t="b">
        <f>ISNUMBER(MATCH(tbl_working_daily[[#This Row],[LookupKey]],tbl_working_sleep[LookupKey],0))</f>
        <v>1</v>
      </c>
    </row>
    <row r="1030" spans="1:24" x14ac:dyDescent="0.3">
      <c r="A1030">
        <v>5577150313</v>
      </c>
      <c r="B1030" s="1">
        <v>42492</v>
      </c>
      <c r="C1030">
        <v>7439</v>
      </c>
      <c r="D1030">
        <v>5.5599999427795401</v>
      </c>
      <c r="E1030">
        <v>5.5599999427795401</v>
      </c>
      <c r="F1030">
        <v>0</v>
      </c>
      <c r="G1030">
        <v>1.12000000476837</v>
      </c>
      <c r="H1030">
        <v>0.34999999403953602</v>
      </c>
      <c r="I1030">
        <v>4.0700001716613796</v>
      </c>
      <c r="J1030">
        <v>0</v>
      </c>
      <c r="K1030">
        <v>37</v>
      </c>
      <c r="L1030">
        <v>20</v>
      </c>
      <c r="M1030">
        <v>235</v>
      </c>
      <c r="N1030">
        <v>732</v>
      </c>
      <c r="O1030">
        <v>3014</v>
      </c>
      <c r="P1030" t="str">
        <f>TEXT(tbl_working_daily[[#This Row],[ActivityDate]],"dddd")</f>
        <v>Monday</v>
      </c>
      <c r="Q1030" t="str">
        <f>TEXT(tbl_working_daily[[#This Row],[ActivityDate]],"mmmm")</f>
        <v>May</v>
      </c>
      <c r="R1030">
        <f t="shared" si="32"/>
        <v>292</v>
      </c>
      <c r="S1030">
        <f t="shared" si="33"/>
        <v>1024</v>
      </c>
      <c r="T1030">
        <f>ROUND(tbl_working_daily[[#This Row],[SedentaryMinutes]]/60,2)</f>
        <v>12.2</v>
      </c>
      <c r="U1030" t="str" cm="1">
        <f t="array" ref="U103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30" t="str" cm="1">
        <f t="array" ref="V1030">_xlfn.IFS(tbl_working_daily[[#This Row],[VeryActiveMinutes]]&gt;=30,"Very Active",tbl_working_daily[[#This Row],[VeryActiveMinutes]]&gt;=15,"Moderately Active",tbl_working_daily[[#This Row],[VeryActiveMinutes]]&gt;=1,"Lightly Active",tbl_working_daily[[#This Row],[VeryActiveMinutes]]=0,"Sedentary")</f>
        <v>Very Active</v>
      </c>
      <c r="W1030" t="str">
        <f>tbl_working_daily[[#This Row],[Id]]&amp;"|"&amp;TEXT(tbl_working_daily[[#This Row],[ActivityDate]],"yyyy-mm-dd")</f>
        <v>5577150313|2016-05-02</v>
      </c>
      <c r="X1030" t="b">
        <f>ISNUMBER(MATCH(tbl_working_daily[[#This Row],[LookupKey]],tbl_working_sleep[LookupKey],0))</f>
        <v>1</v>
      </c>
    </row>
    <row r="1031" spans="1:24" x14ac:dyDescent="0.3">
      <c r="A1031">
        <v>5577150313</v>
      </c>
      <c r="B1031" s="1">
        <v>42493</v>
      </c>
      <c r="C1031">
        <v>11045</v>
      </c>
      <c r="D1031">
        <v>8.25</v>
      </c>
      <c r="E1031">
        <v>8.25</v>
      </c>
      <c r="F1031">
        <v>0</v>
      </c>
      <c r="G1031">
        <v>4.5199999809265101</v>
      </c>
      <c r="H1031">
        <v>0.15000000596046401</v>
      </c>
      <c r="I1031">
        <v>3.5699999332428001</v>
      </c>
      <c r="J1031">
        <v>0</v>
      </c>
      <c r="K1031">
        <v>97</v>
      </c>
      <c r="L1031">
        <v>8</v>
      </c>
      <c r="M1031">
        <v>212</v>
      </c>
      <c r="N1031">
        <v>580</v>
      </c>
      <c r="O1031">
        <v>3795</v>
      </c>
      <c r="P1031" t="str">
        <f>TEXT(tbl_working_daily[[#This Row],[ActivityDate]],"dddd")</f>
        <v>Tuesday</v>
      </c>
      <c r="Q1031" t="str">
        <f>TEXT(tbl_working_daily[[#This Row],[ActivityDate]],"mmmm")</f>
        <v>May</v>
      </c>
      <c r="R1031">
        <f t="shared" si="32"/>
        <v>317</v>
      </c>
      <c r="S1031">
        <f t="shared" si="33"/>
        <v>897</v>
      </c>
      <c r="T1031">
        <f>ROUND(tbl_working_daily[[#This Row],[SedentaryMinutes]]/60,2)</f>
        <v>9.67</v>
      </c>
      <c r="U1031" t="str" cm="1">
        <f t="array" ref="U103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31" t="str" cm="1">
        <f t="array" ref="V1031">_xlfn.IFS(tbl_working_daily[[#This Row],[VeryActiveMinutes]]&gt;=30,"Very Active",tbl_working_daily[[#This Row],[VeryActiveMinutes]]&gt;=15,"Moderately Active",tbl_working_daily[[#This Row],[VeryActiveMinutes]]&gt;=1,"Lightly Active",tbl_working_daily[[#This Row],[VeryActiveMinutes]]=0,"Sedentary")</f>
        <v>Very Active</v>
      </c>
      <c r="W1031" t="str">
        <f>tbl_working_daily[[#This Row],[Id]]&amp;"|"&amp;TEXT(tbl_working_daily[[#This Row],[ActivityDate]],"yyyy-mm-dd")</f>
        <v>5577150313|2016-05-03</v>
      </c>
      <c r="X1031" t="b">
        <f>ISNUMBER(MATCH(tbl_working_daily[[#This Row],[LookupKey]],tbl_working_sleep[LookupKey],0))</f>
        <v>1</v>
      </c>
    </row>
    <row r="1032" spans="1:24" x14ac:dyDescent="0.3">
      <c r="A1032">
        <v>5577150313</v>
      </c>
      <c r="B1032" s="1">
        <v>42494</v>
      </c>
      <c r="C1032">
        <v>5206</v>
      </c>
      <c r="D1032">
        <v>3.8900001049041699</v>
      </c>
      <c r="E1032">
        <v>3.8900001049041699</v>
      </c>
      <c r="F1032">
        <v>0</v>
      </c>
      <c r="G1032">
        <v>1.5599999427795399</v>
      </c>
      <c r="H1032">
        <v>0.25</v>
      </c>
      <c r="I1032">
        <v>2.0799999237060498</v>
      </c>
      <c r="J1032">
        <v>0</v>
      </c>
      <c r="K1032">
        <v>25</v>
      </c>
      <c r="L1032">
        <v>9</v>
      </c>
      <c r="M1032">
        <v>141</v>
      </c>
      <c r="N1032">
        <v>631</v>
      </c>
      <c r="O1032">
        <v>2755</v>
      </c>
      <c r="P1032" t="str">
        <f>TEXT(tbl_working_daily[[#This Row],[ActivityDate]],"dddd")</f>
        <v>Wednesday</v>
      </c>
      <c r="Q1032" t="str">
        <f>TEXT(tbl_working_daily[[#This Row],[ActivityDate]],"mmmm")</f>
        <v>May</v>
      </c>
      <c r="R1032">
        <f t="shared" si="32"/>
        <v>175</v>
      </c>
      <c r="S1032">
        <f t="shared" si="33"/>
        <v>806</v>
      </c>
      <c r="T1032">
        <f>ROUND(tbl_working_daily[[#This Row],[SedentaryMinutes]]/60,2)</f>
        <v>10.52</v>
      </c>
      <c r="U1032" t="str" cm="1">
        <f t="array" ref="U103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32" t="str" cm="1">
        <f t="array" ref="V1032">_xlfn.IFS(tbl_working_daily[[#This Row],[VeryActiveMinutes]]&gt;=30,"Very Active",tbl_working_daily[[#This Row],[VeryActiveMinutes]]&gt;=15,"Moderately Active",tbl_working_daily[[#This Row],[VeryActiveMinutes]]&gt;=1,"Lightly Active",tbl_working_daily[[#This Row],[VeryActiveMinutes]]=0,"Sedentary")</f>
        <v>Moderately Active</v>
      </c>
      <c r="W1032" t="str">
        <f>tbl_working_daily[[#This Row],[Id]]&amp;"|"&amp;TEXT(tbl_working_daily[[#This Row],[ActivityDate]],"yyyy-mm-dd")</f>
        <v>5577150313|2016-05-04</v>
      </c>
      <c r="X1032" t="b">
        <f>ISNUMBER(MATCH(tbl_working_daily[[#This Row],[LookupKey]],tbl_working_sleep[LookupKey],0))</f>
        <v>1</v>
      </c>
    </row>
    <row r="1033" spans="1:24" x14ac:dyDescent="0.3">
      <c r="A1033">
        <v>5577150313</v>
      </c>
      <c r="B1033" s="1">
        <v>42495</v>
      </c>
      <c r="C1033">
        <v>7550</v>
      </c>
      <c r="D1033">
        <v>5.6399998664856001</v>
      </c>
      <c r="E1033">
        <v>5.6399998664856001</v>
      </c>
      <c r="F1033">
        <v>0</v>
      </c>
      <c r="G1033">
        <v>2.5</v>
      </c>
      <c r="H1033">
        <v>0.46999999880790699</v>
      </c>
      <c r="I1033">
        <v>2.6700000762939502</v>
      </c>
      <c r="J1033">
        <v>0</v>
      </c>
      <c r="K1033">
        <v>45</v>
      </c>
      <c r="L1033">
        <v>21</v>
      </c>
      <c r="M1033">
        <v>143</v>
      </c>
      <c r="N1033">
        <v>1153</v>
      </c>
      <c r="O1033">
        <v>3004</v>
      </c>
      <c r="P1033" t="str">
        <f>TEXT(tbl_working_daily[[#This Row],[ActivityDate]],"dddd")</f>
        <v>Thursday</v>
      </c>
      <c r="Q1033" t="str">
        <f>TEXT(tbl_working_daily[[#This Row],[ActivityDate]],"mmmm")</f>
        <v>May</v>
      </c>
      <c r="R1033">
        <f t="shared" si="32"/>
        <v>209</v>
      </c>
      <c r="S1033">
        <f t="shared" si="33"/>
        <v>1362</v>
      </c>
      <c r="T1033">
        <f>ROUND(tbl_working_daily[[#This Row],[SedentaryMinutes]]/60,2)</f>
        <v>19.22</v>
      </c>
      <c r="U1033" t="str" cm="1">
        <f t="array" ref="U103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33" t="str" cm="1">
        <f t="array" ref="V1033">_xlfn.IFS(tbl_working_daily[[#This Row],[VeryActiveMinutes]]&gt;=30,"Very Active",tbl_working_daily[[#This Row],[VeryActiveMinutes]]&gt;=15,"Moderately Active",tbl_working_daily[[#This Row],[VeryActiveMinutes]]&gt;=1,"Lightly Active",tbl_working_daily[[#This Row],[VeryActiveMinutes]]=0,"Sedentary")</f>
        <v>Very Active</v>
      </c>
      <c r="W1033" t="str">
        <f>tbl_working_daily[[#This Row],[Id]]&amp;"|"&amp;TEXT(tbl_working_daily[[#This Row],[ActivityDate]],"yyyy-mm-dd")</f>
        <v>5577150313|2016-05-05</v>
      </c>
      <c r="X1033" t="b">
        <f>ISNUMBER(MATCH(tbl_working_daily[[#This Row],[LookupKey]],tbl_working_sleep[LookupKey],0))</f>
        <v>1</v>
      </c>
    </row>
    <row r="1034" spans="1:24" x14ac:dyDescent="0.3">
      <c r="A1034">
        <v>5577150313</v>
      </c>
      <c r="B1034" s="1">
        <v>42496</v>
      </c>
      <c r="C1034">
        <v>4950</v>
      </c>
      <c r="D1034">
        <v>3.7000000476837198</v>
      </c>
      <c r="E1034">
        <v>3.7000000476837198</v>
      </c>
      <c r="F1034">
        <v>0</v>
      </c>
      <c r="G1034">
        <v>1.9299999475479099</v>
      </c>
      <c r="H1034">
        <v>0.31999999284744302</v>
      </c>
      <c r="I1034">
        <v>1.45000004768372</v>
      </c>
      <c r="J1034">
        <v>0</v>
      </c>
      <c r="K1034">
        <v>41</v>
      </c>
      <c r="L1034">
        <v>16</v>
      </c>
      <c r="M1034">
        <v>79</v>
      </c>
      <c r="N1034">
        <v>1304</v>
      </c>
      <c r="O1034">
        <v>2643</v>
      </c>
      <c r="P1034" t="str">
        <f>TEXT(tbl_working_daily[[#This Row],[ActivityDate]],"dddd")</f>
        <v>Friday</v>
      </c>
      <c r="Q1034" t="str">
        <f>TEXT(tbl_working_daily[[#This Row],[ActivityDate]],"mmmm")</f>
        <v>May</v>
      </c>
      <c r="R1034">
        <f t="shared" si="32"/>
        <v>136</v>
      </c>
      <c r="S1034">
        <f t="shared" si="33"/>
        <v>1440</v>
      </c>
      <c r="T1034">
        <f>ROUND(tbl_working_daily[[#This Row],[SedentaryMinutes]]/60,2)</f>
        <v>21.73</v>
      </c>
      <c r="U1034" t="str" cm="1">
        <f t="array" ref="U103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34" t="str" cm="1">
        <f t="array" ref="V1034">_xlfn.IFS(tbl_working_daily[[#This Row],[VeryActiveMinutes]]&gt;=30,"Very Active",tbl_working_daily[[#This Row],[VeryActiveMinutes]]&gt;=15,"Moderately Active",tbl_working_daily[[#This Row],[VeryActiveMinutes]]&gt;=1,"Lightly Active",tbl_working_daily[[#This Row],[VeryActiveMinutes]]=0,"Sedentary")</f>
        <v>Very Active</v>
      </c>
      <c r="W1034" t="str">
        <f>tbl_working_daily[[#This Row],[Id]]&amp;"|"&amp;TEXT(tbl_working_daily[[#This Row],[ActivityDate]],"yyyy-mm-dd")</f>
        <v>5577150313|2016-05-06</v>
      </c>
      <c r="X1034" t="b">
        <f>ISNUMBER(MATCH(tbl_working_daily[[#This Row],[LookupKey]],tbl_working_sleep[LookupKey],0))</f>
        <v>0</v>
      </c>
    </row>
    <row r="1035" spans="1:24" x14ac:dyDescent="0.3">
      <c r="A1035">
        <v>5577150313</v>
      </c>
      <c r="B1035" s="1">
        <v>42497</v>
      </c>
      <c r="C1035">
        <v>0</v>
      </c>
      <c r="D1035">
        <v>0</v>
      </c>
      <c r="E1035">
        <v>0</v>
      </c>
      <c r="F1035">
        <v>0</v>
      </c>
      <c r="G1035">
        <v>0</v>
      </c>
      <c r="H1035">
        <v>0</v>
      </c>
      <c r="I1035">
        <v>0</v>
      </c>
      <c r="J1035">
        <v>0</v>
      </c>
      <c r="K1035">
        <v>0</v>
      </c>
      <c r="L1035">
        <v>0</v>
      </c>
      <c r="M1035">
        <v>0</v>
      </c>
      <c r="N1035">
        <v>1440</v>
      </c>
      <c r="O1035">
        <v>1819</v>
      </c>
      <c r="P1035" t="str">
        <f>TEXT(tbl_working_daily[[#This Row],[ActivityDate]],"dddd")</f>
        <v>Saturday</v>
      </c>
      <c r="Q1035" t="str">
        <f>TEXT(tbl_working_daily[[#This Row],[ActivityDate]],"mmmm")</f>
        <v>May</v>
      </c>
      <c r="R1035">
        <f t="shared" si="32"/>
        <v>0</v>
      </c>
      <c r="S1035">
        <f t="shared" si="33"/>
        <v>1440</v>
      </c>
      <c r="T1035">
        <f>ROUND(tbl_working_daily[[#This Row],[SedentaryMinutes]]/60,2)</f>
        <v>24</v>
      </c>
      <c r="U1035" t="str" cm="1">
        <f t="array" ref="U103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35" t="str" cm="1">
        <f t="array" ref="V1035">_xlfn.IFS(tbl_working_daily[[#This Row],[VeryActiveMinutes]]&gt;=30,"Very Active",tbl_working_daily[[#This Row],[VeryActiveMinutes]]&gt;=15,"Moderately Active",tbl_working_daily[[#This Row],[VeryActiveMinutes]]&gt;=1,"Lightly Active",tbl_working_daily[[#This Row],[VeryActiveMinutes]]=0,"Sedentary")</f>
        <v>Sedentary</v>
      </c>
      <c r="W1035" t="str">
        <f>tbl_working_daily[[#This Row],[Id]]&amp;"|"&amp;TEXT(tbl_working_daily[[#This Row],[ActivityDate]],"yyyy-mm-dd")</f>
        <v>5577150313|2016-05-07</v>
      </c>
      <c r="X1035" t="b">
        <f>ISNUMBER(MATCH(tbl_working_daily[[#This Row],[LookupKey]],tbl_working_sleep[LookupKey],0))</f>
        <v>0</v>
      </c>
    </row>
    <row r="1036" spans="1:24" x14ac:dyDescent="0.3">
      <c r="A1036">
        <v>5577150313</v>
      </c>
      <c r="B1036" s="1">
        <v>42498</v>
      </c>
      <c r="C1036">
        <v>0</v>
      </c>
      <c r="D1036">
        <v>0</v>
      </c>
      <c r="E1036">
        <v>0</v>
      </c>
      <c r="F1036">
        <v>0</v>
      </c>
      <c r="G1036">
        <v>0</v>
      </c>
      <c r="H1036">
        <v>0</v>
      </c>
      <c r="I1036">
        <v>0</v>
      </c>
      <c r="J1036">
        <v>0</v>
      </c>
      <c r="K1036">
        <v>0</v>
      </c>
      <c r="L1036">
        <v>0</v>
      </c>
      <c r="M1036">
        <v>0</v>
      </c>
      <c r="N1036">
        <v>1440</v>
      </c>
      <c r="O1036">
        <v>1819</v>
      </c>
      <c r="P1036" t="str">
        <f>TEXT(tbl_working_daily[[#This Row],[ActivityDate]],"dddd")</f>
        <v>Sunday</v>
      </c>
      <c r="Q1036" t="str">
        <f>TEXT(tbl_working_daily[[#This Row],[ActivityDate]],"mmmm")</f>
        <v>May</v>
      </c>
      <c r="R1036">
        <f t="shared" si="32"/>
        <v>0</v>
      </c>
      <c r="S1036">
        <f t="shared" si="33"/>
        <v>1440</v>
      </c>
      <c r="T1036">
        <f>ROUND(tbl_working_daily[[#This Row],[SedentaryMinutes]]/60,2)</f>
        <v>24</v>
      </c>
      <c r="U1036" t="str" cm="1">
        <f t="array" ref="U103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36" t="str" cm="1">
        <f t="array" ref="V1036">_xlfn.IFS(tbl_working_daily[[#This Row],[VeryActiveMinutes]]&gt;=30,"Very Active",tbl_working_daily[[#This Row],[VeryActiveMinutes]]&gt;=15,"Moderately Active",tbl_working_daily[[#This Row],[VeryActiveMinutes]]&gt;=1,"Lightly Active",tbl_working_daily[[#This Row],[VeryActiveMinutes]]=0,"Sedentary")</f>
        <v>Sedentary</v>
      </c>
      <c r="W1036" t="str">
        <f>tbl_working_daily[[#This Row],[Id]]&amp;"|"&amp;TEXT(tbl_working_daily[[#This Row],[ActivityDate]],"yyyy-mm-dd")</f>
        <v>5577150313|2016-05-08</v>
      </c>
      <c r="X1036" t="b">
        <f>ISNUMBER(MATCH(tbl_working_daily[[#This Row],[LookupKey]],tbl_working_sleep[LookupKey],0))</f>
        <v>0</v>
      </c>
    </row>
    <row r="1037" spans="1:24" x14ac:dyDescent="0.3">
      <c r="A1037">
        <v>5577150313</v>
      </c>
      <c r="B1037" s="1">
        <v>42499</v>
      </c>
      <c r="C1037">
        <v>3421</v>
      </c>
      <c r="D1037">
        <v>2.5599999427795401</v>
      </c>
      <c r="E1037">
        <v>2.5599999427795401</v>
      </c>
      <c r="F1037">
        <v>0</v>
      </c>
      <c r="G1037">
        <v>1.4299999475479099</v>
      </c>
      <c r="H1037">
        <v>0.140000000596046</v>
      </c>
      <c r="I1037">
        <v>0.99000000953674305</v>
      </c>
      <c r="J1037">
        <v>0</v>
      </c>
      <c r="K1037">
        <v>34</v>
      </c>
      <c r="L1037">
        <v>11</v>
      </c>
      <c r="M1037">
        <v>70</v>
      </c>
      <c r="N1037">
        <v>1099</v>
      </c>
      <c r="O1037">
        <v>2489</v>
      </c>
      <c r="P1037" t="str">
        <f>TEXT(tbl_working_daily[[#This Row],[ActivityDate]],"dddd")</f>
        <v>Monday</v>
      </c>
      <c r="Q1037" t="str">
        <f>TEXT(tbl_working_daily[[#This Row],[ActivityDate]],"mmmm")</f>
        <v>May</v>
      </c>
      <c r="R1037">
        <f t="shared" si="32"/>
        <v>115</v>
      </c>
      <c r="S1037">
        <f t="shared" si="33"/>
        <v>1214</v>
      </c>
      <c r="T1037">
        <f>ROUND(tbl_working_daily[[#This Row],[SedentaryMinutes]]/60,2)</f>
        <v>18.32</v>
      </c>
      <c r="U1037" t="str" cm="1">
        <f t="array" ref="U10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37" t="str" cm="1">
        <f t="array" ref="V1037">_xlfn.IFS(tbl_working_daily[[#This Row],[VeryActiveMinutes]]&gt;=30,"Very Active",tbl_working_daily[[#This Row],[VeryActiveMinutes]]&gt;=15,"Moderately Active",tbl_working_daily[[#This Row],[VeryActiveMinutes]]&gt;=1,"Lightly Active",tbl_working_daily[[#This Row],[VeryActiveMinutes]]=0,"Sedentary")</f>
        <v>Very Active</v>
      </c>
      <c r="W1037" t="str">
        <f>tbl_working_daily[[#This Row],[Id]]&amp;"|"&amp;TEXT(tbl_working_daily[[#This Row],[ActivityDate]],"yyyy-mm-dd")</f>
        <v>5577150313|2016-05-09</v>
      </c>
      <c r="X1037" t="b">
        <f>ISNUMBER(MATCH(tbl_working_daily[[#This Row],[LookupKey]],tbl_working_sleep[LookupKey],0))</f>
        <v>0</v>
      </c>
    </row>
    <row r="1038" spans="1:24" x14ac:dyDescent="0.3">
      <c r="A1038">
        <v>5577150313</v>
      </c>
      <c r="B1038" s="1">
        <v>42500</v>
      </c>
      <c r="C1038">
        <v>8869</v>
      </c>
      <c r="D1038">
        <v>6.6500000953674299</v>
      </c>
      <c r="E1038">
        <v>6.6500000953674299</v>
      </c>
      <c r="F1038">
        <v>0</v>
      </c>
      <c r="G1038">
        <v>2.5599999427795401</v>
      </c>
      <c r="H1038">
        <v>0.75</v>
      </c>
      <c r="I1038">
        <v>3.3499999046325701</v>
      </c>
      <c r="J1038">
        <v>0</v>
      </c>
      <c r="K1038">
        <v>104</v>
      </c>
      <c r="L1038">
        <v>37</v>
      </c>
      <c r="M1038">
        <v>194</v>
      </c>
      <c r="N1038">
        <v>639</v>
      </c>
      <c r="O1038">
        <v>3841</v>
      </c>
      <c r="P1038" t="str">
        <f>TEXT(tbl_working_daily[[#This Row],[ActivityDate]],"dddd")</f>
        <v>Tuesday</v>
      </c>
      <c r="Q1038" t="str">
        <f>TEXT(tbl_working_daily[[#This Row],[ActivityDate]],"mmmm")</f>
        <v>May</v>
      </c>
      <c r="R1038">
        <f t="shared" si="32"/>
        <v>335</v>
      </c>
      <c r="S1038">
        <f t="shared" si="33"/>
        <v>974</v>
      </c>
      <c r="T1038">
        <f>ROUND(tbl_working_daily[[#This Row],[SedentaryMinutes]]/60,2)</f>
        <v>10.65</v>
      </c>
      <c r="U1038" t="str" cm="1">
        <f t="array" ref="U103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38" t="str" cm="1">
        <f t="array" ref="V1038">_xlfn.IFS(tbl_working_daily[[#This Row],[VeryActiveMinutes]]&gt;=30,"Very Active",tbl_working_daily[[#This Row],[VeryActiveMinutes]]&gt;=15,"Moderately Active",tbl_working_daily[[#This Row],[VeryActiveMinutes]]&gt;=1,"Lightly Active",tbl_working_daily[[#This Row],[VeryActiveMinutes]]=0,"Sedentary")</f>
        <v>Very Active</v>
      </c>
      <c r="W1038" t="str">
        <f>tbl_working_daily[[#This Row],[Id]]&amp;"|"&amp;TEXT(tbl_working_daily[[#This Row],[ActivityDate]],"yyyy-mm-dd")</f>
        <v>5577150313|2016-05-10</v>
      </c>
      <c r="X1038" t="b">
        <f>ISNUMBER(MATCH(tbl_working_daily[[#This Row],[LookupKey]],tbl_working_sleep[LookupKey],0))</f>
        <v>1</v>
      </c>
    </row>
    <row r="1039" spans="1:24" x14ac:dyDescent="0.3">
      <c r="A1039">
        <v>5577150313</v>
      </c>
      <c r="B1039" s="1">
        <v>42501</v>
      </c>
      <c r="C1039">
        <v>4038</v>
      </c>
      <c r="D1039">
        <v>3.03999996185303</v>
      </c>
      <c r="E1039">
        <v>3.03999996185303</v>
      </c>
      <c r="F1039">
        <v>0</v>
      </c>
      <c r="G1039">
        <v>1.83000004291534</v>
      </c>
      <c r="H1039">
        <v>0.30000001192092901</v>
      </c>
      <c r="I1039">
        <v>0.88999998569488503</v>
      </c>
      <c r="J1039">
        <v>0</v>
      </c>
      <c r="K1039">
        <v>45</v>
      </c>
      <c r="L1039">
        <v>15</v>
      </c>
      <c r="M1039">
        <v>63</v>
      </c>
      <c r="N1039">
        <v>257</v>
      </c>
      <c r="O1039">
        <v>1665</v>
      </c>
      <c r="P1039" t="str">
        <f>TEXT(tbl_working_daily[[#This Row],[ActivityDate]],"dddd")</f>
        <v>Wednesday</v>
      </c>
      <c r="Q1039" t="str">
        <f>TEXT(tbl_working_daily[[#This Row],[ActivityDate]],"mmmm")</f>
        <v>May</v>
      </c>
      <c r="R1039">
        <f t="shared" si="32"/>
        <v>123</v>
      </c>
      <c r="S1039">
        <f t="shared" si="33"/>
        <v>380</v>
      </c>
      <c r="T1039">
        <f>ROUND(tbl_working_daily[[#This Row],[SedentaryMinutes]]/60,2)</f>
        <v>4.28</v>
      </c>
      <c r="U1039" t="str" cm="1">
        <f t="array" ref="U10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39" t="str" cm="1">
        <f t="array" ref="V1039">_xlfn.IFS(tbl_working_daily[[#This Row],[VeryActiveMinutes]]&gt;=30,"Very Active",tbl_working_daily[[#This Row],[VeryActiveMinutes]]&gt;=15,"Moderately Active",tbl_working_daily[[#This Row],[VeryActiveMinutes]]&gt;=1,"Lightly Active",tbl_working_daily[[#This Row],[VeryActiveMinutes]]=0,"Sedentary")</f>
        <v>Very Active</v>
      </c>
      <c r="W1039" t="str">
        <f>tbl_working_daily[[#This Row],[Id]]&amp;"|"&amp;TEXT(tbl_working_daily[[#This Row],[ActivityDate]],"yyyy-mm-dd")</f>
        <v>5577150313|2016-05-11</v>
      </c>
      <c r="X1039" t="b">
        <f>ISNUMBER(MATCH(tbl_working_daily[[#This Row],[LookupKey]],tbl_working_sleep[LookupKey],0))</f>
        <v>1</v>
      </c>
    </row>
    <row r="1040" spans="1:24" x14ac:dyDescent="0.3">
      <c r="A1040">
        <v>6117666160</v>
      </c>
      <c r="B1040" s="1">
        <v>42472</v>
      </c>
      <c r="C1040">
        <v>0</v>
      </c>
      <c r="D1040">
        <v>0</v>
      </c>
      <c r="E1040">
        <v>0</v>
      </c>
      <c r="F1040">
        <v>0</v>
      </c>
      <c r="G1040">
        <v>0</v>
      </c>
      <c r="H1040">
        <v>0</v>
      </c>
      <c r="I1040">
        <v>0</v>
      </c>
      <c r="J1040">
        <v>0</v>
      </c>
      <c r="K1040">
        <v>0</v>
      </c>
      <c r="L1040">
        <v>0</v>
      </c>
      <c r="M1040">
        <v>0</v>
      </c>
      <c r="N1040">
        <v>1440</v>
      </c>
      <c r="O1040">
        <v>1496</v>
      </c>
      <c r="P1040" t="str">
        <f>TEXT(tbl_working_daily[[#This Row],[ActivityDate]],"dddd")</f>
        <v>Tuesday</v>
      </c>
      <c r="Q1040" t="str">
        <f>TEXT(tbl_working_daily[[#This Row],[ActivityDate]],"mmmm")</f>
        <v>April</v>
      </c>
      <c r="R1040">
        <f t="shared" si="32"/>
        <v>0</v>
      </c>
      <c r="S1040">
        <f t="shared" si="33"/>
        <v>1440</v>
      </c>
      <c r="T1040">
        <f>ROUND(tbl_working_daily[[#This Row],[SedentaryMinutes]]/60,2)</f>
        <v>24</v>
      </c>
      <c r="U1040" t="str" cm="1">
        <f t="array" ref="U10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40" t="str" cm="1">
        <f t="array" ref="V1040">_xlfn.IFS(tbl_working_daily[[#This Row],[VeryActiveMinutes]]&gt;=30,"Very Active",tbl_working_daily[[#This Row],[VeryActiveMinutes]]&gt;=15,"Moderately Active",tbl_working_daily[[#This Row],[VeryActiveMinutes]]&gt;=1,"Lightly Active",tbl_working_daily[[#This Row],[VeryActiveMinutes]]=0,"Sedentary")</f>
        <v>Sedentary</v>
      </c>
      <c r="W1040" t="str">
        <f>tbl_working_daily[[#This Row],[Id]]&amp;"|"&amp;TEXT(tbl_working_daily[[#This Row],[ActivityDate]],"yyyy-mm-dd")</f>
        <v>6117666160|2016-04-12</v>
      </c>
      <c r="X1040" t="b">
        <f>ISNUMBER(MATCH(tbl_working_daily[[#This Row],[LookupKey]],tbl_working_sleep[LookupKey],0))</f>
        <v>0</v>
      </c>
    </row>
    <row r="1041" spans="1:24" x14ac:dyDescent="0.3">
      <c r="A1041">
        <v>6117666160</v>
      </c>
      <c r="B1041" s="1">
        <v>42473</v>
      </c>
      <c r="C1041">
        <v>0</v>
      </c>
      <c r="D1041">
        <v>0</v>
      </c>
      <c r="E1041">
        <v>0</v>
      </c>
      <c r="F1041">
        <v>0</v>
      </c>
      <c r="G1041">
        <v>0</v>
      </c>
      <c r="H1041">
        <v>0</v>
      </c>
      <c r="I1041">
        <v>0</v>
      </c>
      <c r="J1041">
        <v>0</v>
      </c>
      <c r="K1041">
        <v>0</v>
      </c>
      <c r="L1041">
        <v>0</v>
      </c>
      <c r="M1041">
        <v>0</v>
      </c>
      <c r="N1041">
        <v>1440</v>
      </c>
      <c r="O1041">
        <v>1496</v>
      </c>
      <c r="P1041" t="str">
        <f>TEXT(tbl_working_daily[[#This Row],[ActivityDate]],"dddd")</f>
        <v>Wednesday</v>
      </c>
      <c r="Q1041" t="str">
        <f>TEXT(tbl_working_daily[[#This Row],[ActivityDate]],"mmmm")</f>
        <v>April</v>
      </c>
      <c r="R1041">
        <f t="shared" si="32"/>
        <v>0</v>
      </c>
      <c r="S1041">
        <f t="shared" si="33"/>
        <v>1440</v>
      </c>
      <c r="T1041">
        <f>ROUND(tbl_working_daily[[#This Row],[SedentaryMinutes]]/60,2)</f>
        <v>24</v>
      </c>
      <c r="U1041" t="str" cm="1">
        <f t="array" ref="U10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41" t="str" cm="1">
        <f t="array" ref="V1041">_xlfn.IFS(tbl_working_daily[[#This Row],[VeryActiveMinutes]]&gt;=30,"Very Active",tbl_working_daily[[#This Row],[VeryActiveMinutes]]&gt;=15,"Moderately Active",tbl_working_daily[[#This Row],[VeryActiveMinutes]]&gt;=1,"Lightly Active",tbl_working_daily[[#This Row],[VeryActiveMinutes]]=0,"Sedentary")</f>
        <v>Sedentary</v>
      </c>
      <c r="W1041" t="str">
        <f>tbl_working_daily[[#This Row],[Id]]&amp;"|"&amp;TEXT(tbl_working_daily[[#This Row],[ActivityDate]],"yyyy-mm-dd")</f>
        <v>6117666160|2016-04-13</v>
      </c>
      <c r="X1041" t="b">
        <f>ISNUMBER(MATCH(tbl_working_daily[[#This Row],[LookupKey]],tbl_working_sleep[LookupKey],0))</f>
        <v>0</v>
      </c>
    </row>
    <row r="1042" spans="1:24" x14ac:dyDescent="0.3">
      <c r="A1042">
        <v>6117666160</v>
      </c>
      <c r="B1042" s="1">
        <v>42474</v>
      </c>
      <c r="C1042">
        <v>0</v>
      </c>
      <c r="D1042">
        <v>0</v>
      </c>
      <c r="E1042">
        <v>0</v>
      </c>
      <c r="F1042">
        <v>0</v>
      </c>
      <c r="G1042">
        <v>0</v>
      </c>
      <c r="H1042">
        <v>0</v>
      </c>
      <c r="I1042">
        <v>0</v>
      </c>
      <c r="J1042">
        <v>0</v>
      </c>
      <c r="K1042">
        <v>0</v>
      </c>
      <c r="L1042">
        <v>0</v>
      </c>
      <c r="M1042">
        <v>0</v>
      </c>
      <c r="N1042">
        <v>1440</v>
      </c>
      <c r="O1042">
        <v>1496</v>
      </c>
      <c r="P1042" t="str">
        <f>TEXT(tbl_working_daily[[#This Row],[ActivityDate]],"dddd")</f>
        <v>Thursday</v>
      </c>
      <c r="Q1042" t="str">
        <f>TEXT(tbl_working_daily[[#This Row],[ActivityDate]],"mmmm")</f>
        <v>April</v>
      </c>
      <c r="R1042">
        <f t="shared" si="32"/>
        <v>0</v>
      </c>
      <c r="S1042">
        <f t="shared" si="33"/>
        <v>1440</v>
      </c>
      <c r="T1042">
        <f>ROUND(tbl_working_daily[[#This Row],[SedentaryMinutes]]/60,2)</f>
        <v>24</v>
      </c>
      <c r="U1042" t="str" cm="1">
        <f t="array" ref="U10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42" t="str" cm="1">
        <f t="array" ref="V1042">_xlfn.IFS(tbl_working_daily[[#This Row],[VeryActiveMinutes]]&gt;=30,"Very Active",tbl_working_daily[[#This Row],[VeryActiveMinutes]]&gt;=15,"Moderately Active",tbl_working_daily[[#This Row],[VeryActiveMinutes]]&gt;=1,"Lightly Active",tbl_working_daily[[#This Row],[VeryActiveMinutes]]=0,"Sedentary")</f>
        <v>Sedentary</v>
      </c>
      <c r="W1042" t="str">
        <f>tbl_working_daily[[#This Row],[Id]]&amp;"|"&amp;TEXT(tbl_working_daily[[#This Row],[ActivityDate]],"yyyy-mm-dd")</f>
        <v>6117666160|2016-04-14</v>
      </c>
      <c r="X1042" t="b">
        <f>ISNUMBER(MATCH(tbl_working_daily[[#This Row],[LookupKey]],tbl_working_sleep[LookupKey],0))</f>
        <v>0</v>
      </c>
    </row>
    <row r="1043" spans="1:24" x14ac:dyDescent="0.3">
      <c r="A1043">
        <v>6117666160</v>
      </c>
      <c r="B1043" s="1">
        <v>42475</v>
      </c>
      <c r="C1043">
        <v>14019</v>
      </c>
      <c r="D1043">
        <v>10.5900001525879</v>
      </c>
      <c r="E1043">
        <v>10.5900001525879</v>
      </c>
      <c r="F1043">
        <v>0</v>
      </c>
      <c r="G1043">
        <v>0</v>
      </c>
      <c r="H1043">
        <v>0.28000000119209301</v>
      </c>
      <c r="I1043">
        <v>10.300000190734901</v>
      </c>
      <c r="J1043">
        <v>0</v>
      </c>
      <c r="K1043">
        <v>0</v>
      </c>
      <c r="L1043">
        <v>6</v>
      </c>
      <c r="M1043">
        <v>513</v>
      </c>
      <c r="N1043">
        <v>921</v>
      </c>
      <c r="O1043">
        <v>2865</v>
      </c>
      <c r="P1043" t="str">
        <f>TEXT(tbl_working_daily[[#This Row],[ActivityDate]],"dddd")</f>
        <v>Friday</v>
      </c>
      <c r="Q1043" t="str">
        <f>TEXT(tbl_working_daily[[#This Row],[ActivityDate]],"mmmm")</f>
        <v>April</v>
      </c>
      <c r="R1043">
        <f t="shared" si="32"/>
        <v>519</v>
      </c>
      <c r="S1043">
        <f t="shared" si="33"/>
        <v>1440</v>
      </c>
      <c r="T1043">
        <f>ROUND(tbl_working_daily[[#This Row],[SedentaryMinutes]]/60,2)</f>
        <v>15.35</v>
      </c>
      <c r="U1043" t="str" cm="1">
        <f t="array" ref="U104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43" t="str" cm="1">
        <f t="array" ref="V1043">_xlfn.IFS(tbl_working_daily[[#This Row],[VeryActiveMinutes]]&gt;=30,"Very Active",tbl_working_daily[[#This Row],[VeryActiveMinutes]]&gt;=15,"Moderately Active",tbl_working_daily[[#This Row],[VeryActiveMinutes]]&gt;=1,"Lightly Active",tbl_working_daily[[#This Row],[VeryActiveMinutes]]=0,"Sedentary")</f>
        <v>Sedentary</v>
      </c>
      <c r="W1043" t="str">
        <f>tbl_working_daily[[#This Row],[Id]]&amp;"|"&amp;TEXT(tbl_working_daily[[#This Row],[ActivityDate]],"yyyy-mm-dd")</f>
        <v>6117666160|2016-04-15</v>
      </c>
      <c r="X1043" t="b">
        <f>ISNUMBER(MATCH(tbl_working_daily[[#This Row],[LookupKey]],tbl_working_sleep[LookupKey],0))</f>
        <v>0</v>
      </c>
    </row>
    <row r="1044" spans="1:24" x14ac:dyDescent="0.3">
      <c r="A1044">
        <v>6117666160</v>
      </c>
      <c r="B1044" s="1">
        <v>42476</v>
      </c>
      <c r="C1044">
        <v>14450</v>
      </c>
      <c r="D1044">
        <v>10.9099998474121</v>
      </c>
      <c r="E1044">
        <v>10.9099998474121</v>
      </c>
      <c r="F1044">
        <v>0</v>
      </c>
      <c r="G1044">
        <v>0.57999998331069902</v>
      </c>
      <c r="H1044">
        <v>0.85000002384185802</v>
      </c>
      <c r="I1044">
        <v>9.4799995422363299</v>
      </c>
      <c r="J1044">
        <v>0</v>
      </c>
      <c r="K1044">
        <v>7</v>
      </c>
      <c r="L1044">
        <v>15</v>
      </c>
      <c r="M1044">
        <v>518</v>
      </c>
      <c r="N1044">
        <v>502</v>
      </c>
      <c r="O1044">
        <v>2828</v>
      </c>
      <c r="P1044" t="str">
        <f>TEXT(tbl_working_daily[[#This Row],[ActivityDate]],"dddd")</f>
        <v>Saturday</v>
      </c>
      <c r="Q1044" t="str">
        <f>TEXT(tbl_working_daily[[#This Row],[ActivityDate]],"mmmm")</f>
        <v>April</v>
      </c>
      <c r="R1044">
        <f t="shared" si="32"/>
        <v>540</v>
      </c>
      <c r="S1044">
        <f t="shared" si="33"/>
        <v>1042</v>
      </c>
      <c r="T1044">
        <f>ROUND(tbl_working_daily[[#This Row],[SedentaryMinutes]]/60,2)</f>
        <v>8.3699999999999992</v>
      </c>
      <c r="U1044" t="str" cm="1">
        <f t="array" ref="U104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44" t="str" cm="1">
        <f t="array" ref="V1044">_xlfn.IFS(tbl_working_daily[[#This Row],[VeryActiveMinutes]]&gt;=30,"Very Active",tbl_working_daily[[#This Row],[VeryActiveMinutes]]&gt;=15,"Moderately Active",tbl_working_daily[[#This Row],[VeryActiveMinutes]]&gt;=1,"Lightly Active",tbl_working_daily[[#This Row],[VeryActiveMinutes]]=0,"Sedentary")</f>
        <v>Lightly Active</v>
      </c>
      <c r="W1044" t="str">
        <f>tbl_working_daily[[#This Row],[Id]]&amp;"|"&amp;TEXT(tbl_working_daily[[#This Row],[ActivityDate]],"yyyy-mm-dd")</f>
        <v>6117666160|2016-04-16</v>
      </c>
      <c r="X1044" t="b">
        <f>ISNUMBER(MATCH(tbl_working_daily[[#This Row],[LookupKey]],tbl_working_sleep[LookupKey],0))</f>
        <v>1</v>
      </c>
    </row>
    <row r="1045" spans="1:24" x14ac:dyDescent="0.3">
      <c r="A1045">
        <v>6117666160</v>
      </c>
      <c r="B1045" s="1">
        <v>42477</v>
      </c>
      <c r="C1045">
        <v>7150</v>
      </c>
      <c r="D1045">
        <v>5.4000000953674299</v>
      </c>
      <c r="E1045">
        <v>5.4000000953674299</v>
      </c>
      <c r="F1045">
        <v>0</v>
      </c>
      <c r="G1045">
        <v>0</v>
      </c>
      <c r="H1045">
        <v>0</v>
      </c>
      <c r="I1045">
        <v>5.4000000953674299</v>
      </c>
      <c r="J1045">
        <v>0</v>
      </c>
      <c r="K1045">
        <v>0</v>
      </c>
      <c r="L1045">
        <v>0</v>
      </c>
      <c r="M1045">
        <v>312</v>
      </c>
      <c r="N1045">
        <v>702</v>
      </c>
      <c r="O1045">
        <v>2225</v>
      </c>
      <c r="P1045" t="str">
        <f>TEXT(tbl_working_daily[[#This Row],[ActivityDate]],"dddd")</f>
        <v>Sunday</v>
      </c>
      <c r="Q1045" t="str">
        <f>TEXT(tbl_working_daily[[#This Row],[ActivityDate]],"mmmm")</f>
        <v>April</v>
      </c>
      <c r="R1045">
        <f t="shared" si="32"/>
        <v>312</v>
      </c>
      <c r="S1045">
        <f t="shared" si="33"/>
        <v>1014</v>
      </c>
      <c r="T1045">
        <f>ROUND(tbl_working_daily[[#This Row],[SedentaryMinutes]]/60,2)</f>
        <v>11.7</v>
      </c>
      <c r="U1045" t="str" cm="1">
        <f t="array" ref="U104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45" t="str" cm="1">
        <f t="array" ref="V1045">_xlfn.IFS(tbl_working_daily[[#This Row],[VeryActiveMinutes]]&gt;=30,"Very Active",tbl_working_daily[[#This Row],[VeryActiveMinutes]]&gt;=15,"Moderately Active",tbl_working_daily[[#This Row],[VeryActiveMinutes]]&gt;=1,"Lightly Active",tbl_working_daily[[#This Row],[VeryActiveMinutes]]=0,"Sedentary")</f>
        <v>Sedentary</v>
      </c>
      <c r="W1045" t="str">
        <f>tbl_working_daily[[#This Row],[Id]]&amp;"|"&amp;TEXT(tbl_working_daily[[#This Row],[ActivityDate]],"yyyy-mm-dd")</f>
        <v>6117666160|2016-04-17</v>
      </c>
      <c r="X1045" t="b">
        <f>ISNUMBER(MATCH(tbl_working_daily[[#This Row],[LookupKey]],tbl_working_sleep[LookupKey],0))</f>
        <v>1</v>
      </c>
    </row>
    <row r="1046" spans="1:24" x14ac:dyDescent="0.3">
      <c r="A1046">
        <v>6117666160</v>
      </c>
      <c r="B1046" s="1">
        <v>42478</v>
      </c>
      <c r="C1046">
        <v>5153</v>
      </c>
      <c r="D1046">
        <v>3.9100000858306898</v>
      </c>
      <c r="E1046">
        <v>3.9100000858306898</v>
      </c>
      <c r="F1046">
        <v>0</v>
      </c>
      <c r="G1046">
        <v>0</v>
      </c>
      <c r="H1046">
        <v>0</v>
      </c>
      <c r="I1046">
        <v>3.8900001049041699</v>
      </c>
      <c r="J1046">
        <v>0</v>
      </c>
      <c r="K1046">
        <v>0</v>
      </c>
      <c r="L1046">
        <v>0</v>
      </c>
      <c r="M1046">
        <v>241</v>
      </c>
      <c r="N1046">
        <v>759</v>
      </c>
      <c r="O1046">
        <v>2018</v>
      </c>
      <c r="P1046" t="str">
        <f>TEXT(tbl_working_daily[[#This Row],[ActivityDate]],"dddd")</f>
        <v>Monday</v>
      </c>
      <c r="Q1046" t="str">
        <f>TEXT(tbl_working_daily[[#This Row],[ActivityDate]],"mmmm")</f>
        <v>April</v>
      </c>
      <c r="R1046">
        <f t="shared" si="32"/>
        <v>241</v>
      </c>
      <c r="S1046">
        <f t="shared" si="33"/>
        <v>1000</v>
      </c>
      <c r="T1046">
        <f>ROUND(tbl_working_daily[[#This Row],[SedentaryMinutes]]/60,2)</f>
        <v>12.65</v>
      </c>
      <c r="U1046" t="str" cm="1">
        <f t="array" ref="U104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46" t="str" cm="1">
        <f t="array" ref="V1046">_xlfn.IFS(tbl_working_daily[[#This Row],[VeryActiveMinutes]]&gt;=30,"Very Active",tbl_working_daily[[#This Row],[VeryActiveMinutes]]&gt;=15,"Moderately Active",tbl_working_daily[[#This Row],[VeryActiveMinutes]]&gt;=1,"Lightly Active",tbl_working_daily[[#This Row],[VeryActiveMinutes]]=0,"Sedentary")</f>
        <v>Sedentary</v>
      </c>
      <c r="W1046" t="str">
        <f>tbl_working_daily[[#This Row],[Id]]&amp;"|"&amp;TEXT(tbl_working_daily[[#This Row],[ActivityDate]],"yyyy-mm-dd")</f>
        <v>6117666160|2016-04-18</v>
      </c>
      <c r="X1046" t="b">
        <f>ISNUMBER(MATCH(tbl_working_daily[[#This Row],[LookupKey]],tbl_working_sleep[LookupKey],0))</f>
        <v>1</v>
      </c>
    </row>
    <row r="1047" spans="1:24" x14ac:dyDescent="0.3">
      <c r="A1047">
        <v>6117666160</v>
      </c>
      <c r="B1047" s="1">
        <v>42479</v>
      </c>
      <c r="C1047">
        <v>11135</v>
      </c>
      <c r="D1047">
        <v>8.4099998474121094</v>
      </c>
      <c r="E1047">
        <v>8.4099998474121094</v>
      </c>
      <c r="F1047">
        <v>0</v>
      </c>
      <c r="G1047">
        <v>0</v>
      </c>
      <c r="H1047">
        <v>0</v>
      </c>
      <c r="I1047">
        <v>8.4099998474121094</v>
      </c>
      <c r="J1047">
        <v>0</v>
      </c>
      <c r="K1047">
        <v>0</v>
      </c>
      <c r="L1047">
        <v>0</v>
      </c>
      <c r="M1047">
        <v>480</v>
      </c>
      <c r="N1047">
        <v>425</v>
      </c>
      <c r="O1047">
        <v>2606</v>
      </c>
      <c r="P1047" t="str">
        <f>TEXT(tbl_working_daily[[#This Row],[ActivityDate]],"dddd")</f>
        <v>Tuesday</v>
      </c>
      <c r="Q1047" t="str">
        <f>TEXT(tbl_working_daily[[#This Row],[ActivityDate]],"mmmm")</f>
        <v>April</v>
      </c>
      <c r="R1047">
        <f t="shared" si="32"/>
        <v>480</v>
      </c>
      <c r="S1047">
        <f t="shared" si="33"/>
        <v>905</v>
      </c>
      <c r="T1047">
        <f>ROUND(tbl_working_daily[[#This Row],[SedentaryMinutes]]/60,2)</f>
        <v>7.08</v>
      </c>
      <c r="U1047" t="str" cm="1">
        <f t="array" ref="U104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47" t="str" cm="1">
        <f t="array" ref="V1047">_xlfn.IFS(tbl_working_daily[[#This Row],[VeryActiveMinutes]]&gt;=30,"Very Active",tbl_working_daily[[#This Row],[VeryActiveMinutes]]&gt;=15,"Moderately Active",tbl_working_daily[[#This Row],[VeryActiveMinutes]]&gt;=1,"Lightly Active",tbl_working_daily[[#This Row],[VeryActiveMinutes]]=0,"Sedentary")</f>
        <v>Sedentary</v>
      </c>
      <c r="W1047" t="str">
        <f>tbl_working_daily[[#This Row],[Id]]&amp;"|"&amp;TEXT(tbl_working_daily[[#This Row],[ActivityDate]],"yyyy-mm-dd")</f>
        <v>6117666160|2016-04-19</v>
      </c>
      <c r="X1047" t="b">
        <f>ISNUMBER(MATCH(tbl_working_daily[[#This Row],[LookupKey]],tbl_working_sleep[LookupKey],0))</f>
        <v>1</v>
      </c>
    </row>
    <row r="1048" spans="1:24" x14ac:dyDescent="0.3">
      <c r="A1048">
        <v>6117666160</v>
      </c>
      <c r="B1048" s="1">
        <v>42480</v>
      </c>
      <c r="C1048">
        <v>10449</v>
      </c>
      <c r="D1048">
        <v>8.0200004577636701</v>
      </c>
      <c r="E1048">
        <v>8.0200004577636701</v>
      </c>
      <c r="F1048">
        <v>0</v>
      </c>
      <c r="G1048">
        <v>2.0299999713897701</v>
      </c>
      <c r="H1048">
        <v>0.479999989271164</v>
      </c>
      <c r="I1048">
        <v>5.5199999809265101</v>
      </c>
      <c r="J1048">
        <v>0</v>
      </c>
      <c r="K1048">
        <v>26</v>
      </c>
      <c r="L1048">
        <v>10</v>
      </c>
      <c r="M1048">
        <v>349</v>
      </c>
      <c r="N1048">
        <v>587</v>
      </c>
      <c r="O1048">
        <v>2536</v>
      </c>
      <c r="P1048" t="str">
        <f>TEXT(tbl_working_daily[[#This Row],[ActivityDate]],"dddd")</f>
        <v>Wednesday</v>
      </c>
      <c r="Q1048" t="str">
        <f>TEXT(tbl_working_daily[[#This Row],[ActivityDate]],"mmmm")</f>
        <v>April</v>
      </c>
      <c r="R1048">
        <f t="shared" si="32"/>
        <v>385</v>
      </c>
      <c r="S1048">
        <f t="shared" si="33"/>
        <v>972</v>
      </c>
      <c r="T1048">
        <f>ROUND(tbl_working_daily[[#This Row],[SedentaryMinutes]]/60,2)</f>
        <v>9.7799999999999994</v>
      </c>
      <c r="U1048" t="str" cm="1">
        <f t="array" ref="U104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48" t="str" cm="1">
        <f t="array" ref="V1048">_xlfn.IFS(tbl_working_daily[[#This Row],[VeryActiveMinutes]]&gt;=30,"Very Active",tbl_working_daily[[#This Row],[VeryActiveMinutes]]&gt;=15,"Moderately Active",tbl_working_daily[[#This Row],[VeryActiveMinutes]]&gt;=1,"Lightly Active",tbl_working_daily[[#This Row],[VeryActiveMinutes]]=0,"Sedentary")</f>
        <v>Moderately Active</v>
      </c>
      <c r="W1048" t="str">
        <f>tbl_working_daily[[#This Row],[Id]]&amp;"|"&amp;TEXT(tbl_working_daily[[#This Row],[ActivityDate]],"yyyy-mm-dd")</f>
        <v>6117666160|2016-04-20</v>
      </c>
      <c r="X1048" t="b">
        <f>ISNUMBER(MATCH(tbl_working_daily[[#This Row],[LookupKey]],tbl_working_sleep[LookupKey],0))</f>
        <v>1</v>
      </c>
    </row>
    <row r="1049" spans="1:24" x14ac:dyDescent="0.3">
      <c r="A1049">
        <v>6117666160</v>
      </c>
      <c r="B1049" s="1">
        <v>42481</v>
      </c>
      <c r="C1049">
        <v>19542</v>
      </c>
      <c r="D1049">
        <v>15.0100002288818</v>
      </c>
      <c r="E1049">
        <v>15.0100002288818</v>
      </c>
      <c r="F1049">
        <v>0</v>
      </c>
      <c r="G1049">
        <v>0.980000019073486</v>
      </c>
      <c r="H1049">
        <v>0.40000000596046398</v>
      </c>
      <c r="I1049">
        <v>5.6199998855590803</v>
      </c>
      <c r="J1049">
        <v>0</v>
      </c>
      <c r="K1049">
        <v>11</v>
      </c>
      <c r="L1049">
        <v>19</v>
      </c>
      <c r="M1049">
        <v>294</v>
      </c>
      <c r="N1049">
        <v>579</v>
      </c>
      <c r="O1049">
        <v>4900</v>
      </c>
      <c r="P1049" t="str">
        <f>TEXT(tbl_working_daily[[#This Row],[ActivityDate]],"dddd")</f>
        <v>Thursday</v>
      </c>
      <c r="Q1049" t="str">
        <f>TEXT(tbl_working_daily[[#This Row],[ActivityDate]],"mmmm")</f>
        <v>April</v>
      </c>
      <c r="R1049">
        <f t="shared" si="32"/>
        <v>324</v>
      </c>
      <c r="S1049">
        <f t="shared" si="33"/>
        <v>903</v>
      </c>
      <c r="T1049">
        <f>ROUND(tbl_working_daily[[#This Row],[SedentaryMinutes]]/60,2)</f>
        <v>9.65</v>
      </c>
      <c r="U1049" t="str" cm="1">
        <f t="array" ref="U104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049" t="str" cm="1">
        <f t="array" ref="V1049">_xlfn.IFS(tbl_working_daily[[#This Row],[VeryActiveMinutes]]&gt;=30,"Very Active",tbl_working_daily[[#This Row],[VeryActiveMinutes]]&gt;=15,"Moderately Active",tbl_working_daily[[#This Row],[VeryActiveMinutes]]&gt;=1,"Lightly Active",tbl_working_daily[[#This Row],[VeryActiveMinutes]]=0,"Sedentary")</f>
        <v>Lightly Active</v>
      </c>
      <c r="W1049" t="str">
        <f>tbl_working_daily[[#This Row],[Id]]&amp;"|"&amp;TEXT(tbl_working_daily[[#This Row],[ActivityDate]],"yyyy-mm-dd")</f>
        <v>6117666160|2016-04-21</v>
      </c>
      <c r="X1049" t="b">
        <f>ISNUMBER(MATCH(tbl_working_daily[[#This Row],[LookupKey]],tbl_working_sleep[LookupKey],0))</f>
        <v>1</v>
      </c>
    </row>
    <row r="1050" spans="1:24" x14ac:dyDescent="0.3">
      <c r="A1050">
        <v>6117666160</v>
      </c>
      <c r="B1050" s="1">
        <v>42482</v>
      </c>
      <c r="C1050">
        <v>8206</v>
      </c>
      <c r="D1050">
        <v>6.1999998092651403</v>
      </c>
      <c r="E1050">
        <v>6.1999998092651403</v>
      </c>
      <c r="F1050">
        <v>0</v>
      </c>
      <c r="G1050">
        <v>0</v>
      </c>
      <c r="H1050">
        <v>0</v>
      </c>
      <c r="I1050">
        <v>6.1999998092651403</v>
      </c>
      <c r="J1050">
        <v>0</v>
      </c>
      <c r="K1050">
        <v>0</v>
      </c>
      <c r="L1050">
        <v>0</v>
      </c>
      <c r="M1050">
        <v>402</v>
      </c>
      <c r="N1050">
        <v>413</v>
      </c>
      <c r="O1050">
        <v>2409</v>
      </c>
      <c r="P1050" t="str">
        <f>TEXT(tbl_working_daily[[#This Row],[ActivityDate]],"dddd")</f>
        <v>Friday</v>
      </c>
      <c r="Q1050" t="str">
        <f>TEXT(tbl_working_daily[[#This Row],[ActivityDate]],"mmmm")</f>
        <v>April</v>
      </c>
      <c r="R1050">
        <f t="shared" si="32"/>
        <v>402</v>
      </c>
      <c r="S1050">
        <f t="shared" si="33"/>
        <v>815</v>
      </c>
      <c r="T1050">
        <f>ROUND(tbl_working_daily[[#This Row],[SedentaryMinutes]]/60,2)</f>
        <v>6.88</v>
      </c>
      <c r="U1050" t="str" cm="1">
        <f t="array" ref="U105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50" t="str" cm="1">
        <f t="array" ref="V1050">_xlfn.IFS(tbl_working_daily[[#This Row],[VeryActiveMinutes]]&gt;=30,"Very Active",tbl_working_daily[[#This Row],[VeryActiveMinutes]]&gt;=15,"Moderately Active",tbl_working_daily[[#This Row],[VeryActiveMinutes]]&gt;=1,"Lightly Active",tbl_working_daily[[#This Row],[VeryActiveMinutes]]=0,"Sedentary")</f>
        <v>Sedentary</v>
      </c>
      <c r="W1050" t="str">
        <f>tbl_working_daily[[#This Row],[Id]]&amp;"|"&amp;TEXT(tbl_working_daily[[#This Row],[ActivityDate]],"yyyy-mm-dd")</f>
        <v>6117666160|2016-04-22</v>
      </c>
      <c r="X1050" t="b">
        <f>ISNUMBER(MATCH(tbl_working_daily[[#This Row],[LookupKey]],tbl_working_sleep[LookupKey],0))</f>
        <v>1</v>
      </c>
    </row>
    <row r="1051" spans="1:24" x14ac:dyDescent="0.3">
      <c r="A1051">
        <v>6117666160</v>
      </c>
      <c r="B1051" s="1">
        <v>42483</v>
      </c>
      <c r="C1051">
        <v>11495</v>
      </c>
      <c r="D1051">
        <v>8.6800003051757795</v>
      </c>
      <c r="E1051">
        <v>8.6800003051757795</v>
      </c>
      <c r="F1051">
        <v>0</v>
      </c>
      <c r="G1051">
        <v>0</v>
      </c>
      <c r="H1051">
        <v>0</v>
      </c>
      <c r="I1051">
        <v>8.6800003051757795</v>
      </c>
      <c r="J1051">
        <v>0</v>
      </c>
      <c r="K1051">
        <v>0</v>
      </c>
      <c r="L1051">
        <v>0</v>
      </c>
      <c r="M1051">
        <v>512</v>
      </c>
      <c r="N1051">
        <v>468</v>
      </c>
      <c r="O1051">
        <v>2651</v>
      </c>
      <c r="P1051" t="str">
        <f>TEXT(tbl_working_daily[[#This Row],[ActivityDate]],"dddd")</f>
        <v>Saturday</v>
      </c>
      <c r="Q1051" t="str">
        <f>TEXT(tbl_working_daily[[#This Row],[ActivityDate]],"mmmm")</f>
        <v>April</v>
      </c>
      <c r="R1051">
        <f t="shared" si="32"/>
        <v>512</v>
      </c>
      <c r="S1051">
        <f t="shared" si="33"/>
        <v>980</v>
      </c>
      <c r="T1051">
        <f>ROUND(tbl_working_daily[[#This Row],[SedentaryMinutes]]/60,2)</f>
        <v>7.8</v>
      </c>
      <c r="U1051" t="str" cm="1">
        <f t="array" ref="U105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051" t="str" cm="1">
        <f t="array" ref="V1051">_xlfn.IFS(tbl_working_daily[[#This Row],[VeryActiveMinutes]]&gt;=30,"Very Active",tbl_working_daily[[#This Row],[VeryActiveMinutes]]&gt;=15,"Moderately Active",tbl_working_daily[[#This Row],[VeryActiveMinutes]]&gt;=1,"Lightly Active",tbl_working_daily[[#This Row],[VeryActiveMinutes]]=0,"Sedentary")</f>
        <v>Sedentary</v>
      </c>
      <c r="W1051" t="str">
        <f>tbl_working_daily[[#This Row],[Id]]&amp;"|"&amp;TEXT(tbl_working_daily[[#This Row],[ActivityDate]],"yyyy-mm-dd")</f>
        <v>6117666160|2016-04-23</v>
      </c>
      <c r="X1051" t="b">
        <f>ISNUMBER(MATCH(tbl_working_daily[[#This Row],[LookupKey]],tbl_working_sleep[LookupKey],0))</f>
        <v>1</v>
      </c>
    </row>
    <row r="1052" spans="1:24" x14ac:dyDescent="0.3">
      <c r="A1052">
        <v>6117666160</v>
      </c>
      <c r="B1052" s="1">
        <v>42484</v>
      </c>
      <c r="C1052">
        <v>7623</v>
      </c>
      <c r="D1052">
        <v>5.7600002288818404</v>
      </c>
      <c r="E1052">
        <v>5.7600002288818404</v>
      </c>
      <c r="F1052">
        <v>0</v>
      </c>
      <c r="G1052">
        <v>0</v>
      </c>
      <c r="H1052">
        <v>0</v>
      </c>
      <c r="I1052">
        <v>5.7600002288818404</v>
      </c>
      <c r="J1052">
        <v>0</v>
      </c>
      <c r="K1052">
        <v>0</v>
      </c>
      <c r="L1052">
        <v>0</v>
      </c>
      <c r="M1052">
        <v>362</v>
      </c>
      <c r="N1052">
        <v>711</v>
      </c>
      <c r="O1052">
        <v>2305</v>
      </c>
      <c r="P1052" t="str">
        <f>TEXT(tbl_working_daily[[#This Row],[ActivityDate]],"dddd")</f>
        <v>Sunday</v>
      </c>
      <c r="Q1052" t="str">
        <f>TEXT(tbl_working_daily[[#This Row],[ActivityDate]],"mmmm")</f>
        <v>April</v>
      </c>
      <c r="R1052">
        <f t="shared" si="32"/>
        <v>362</v>
      </c>
      <c r="S1052">
        <f t="shared" si="33"/>
        <v>1073</v>
      </c>
      <c r="T1052">
        <f>ROUND(tbl_working_daily[[#This Row],[SedentaryMinutes]]/60,2)</f>
        <v>11.85</v>
      </c>
      <c r="U1052" t="str" cm="1">
        <f t="array" ref="U105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52" t="str" cm="1">
        <f t="array" ref="V1052">_xlfn.IFS(tbl_working_daily[[#This Row],[VeryActiveMinutes]]&gt;=30,"Very Active",tbl_working_daily[[#This Row],[VeryActiveMinutes]]&gt;=15,"Moderately Active",tbl_working_daily[[#This Row],[VeryActiveMinutes]]&gt;=1,"Lightly Active",tbl_working_daily[[#This Row],[VeryActiveMinutes]]=0,"Sedentary")</f>
        <v>Sedentary</v>
      </c>
      <c r="W1052" t="str">
        <f>tbl_working_daily[[#This Row],[Id]]&amp;"|"&amp;TEXT(tbl_working_daily[[#This Row],[ActivityDate]],"yyyy-mm-dd")</f>
        <v>6117666160|2016-04-24</v>
      </c>
      <c r="X1052" t="b">
        <f>ISNUMBER(MATCH(tbl_working_daily[[#This Row],[LookupKey]],tbl_working_sleep[LookupKey],0))</f>
        <v>1</v>
      </c>
    </row>
    <row r="1053" spans="1:24" x14ac:dyDescent="0.3">
      <c r="A1053">
        <v>6117666160</v>
      </c>
      <c r="B1053" s="1">
        <v>42485</v>
      </c>
      <c r="C1053">
        <v>0</v>
      </c>
      <c r="D1053">
        <v>0</v>
      </c>
      <c r="E1053">
        <v>0</v>
      </c>
      <c r="F1053">
        <v>0</v>
      </c>
      <c r="G1053">
        <v>0</v>
      </c>
      <c r="H1053">
        <v>0</v>
      </c>
      <c r="I1053">
        <v>0</v>
      </c>
      <c r="J1053">
        <v>0</v>
      </c>
      <c r="K1053">
        <v>0</v>
      </c>
      <c r="L1053">
        <v>0</v>
      </c>
      <c r="M1053">
        <v>0</v>
      </c>
      <c r="N1053">
        <v>1440</v>
      </c>
      <c r="O1053">
        <v>1497</v>
      </c>
      <c r="P1053" t="str">
        <f>TEXT(tbl_working_daily[[#This Row],[ActivityDate]],"dddd")</f>
        <v>Monday</v>
      </c>
      <c r="Q1053" t="str">
        <f>TEXT(tbl_working_daily[[#This Row],[ActivityDate]],"mmmm")</f>
        <v>April</v>
      </c>
      <c r="R1053">
        <f t="shared" si="32"/>
        <v>0</v>
      </c>
      <c r="S1053">
        <f t="shared" si="33"/>
        <v>1440</v>
      </c>
      <c r="T1053">
        <f>ROUND(tbl_working_daily[[#This Row],[SedentaryMinutes]]/60,2)</f>
        <v>24</v>
      </c>
      <c r="U1053" t="str" cm="1">
        <f t="array" ref="U105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53" t="str" cm="1">
        <f t="array" ref="V1053">_xlfn.IFS(tbl_working_daily[[#This Row],[VeryActiveMinutes]]&gt;=30,"Very Active",tbl_working_daily[[#This Row],[VeryActiveMinutes]]&gt;=15,"Moderately Active",tbl_working_daily[[#This Row],[VeryActiveMinutes]]&gt;=1,"Lightly Active",tbl_working_daily[[#This Row],[VeryActiveMinutes]]=0,"Sedentary")</f>
        <v>Sedentary</v>
      </c>
      <c r="W1053" t="str">
        <f>tbl_working_daily[[#This Row],[Id]]&amp;"|"&amp;TEXT(tbl_working_daily[[#This Row],[ActivityDate]],"yyyy-mm-dd")</f>
        <v>6117666160|2016-04-25</v>
      </c>
      <c r="X1053" t="b">
        <f>ISNUMBER(MATCH(tbl_working_daily[[#This Row],[LookupKey]],tbl_working_sleep[LookupKey],0))</f>
        <v>0</v>
      </c>
    </row>
    <row r="1054" spans="1:24" x14ac:dyDescent="0.3">
      <c r="A1054">
        <v>6117666160</v>
      </c>
      <c r="B1054" s="1">
        <v>42486</v>
      </c>
      <c r="C1054">
        <v>9543</v>
      </c>
      <c r="D1054">
        <v>7.21000003814697</v>
      </c>
      <c r="E1054">
        <v>7.21000003814697</v>
      </c>
      <c r="F1054">
        <v>0</v>
      </c>
      <c r="G1054">
        <v>0</v>
      </c>
      <c r="H1054">
        <v>0.34000000357627902</v>
      </c>
      <c r="I1054">
        <v>6.8699998855590803</v>
      </c>
      <c r="J1054">
        <v>0</v>
      </c>
      <c r="K1054">
        <v>0</v>
      </c>
      <c r="L1054">
        <v>7</v>
      </c>
      <c r="M1054">
        <v>352</v>
      </c>
      <c r="N1054">
        <v>1077</v>
      </c>
      <c r="O1054">
        <v>2450</v>
      </c>
      <c r="P1054" t="str">
        <f>TEXT(tbl_working_daily[[#This Row],[ActivityDate]],"dddd")</f>
        <v>Tuesday</v>
      </c>
      <c r="Q1054" t="str">
        <f>TEXT(tbl_working_daily[[#This Row],[ActivityDate]],"mmmm")</f>
        <v>April</v>
      </c>
      <c r="R1054">
        <f t="shared" si="32"/>
        <v>359</v>
      </c>
      <c r="S1054">
        <f t="shared" si="33"/>
        <v>1436</v>
      </c>
      <c r="T1054">
        <f>ROUND(tbl_working_daily[[#This Row],[SedentaryMinutes]]/60,2)</f>
        <v>17.95</v>
      </c>
      <c r="U1054" t="str" cm="1">
        <f t="array" ref="U105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54" t="str" cm="1">
        <f t="array" ref="V1054">_xlfn.IFS(tbl_working_daily[[#This Row],[VeryActiveMinutes]]&gt;=30,"Very Active",tbl_working_daily[[#This Row],[VeryActiveMinutes]]&gt;=15,"Moderately Active",tbl_working_daily[[#This Row],[VeryActiveMinutes]]&gt;=1,"Lightly Active",tbl_working_daily[[#This Row],[VeryActiveMinutes]]=0,"Sedentary")</f>
        <v>Sedentary</v>
      </c>
      <c r="W1054" t="str">
        <f>tbl_working_daily[[#This Row],[Id]]&amp;"|"&amp;TEXT(tbl_working_daily[[#This Row],[ActivityDate]],"yyyy-mm-dd")</f>
        <v>6117666160|2016-04-26</v>
      </c>
      <c r="X1054" t="b">
        <f>ISNUMBER(MATCH(tbl_working_daily[[#This Row],[LookupKey]],tbl_working_sleep[LookupKey],0))</f>
        <v>0</v>
      </c>
    </row>
    <row r="1055" spans="1:24" x14ac:dyDescent="0.3">
      <c r="A1055">
        <v>6117666160</v>
      </c>
      <c r="B1055" s="1">
        <v>42487</v>
      </c>
      <c r="C1055">
        <v>9411</v>
      </c>
      <c r="D1055">
        <v>7.1100001335143999</v>
      </c>
      <c r="E1055">
        <v>7.1100001335143999</v>
      </c>
      <c r="F1055">
        <v>0</v>
      </c>
      <c r="G1055">
        <v>0</v>
      </c>
      <c r="H1055">
        <v>0</v>
      </c>
      <c r="I1055">
        <v>7.1100001335143999</v>
      </c>
      <c r="J1055">
        <v>0</v>
      </c>
      <c r="K1055">
        <v>0</v>
      </c>
      <c r="L1055">
        <v>0</v>
      </c>
      <c r="M1055">
        <v>458</v>
      </c>
      <c r="N1055">
        <v>417</v>
      </c>
      <c r="O1055">
        <v>2576</v>
      </c>
      <c r="P1055" t="str">
        <f>TEXT(tbl_working_daily[[#This Row],[ActivityDate]],"dddd")</f>
        <v>Wednesday</v>
      </c>
      <c r="Q1055" t="str">
        <f>TEXT(tbl_working_daily[[#This Row],[ActivityDate]],"mmmm")</f>
        <v>April</v>
      </c>
      <c r="R1055">
        <f t="shared" si="32"/>
        <v>458</v>
      </c>
      <c r="S1055">
        <f t="shared" si="33"/>
        <v>875</v>
      </c>
      <c r="T1055">
        <f>ROUND(tbl_working_daily[[#This Row],[SedentaryMinutes]]/60,2)</f>
        <v>6.95</v>
      </c>
      <c r="U1055" t="str" cm="1">
        <f t="array" ref="U105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55" t="str" cm="1">
        <f t="array" ref="V1055">_xlfn.IFS(tbl_working_daily[[#This Row],[VeryActiveMinutes]]&gt;=30,"Very Active",tbl_working_daily[[#This Row],[VeryActiveMinutes]]&gt;=15,"Moderately Active",tbl_working_daily[[#This Row],[VeryActiveMinutes]]&gt;=1,"Lightly Active",tbl_working_daily[[#This Row],[VeryActiveMinutes]]=0,"Sedentary")</f>
        <v>Sedentary</v>
      </c>
      <c r="W1055" t="str">
        <f>tbl_working_daily[[#This Row],[Id]]&amp;"|"&amp;TEXT(tbl_working_daily[[#This Row],[ActivityDate]],"yyyy-mm-dd")</f>
        <v>6117666160|2016-04-27</v>
      </c>
      <c r="X1055" t="b">
        <f>ISNUMBER(MATCH(tbl_working_daily[[#This Row],[LookupKey]],tbl_working_sleep[LookupKey],0))</f>
        <v>1</v>
      </c>
    </row>
    <row r="1056" spans="1:24" x14ac:dyDescent="0.3">
      <c r="A1056">
        <v>6117666160</v>
      </c>
      <c r="B1056" s="1">
        <v>42488</v>
      </c>
      <c r="C1056">
        <v>3403</v>
      </c>
      <c r="D1056">
        <v>2.5999999046325701</v>
      </c>
      <c r="E1056">
        <v>2.5999999046325701</v>
      </c>
      <c r="F1056">
        <v>0</v>
      </c>
      <c r="G1056">
        <v>0</v>
      </c>
      <c r="H1056">
        <v>0</v>
      </c>
      <c r="I1056">
        <v>2.5999999046325701</v>
      </c>
      <c r="J1056">
        <v>0</v>
      </c>
      <c r="K1056">
        <v>0</v>
      </c>
      <c r="L1056">
        <v>0</v>
      </c>
      <c r="M1056">
        <v>141</v>
      </c>
      <c r="N1056">
        <v>758</v>
      </c>
      <c r="O1056">
        <v>1879</v>
      </c>
      <c r="P1056" t="str">
        <f>TEXT(tbl_working_daily[[#This Row],[ActivityDate]],"dddd")</f>
        <v>Thursday</v>
      </c>
      <c r="Q1056" t="str">
        <f>TEXT(tbl_working_daily[[#This Row],[ActivityDate]],"mmmm")</f>
        <v>April</v>
      </c>
      <c r="R1056">
        <f t="shared" si="32"/>
        <v>141</v>
      </c>
      <c r="S1056">
        <f t="shared" si="33"/>
        <v>899</v>
      </c>
      <c r="T1056">
        <f>ROUND(tbl_working_daily[[#This Row],[SedentaryMinutes]]/60,2)</f>
        <v>12.63</v>
      </c>
      <c r="U1056" t="str" cm="1">
        <f t="array" ref="U105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56" t="str" cm="1">
        <f t="array" ref="V1056">_xlfn.IFS(tbl_working_daily[[#This Row],[VeryActiveMinutes]]&gt;=30,"Very Active",tbl_working_daily[[#This Row],[VeryActiveMinutes]]&gt;=15,"Moderately Active",tbl_working_daily[[#This Row],[VeryActiveMinutes]]&gt;=1,"Lightly Active",tbl_working_daily[[#This Row],[VeryActiveMinutes]]=0,"Sedentary")</f>
        <v>Sedentary</v>
      </c>
      <c r="W1056" t="str">
        <f>tbl_working_daily[[#This Row],[Id]]&amp;"|"&amp;TEXT(tbl_working_daily[[#This Row],[ActivityDate]],"yyyy-mm-dd")</f>
        <v>6117666160|2016-04-28</v>
      </c>
      <c r="X1056" t="b">
        <f>ISNUMBER(MATCH(tbl_working_daily[[#This Row],[LookupKey]],tbl_working_sleep[LookupKey],0))</f>
        <v>1</v>
      </c>
    </row>
    <row r="1057" spans="1:24" x14ac:dyDescent="0.3">
      <c r="A1057">
        <v>6117666160</v>
      </c>
      <c r="B1057" s="1">
        <v>42489</v>
      </c>
      <c r="C1057">
        <v>9592</v>
      </c>
      <c r="D1057">
        <v>7.2399997711181596</v>
      </c>
      <c r="E1057">
        <v>7.2399997711181596</v>
      </c>
      <c r="F1057">
        <v>0</v>
      </c>
      <c r="G1057">
        <v>0</v>
      </c>
      <c r="H1057">
        <v>0</v>
      </c>
      <c r="I1057">
        <v>7.2399997711181596</v>
      </c>
      <c r="J1057">
        <v>0</v>
      </c>
      <c r="K1057">
        <v>0</v>
      </c>
      <c r="L1057">
        <v>0</v>
      </c>
      <c r="M1057">
        <v>461</v>
      </c>
      <c r="N1057">
        <v>479</v>
      </c>
      <c r="O1057">
        <v>2560</v>
      </c>
      <c r="P1057" t="str">
        <f>TEXT(tbl_working_daily[[#This Row],[ActivityDate]],"dddd")</f>
        <v>Friday</v>
      </c>
      <c r="Q1057" t="str">
        <f>TEXT(tbl_working_daily[[#This Row],[ActivityDate]],"mmmm")</f>
        <v>April</v>
      </c>
      <c r="R1057">
        <f t="shared" si="32"/>
        <v>461</v>
      </c>
      <c r="S1057">
        <f t="shared" si="33"/>
        <v>940</v>
      </c>
      <c r="T1057">
        <f>ROUND(tbl_working_daily[[#This Row],[SedentaryMinutes]]/60,2)</f>
        <v>7.98</v>
      </c>
      <c r="U1057" t="str" cm="1">
        <f t="array" ref="U105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57" t="str" cm="1">
        <f t="array" ref="V1057">_xlfn.IFS(tbl_working_daily[[#This Row],[VeryActiveMinutes]]&gt;=30,"Very Active",tbl_working_daily[[#This Row],[VeryActiveMinutes]]&gt;=15,"Moderately Active",tbl_working_daily[[#This Row],[VeryActiveMinutes]]&gt;=1,"Lightly Active",tbl_working_daily[[#This Row],[VeryActiveMinutes]]=0,"Sedentary")</f>
        <v>Sedentary</v>
      </c>
      <c r="W1057" t="str">
        <f>tbl_working_daily[[#This Row],[Id]]&amp;"|"&amp;TEXT(tbl_working_daily[[#This Row],[ActivityDate]],"yyyy-mm-dd")</f>
        <v>6117666160|2016-04-29</v>
      </c>
      <c r="X1057" t="b">
        <f>ISNUMBER(MATCH(tbl_working_daily[[#This Row],[LookupKey]],tbl_working_sleep[LookupKey],0))</f>
        <v>1</v>
      </c>
    </row>
    <row r="1058" spans="1:24" x14ac:dyDescent="0.3">
      <c r="A1058">
        <v>6117666160</v>
      </c>
      <c r="B1058" s="1">
        <v>42490</v>
      </c>
      <c r="C1058">
        <v>6987</v>
      </c>
      <c r="D1058">
        <v>5.2800002098083496</v>
      </c>
      <c r="E1058">
        <v>5.2800002098083496</v>
      </c>
      <c r="F1058">
        <v>0</v>
      </c>
      <c r="G1058">
        <v>0</v>
      </c>
      <c r="H1058">
        <v>0</v>
      </c>
      <c r="I1058">
        <v>5.2800002098083496</v>
      </c>
      <c r="J1058">
        <v>0</v>
      </c>
      <c r="K1058">
        <v>0</v>
      </c>
      <c r="L1058">
        <v>0</v>
      </c>
      <c r="M1058">
        <v>343</v>
      </c>
      <c r="N1058">
        <v>1040</v>
      </c>
      <c r="O1058">
        <v>2275</v>
      </c>
      <c r="P1058" t="str">
        <f>TEXT(tbl_working_daily[[#This Row],[ActivityDate]],"dddd")</f>
        <v>Saturday</v>
      </c>
      <c r="Q1058" t="str">
        <f>TEXT(tbl_working_daily[[#This Row],[ActivityDate]],"mmmm")</f>
        <v>April</v>
      </c>
      <c r="R1058">
        <f t="shared" si="32"/>
        <v>343</v>
      </c>
      <c r="S1058">
        <f t="shared" si="33"/>
        <v>1383</v>
      </c>
      <c r="T1058">
        <f>ROUND(tbl_working_daily[[#This Row],[SedentaryMinutes]]/60,2)</f>
        <v>17.329999999999998</v>
      </c>
      <c r="U1058" t="str" cm="1">
        <f t="array" ref="U105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58" t="str" cm="1">
        <f t="array" ref="V1058">_xlfn.IFS(tbl_working_daily[[#This Row],[VeryActiveMinutes]]&gt;=30,"Very Active",tbl_working_daily[[#This Row],[VeryActiveMinutes]]&gt;=15,"Moderately Active",tbl_working_daily[[#This Row],[VeryActiveMinutes]]&gt;=1,"Lightly Active",tbl_working_daily[[#This Row],[VeryActiveMinutes]]=0,"Sedentary")</f>
        <v>Sedentary</v>
      </c>
      <c r="W1058" t="str">
        <f>tbl_working_daily[[#This Row],[Id]]&amp;"|"&amp;TEXT(tbl_working_daily[[#This Row],[ActivityDate]],"yyyy-mm-dd")</f>
        <v>6117666160|2016-04-30</v>
      </c>
      <c r="X1058" t="b">
        <f>ISNUMBER(MATCH(tbl_working_daily[[#This Row],[LookupKey]],tbl_working_sleep[LookupKey],0))</f>
        <v>0</v>
      </c>
    </row>
    <row r="1059" spans="1:24" x14ac:dyDescent="0.3">
      <c r="A1059">
        <v>6117666160</v>
      </c>
      <c r="B1059" s="1">
        <v>42491</v>
      </c>
      <c r="C1059">
        <v>8915</v>
      </c>
      <c r="D1059">
        <v>6.7300000190734899</v>
      </c>
      <c r="E1059">
        <v>6.7300000190734899</v>
      </c>
      <c r="F1059">
        <v>0</v>
      </c>
      <c r="G1059">
        <v>0</v>
      </c>
      <c r="H1059">
        <v>0</v>
      </c>
      <c r="I1059">
        <v>6.7300000190734899</v>
      </c>
      <c r="J1059">
        <v>0</v>
      </c>
      <c r="K1059">
        <v>0</v>
      </c>
      <c r="L1059">
        <v>0</v>
      </c>
      <c r="M1059">
        <v>397</v>
      </c>
      <c r="N1059">
        <v>525</v>
      </c>
      <c r="O1059">
        <v>2361</v>
      </c>
      <c r="P1059" t="str">
        <f>TEXT(tbl_working_daily[[#This Row],[ActivityDate]],"dddd")</f>
        <v>Sunday</v>
      </c>
      <c r="Q1059" t="str">
        <f>TEXT(tbl_working_daily[[#This Row],[ActivityDate]],"mmmm")</f>
        <v>May</v>
      </c>
      <c r="R1059">
        <f t="shared" si="32"/>
        <v>397</v>
      </c>
      <c r="S1059">
        <f t="shared" si="33"/>
        <v>922</v>
      </c>
      <c r="T1059">
        <f>ROUND(tbl_working_daily[[#This Row],[SedentaryMinutes]]/60,2)</f>
        <v>8.75</v>
      </c>
      <c r="U1059" t="str" cm="1">
        <f t="array" ref="U105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59" t="str" cm="1">
        <f t="array" ref="V1059">_xlfn.IFS(tbl_working_daily[[#This Row],[VeryActiveMinutes]]&gt;=30,"Very Active",tbl_working_daily[[#This Row],[VeryActiveMinutes]]&gt;=15,"Moderately Active",tbl_working_daily[[#This Row],[VeryActiveMinutes]]&gt;=1,"Lightly Active",tbl_working_daily[[#This Row],[VeryActiveMinutes]]=0,"Sedentary")</f>
        <v>Sedentary</v>
      </c>
      <c r="W1059" t="str">
        <f>tbl_working_daily[[#This Row],[Id]]&amp;"|"&amp;TEXT(tbl_working_daily[[#This Row],[ActivityDate]],"yyyy-mm-dd")</f>
        <v>6117666160|2016-05-01</v>
      </c>
      <c r="X1059" t="b">
        <f>ISNUMBER(MATCH(tbl_working_daily[[#This Row],[LookupKey]],tbl_working_sleep[LookupKey],0))</f>
        <v>1</v>
      </c>
    </row>
    <row r="1060" spans="1:24" x14ac:dyDescent="0.3">
      <c r="A1060">
        <v>6117666160</v>
      </c>
      <c r="B1060" s="1">
        <v>42492</v>
      </c>
      <c r="C1060">
        <v>4933</v>
      </c>
      <c r="D1060">
        <v>3.7300000190734899</v>
      </c>
      <c r="E1060">
        <v>3.7300000190734899</v>
      </c>
      <c r="F1060">
        <v>0</v>
      </c>
      <c r="G1060">
        <v>0</v>
      </c>
      <c r="H1060">
        <v>0</v>
      </c>
      <c r="I1060">
        <v>3.7300000190734899</v>
      </c>
      <c r="J1060">
        <v>0</v>
      </c>
      <c r="K1060">
        <v>0</v>
      </c>
      <c r="L1060">
        <v>0</v>
      </c>
      <c r="M1060">
        <v>236</v>
      </c>
      <c r="N1060">
        <v>1204</v>
      </c>
      <c r="O1060">
        <v>2044</v>
      </c>
      <c r="P1060" t="str">
        <f>TEXT(tbl_working_daily[[#This Row],[ActivityDate]],"dddd")</f>
        <v>Monday</v>
      </c>
      <c r="Q1060" t="str">
        <f>TEXT(tbl_working_daily[[#This Row],[ActivityDate]],"mmmm")</f>
        <v>May</v>
      </c>
      <c r="R1060">
        <f t="shared" si="32"/>
        <v>236</v>
      </c>
      <c r="S1060">
        <f t="shared" si="33"/>
        <v>1440</v>
      </c>
      <c r="T1060">
        <f>ROUND(tbl_working_daily[[#This Row],[SedentaryMinutes]]/60,2)</f>
        <v>20.07</v>
      </c>
      <c r="U1060" t="str" cm="1">
        <f t="array" ref="U106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0" t="str" cm="1">
        <f t="array" ref="V1060">_xlfn.IFS(tbl_working_daily[[#This Row],[VeryActiveMinutes]]&gt;=30,"Very Active",tbl_working_daily[[#This Row],[VeryActiveMinutes]]&gt;=15,"Moderately Active",tbl_working_daily[[#This Row],[VeryActiveMinutes]]&gt;=1,"Lightly Active",tbl_working_daily[[#This Row],[VeryActiveMinutes]]=0,"Sedentary")</f>
        <v>Sedentary</v>
      </c>
      <c r="W1060" t="str">
        <f>tbl_working_daily[[#This Row],[Id]]&amp;"|"&amp;TEXT(tbl_working_daily[[#This Row],[ActivityDate]],"yyyy-mm-dd")</f>
        <v>6117666160|2016-05-02</v>
      </c>
      <c r="X1060" t="b">
        <f>ISNUMBER(MATCH(tbl_working_daily[[#This Row],[LookupKey]],tbl_working_sleep[LookupKey],0))</f>
        <v>0</v>
      </c>
    </row>
    <row r="1061" spans="1:24" x14ac:dyDescent="0.3">
      <c r="A1061">
        <v>6117666160</v>
      </c>
      <c r="B1061" s="1">
        <v>42493</v>
      </c>
      <c r="C1061">
        <v>0</v>
      </c>
      <c r="D1061">
        <v>0</v>
      </c>
      <c r="E1061">
        <v>0</v>
      </c>
      <c r="F1061">
        <v>0</v>
      </c>
      <c r="G1061">
        <v>0</v>
      </c>
      <c r="H1061">
        <v>0</v>
      </c>
      <c r="I1061">
        <v>0</v>
      </c>
      <c r="J1061">
        <v>0</v>
      </c>
      <c r="K1061">
        <v>0</v>
      </c>
      <c r="L1061">
        <v>0</v>
      </c>
      <c r="M1061">
        <v>0</v>
      </c>
      <c r="N1061">
        <v>1440</v>
      </c>
      <c r="O1061">
        <v>1496</v>
      </c>
      <c r="P1061" t="str">
        <f>TEXT(tbl_working_daily[[#This Row],[ActivityDate]],"dddd")</f>
        <v>Tuesday</v>
      </c>
      <c r="Q1061" t="str">
        <f>TEXT(tbl_working_daily[[#This Row],[ActivityDate]],"mmmm")</f>
        <v>May</v>
      </c>
      <c r="R1061">
        <f t="shared" si="32"/>
        <v>0</v>
      </c>
      <c r="S1061">
        <f t="shared" si="33"/>
        <v>1440</v>
      </c>
      <c r="T1061">
        <f>ROUND(tbl_working_daily[[#This Row],[SedentaryMinutes]]/60,2)</f>
        <v>24</v>
      </c>
      <c r="U1061" t="str" cm="1">
        <f t="array" ref="U106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1" t="str" cm="1">
        <f t="array" ref="V1061">_xlfn.IFS(tbl_working_daily[[#This Row],[VeryActiveMinutes]]&gt;=30,"Very Active",tbl_working_daily[[#This Row],[VeryActiveMinutes]]&gt;=15,"Moderately Active",tbl_working_daily[[#This Row],[VeryActiveMinutes]]&gt;=1,"Lightly Active",tbl_working_daily[[#This Row],[VeryActiveMinutes]]=0,"Sedentary")</f>
        <v>Sedentary</v>
      </c>
      <c r="W1061" t="str">
        <f>tbl_working_daily[[#This Row],[Id]]&amp;"|"&amp;TEXT(tbl_working_daily[[#This Row],[ActivityDate]],"yyyy-mm-dd")</f>
        <v>6117666160|2016-05-03</v>
      </c>
      <c r="X1061" t="b">
        <f>ISNUMBER(MATCH(tbl_working_daily[[#This Row],[LookupKey]],tbl_working_sleep[LookupKey],0))</f>
        <v>0</v>
      </c>
    </row>
    <row r="1062" spans="1:24" x14ac:dyDescent="0.3">
      <c r="A1062">
        <v>6117666160</v>
      </c>
      <c r="B1062" s="1">
        <v>42494</v>
      </c>
      <c r="C1062">
        <v>2997</v>
      </c>
      <c r="D1062">
        <v>2.2599999904632599</v>
      </c>
      <c r="E1062">
        <v>2.2599999904632599</v>
      </c>
      <c r="F1062">
        <v>0</v>
      </c>
      <c r="G1062">
        <v>0</v>
      </c>
      <c r="H1062">
        <v>0</v>
      </c>
      <c r="I1062">
        <v>2.2599999904632599</v>
      </c>
      <c r="J1062">
        <v>0</v>
      </c>
      <c r="K1062">
        <v>0</v>
      </c>
      <c r="L1062">
        <v>0</v>
      </c>
      <c r="M1062">
        <v>156</v>
      </c>
      <c r="N1062">
        <v>1279</v>
      </c>
      <c r="O1062">
        <v>1902</v>
      </c>
      <c r="P1062" t="str">
        <f>TEXT(tbl_working_daily[[#This Row],[ActivityDate]],"dddd")</f>
        <v>Wednesday</v>
      </c>
      <c r="Q1062" t="str">
        <f>TEXT(tbl_working_daily[[#This Row],[ActivityDate]],"mmmm")</f>
        <v>May</v>
      </c>
      <c r="R1062">
        <f t="shared" si="32"/>
        <v>156</v>
      </c>
      <c r="S1062">
        <f t="shared" si="33"/>
        <v>1435</v>
      </c>
      <c r="T1062">
        <f>ROUND(tbl_working_daily[[#This Row],[SedentaryMinutes]]/60,2)</f>
        <v>21.32</v>
      </c>
      <c r="U1062" t="str" cm="1">
        <f t="array" ref="U106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2" t="str" cm="1">
        <f t="array" ref="V1062">_xlfn.IFS(tbl_working_daily[[#This Row],[VeryActiveMinutes]]&gt;=30,"Very Active",tbl_working_daily[[#This Row],[VeryActiveMinutes]]&gt;=15,"Moderately Active",tbl_working_daily[[#This Row],[VeryActiveMinutes]]&gt;=1,"Lightly Active",tbl_working_daily[[#This Row],[VeryActiveMinutes]]=0,"Sedentary")</f>
        <v>Sedentary</v>
      </c>
      <c r="W1062" t="str">
        <f>tbl_working_daily[[#This Row],[Id]]&amp;"|"&amp;TEXT(tbl_working_daily[[#This Row],[ActivityDate]],"yyyy-mm-dd")</f>
        <v>6117666160|2016-05-04</v>
      </c>
      <c r="X1062" t="b">
        <f>ISNUMBER(MATCH(tbl_working_daily[[#This Row],[LookupKey]],tbl_working_sleep[LookupKey],0))</f>
        <v>0</v>
      </c>
    </row>
    <row r="1063" spans="1:24" x14ac:dyDescent="0.3">
      <c r="A1063">
        <v>6117666160</v>
      </c>
      <c r="B1063" s="1">
        <v>42495</v>
      </c>
      <c r="C1063">
        <v>9799</v>
      </c>
      <c r="D1063">
        <v>7.4000000953674299</v>
      </c>
      <c r="E1063">
        <v>7.4000000953674299</v>
      </c>
      <c r="F1063">
        <v>0</v>
      </c>
      <c r="G1063">
        <v>0</v>
      </c>
      <c r="H1063">
        <v>0</v>
      </c>
      <c r="I1063">
        <v>7.4000000953674299</v>
      </c>
      <c r="J1063">
        <v>0</v>
      </c>
      <c r="K1063">
        <v>0</v>
      </c>
      <c r="L1063">
        <v>0</v>
      </c>
      <c r="M1063">
        <v>487</v>
      </c>
      <c r="N1063">
        <v>479</v>
      </c>
      <c r="O1063">
        <v>2636</v>
      </c>
      <c r="P1063" t="str">
        <f>TEXT(tbl_working_daily[[#This Row],[ActivityDate]],"dddd")</f>
        <v>Thursday</v>
      </c>
      <c r="Q1063" t="str">
        <f>TEXT(tbl_working_daily[[#This Row],[ActivityDate]],"mmmm")</f>
        <v>May</v>
      </c>
      <c r="R1063">
        <f t="shared" si="32"/>
        <v>487</v>
      </c>
      <c r="S1063">
        <f t="shared" si="33"/>
        <v>966</v>
      </c>
      <c r="T1063">
        <f>ROUND(tbl_working_daily[[#This Row],[SedentaryMinutes]]/60,2)</f>
        <v>7.98</v>
      </c>
      <c r="U1063" t="str" cm="1">
        <f t="array" ref="U106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63" t="str" cm="1">
        <f t="array" ref="V1063">_xlfn.IFS(tbl_working_daily[[#This Row],[VeryActiveMinutes]]&gt;=30,"Very Active",tbl_working_daily[[#This Row],[VeryActiveMinutes]]&gt;=15,"Moderately Active",tbl_working_daily[[#This Row],[VeryActiveMinutes]]&gt;=1,"Lightly Active",tbl_working_daily[[#This Row],[VeryActiveMinutes]]=0,"Sedentary")</f>
        <v>Sedentary</v>
      </c>
      <c r="W1063" t="str">
        <f>tbl_working_daily[[#This Row],[Id]]&amp;"|"&amp;TEXT(tbl_working_daily[[#This Row],[ActivityDate]],"yyyy-mm-dd")</f>
        <v>6117666160|2016-05-05</v>
      </c>
      <c r="X1063" t="b">
        <f>ISNUMBER(MATCH(tbl_working_daily[[#This Row],[LookupKey]],tbl_working_sleep[LookupKey],0))</f>
        <v>1</v>
      </c>
    </row>
    <row r="1064" spans="1:24" x14ac:dyDescent="0.3">
      <c r="A1064">
        <v>6117666160</v>
      </c>
      <c r="B1064" s="1">
        <v>42496</v>
      </c>
      <c r="C1064">
        <v>3365</v>
      </c>
      <c r="D1064">
        <v>2.6800000667571999</v>
      </c>
      <c r="E1064">
        <v>2.6800000667571999</v>
      </c>
      <c r="F1064">
        <v>0</v>
      </c>
      <c r="G1064">
        <v>0</v>
      </c>
      <c r="H1064">
        <v>0</v>
      </c>
      <c r="I1064">
        <v>2.6800000667571999</v>
      </c>
      <c r="J1064">
        <v>0</v>
      </c>
      <c r="K1064">
        <v>0</v>
      </c>
      <c r="L1064">
        <v>0</v>
      </c>
      <c r="M1064">
        <v>133</v>
      </c>
      <c r="N1064">
        <v>673</v>
      </c>
      <c r="O1064">
        <v>1838</v>
      </c>
      <c r="P1064" t="str">
        <f>TEXT(tbl_working_daily[[#This Row],[ActivityDate]],"dddd")</f>
        <v>Friday</v>
      </c>
      <c r="Q1064" t="str">
        <f>TEXT(tbl_working_daily[[#This Row],[ActivityDate]],"mmmm")</f>
        <v>May</v>
      </c>
      <c r="R1064">
        <f t="shared" si="32"/>
        <v>133</v>
      </c>
      <c r="S1064">
        <f t="shared" si="33"/>
        <v>806</v>
      </c>
      <c r="T1064">
        <f>ROUND(tbl_working_daily[[#This Row],[SedentaryMinutes]]/60,2)</f>
        <v>11.22</v>
      </c>
      <c r="U1064" t="str" cm="1">
        <f t="array" ref="U106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4" t="str" cm="1">
        <f t="array" ref="V1064">_xlfn.IFS(tbl_working_daily[[#This Row],[VeryActiveMinutes]]&gt;=30,"Very Active",tbl_working_daily[[#This Row],[VeryActiveMinutes]]&gt;=15,"Moderately Active",tbl_working_daily[[#This Row],[VeryActiveMinutes]]&gt;=1,"Lightly Active",tbl_working_daily[[#This Row],[VeryActiveMinutes]]=0,"Sedentary")</f>
        <v>Sedentary</v>
      </c>
      <c r="W1064" t="str">
        <f>tbl_working_daily[[#This Row],[Id]]&amp;"|"&amp;TEXT(tbl_working_daily[[#This Row],[ActivityDate]],"yyyy-mm-dd")</f>
        <v>6117666160|2016-05-06</v>
      </c>
      <c r="X1064" t="b">
        <f>ISNUMBER(MATCH(tbl_working_daily[[#This Row],[LookupKey]],tbl_working_sleep[LookupKey],0))</f>
        <v>1</v>
      </c>
    </row>
    <row r="1065" spans="1:24" x14ac:dyDescent="0.3">
      <c r="A1065">
        <v>6117666160</v>
      </c>
      <c r="B1065" s="1">
        <v>42497</v>
      </c>
      <c r="C1065">
        <v>7336</v>
      </c>
      <c r="D1065">
        <v>5.53999996185303</v>
      </c>
      <c r="E1065">
        <v>5.53999996185303</v>
      </c>
      <c r="F1065">
        <v>0</v>
      </c>
      <c r="G1065">
        <v>0</v>
      </c>
      <c r="H1065">
        <v>0</v>
      </c>
      <c r="I1065">
        <v>5.53999996185303</v>
      </c>
      <c r="J1065">
        <v>0</v>
      </c>
      <c r="K1065">
        <v>0</v>
      </c>
      <c r="L1065">
        <v>0</v>
      </c>
      <c r="M1065">
        <v>412</v>
      </c>
      <c r="N1065">
        <v>456</v>
      </c>
      <c r="O1065">
        <v>2469</v>
      </c>
      <c r="P1065" t="str">
        <f>TEXT(tbl_working_daily[[#This Row],[ActivityDate]],"dddd")</f>
        <v>Saturday</v>
      </c>
      <c r="Q1065" t="str">
        <f>TEXT(tbl_working_daily[[#This Row],[ActivityDate]],"mmmm")</f>
        <v>May</v>
      </c>
      <c r="R1065">
        <f t="shared" si="32"/>
        <v>412</v>
      </c>
      <c r="S1065">
        <f t="shared" si="33"/>
        <v>868</v>
      </c>
      <c r="T1065">
        <f>ROUND(tbl_working_daily[[#This Row],[SedentaryMinutes]]/60,2)</f>
        <v>7.6</v>
      </c>
      <c r="U1065" t="str" cm="1">
        <f t="array" ref="U106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65" t="str" cm="1">
        <f t="array" ref="V1065">_xlfn.IFS(tbl_working_daily[[#This Row],[VeryActiveMinutes]]&gt;=30,"Very Active",tbl_working_daily[[#This Row],[VeryActiveMinutes]]&gt;=15,"Moderately Active",tbl_working_daily[[#This Row],[VeryActiveMinutes]]&gt;=1,"Lightly Active",tbl_working_daily[[#This Row],[VeryActiveMinutes]]=0,"Sedentary")</f>
        <v>Sedentary</v>
      </c>
      <c r="W1065" t="str">
        <f>tbl_working_daily[[#This Row],[Id]]&amp;"|"&amp;TEXT(tbl_working_daily[[#This Row],[ActivityDate]],"yyyy-mm-dd")</f>
        <v>6117666160|2016-05-07</v>
      </c>
      <c r="X1065" t="b">
        <f>ISNUMBER(MATCH(tbl_working_daily[[#This Row],[LookupKey]],tbl_working_sleep[LookupKey],0))</f>
        <v>1</v>
      </c>
    </row>
    <row r="1066" spans="1:24" x14ac:dyDescent="0.3">
      <c r="A1066">
        <v>6117666160</v>
      </c>
      <c r="B1066" s="1">
        <v>42498</v>
      </c>
      <c r="C1066">
        <v>7328</v>
      </c>
      <c r="D1066">
        <v>5.5300002098083496</v>
      </c>
      <c r="E1066">
        <v>5.5300002098083496</v>
      </c>
      <c r="F1066">
        <v>0</v>
      </c>
      <c r="G1066">
        <v>0</v>
      </c>
      <c r="H1066">
        <v>0</v>
      </c>
      <c r="I1066">
        <v>5.5300002098083496</v>
      </c>
      <c r="J1066">
        <v>0</v>
      </c>
      <c r="K1066">
        <v>0</v>
      </c>
      <c r="L1066">
        <v>0</v>
      </c>
      <c r="M1066">
        <v>318</v>
      </c>
      <c r="N1066">
        <v>517</v>
      </c>
      <c r="O1066">
        <v>2250</v>
      </c>
      <c r="P1066" t="str">
        <f>TEXT(tbl_working_daily[[#This Row],[ActivityDate]],"dddd")</f>
        <v>Sunday</v>
      </c>
      <c r="Q1066" t="str">
        <f>TEXT(tbl_working_daily[[#This Row],[ActivityDate]],"mmmm")</f>
        <v>May</v>
      </c>
      <c r="R1066">
        <f t="shared" si="32"/>
        <v>318</v>
      </c>
      <c r="S1066">
        <f t="shared" si="33"/>
        <v>835</v>
      </c>
      <c r="T1066">
        <f>ROUND(tbl_working_daily[[#This Row],[SedentaryMinutes]]/60,2)</f>
        <v>8.6199999999999992</v>
      </c>
      <c r="U1066" t="str" cm="1">
        <f t="array" ref="U106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66" t="str" cm="1">
        <f t="array" ref="V1066">_xlfn.IFS(tbl_working_daily[[#This Row],[VeryActiveMinutes]]&gt;=30,"Very Active",tbl_working_daily[[#This Row],[VeryActiveMinutes]]&gt;=15,"Moderately Active",tbl_working_daily[[#This Row],[VeryActiveMinutes]]&gt;=1,"Lightly Active",tbl_working_daily[[#This Row],[VeryActiveMinutes]]=0,"Sedentary")</f>
        <v>Sedentary</v>
      </c>
      <c r="W1066" t="str">
        <f>tbl_working_daily[[#This Row],[Id]]&amp;"|"&amp;TEXT(tbl_working_daily[[#This Row],[ActivityDate]],"yyyy-mm-dd")</f>
        <v>6117666160|2016-05-08</v>
      </c>
      <c r="X1066" t="b">
        <f>ISNUMBER(MATCH(tbl_working_daily[[#This Row],[LookupKey]],tbl_working_sleep[LookupKey],0))</f>
        <v>1</v>
      </c>
    </row>
    <row r="1067" spans="1:24" x14ac:dyDescent="0.3">
      <c r="A1067">
        <v>6117666160</v>
      </c>
      <c r="B1067" s="1">
        <v>42499</v>
      </c>
      <c r="C1067">
        <v>4477</v>
      </c>
      <c r="D1067">
        <v>3.3800001144409202</v>
      </c>
      <c r="E1067">
        <v>3.3800001144409202</v>
      </c>
      <c r="F1067">
        <v>0</v>
      </c>
      <c r="G1067">
        <v>0</v>
      </c>
      <c r="H1067">
        <v>0</v>
      </c>
      <c r="I1067">
        <v>3.3800001144409202</v>
      </c>
      <c r="J1067">
        <v>0</v>
      </c>
      <c r="K1067">
        <v>0</v>
      </c>
      <c r="L1067">
        <v>0</v>
      </c>
      <c r="M1067">
        <v>197</v>
      </c>
      <c r="N1067">
        <v>125</v>
      </c>
      <c r="O1067">
        <v>1248</v>
      </c>
      <c r="P1067" t="str">
        <f>TEXT(tbl_working_daily[[#This Row],[ActivityDate]],"dddd")</f>
        <v>Monday</v>
      </c>
      <c r="Q1067" t="str">
        <f>TEXT(tbl_working_daily[[#This Row],[ActivityDate]],"mmmm")</f>
        <v>May</v>
      </c>
      <c r="R1067">
        <f t="shared" si="32"/>
        <v>197</v>
      </c>
      <c r="S1067">
        <f t="shared" si="33"/>
        <v>322</v>
      </c>
      <c r="T1067">
        <f>ROUND(tbl_working_daily[[#This Row],[SedentaryMinutes]]/60,2)</f>
        <v>2.08</v>
      </c>
      <c r="U1067" t="str" cm="1">
        <f t="array" ref="U106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7" t="str" cm="1">
        <f t="array" ref="V1067">_xlfn.IFS(tbl_working_daily[[#This Row],[VeryActiveMinutes]]&gt;=30,"Very Active",tbl_working_daily[[#This Row],[VeryActiveMinutes]]&gt;=15,"Moderately Active",tbl_working_daily[[#This Row],[VeryActiveMinutes]]&gt;=1,"Lightly Active",tbl_working_daily[[#This Row],[VeryActiveMinutes]]=0,"Sedentary")</f>
        <v>Sedentary</v>
      </c>
      <c r="W1067" t="str">
        <f>tbl_working_daily[[#This Row],[Id]]&amp;"|"&amp;TEXT(tbl_working_daily[[#This Row],[ActivityDate]],"yyyy-mm-dd")</f>
        <v>6117666160|2016-05-09</v>
      </c>
      <c r="X1067" t="b">
        <f>ISNUMBER(MATCH(tbl_working_daily[[#This Row],[LookupKey]],tbl_working_sleep[LookupKey],0))</f>
        <v>1</v>
      </c>
    </row>
    <row r="1068" spans="1:24" x14ac:dyDescent="0.3">
      <c r="A1068">
        <v>6290855005</v>
      </c>
      <c r="B1068" s="1">
        <v>42472</v>
      </c>
      <c r="C1068">
        <v>4562</v>
      </c>
      <c r="D1068">
        <v>3.4500000476837198</v>
      </c>
      <c r="E1068">
        <v>3.4500000476837198</v>
      </c>
      <c r="F1068">
        <v>0</v>
      </c>
      <c r="G1068">
        <v>0</v>
      </c>
      <c r="H1068">
        <v>0</v>
      </c>
      <c r="I1068">
        <v>3.4500000476837198</v>
      </c>
      <c r="J1068">
        <v>0</v>
      </c>
      <c r="K1068">
        <v>0</v>
      </c>
      <c r="L1068">
        <v>0</v>
      </c>
      <c r="M1068">
        <v>199</v>
      </c>
      <c r="N1068">
        <v>1241</v>
      </c>
      <c r="O1068">
        <v>2560</v>
      </c>
      <c r="P1068" t="str">
        <f>TEXT(tbl_working_daily[[#This Row],[ActivityDate]],"dddd")</f>
        <v>Tuesday</v>
      </c>
      <c r="Q1068" t="str">
        <f>TEXT(tbl_working_daily[[#This Row],[ActivityDate]],"mmmm")</f>
        <v>April</v>
      </c>
      <c r="R1068">
        <f t="shared" si="32"/>
        <v>199</v>
      </c>
      <c r="S1068">
        <f t="shared" si="33"/>
        <v>1440</v>
      </c>
      <c r="T1068">
        <f>ROUND(tbl_working_daily[[#This Row],[SedentaryMinutes]]/60,2)</f>
        <v>20.68</v>
      </c>
      <c r="U1068" t="str" cm="1">
        <f t="array" ref="U106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68" t="str" cm="1">
        <f t="array" ref="V1068">_xlfn.IFS(tbl_working_daily[[#This Row],[VeryActiveMinutes]]&gt;=30,"Very Active",tbl_working_daily[[#This Row],[VeryActiveMinutes]]&gt;=15,"Moderately Active",tbl_working_daily[[#This Row],[VeryActiveMinutes]]&gt;=1,"Lightly Active",tbl_working_daily[[#This Row],[VeryActiveMinutes]]=0,"Sedentary")</f>
        <v>Sedentary</v>
      </c>
      <c r="W1068" t="str">
        <f>tbl_working_daily[[#This Row],[Id]]&amp;"|"&amp;TEXT(tbl_working_daily[[#This Row],[ActivityDate]],"yyyy-mm-dd")</f>
        <v>6290855005|2016-04-12</v>
      </c>
      <c r="X1068" t="b">
        <f>ISNUMBER(MATCH(tbl_working_daily[[#This Row],[LookupKey]],tbl_working_sleep[LookupKey],0))</f>
        <v>0</v>
      </c>
    </row>
    <row r="1069" spans="1:24" x14ac:dyDescent="0.3">
      <c r="A1069">
        <v>6290855005</v>
      </c>
      <c r="B1069" s="1">
        <v>42473</v>
      </c>
      <c r="C1069">
        <v>7142</v>
      </c>
      <c r="D1069">
        <v>5.4000000953674299</v>
      </c>
      <c r="E1069">
        <v>5.4000000953674299</v>
      </c>
      <c r="F1069">
        <v>0</v>
      </c>
      <c r="G1069">
        <v>0</v>
      </c>
      <c r="H1069">
        <v>0</v>
      </c>
      <c r="I1069">
        <v>5.3899998664856001</v>
      </c>
      <c r="J1069">
        <v>9.9999997764825804E-3</v>
      </c>
      <c r="K1069">
        <v>0</v>
      </c>
      <c r="L1069">
        <v>0</v>
      </c>
      <c r="M1069">
        <v>350</v>
      </c>
      <c r="N1069">
        <v>1090</v>
      </c>
      <c r="O1069">
        <v>2905</v>
      </c>
      <c r="P1069" t="str">
        <f>TEXT(tbl_working_daily[[#This Row],[ActivityDate]],"dddd")</f>
        <v>Wednesday</v>
      </c>
      <c r="Q1069" t="str">
        <f>TEXT(tbl_working_daily[[#This Row],[ActivityDate]],"mmmm")</f>
        <v>April</v>
      </c>
      <c r="R1069">
        <f t="shared" si="32"/>
        <v>350</v>
      </c>
      <c r="S1069">
        <f t="shared" si="33"/>
        <v>1440</v>
      </c>
      <c r="T1069">
        <f>ROUND(tbl_working_daily[[#This Row],[SedentaryMinutes]]/60,2)</f>
        <v>18.170000000000002</v>
      </c>
      <c r="U1069" t="str" cm="1">
        <f t="array" ref="U106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69" t="str" cm="1">
        <f t="array" ref="V1069">_xlfn.IFS(tbl_working_daily[[#This Row],[VeryActiveMinutes]]&gt;=30,"Very Active",tbl_working_daily[[#This Row],[VeryActiveMinutes]]&gt;=15,"Moderately Active",tbl_working_daily[[#This Row],[VeryActiveMinutes]]&gt;=1,"Lightly Active",tbl_working_daily[[#This Row],[VeryActiveMinutes]]=0,"Sedentary")</f>
        <v>Sedentary</v>
      </c>
      <c r="W1069" t="str">
        <f>tbl_working_daily[[#This Row],[Id]]&amp;"|"&amp;TEXT(tbl_working_daily[[#This Row],[ActivityDate]],"yyyy-mm-dd")</f>
        <v>6290855005|2016-04-13</v>
      </c>
      <c r="X1069" t="b">
        <f>ISNUMBER(MATCH(tbl_working_daily[[#This Row],[LookupKey]],tbl_working_sleep[LookupKey],0))</f>
        <v>0</v>
      </c>
    </row>
    <row r="1070" spans="1:24" x14ac:dyDescent="0.3">
      <c r="A1070">
        <v>6290855005</v>
      </c>
      <c r="B1070" s="1">
        <v>42474</v>
      </c>
      <c r="C1070">
        <v>7671</v>
      </c>
      <c r="D1070">
        <v>5.8000001907348597</v>
      </c>
      <c r="E1070">
        <v>5.8000001907348597</v>
      </c>
      <c r="F1070">
        <v>0</v>
      </c>
      <c r="G1070">
        <v>0</v>
      </c>
      <c r="H1070">
        <v>0</v>
      </c>
      <c r="I1070">
        <v>5.7699999809265101</v>
      </c>
      <c r="J1070">
        <v>2.9999999329447701E-2</v>
      </c>
      <c r="K1070">
        <v>0</v>
      </c>
      <c r="L1070">
        <v>0</v>
      </c>
      <c r="M1070">
        <v>363</v>
      </c>
      <c r="N1070">
        <v>1077</v>
      </c>
      <c r="O1070">
        <v>2952</v>
      </c>
      <c r="P1070" t="str">
        <f>TEXT(tbl_working_daily[[#This Row],[ActivityDate]],"dddd")</f>
        <v>Thursday</v>
      </c>
      <c r="Q1070" t="str">
        <f>TEXT(tbl_working_daily[[#This Row],[ActivityDate]],"mmmm")</f>
        <v>April</v>
      </c>
      <c r="R1070">
        <f t="shared" si="32"/>
        <v>363</v>
      </c>
      <c r="S1070">
        <f t="shared" si="33"/>
        <v>1440</v>
      </c>
      <c r="T1070">
        <f>ROUND(tbl_working_daily[[#This Row],[SedentaryMinutes]]/60,2)</f>
        <v>17.95</v>
      </c>
      <c r="U1070" t="str" cm="1">
        <f t="array" ref="U107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70" t="str" cm="1">
        <f t="array" ref="V1070">_xlfn.IFS(tbl_working_daily[[#This Row],[VeryActiveMinutes]]&gt;=30,"Very Active",tbl_working_daily[[#This Row],[VeryActiveMinutes]]&gt;=15,"Moderately Active",tbl_working_daily[[#This Row],[VeryActiveMinutes]]&gt;=1,"Lightly Active",tbl_working_daily[[#This Row],[VeryActiveMinutes]]=0,"Sedentary")</f>
        <v>Sedentary</v>
      </c>
      <c r="W1070" t="str">
        <f>tbl_working_daily[[#This Row],[Id]]&amp;"|"&amp;TEXT(tbl_working_daily[[#This Row],[ActivityDate]],"yyyy-mm-dd")</f>
        <v>6290855005|2016-04-14</v>
      </c>
      <c r="X1070" t="b">
        <f>ISNUMBER(MATCH(tbl_working_daily[[#This Row],[LookupKey]],tbl_working_sleep[LookupKey],0))</f>
        <v>0</v>
      </c>
    </row>
    <row r="1071" spans="1:24" x14ac:dyDescent="0.3">
      <c r="A1071">
        <v>6290855005</v>
      </c>
      <c r="B1071" s="1">
        <v>42475</v>
      </c>
      <c r="C1071">
        <v>9501</v>
      </c>
      <c r="D1071">
        <v>7.1799998283386204</v>
      </c>
      <c r="E1071">
        <v>7.1799998283386204</v>
      </c>
      <c r="F1071">
        <v>0</v>
      </c>
      <c r="G1071">
        <v>0</v>
      </c>
      <c r="H1071">
        <v>0</v>
      </c>
      <c r="I1071">
        <v>7.1700000762939498</v>
      </c>
      <c r="J1071">
        <v>9.9999997764825804E-3</v>
      </c>
      <c r="K1071">
        <v>0</v>
      </c>
      <c r="L1071">
        <v>0</v>
      </c>
      <c r="M1071">
        <v>328</v>
      </c>
      <c r="N1071">
        <v>1112</v>
      </c>
      <c r="O1071">
        <v>2896</v>
      </c>
      <c r="P1071" t="str">
        <f>TEXT(tbl_working_daily[[#This Row],[ActivityDate]],"dddd")</f>
        <v>Friday</v>
      </c>
      <c r="Q1071" t="str">
        <f>TEXT(tbl_working_daily[[#This Row],[ActivityDate]],"mmmm")</f>
        <v>April</v>
      </c>
      <c r="R1071">
        <f t="shared" si="32"/>
        <v>328</v>
      </c>
      <c r="S1071">
        <f t="shared" si="33"/>
        <v>1440</v>
      </c>
      <c r="T1071">
        <f>ROUND(tbl_working_daily[[#This Row],[SedentaryMinutes]]/60,2)</f>
        <v>18.53</v>
      </c>
      <c r="U1071" t="str" cm="1">
        <f t="array" ref="U107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71" t="str" cm="1">
        <f t="array" ref="V1071">_xlfn.IFS(tbl_working_daily[[#This Row],[VeryActiveMinutes]]&gt;=30,"Very Active",tbl_working_daily[[#This Row],[VeryActiveMinutes]]&gt;=15,"Moderately Active",tbl_working_daily[[#This Row],[VeryActiveMinutes]]&gt;=1,"Lightly Active",tbl_working_daily[[#This Row],[VeryActiveMinutes]]=0,"Sedentary")</f>
        <v>Sedentary</v>
      </c>
      <c r="W1071" t="str">
        <f>tbl_working_daily[[#This Row],[Id]]&amp;"|"&amp;TEXT(tbl_working_daily[[#This Row],[ActivityDate]],"yyyy-mm-dd")</f>
        <v>6290855005|2016-04-15</v>
      </c>
      <c r="X1071" t="b">
        <f>ISNUMBER(MATCH(tbl_working_daily[[#This Row],[LookupKey]],tbl_working_sleep[LookupKey],0))</f>
        <v>0</v>
      </c>
    </row>
    <row r="1072" spans="1:24" x14ac:dyDescent="0.3">
      <c r="A1072">
        <v>6290855005</v>
      </c>
      <c r="B1072" s="1">
        <v>42476</v>
      </c>
      <c r="C1072">
        <v>8301</v>
      </c>
      <c r="D1072">
        <v>6.2800002098083496</v>
      </c>
      <c r="E1072">
        <v>6.2800002098083496</v>
      </c>
      <c r="F1072">
        <v>0</v>
      </c>
      <c r="G1072">
        <v>0</v>
      </c>
      <c r="H1072">
        <v>0</v>
      </c>
      <c r="I1072">
        <v>6.2699999809265101</v>
      </c>
      <c r="J1072">
        <v>9.9999997764825804E-3</v>
      </c>
      <c r="K1072">
        <v>0</v>
      </c>
      <c r="L1072">
        <v>0</v>
      </c>
      <c r="M1072">
        <v>258</v>
      </c>
      <c r="N1072">
        <v>1182</v>
      </c>
      <c r="O1072">
        <v>2783</v>
      </c>
      <c r="P1072" t="str">
        <f>TEXT(tbl_working_daily[[#This Row],[ActivityDate]],"dddd")</f>
        <v>Saturday</v>
      </c>
      <c r="Q1072" t="str">
        <f>TEXT(tbl_working_daily[[#This Row],[ActivityDate]],"mmmm")</f>
        <v>April</v>
      </c>
      <c r="R1072">
        <f t="shared" si="32"/>
        <v>258</v>
      </c>
      <c r="S1072">
        <f t="shared" si="33"/>
        <v>1440</v>
      </c>
      <c r="T1072">
        <f>ROUND(tbl_working_daily[[#This Row],[SedentaryMinutes]]/60,2)</f>
        <v>19.7</v>
      </c>
      <c r="U1072" t="str" cm="1">
        <f t="array" ref="U107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72" t="str" cm="1">
        <f t="array" ref="V1072">_xlfn.IFS(tbl_working_daily[[#This Row],[VeryActiveMinutes]]&gt;=30,"Very Active",tbl_working_daily[[#This Row],[VeryActiveMinutes]]&gt;=15,"Moderately Active",tbl_working_daily[[#This Row],[VeryActiveMinutes]]&gt;=1,"Lightly Active",tbl_working_daily[[#This Row],[VeryActiveMinutes]]=0,"Sedentary")</f>
        <v>Sedentary</v>
      </c>
      <c r="W1072" t="str">
        <f>tbl_working_daily[[#This Row],[Id]]&amp;"|"&amp;TEXT(tbl_working_daily[[#This Row],[ActivityDate]],"yyyy-mm-dd")</f>
        <v>6290855005|2016-04-16</v>
      </c>
      <c r="X1072" t="b">
        <f>ISNUMBER(MATCH(tbl_working_daily[[#This Row],[LookupKey]],tbl_working_sleep[LookupKey],0))</f>
        <v>0</v>
      </c>
    </row>
    <row r="1073" spans="1:24" x14ac:dyDescent="0.3">
      <c r="A1073">
        <v>6290855005</v>
      </c>
      <c r="B1073" s="1">
        <v>42477</v>
      </c>
      <c r="C1073">
        <v>7851</v>
      </c>
      <c r="D1073">
        <v>5.9400000572204599</v>
      </c>
      <c r="E1073">
        <v>5.9400000572204599</v>
      </c>
      <c r="F1073">
        <v>0</v>
      </c>
      <c r="G1073">
        <v>1.1399999856948899</v>
      </c>
      <c r="H1073">
        <v>0.79000002145767201</v>
      </c>
      <c r="I1073">
        <v>4</v>
      </c>
      <c r="J1073">
        <v>0</v>
      </c>
      <c r="K1073">
        <v>31</v>
      </c>
      <c r="L1073">
        <v>12</v>
      </c>
      <c r="M1073">
        <v>225</v>
      </c>
      <c r="N1073">
        <v>1172</v>
      </c>
      <c r="O1073">
        <v>3171</v>
      </c>
      <c r="P1073" t="str">
        <f>TEXT(tbl_working_daily[[#This Row],[ActivityDate]],"dddd")</f>
        <v>Sunday</v>
      </c>
      <c r="Q1073" t="str">
        <f>TEXT(tbl_working_daily[[#This Row],[ActivityDate]],"mmmm")</f>
        <v>April</v>
      </c>
      <c r="R1073">
        <f t="shared" si="32"/>
        <v>268</v>
      </c>
      <c r="S1073">
        <f t="shared" si="33"/>
        <v>1440</v>
      </c>
      <c r="T1073">
        <f>ROUND(tbl_working_daily[[#This Row],[SedentaryMinutes]]/60,2)</f>
        <v>19.53</v>
      </c>
      <c r="U1073" t="str" cm="1">
        <f t="array" ref="U107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73" t="str" cm="1">
        <f t="array" ref="V1073">_xlfn.IFS(tbl_working_daily[[#This Row],[VeryActiveMinutes]]&gt;=30,"Very Active",tbl_working_daily[[#This Row],[VeryActiveMinutes]]&gt;=15,"Moderately Active",tbl_working_daily[[#This Row],[VeryActiveMinutes]]&gt;=1,"Lightly Active",tbl_working_daily[[#This Row],[VeryActiveMinutes]]=0,"Sedentary")</f>
        <v>Very Active</v>
      </c>
      <c r="W1073" t="str">
        <f>tbl_working_daily[[#This Row],[Id]]&amp;"|"&amp;TEXT(tbl_working_daily[[#This Row],[ActivityDate]],"yyyy-mm-dd")</f>
        <v>6290855005|2016-04-17</v>
      </c>
      <c r="X1073" t="b">
        <f>ISNUMBER(MATCH(tbl_working_daily[[#This Row],[LookupKey]],tbl_working_sleep[LookupKey],0))</f>
        <v>0</v>
      </c>
    </row>
    <row r="1074" spans="1:24" x14ac:dyDescent="0.3">
      <c r="A1074">
        <v>6290855005</v>
      </c>
      <c r="B1074" s="1">
        <v>42478</v>
      </c>
      <c r="C1074">
        <v>6885</v>
      </c>
      <c r="D1074">
        <v>5.21000003814697</v>
      </c>
      <c r="E1074">
        <v>5.21000003814697</v>
      </c>
      <c r="F1074">
        <v>0</v>
      </c>
      <c r="G1074">
        <v>0</v>
      </c>
      <c r="H1074">
        <v>0</v>
      </c>
      <c r="I1074">
        <v>5.1900000572204599</v>
      </c>
      <c r="J1074">
        <v>1.9999999552965199E-2</v>
      </c>
      <c r="K1074">
        <v>0</v>
      </c>
      <c r="L1074">
        <v>0</v>
      </c>
      <c r="M1074">
        <v>271</v>
      </c>
      <c r="N1074">
        <v>1169</v>
      </c>
      <c r="O1074">
        <v>2766</v>
      </c>
      <c r="P1074" t="str">
        <f>TEXT(tbl_working_daily[[#This Row],[ActivityDate]],"dddd")</f>
        <v>Monday</v>
      </c>
      <c r="Q1074" t="str">
        <f>TEXT(tbl_working_daily[[#This Row],[ActivityDate]],"mmmm")</f>
        <v>April</v>
      </c>
      <c r="R1074">
        <f t="shared" si="32"/>
        <v>271</v>
      </c>
      <c r="S1074">
        <f t="shared" si="33"/>
        <v>1440</v>
      </c>
      <c r="T1074">
        <f>ROUND(tbl_working_daily[[#This Row],[SedentaryMinutes]]/60,2)</f>
        <v>19.48</v>
      </c>
      <c r="U1074" t="str" cm="1">
        <f t="array" ref="U107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74" t="str" cm="1">
        <f t="array" ref="V1074">_xlfn.IFS(tbl_working_daily[[#This Row],[VeryActiveMinutes]]&gt;=30,"Very Active",tbl_working_daily[[#This Row],[VeryActiveMinutes]]&gt;=15,"Moderately Active",tbl_working_daily[[#This Row],[VeryActiveMinutes]]&gt;=1,"Lightly Active",tbl_working_daily[[#This Row],[VeryActiveMinutes]]=0,"Sedentary")</f>
        <v>Sedentary</v>
      </c>
      <c r="W1074" t="str">
        <f>tbl_working_daily[[#This Row],[Id]]&amp;"|"&amp;TEXT(tbl_working_daily[[#This Row],[ActivityDate]],"yyyy-mm-dd")</f>
        <v>6290855005|2016-04-18</v>
      </c>
      <c r="X1074" t="b">
        <f>ISNUMBER(MATCH(tbl_working_daily[[#This Row],[LookupKey]],tbl_working_sleep[LookupKey],0))</f>
        <v>0</v>
      </c>
    </row>
    <row r="1075" spans="1:24" x14ac:dyDescent="0.3">
      <c r="A1075">
        <v>6290855005</v>
      </c>
      <c r="B1075" s="1">
        <v>42479</v>
      </c>
      <c r="C1075">
        <v>7142</v>
      </c>
      <c r="D1075">
        <v>5.4000000953674299</v>
      </c>
      <c r="E1075">
        <v>5.4000000953674299</v>
      </c>
      <c r="F1075">
        <v>0</v>
      </c>
      <c r="G1075">
        <v>0</v>
      </c>
      <c r="H1075">
        <v>0</v>
      </c>
      <c r="I1075">
        <v>5.3899998664856001</v>
      </c>
      <c r="J1075">
        <v>9.9999997764825804E-3</v>
      </c>
      <c r="K1075">
        <v>0</v>
      </c>
      <c r="L1075">
        <v>0</v>
      </c>
      <c r="M1075">
        <v>321</v>
      </c>
      <c r="N1075">
        <v>1119</v>
      </c>
      <c r="O1075">
        <v>2839</v>
      </c>
      <c r="P1075" t="str">
        <f>TEXT(tbl_working_daily[[#This Row],[ActivityDate]],"dddd")</f>
        <v>Tuesday</v>
      </c>
      <c r="Q1075" t="str">
        <f>TEXT(tbl_working_daily[[#This Row],[ActivityDate]],"mmmm")</f>
        <v>April</v>
      </c>
      <c r="R1075">
        <f t="shared" si="32"/>
        <v>321</v>
      </c>
      <c r="S1075">
        <f t="shared" si="33"/>
        <v>1440</v>
      </c>
      <c r="T1075">
        <f>ROUND(tbl_working_daily[[#This Row],[SedentaryMinutes]]/60,2)</f>
        <v>18.649999999999999</v>
      </c>
      <c r="U1075" t="str" cm="1">
        <f t="array" ref="U107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75" t="str" cm="1">
        <f t="array" ref="V1075">_xlfn.IFS(tbl_working_daily[[#This Row],[VeryActiveMinutes]]&gt;=30,"Very Active",tbl_working_daily[[#This Row],[VeryActiveMinutes]]&gt;=15,"Moderately Active",tbl_working_daily[[#This Row],[VeryActiveMinutes]]&gt;=1,"Lightly Active",tbl_working_daily[[#This Row],[VeryActiveMinutes]]=0,"Sedentary")</f>
        <v>Sedentary</v>
      </c>
      <c r="W1075" t="str">
        <f>tbl_working_daily[[#This Row],[Id]]&amp;"|"&amp;TEXT(tbl_working_daily[[#This Row],[ActivityDate]],"yyyy-mm-dd")</f>
        <v>6290855005|2016-04-19</v>
      </c>
      <c r="X1075" t="b">
        <f>ISNUMBER(MATCH(tbl_working_daily[[#This Row],[LookupKey]],tbl_working_sleep[LookupKey],0))</f>
        <v>0</v>
      </c>
    </row>
    <row r="1076" spans="1:24" x14ac:dyDescent="0.3">
      <c r="A1076">
        <v>6290855005</v>
      </c>
      <c r="B1076" s="1">
        <v>42480</v>
      </c>
      <c r="C1076">
        <v>6361</v>
      </c>
      <c r="D1076">
        <v>4.8099999427795401</v>
      </c>
      <c r="E1076">
        <v>4.8099999427795401</v>
      </c>
      <c r="F1076">
        <v>0</v>
      </c>
      <c r="G1076">
        <v>0</v>
      </c>
      <c r="H1076">
        <v>0</v>
      </c>
      <c r="I1076">
        <v>4.8000001907348597</v>
      </c>
      <c r="J1076">
        <v>9.9999997764825804E-3</v>
      </c>
      <c r="K1076">
        <v>0</v>
      </c>
      <c r="L1076">
        <v>0</v>
      </c>
      <c r="M1076">
        <v>258</v>
      </c>
      <c r="N1076">
        <v>1182</v>
      </c>
      <c r="O1076">
        <v>2701</v>
      </c>
      <c r="P1076" t="str">
        <f>TEXT(tbl_working_daily[[#This Row],[ActivityDate]],"dddd")</f>
        <v>Wednesday</v>
      </c>
      <c r="Q1076" t="str">
        <f>TEXT(tbl_working_daily[[#This Row],[ActivityDate]],"mmmm")</f>
        <v>April</v>
      </c>
      <c r="R1076">
        <f t="shared" si="32"/>
        <v>258</v>
      </c>
      <c r="S1076">
        <f t="shared" si="33"/>
        <v>1440</v>
      </c>
      <c r="T1076">
        <f>ROUND(tbl_working_daily[[#This Row],[SedentaryMinutes]]/60,2)</f>
        <v>19.7</v>
      </c>
      <c r="U1076" t="str" cm="1">
        <f t="array" ref="U107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76" t="str" cm="1">
        <f t="array" ref="V1076">_xlfn.IFS(tbl_working_daily[[#This Row],[VeryActiveMinutes]]&gt;=30,"Very Active",tbl_working_daily[[#This Row],[VeryActiveMinutes]]&gt;=15,"Moderately Active",tbl_working_daily[[#This Row],[VeryActiveMinutes]]&gt;=1,"Lightly Active",tbl_working_daily[[#This Row],[VeryActiveMinutes]]=0,"Sedentary")</f>
        <v>Sedentary</v>
      </c>
      <c r="W1076" t="str">
        <f>tbl_working_daily[[#This Row],[Id]]&amp;"|"&amp;TEXT(tbl_working_daily[[#This Row],[ActivityDate]],"yyyy-mm-dd")</f>
        <v>6290855005|2016-04-20</v>
      </c>
      <c r="X1076" t="b">
        <f>ISNUMBER(MATCH(tbl_working_daily[[#This Row],[LookupKey]],tbl_working_sleep[LookupKey],0))</f>
        <v>0</v>
      </c>
    </row>
    <row r="1077" spans="1:24" x14ac:dyDescent="0.3">
      <c r="A1077">
        <v>6290855005</v>
      </c>
      <c r="B1077" s="1">
        <v>42481</v>
      </c>
      <c r="C1077">
        <v>0</v>
      </c>
      <c r="D1077">
        <v>0</v>
      </c>
      <c r="E1077">
        <v>0</v>
      </c>
      <c r="F1077">
        <v>0</v>
      </c>
      <c r="G1077">
        <v>0</v>
      </c>
      <c r="H1077">
        <v>0</v>
      </c>
      <c r="I1077">
        <v>0</v>
      </c>
      <c r="J1077">
        <v>0</v>
      </c>
      <c r="K1077">
        <v>0</v>
      </c>
      <c r="L1077">
        <v>0</v>
      </c>
      <c r="M1077">
        <v>0</v>
      </c>
      <c r="N1077">
        <v>1440</v>
      </c>
      <c r="O1077">
        <v>2060</v>
      </c>
      <c r="P1077" t="str">
        <f>TEXT(tbl_working_daily[[#This Row],[ActivityDate]],"dddd")</f>
        <v>Thursday</v>
      </c>
      <c r="Q1077" t="str">
        <f>TEXT(tbl_working_daily[[#This Row],[ActivityDate]],"mmmm")</f>
        <v>April</v>
      </c>
      <c r="R1077">
        <f t="shared" si="32"/>
        <v>0</v>
      </c>
      <c r="S1077">
        <f t="shared" si="33"/>
        <v>1440</v>
      </c>
      <c r="T1077">
        <f>ROUND(tbl_working_daily[[#This Row],[SedentaryMinutes]]/60,2)</f>
        <v>24</v>
      </c>
      <c r="U1077" t="str" cm="1">
        <f t="array" ref="U107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77" t="str" cm="1">
        <f t="array" ref="V1077">_xlfn.IFS(tbl_working_daily[[#This Row],[VeryActiveMinutes]]&gt;=30,"Very Active",tbl_working_daily[[#This Row],[VeryActiveMinutes]]&gt;=15,"Moderately Active",tbl_working_daily[[#This Row],[VeryActiveMinutes]]&gt;=1,"Lightly Active",tbl_working_daily[[#This Row],[VeryActiveMinutes]]=0,"Sedentary")</f>
        <v>Sedentary</v>
      </c>
      <c r="W1077" t="str">
        <f>tbl_working_daily[[#This Row],[Id]]&amp;"|"&amp;TEXT(tbl_working_daily[[#This Row],[ActivityDate]],"yyyy-mm-dd")</f>
        <v>6290855005|2016-04-21</v>
      </c>
      <c r="X1077" t="b">
        <f>ISNUMBER(MATCH(tbl_working_daily[[#This Row],[LookupKey]],tbl_working_sleep[LookupKey],0))</f>
        <v>0</v>
      </c>
    </row>
    <row r="1078" spans="1:24" x14ac:dyDescent="0.3">
      <c r="A1078">
        <v>6290855005</v>
      </c>
      <c r="B1078" s="1">
        <v>42482</v>
      </c>
      <c r="C1078">
        <v>6238</v>
      </c>
      <c r="D1078">
        <v>4.7199997901916504</v>
      </c>
      <c r="E1078">
        <v>4.7199997901916504</v>
      </c>
      <c r="F1078">
        <v>0</v>
      </c>
      <c r="G1078">
        <v>0</v>
      </c>
      <c r="H1078">
        <v>0</v>
      </c>
      <c r="I1078">
        <v>4.7199997901916504</v>
      </c>
      <c r="J1078">
        <v>0</v>
      </c>
      <c r="K1078">
        <v>0</v>
      </c>
      <c r="L1078">
        <v>0</v>
      </c>
      <c r="M1078">
        <v>302</v>
      </c>
      <c r="N1078">
        <v>1138</v>
      </c>
      <c r="O1078">
        <v>2796</v>
      </c>
      <c r="P1078" t="str">
        <f>TEXT(tbl_working_daily[[#This Row],[ActivityDate]],"dddd")</f>
        <v>Friday</v>
      </c>
      <c r="Q1078" t="str">
        <f>TEXT(tbl_working_daily[[#This Row],[ActivityDate]],"mmmm")</f>
        <v>April</v>
      </c>
      <c r="R1078">
        <f t="shared" si="32"/>
        <v>302</v>
      </c>
      <c r="S1078">
        <f t="shared" si="33"/>
        <v>1440</v>
      </c>
      <c r="T1078">
        <f>ROUND(tbl_working_daily[[#This Row],[SedentaryMinutes]]/60,2)</f>
        <v>18.97</v>
      </c>
      <c r="U1078" t="str" cm="1">
        <f t="array" ref="U107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78" t="str" cm="1">
        <f t="array" ref="V1078">_xlfn.IFS(tbl_working_daily[[#This Row],[VeryActiveMinutes]]&gt;=30,"Very Active",tbl_working_daily[[#This Row],[VeryActiveMinutes]]&gt;=15,"Moderately Active",tbl_working_daily[[#This Row],[VeryActiveMinutes]]&gt;=1,"Lightly Active",tbl_working_daily[[#This Row],[VeryActiveMinutes]]=0,"Sedentary")</f>
        <v>Sedentary</v>
      </c>
      <c r="W1078" t="str">
        <f>tbl_working_daily[[#This Row],[Id]]&amp;"|"&amp;TEXT(tbl_working_daily[[#This Row],[ActivityDate]],"yyyy-mm-dd")</f>
        <v>6290855005|2016-04-22</v>
      </c>
      <c r="X1078" t="b">
        <f>ISNUMBER(MATCH(tbl_working_daily[[#This Row],[LookupKey]],tbl_working_sleep[LookupKey],0))</f>
        <v>0</v>
      </c>
    </row>
    <row r="1079" spans="1:24" x14ac:dyDescent="0.3">
      <c r="A1079">
        <v>6290855005</v>
      </c>
      <c r="B1079" s="1">
        <v>42483</v>
      </c>
      <c r="C1079">
        <v>0</v>
      </c>
      <c r="D1079">
        <v>0</v>
      </c>
      <c r="E1079">
        <v>0</v>
      </c>
      <c r="F1079">
        <v>0</v>
      </c>
      <c r="G1079">
        <v>0</v>
      </c>
      <c r="H1079">
        <v>0</v>
      </c>
      <c r="I1079">
        <v>0</v>
      </c>
      <c r="J1079">
        <v>0</v>
      </c>
      <c r="K1079">
        <v>33</v>
      </c>
      <c r="L1079">
        <v>0</v>
      </c>
      <c r="M1079">
        <v>0</v>
      </c>
      <c r="N1079">
        <v>1407</v>
      </c>
      <c r="O1079">
        <v>2664</v>
      </c>
      <c r="P1079" t="str">
        <f>TEXT(tbl_working_daily[[#This Row],[ActivityDate]],"dddd")</f>
        <v>Saturday</v>
      </c>
      <c r="Q1079" t="str">
        <f>TEXT(tbl_working_daily[[#This Row],[ActivityDate]],"mmmm")</f>
        <v>April</v>
      </c>
      <c r="R1079">
        <f t="shared" si="32"/>
        <v>33</v>
      </c>
      <c r="S1079">
        <f t="shared" si="33"/>
        <v>1440</v>
      </c>
      <c r="T1079">
        <f>ROUND(tbl_working_daily[[#This Row],[SedentaryMinutes]]/60,2)</f>
        <v>23.45</v>
      </c>
      <c r="U1079" t="str" cm="1">
        <f t="array" ref="U107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79" t="str" cm="1">
        <f t="array" ref="V1079">_xlfn.IFS(tbl_working_daily[[#This Row],[VeryActiveMinutes]]&gt;=30,"Very Active",tbl_working_daily[[#This Row],[VeryActiveMinutes]]&gt;=15,"Moderately Active",tbl_working_daily[[#This Row],[VeryActiveMinutes]]&gt;=1,"Lightly Active",tbl_working_daily[[#This Row],[VeryActiveMinutes]]=0,"Sedentary")</f>
        <v>Very Active</v>
      </c>
      <c r="W1079" t="str">
        <f>tbl_working_daily[[#This Row],[Id]]&amp;"|"&amp;TEXT(tbl_working_daily[[#This Row],[ActivityDate]],"yyyy-mm-dd")</f>
        <v>6290855005|2016-04-23</v>
      </c>
      <c r="X1079" t="b">
        <f>ISNUMBER(MATCH(tbl_working_daily[[#This Row],[LookupKey]],tbl_working_sleep[LookupKey],0))</f>
        <v>0</v>
      </c>
    </row>
    <row r="1080" spans="1:24" x14ac:dyDescent="0.3">
      <c r="A1080">
        <v>6290855005</v>
      </c>
      <c r="B1080" s="1">
        <v>42484</v>
      </c>
      <c r="C1080">
        <v>5896</v>
      </c>
      <c r="D1080">
        <v>4.46000003814697</v>
      </c>
      <c r="E1080">
        <v>4.46000003814697</v>
      </c>
      <c r="F1080">
        <v>0</v>
      </c>
      <c r="G1080">
        <v>0</v>
      </c>
      <c r="H1080">
        <v>0</v>
      </c>
      <c r="I1080">
        <v>4.46000003814697</v>
      </c>
      <c r="J1080">
        <v>0</v>
      </c>
      <c r="K1080">
        <v>0</v>
      </c>
      <c r="L1080">
        <v>0</v>
      </c>
      <c r="M1080">
        <v>258</v>
      </c>
      <c r="N1080">
        <v>1182</v>
      </c>
      <c r="O1080">
        <v>2703</v>
      </c>
      <c r="P1080" t="str">
        <f>TEXT(tbl_working_daily[[#This Row],[ActivityDate]],"dddd")</f>
        <v>Sunday</v>
      </c>
      <c r="Q1080" t="str">
        <f>TEXT(tbl_working_daily[[#This Row],[ActivityDate]],"mmmm")</f>
        <v>April</v>
      </c>
      <c r="R1080">
        <f t="shared" si="32"/>
        <v>258</v>
      </c>
      <c r="S1080">
        <f t="shared" si="33"/>
        <v>1440</v>
      </c>
      <c r="T1080">
        <f>ROUND(tbl_working_daily[[#This Row],[SedentaryMinutes]]/60,2)</f>
        <v>19.7</v>
      </c>
      <c r="U1080" t="str" cm="1">
        <f t="array" ref="U108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80" t="str" cm="1">
        <f t="array" ref="V1080">_xlfn.IFS(tbl_working_daily[[#This Row],[VeryActiveMinutes]]&gt;=30,"Very Active",tbl_working_daily[[#This Row],[VeryActiveMinutes]]&gt;=15,"Moderately Active",tbl_working_daily[[#This Row],[VeryActiveMinutes]]&gt;=1,"Lightly Active",tbl_working_daily[[#This Row],[VeryActiveMinutes]]=0,"Sedentary")</f>
        <v>Sedentary</v>
      </c>
      <c r="W1080" t="str">
        <f>tbl_working_daily[[#This Row],[Id]]&amp;"|"&amp;TEXT(tbl_working_daily[[#This Row],[ActivityDate]],"yyyy-mm-dd")</f>
        <v>6290855005|2016-04-24</v>
      </c>
      <c r="X1080" t="b">
        <f>ISNUMBER(MATCH(tbl_working_daily[[#This Row],[LookupKey]],tbl_working_sleep[LookupKey],0))</f>
        <v>0</v>
      </c>
    </row>
    <row r="1081" spans="1:24" x14ac:dyDescent="0.3">
      <c r="A1081">
        <v>6290855005</v>
      </c>
      <c r="B1081" s="1">
        <v>42485</v>
      </c>
      <c r="C1081">
        <v>7802</v>
      </c>
      <c r="D1081">
        <v>5.9000000953674299</v>
      </c>
      <c r="E1081">
        <v>5.9000000953674299</v>
      </c>
      <c r="F1081">
        <v>0</v>
      </c>
      <c r="G1081">
        <v>0.68000000715255704</v>
      </c>
      <c r="H1081">
        <v>0.18000000715255701</v>
      </c>
      <c r="I1081">
        <v>5.0300002098083496</v>
      </c>
      <c r="J1081">
        <v>9.9999997764825804E-3</v>
      </c>
      <c r="K1081">
        <v>8</v>
      </c>
      <c r="L1081">
        <v>3</v>
      </c>
      <c r="M1081">
        <v>249</v>
      </c>
      <c r="N1081">
        <v>1180</v>
      </c>
      <c r="O1081">
        <v>2771</v>
      </c>
      <c r="P1081" t="str">
        <f>TEXT(tbl_working_daily[[#This Row],[ActivityDate]],"dddd")</f>
        <v>Monday</v>
      </c>
      <c r="Q1081" t="str">
        <f>TEXT(tbl_working_daily[[#This Row],[ActivityDate]],"mmmm")</f>
        <v>April</v>
      </c>
      <c r="R1081">
        <f t="shared" si="32"/>
        <v>260</v>
      </c>
      <c r="S1081">
        <f t="shared" si="33"/>
        <v>1440</v>
      </c>
      <c r="T1081">
        <f>ROUND(tbl_working_daily[[#This Row],[SedentaryMinutes]]/60,2)</f>
        <v>19.670000000000002</v>
      </c>
      <c r="U1081" t="str" cm="1">
        <f t="array" ref="U108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81" t="str" cm="1">
        <f t="array" ref="V1081">_xlfn.IFS(tbl_working_daily[[#This Row],[VeryActiveMinutes]]&gt;=30,"Very Active",tbl_working_daily[[#This Row],[VeryActiveMinutes]]&gt;=15,"Moderately Active",tbl_working_daily[[#This Row],[VeryActiveMinutes]]&gt;=1,"Lightly Active",tbl_working_daily[[#This Row],[VeryActiveMinutes]]=0,"Sedentary")</f>
        <v>Lightly Active</v>
      </c>
      <c r="W1081" t="str">
        <f>tbl_working_daily[[#This Row],[Id]]&amp;"|"&amp;TEXT(tbl_working_daily[[#This Row],[ActivityDate]],"yyyy-mm-dd")</f>
        <v>6290855005|2016-04-25</v>
      </c>
      <c r="X1081" t="b">
        <f>ISNUMBER(MATCH(tbl_working_daily[[#This Row],[LookupKey]],tbl_working_sleep[LookupKey],0))</f>
        <v>0</v>
      </c>
    </row>
    <row r="1082" spans="1:24" x14ac:dyDescent="0.3">
      <c r="A1082">
        <v>6290855005</v>
      </c>
      <c r="B1082" s="1">
        <v>42486</v>
      </c>
      <c r="C1082">
        <v>0</v>
      </c>
      <c r="D1082">
        <v>0</v>
      </c>
      <c r="E1082">
        <v>0</v>
      </c>
      <c r="F1082">
        <v>0</v>
      </c>
      <c r="G1082">
        <v>0</v>
      </c>
      <c r="H1082">
        <v>0</v>
      </c>
      <c r="I1082">
        <v>0</v>
      </c>
      <c r="J1082">
        <v>0</v>
      </c>
      <c r="K1082">
        <v>0</v>
      </c>
      <c r="L1082">
        <v>0</v>
      </c>
      <c r="M1082">
        <v>0</v>
      </c>
      <c r="N1082">
        <v>1440</v>
      </c>
      <c r="O1082">
        <v>2060</v>
      </c>
      <c r="P1082" t="str">
        <f>TEXT(tbl_working_daily[[#This Row],[ActivityDate]],"dddd")</f>
        <v>Tuesday</v>
      </c>
      <c r="Q1082" t="str">
        <f>TEXT(tbl_working_daily[[#This Row],[ActivityDate]],"mmmm")</f>
        <v>April</v>
      </c>
      <c r="R1082">
        <f t="shared" si="32"/>
        <v>0</v>
      </c>
      <c r="S1082">
        <f t="shared" si="33"/>
        <v>1440</v>
      </c>
      <c r="T1082">
        <f>ROUND(tbl_working_daily[[#This Row],[SedentaryMinutes]]/60,2)</f>
        <v>24</v>
      </c>
      <c r="U1082" t="str" cm="1">
        <f t="array" ref="U108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82" t="str" cm="1">
        <f t="array" ref="V1082">_xlfn.IFS(tbl_working_daily[[#This Row],[VeryActiveMinutes]]&gt;=30,"Very Active",tbl_working_daily[[#This Row],[VeryActiveMinutes]]&gt;=15,"Moderately Active",tbl_working_daily[[#This Row],[VeryActiveMinutes]]&gt;=1,"Lightly Active",tbl_working_daily[[#This Row],[VeryActiveMinutes]]=0,"Sedentary")</f>
        <v>Sedentary</v>
      </c>
      <c r="W1082" t="str">
        <f>tbl_working_daily[[#This Row],[Id]]&amp;"|"&amp;TEXT(tbl_working_daily[[#This Row],[ActivityDate]],"yyyy-mm-dd")</f>
        <v>6290855005|2016-04-26</v>
      </c>
      <c r="X1082" t="b">
        <f>ISNUMBER(MATCH(tbl_working_daily[[#This Row],[LookupKey]],tbl_working_sleep[LookupKey],0))</f>
        <v>0</v>
      </c>
    </row>
    <row r="1083" spans="1:24" x14ac:dyDescent="0.3">
      <c r="A1083">
        <v>6290855005</v>
      </c>
      <c r="B1083" s="1">
        <v>42487</v>
      </c>
      <c r="C1083">
        <v>5565</v>
      </c>
      <c r="D1083">
        <v>4.21000003814697</v>
      </c>
      <c r="E1083">
        <v>4.21000003814697</v>
      </c>
      <c r="F1083">
        <v>0</v>
      </c>
      <c r="G1083">
        <v>0</v>
      </c>
      <c r="H1083">
        <v>0</v>
      </c>
      <c r="I1083">
        <v>4.1799998283386204</v>
      </c>
      <c r="J1083">
        <v>2.9999999329447701E-2</v>
      </c>
      <c r="K1083">
        <v>0</v>
      </c>
      <c r="L1083">
        <v>0</v>
      </c>
      <c r="M1083">
        <v>287</v>
      </c>
      <c r="N1083">
        <v>1153</v>
      </c>
      <c r="O1083">
        <v>2743</v>
      </c>
      <c r="P1083" t="str">
        <f>TEXT(tbl_working_daily[[#This Row],[ActivityDate]],"dddd")</f>
        <v>Wednesday</v>
      </c>
      <c r="Q1083" t="str">
        <f>TEXT(tbl_working_daily[[#This Row],[ActivityDate]],"mmmm")</f>
        <v>April</v>
      </c>
      <c r="R1083">
        <f t="shared" si="32"/>
        <v>287</v>
      </c>
      <c r="S1083">
        <f t="shared" si="33"/>
        <v>1440</v>
      </c>
      <c r="T1083">
        <f>ROUND(tbl_working_daily[[#This Row],[SedentaryMinutes]]/60,2)</f>
        <v>19.22</v>
      </c>
      <c r="U1083" t="str" cm="1">
        <f t="array" ref="U108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83" t="str" cm="1">
        <f t="array" ref="V1083">_xlfn.IFS(tbl_working_daily[[#This Row],[VeryActiveMinutes]]&gt;=30,"Very Active",tbl_working_daily[[#This Row],[VeryActiveMinutes]]&gt;=15,"Moderately Active",tbl_working_daily[[#This Row],[VeryActiveMinutes]]&gt;=1,"Lightly Active",tbl_working_daily[[#This Row],[VeryActiveMinutes]]=0,"Sedentary")</f>
        <v>Sedentary</v>
      </c>
      <c r="W1083" t="str">
        <f>tbl_working_daily[[#This Row],[Id]]&amp;"|"&amp;TEXT(tbl_working_daily[[#This Row],[ActivityDate]],"yyyy-mm-dd")</f>
        <v>6290855005|2016-04-27</v>
      </c>
      <c r="X1083" t="b">
        <f>ISNUMBER(MATCH(tbl_working_daily[[#This Row],[LookupKey]],tbl_working_sleep[LookupKey],0))</f>
        <v>0</v>
      </c>
    </row>
    <row r="1084" spans="1:24" x14ac:dyDescent="0.3">
      <c r="A1084">
        <v>6290855005</v>
      </c>
      <c r="B1084" s="1">
        <v>42488</v>
      </c>
      <c r="C1084">
        <v>5731</v>
      </c>
      <c r="D1084">
        <v>4.3299999237060502</v>
      </c>
      <c r="E1084">
        <v>4.3299999237060502</v>
      </c>
      <c r="F1084">
        <v>0</v>
      </c>
      <c r="G1084">
        <v>0</v>
      </c>
      <c r="H1084">
        <v>0</v>
      </c>
      <c r="I1084">
        <v>4.3299999237060502</v>
      </c>
      <c r="J1084">
        <v>0</v>
      </c>
      <c r="K1084">
        <v>0</v>
      </c>
      <c r="L1084">
        <v>0</v>
      </c>
      <c r="M1084">
        <v>255</v>
      </c>
      <c r="N1084">
        <v>1185</v>
      </c>
      <c r="O1084">
        <v>2687</v>
      </c>
      <c r="P1084" t="str">
        <f>TEXT(tbl_working_daily[[#This Row],[ActivityDate]],"dddd")</f>
        <v>Thursday</v>
      </c>
      <c r="Q1084" t="str">
        <f>TEXT(tbl_working_daily[[#This Row],[ActivityDate]],"mmmm")</f>
        <v>April</v>
      </c>
      <c r="R1084">
        <f t="shared" si="32"/>
        <v>255</v>
      </c>
      <c r="S1084">
        <f t="shared" si="33"/>
        <v>1440</v>
      </c>
      <c r="T1084">
        <f>ROUND(tbl_working_daily[[#This Row],[SedentaryMinutes]]/60,2)</f>
        <v>19.75</v>
      </c>
      <c r="U1084" t="str" cm="1">
        <f t="array" ref="U108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84" t="str" cm="1">
        <f t="array" ref="V1084">_xlfn.IFS(tbl_working_daily[[#This Row],[VeryActiveMinutes]]&gt;=30,"Very Active",tbl_working_daily[[#This Row],[VeryActiveMinutes]]&gt;=15,"Moderately Active",tbl_working_daily[[#This Row],[VeryActiveMinutes]]&gt;=1,"Lightly Active",tbl_working_daily[[#This Row],[VeryActiveMinutes]]=0,"Sedentary")</f>
        <v>Sedentary</v>
      </c>
      <c r="W1084" t="str">
        <f>tbl_working_daily[[#This Row],[Id]]&amp;"|"&amp;TEXT(tbl_working_daily[[#This Row],[ActivityDate]],"yyyy-mm-dd")</f>
        <v>6290855005|2016-04-28</v>
      </c>
      <c r="X1084" t="b">
        <f>ISNUMBER(MATCH(tbl_working_daily[[#This Row],[LookupKey]],tbl_working_sleep[LookupKey],0))</f>
        <v>0</v>
      </c>
    </row>
    <row r="1085" spans="1:24" x14ac:dyDescent="0.3">
      <c r="A1085">
        <v>6290855005</v>
      </c>
      <c r="B1085" s="1">
        <v>42489</v>
      </c>
      <c r="C1085">
        <v>0</v>
      </c>
      <c r="D1085">
        <v>0</v>
      </c>
      <c r="E1085">
        <v>0</v>
      </c>
      <c r="F1085">
        <v>0</v>
      </c>
      <c r="G1085">
        <v>0</v>
      </c>
      <c r="H1085">
        <v>0</v>
      </c>
      <c r="I1085">
        <v>0</v>
      </c>
      <c r="J1085">
        <v>0</v>
      </c>
      <c r="K1085">
        <v>0</v>
      </c>
      <c r="L1085">
        <v>0</v>
      </c>
      <c r="M1085">
        <v>0</v>
      </c>
      <c r="N1085">
        <v>1440</v>
      </c>
      <c r="O1085">
        <v>2060</v>
      </c>
      <c r="P1085" t="str">
        <f>TEXT(tbl_working_daily[[#This Row],[ActivityDate]],"dddd")</f>
        <v>Friday</v>
      </c>
      <c r="Q1085" t="str">
        <f>TEXT(tbl_working_daily[[#This Row],[ActivityDate]],"mmmm")</f>
        <v>April</v>
      </c>
      <c r="R1085">
        <f t="shared" si="32"/>
        <v>0</v>
      </c>
      <c r="S1085">
        <f t="shared" si="33"/>
        <v>1440</v>
      </c>
      <c r="T1085">
        <f>ROUND(tbl_working_daily[[#This Row],[SedentaryMinutes]]/60,2)</f>
        <v>24</v>
      </c>
      <c r="U1085" t="str" cm="1">
        <f t="array" ref="U108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85" t="str" cm="1">
        <f t="array" ref="V1085">_xlfn.IFS(tbl_working_daily[[#This Row],[VeryActiveMinutes]]&gt;=30,"Very Active",tbl_working_daily[[#This Row],[VeryActiveMinutes]]&gt;=15,"Moderately Active",tbl_working_daily[[#This Row],[VeryActiveMinutes]]&gt;=1,"Lightly Active",tbl_working_daily[[#This Row],[VeryActiveMinutes]]=0,"Sedentary")</f>
        <v>Sedentary</v>
      </c>
      <c r="W1085" t="str">
        <f>tbl_working_daily[[#This Row],[Id]]&amp;"|"&amp;TEXT(tbl_working_daily[[#This Row],[ActivityDate]],"yyyy-mm-dd")</f>
        <v>6290855005|2016-04-29</v>
      </c>
      <c r="X1085" t="b">
        <f>ISNUMBER(MATCH(tbl_working_daily[[#This Row],[LookupKey]],tbl_working_sleep[LookupKey],0))</f>
        <v>0</v>
      </c>
    </row>
    <row r="1086" spans="1:24" x14ac:dyDescent="0.3">
      <c r="A1086">
        <v>6290855005</v>
      </c>
      <c r="B1086" s="1">
        <v>42490</v>
      </c>
      <c r="C1086">
        <v>6744</v>
      </c>
      <c r="D1086">
        <v>5.0999999046325701</v>
      </c>
      <c r="E1086">
        <v>5.0999999046325701</v>
      </c>
      <c r="F1086">
        <v>0</v>
      </c>
      <c r="G1086">
        <v>0</v>
      </c>
      <c r="H1086">
        <v>0</v>
      </c>
      <c r="I1086">
        <v>5.0900001525878897</v>
      </c>
      <c r="J1086">
        <v>9.9999997764825804E-3</v>
      </c>
      <c r="K1086">
        <v>0</v>
      </c>
      <c r="L1086">
        <v>0</v>
      </c>
      <c r="M1086">
        <v>324</v>
      </c>
      <c r="N1086">
        <v>1116</v>
      </c>
      <c r="O1086">
        <v>2843</v>
      </c>
      <c r="P1086" t="str">
        <f>TEXT(tbl_working_daily[[#This Row],[ActivityDate]],"dddd")</f>
        <v>Saturday</v>
      </c>
      <c r="Q1086" t="str">
        <f>TEXT(tbl_working_daily[[#This Row],[ActivityDate]],"mmmm")</f>
        <v>April</v>
      </c>
      <c r="R1086">
        <f t="shared" si="32"/>
        <v>324</v>
      </c>
      <c r="S1086">
        <f t="shared" si="33"/>
        <v>1440</v>
      </c>
      <c r="T1086">
        <f>ROUND(tbl_working_daily[[#This Row],[SedentaryMinutes]]/60,2)</f>
        <v>18.600000000000001</v>
      </c>
      <c r="U1086" t="str" cm="1">
        <f t="array" ref="U108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86" t="str" cm="1">
        <f t="array" ref="V1086">_xlfn.IFS(tbl_working_daily[[#This Row],[VeryActiveMinutes]]&gt;=30,"Very Active",tbl_working_daily[[#This Row],[VeryActiveMinutes]]&gt;=15,"Moderately Active",tbl_working_daily[[#This Row],[VeryActiveMinutes]]&gt;=1,"Lightly Active",tbl_working_daily[[#This Row],[VeryActiveMinutes]]=0,"Sedentary")</f>
        <v>Sedentary</v>
      </c>
      <c r="W1086" t="str">
        <f>tbl_working_daily[[#This Row],[Id]]&amp;"|"&amp;TEXT(tbl_working_daily[[#This Row],[ActivityDate]],"yyyy-mm-dd")</f>
        <v>6290855005|2016-04-30</v>
      </c>
      <c r="X1086" t="b">
        <f>ISNUMBER(MATCH(tbl_working_daily[[#This Row],[LookupKey]],tbl_working_sleep[LookupKey],0))</f>
        <v>0</v>
      </c>
    </row>
    <row r="1087" spans="1:24" x14ac:dyDescent="0.3">
      <c r="A1087">
        <v>6290855005</v>
      </c>
      <c r="B1087" s="1">
        <v>42491</v>
      </c>
      <c r="C1087">
        <v>9837</v>
      </c>
      <c r="D1087">
        <v>7.4400000572204599</v>
      </c>
      <c r="E1087">
        <v>7.4400000572204599</v>
      </c>
      <c r="F1087">
        <v>0</v>
      </c>
      <c r="G1087">
        <v>0.66000002622604403</v>
      </c>
      <c r="H1087">
        <v>2.75</v>
      </c>
      <c r="I1087">
        <v>4</v>
      </c>
      <c r="J1087">
        <v>1.9999999552965199E-2</v>
      </c>
      <c r="K1087">
        <v>8</v>
      </c>
      <c r="L1087">
        <v>95</v>
      </c>
      <c r="M1087">
        <v>282</v>
      </c>
      <c r="N1087">
        <v>1055</v>
      </c>
      <c r="O1087">
        <v>3327</v>
      </c>
      <c r="P1087" t="str">
        <f>TEXT(tbl_working_daily[[#This Row],[ActivityDate]],"dddd")</f>
        <v>Sunday</v>
      </c>
      <c r="Q1087" t="str">
        <f>TEXT(tbl_working_daily[[#This Row],[ActivityDate]],"mmmm")</f>
        <v>May</v>
      </c>
      <c r="R1087">
        <f t="shared" si="32"/>
        <v>385</v>
      </c>
      <c r="S1087">
        <f t="shared" si="33"/>
        <v>1440</v>
      </c>
      <c r="T1087">
        <f>ROUND(tbl_working_daily[[#This Row],[SedentaryMinutes]]/60,2)</f>
        <v>17.579999999999998</v>
      </c>
      <c r="U1087" t="str" cm="1">
        <f t="array" ref="U108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87" t="str" cm="1">
        <f t="array" ref="V1087">_xlfn.IFS(tbl_working_daily[[#This Row],[VeryActiveMinutes]]&gt;=30,"Very Active",tbl_working_daily[[#This Row],[VeryActiveMinutes]]&gt;=15,"Moderately Active",tbl_working_daily[[#This Row],[VeryActiveMinutes]]&gt;=1,"Lightly Active",tbl_working_daily[[#This Row],[VeryActiveMinutes]]=0,"Sedentary")</f>
        <v>Lightly Active</v>
      </c>
      <c r="W1087" t="str">
        <f>tbl_working_daily[[#This Row],[Id]]&amp;"|"&amp;TEXT(tbl_working_daily[[#This Row],[ActivityDate]],"yyyy-mm-dd")</f>
        <v>6290855005|2016-05-01</v>
      </c>
      <c r="X1087" t="b">
        <f>ISNUMBER(MATCH(tbl_working_daily[[#This Row],[LookupKey]],tbl_working_sleep[LookupKey],0))</f>
        <v>0</v>
      </c>
    </row>
    <row r="1088" spans="1:24" x14ac:dyDescent="0.3">
      <c r="A1088">
        <v>6290855005</v>
      </c>
      <c r="B1088" s="1">
        <v>42492</v>
      </c>
      <c r="C1088">
        <v>6781</v>
      </c>
      <c r="D1088">
        <v>5.1300001144409197</v>
      </c>
      <c r="E1088">
        <v>5.1300001144409197</v>
      </c>
      <c r="F1088">
        <v>0</v>
      </c>
      <c r="G1088">
        <v>0</v>
      </c>
      <c r="H1088">
        <v>0</v>
      </c>
      <c r="I1088">
        <v>5.1100001335143999</v>
      </c>
      <c r="J1088">
        <v>1.9999999552965199E-2</v>
      </c>
      <c r="K1088">
        <v>0</v>
      </c>
      <c r="L1088">
        <v>0</v>
      </c>
      <c r="M1088">
        <v>268</v>
      </c>
      <c r="N1088">
        <v>1172</v>
      </c>
      <c r="O1088">
        <v>2725</v>
      </c>
      <c r="P1088" t="str">
        <f>TEXT(tbl_working_daily[[#This Row],[ActivityDate]],"dddd")</f>
        <v>Monday</v>
      </c>
      <c r="Q1088" t="str">
        <f>TEXT(tbl_working_daily[[#This Row],[ActivityDate]],"mmmm")</f>
        <v>May</v>
      </c>
      <c r="R1088">
        <f t="shared" si="32"/>
        <v>268</v>
      </c>
      <c r="S1088">
        <f t="shared" si="33"/>
        <v>1440</v>
      </c>
      <c r="T1088">
        <f>ROUND(tbl_working_daily[[#This Row],[SedentaryMinutes]]/60,2)</f>
        <v>19.53</v>
      </c>
      <c r="U1088" t="str" cm="1">
        <f t="array" ref="U108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88" t="str" cm="1">
        <f t="array" ref="V1088">_xlfn.IFS(tbl_working_daily[[#This Row],[VeryActiveMinutes]]&gt;=30,"Very Active",tbl_working_daily[[#This Row],[VeryActiveMinutes]]&gt;=15,"Moderately Active",tbl_working_daily[[#This Row],[VeryActiveMinutes]]&gt;=1,"Lightly Active",tbl_working_daily[[#This Row],[VeryActiveMinutes]]=0,"Sedentary")</f>
        <v>Sedentary</v>
      </c>
      <c r="W1088" t="str">
        <f>tbl_working_daily[[#This Row],[Id]]&amp;"|"&amp;TEXT(tbl_working_daily[[#This Row],[ActivityDate]],"yyyy-mm-dd")</f>
        <v>6290855005|2016-05-02</v>
      </c>
      <c r="X1088" t="b">
        <f>ISNUMBER(MATCH(tbl_working_daily[[#This Row],[LookupKey]],tbl_working_sleep[LookupKey],0))</f>
        <v>0</v>
      </c>
    </row>
    <row r="1089" spans="1:24" x14ac:dyDescent="0.3">
      <c r="A1089">
        <v>6290855005</v>
      </c>
      <c r="B1089" s="1">
        <v>42493</v>
      </c>
      <c r="C1089">
        <v>6047</v>
      </c>
      <c r="D1089">
        <v>4.5700001716613796</v>
      </c>
      <c r="E1089">
        <v>4.5700001716613796</v>
      </c>
      <c r="F1089">
        <v>0</v>
      </c>
      <c r="G1089">
        <v>0</v>
      </c>
      <c r="H1089">
        <v>0</v>
      </c>
      <c r="I1089">
        <v>4.5700001716613796</v>
      </c>
      <c r="J1089">
        <v>0</v>
      </c>
      <c r="K1089">
        <v>0</v>
      </c>
      <c r="L1089">
        <v>0</v>
      </c>
      <c r="M1089">
        <v>240</v>
      </c>
      <c r="N1089">
        <v>1200</v>
      </c>
      <c r="O1089">
        <v>2671</v>
      </c>
      <c r="P1089" t="str">
        <f>TEXT(tbl_working_daily[[#This Row],[ActivityDate]],"dddd")</f>
        <v>Tuesday</v>
      </c>
      <c r="Q1089" t="str">
        <f>TEXT(tbl_working_daily[[#This Row],[ActivityDate]],"mmmm")</f>
        <v>May</v>
      </c>
      <c r="R1089">
        <f t="shared" si="32"/>
        <v>240</v>
      </c>
      <c r="S1089">
        <f t="shared" si="33"/>
        <v>1440</v>
      </c>
      <c r="T1089">
        <f>ROUND(tbl_working_daily[[#This Row],[SedentaryMinutes]]/60,2)</f>
        <v>20</v>
      </c>
      <c r="U1089" t="str" cm="1">
        <f t="array" ref="U108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89" t="str" cm="1">
        <f t="array" ref="V1089">_xlfn.IFS(tbl_working_daily[[#This Row],[VeryActiveMinutes]]&gt;=30,"Very Active",tbl_working_daily[[#This Row],[VeryActiveMinutes]]&gt;=15,"Moderately Active",tbl_working_daily[[#This Row],[VeryActiveMinutes]]&gt;=1,"Lightly Active",tbl_working_daily[[#This Row],[VeryActiveMinutes]]=0,"Sedentary")</f>
        <v>Sedentary</v>
      </c>
      <c r="W1089" t="str">
        <f>tbl_working_daily[[#This Row],[Id]]&amp;"|"&amp;TEXT(tbl_working_daily[[#This Row],[ActivityDate]],"yyyy-mm-dd")</f>
        <v>6290855005|2016-05-03</v>
      </c>
      <c r="X1089" t="b">
        <f>ISNUMBER(MATCH(tbl_working_daily[[#This Row],[LookupKey]],tbl_working_sleep[LookupKey],0))</f>
        <v>0</v>
      </c>
    </row>
    <row r="1090" spans="1:24" x14ac:dyDescent="0.3">
      <c r="A1090">
        <v>6290855005</v>
      </c>
      <c r="B1090" s="1">
        <v>42494</v>
      </c>
      <c r="C1090">
        <v>5832</v>
      </c>
      <c r="D1090">
        <v>4.4099998474121103</v>
      </c>
      <c r="E1090">
        <v>4.4099998474121103</v>
      </c>
      <c r="F1090">
        <v>0</v>
      </c>
      <c r="G1090">
        <v>0</v>
      </c>
      <c r="H1090">
        <v>0</v>
      </c>
      <c r="I1090">
        <v>4.4000000953674299</v>
      </c>
      <c r="J1090">
        <v>9.9999997764825804E-3</v>
      </c>
      <c r="K1090">
        <v>0</v>
      </c>
      <c r="L1090">
        <v>0</v>
      </c>
      <c r="M1090">
        <v>272</v>
      </c>
      <c r="N1090">
        <v>1168</v>
      </c>
      <c r="O1090">
        <v>2718</v>
      </c>
      <c r="P1090" t="str">
        <f>TEXT(tbl_working_daily[[#This Row],[ActivityDate]],"dddd")</f>
        <v>Wednesday</v>
      </c>
      <c r="Q1090" t="str">
        <f>TEXT(tbl_working_daily[[#This Row],[ActivityDate]],"mmmm")</f>
        <v>May</v>
      </c>
      <c r="R1090">
        <f t="shared" ref="R1090:R1153" si="34">K1090+L1090+M1090</f>
        <v>272</v>
      </c>
      <c r="S1090">
        <f t="shared" ref="S1090:S1153" si="35">R1090+N1090</f>
        <v>1440</v>
      </c>
      <c r="T1090">
        <f>ROUND(tbl_working_daily[[#This Row],[SedentaryMinutes]]/60,2)</f>
        <v>19.47</v>
      </c>
      <c r="U1090" t="str" cm="1">
        <f t="array" ref="U109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90" t="str" cm="1">
        <f t="array" ref="V1090">_xlfn.IFS(tbl_working_daily[[#This Row],[VeryActiveMinutes]]&gt;=30,"Very Active",tbl_working_daily[[#This Row],[VeryActiveMinutes]]&gt;=15,"Moderately Active",tbl_working_daily[[#This Row],[VeryActiveMinutes]]&gt;=1,"Lightly Active",tbl_working_daily[[#This Row],[VeryActiveMinutes]]=0,"Sedentary")</f>
        <v>Sedentary</v>
      </c>
      <c r="W1090" t="str">
        <f>tbl_working_daily[[#This Row],[Id]]&amp;"|"&amp;TEXT(tbl_working_daily[[#This Row],[ActivityDate]],"yyyy-mm-dd")</f>
        <v>6290855005|2016-05-04</v>
      </c>
      <c r="X1090" t="b">
        <f>ISNUMBER(MATCH(tbl_working_daily[[#This Row],[LookupKey]],tbl_working_sleep[LookupKey],0))</f>
        <v>0</v>
      </c>
    </row>
    <row r="1091" spans="1:24" x14ac:dyDescent="0.3">
      <c r="A1091">
        <v>6290855005</v>
      </c>
      <c r="B1091" s="1">
        <v>42495</v>
      </c>
      <c r="C1091">
        <v>6339</v>
      </c>
      <c r="D1091">
        <v>4.78999996185303</v>
      </c>
      <c r="E1091">
        <v>4.78999996185303</v>
      </c>
      <c r="F1091">
        <v>0</v>
      </c>
      <c r="G1091">
        <v>0</v>
      </c>
      <c r="H1091">
        <v>0</v>
      </c>
      <c r="I1091">
        <v>4.78999996185303</v>
      </c>
      <c r="J1091">
        <v>0</v>
      </c>
      <c r="K1091">
        <v>0</v>
      </c>
      <c r="L1091">
        <v>0</v>
      </c>
      <c r="M1091">
        <v>239</v>
      </c>
      <c r="N1091">
        <v>1201</v>
      </c>
      <c r="O1091">
        <v>2682</v>
      </c>
      <c r="P1091" t="str">
        <f>TEXT(tbl_working_daily[[#This Row],[ActivityDate]],"dddd")</f>
        <v>Thursday</v>
      </c>
      <c r="Q1091" t="str">
        <f>TEXT(tbl_working_daily[[#This Row],[ActivityDate]],"mmmm")</f>
        <v>May</v>
      </c>
      <c r="R1091">
        <f t="shared" si="34"/>
        <v>239</v>
      </c>
      <c r="S1091">
        <f t="shared" si="35"/>
        <v>1440</v>
      </c>
      <c r="T1091">
        <f>ROUND(tbl_working_daily[[#This Row],[SedentaryMinutes]]/60,2)</f>
        <v>20.02</v>
      </c>
      <c r="U1091" t="str" cm="1">
        <f t="array" ref="U109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91" t="str" cm="1">
        <f t="array" ref="V1091">_xlfn.IFS(tbl_working_daily[[#This Row],[VeryActiveMinutes]]&gt;=30,"Very Active",tbl_working_daily[[#This Row],[VeryActiveMinutes]]&gt;=15,"Moderately Active",tbl_working_daily[[#This Row],[VeryActiveMinutes]]&gt;=1,"Lightly Active",tbl_working_daily[[#This Row],[VeryActiveMinutes]]=0,"Sedentary")</f>
        <v>Sedentary</v>
      </c>
      <c r="W1091" t="str">
        <f>tbl_working_daily[[#This Row],[Id]]&amp;"|"&amp;TEXT(tbl_working_daily[[#This Row],[ActivityDate]],"yyyy-mm-dd")</f>
        <v>6290855005|2016-05-05</v>
      </c>
      <c r="X1091" t="b">
        <f>ISNUMBER(MATCH(tbl_working_daily[[#This Row],[LookupKey]],tbl_working_sleep[LookupKey],0))</f>
        <v>0</v>
      </c>
    </row>
    <row r="1092" spans="1:24" x14ac:dyDescent="0.3">
      <c r="A1092">
        <v>6290855005</v>
      </c>
      <c r="B1092" s="1">
        <v>42496</v>
      </c>
      <c r="C1092">
        <v>6116</v>
      </c>
      <c r="D1092">
        <v>4.6199998855590803</v>
      </c>
      <c r="E1092">
        <v>4.6199998855590803</v>
      </c>
      <c r="F1092">
        <v>0</v>
      </c>
      <c r="G1092">
        <v>0</v>
      </c>
      <c r="H1092">
        <v>0</v>
      </c>
      <c r="I1092">
        <v>4.5900001525878897</v>
      </c>
      <c r="J1092">
        <v>2.9999999329447701E-2</v>
      </c>
      <c r="K1092">
        <v>0</v>
      </c>
      <c r="L1092">
        <v>0</v>
      </c>
      <c r="M1092">
        <v>305</v>
      </c>
      <c r="N1092">
        <v>1135</v>
      </c>
      <c r="O1092">
        <v>2806</v>
      </c>
      <c r="P1092" t="str">
        <f>TEXT(tbl_working_daily[[#This Row],[ActivityDate]],"dddd")</f>
        <v>Friday</v>
      </c>
      <c r="Q1092" t="str">
        <f>TEXT(tbl_working_daily[[#This Row],[ActivityDate]],"mmmm")</f>
        <v>May</v>
      </c>
      <c r="R1092">
        <f t="shared" si="34"/>
        <v>305</v>
      </c>
      <c r="S1092">
        <f t="shared" si="35"/>
        <v>1440</v>
      </c>
      <c r="T1092">
        <f>ROUND(tbl_working_daily[[#This Row],[SedentaryMinutes]]/60,2)</f>
        <v>18.920000000000002</v>
      </c>
      <c r="U1092" t="str" cm="1">
        <f t="array" ref="U109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92" t="str" cm="1">
        <f t="array" ref="V1092">_xlfn.IFS(tbl_working_daily[[#This Row],[VeryActiveMinutes]]&gt;=30,"Very Active",tbl_working_daily[[#This Row],[VeryActiveMinutes]]&gt;=15,"Moderately Active",tbl_working_daily[[#This Row],[VeryActiveMinutes]]&gt;=1,"Lightly Active",tbl_working_daily[[#This Row],[VeryActiveMinutes]]=0,"Sedentary")</f>
        <v>Sedentary</v>
      </c>
      <c r="W1092" t="str">
        <f>tbl_working_daily[[#This Row],[Id]]&amp;"|"&amp;TEXT(tbl_working_daily[[#This Row],[ActivityDate]],"yyyy-mm-dd")</f>
        <v>6290855005|2016-05-06</v>
      </c>
      <c r="X1092" t="b">
        <f>ISNUMBER(MATCH(tbl_working_daily[[#This Row],[LookupKey]],tbl_working_sleep[LookupKey],0))</f>
        <v>0</v>
      </c>
    </row>
    <row r="1093" spans="1:24" x14ac:dyDescent="0.3">
      <c r="A1093">
        <v>6290855005</v>
      </c>
      <c r="B1093" s="1">
        <v>42497</v>
      </c>
      <c r="C1093">
        <v>5510</v>
      </c>
      <c r="D1093">
        <v>4.1700000762939498</v>
      </c>
      <c r="E1093">
        <v>4.1700000762939498</v>
      </c>
      <c r="F1093">
        <v>0</v>
      </c>
      <c r="G1093">
        <v>0</v>
      </c>
      <c r="H1093">
        <v>0</v>
      </c>
      <c r="I1093">
        <v>4.1599998474121103</v>
      </c>
      <c r="J1093">
        <v>0</v>
      </c>
      <c r="K1093">
        <v>0</v>
      </c>
      <c r="L1093">
        <v>0</v>
      </c>
      <c r="M1093">
        <v>227</v>
      </c>
      <c r="N1093">
        <v>1213</v>
      </c>
      <c r="O1093">
        <v>2613</v>
      </c>
      <c r="P1093" t="str">
        <f>TEXT(tbl_working_daily[[#This Row],[ActivityDate]],"dddd")</f>
        <v>Saturday</v>
      </c>
      <c r="Q1093" t="str">
        <f>TEXT(tbl_working_daily[[#This Row],[ActivityDate]],"mmmm")</f>
        <v>May</v>
      </c>
      <c r="R1093">
        <f t="shared" si="34"/>
        <v>227</v>
      </c>
      <c r="S1093">
        <f t="shared" si="35"/>
        <v>1440</v>
      </c>
      <c r="T1093">
        <f>ROUND(tbl_working_daily[[#This Row],[SedentaryMinutes]]/60,2)</f>
        <v>20.22</v>
      </c>
      <c r="U1093" t="str" cm="1">
        <f t="array" ref="U109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93" t="str" cm="1">
        <f t="array" ref="V1093">_xlfn.IFS(tbl_working_daily[[#This Row],[VeryActiveMinutes]]&gt;=30,"Very Active",tbl_working_daily[[#This Row],[VeryActiveMinutes]]&gt;=15,"Moderately Active",tbl_working_daily[[#This Row],[VeryActiveMinutes]]&gt;=1,"Lightly Active",tbl_working_daily[[#This Row],[VeryActiveMinutes]]=0,"Sedentary")</f>
        <v>Sedentary</v>
      </c>
      <c r="W1093" t="str">
        <f>tbl_working_daily[[#This Row],[Id]]&amp;"|"&amp;TEXT(tbl_working_daily[[#This Row],[ActivityDate]],"yyyy-mm-dd")</f>
        <v>6290855005|2016-05-07</v>
      </c>
      <c r="X1093" t="b">
        <f>ISNUMBER(MATCH(tbl_working_daily[[#This Row],[LookupKey]],tbl_working_sleep[LookupKey],0))</f>
        <v>0</v>
      </c>
    </row>
    <row r="1094" spans="1:24" x14ac:dyDescent="0.3">
      <c r="A1094">
        <v>6290855005</v>
      </c>
      <c r="B1094" s="1">
        <v>42498</v>
      </c>
      <c r="C1094">
        <v>7706</v>
      </c>
      <c r="D1094">
        <v>5.8299999237060502</v>
      </c>
      <c r="E1094">
        <v>5.8299999237060502</v>
      </c>
      <c r="F1094">
        <v>0</v>
      </c>
      <c r="G1094">
        <v>0</v>
      </c>
      <c r="H1094">
        <v>0</v>
      </c>
      <c r="I1094">
        <v>5.8200001716613796</v>
      </c>
      <c r="J1094">
        <v>0</v>
      </c>
      <c r="K1094">
        <v>0</v>
      </c>
      <c r="L1094">
        <v>0</v>
      </c>
      <c r="M1094">
        <v>251</v>
      </c>
      <c r="N1094">
        <v>1189</v>
      </c>
      <c r="O1094">
        <v>2712</v>
      </c>
      <c r="P1094" t="str">
        <f>TEXT(tbl_working_daily[[#This Row],[ActivityDate]],"dddd")</f>
        <v>Sunday</v>
      </c>
      <c r="Q1094" t="str">
        <f>TEXT(tbl_working_daily[[#This Row],[ActivityDate]],"mmmm")</f>
        <v>May</v>
      </c>
      <c r="R1094">
        <f t="shared" si="34"/>
        <v>251</v>
      </c>
      <c r="S1094">
        <f t="shared" si="35"/>
        <v>1440</v>
      </c>
      <c r="T1094">
        <f>ROUND(tbl_working_daily[[#This Row],[SedentaryMinutes]]/60,2)</f>
        <v>19.82</v>
      </c>
      <c r="U1094" t="str" cm="1">
        <f t="array" ref="U109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094" t="str" cm="1">
        <f t="array" ref="V1094">_xlfn.IFS(tbl_working_daily[[#This Row],[VeryActiveMinutes]]&gt;=30,"Very Active",tbl_working_daily[[#This Row],[VeryActiveMinutes]]&gt;=15,"Moderately Active",tbl_working_daily[[#This Row],[VeryActiveMinutes]]&gt;=1,"Lightly Active",tbl_working_daily[[#This Row],[VeryActiveMinutes]]=0,"Sedentary")</f>
        <v>Sedentary</v>
      </c>
      <c r="W1094" t="str">
        <f>tbl_working_daily[[#This Row],[Id]]&amp;"|"&amp;TEXT(tbl_working_daily[[#This Row],[ActivityDate]],"yyyy-mm-dd")</f>
        <v>6290855005|2016-05-08</v>
      </c>
      <c r="X1094" t="b">
        <f>ISNUMBER(MATCH(tbl_working_daily[[#This Row],[LookupKey]],tbl_working_sleep[LookupKey],0))</f>
        <v>0</v>
      </c>
    </row>
    <row r="1095" spans="1:24" x14ac:dyDescent="0.3">
      <c r="A1095">
        <v>6290855005</v>
      </c>
      <c r="B1095" s="1">
        <v>42499</v>
      </c>
      <c r="C1095">
        <v>6277</v>
      </c>
      <c r="D1095">
        <v>4.75</v>
      </c>
      <c r="E1095">
        <v>4.75</v>
      </c>
      <c r="F1095">
        <v>0</v>
      </c>
      <c r="G1095">
        <v>0</v>
      </c>
      <c r="H1095">
        <v>0</v>
      </c>
      <c r="I1095">
        <v>4.7300000190734899</v>
      </c>
      <c r="J1095">
        <v>1.9999999552965199E-2</v>
      </c>
      <c r="K1095">
        <v>0</v>
      </c>
      <c r="L1095">
        <v>0</v>
      </c>
      <c r="M1095">
        <v>264</v>
      </c>
      <c r="N1095">
        <v>800</v>
      </c>
      <c r="O1095">
        <v>2175</v>
      </c>
      <c r="P1095" t="str">
        <f>TEXT(tbl_working_daily[[#This Row],[ActivityDate]],"dddd")</f>
        <v>Monday</v>
      </c>
      <c r="Q1095" t="str">
        <f>TEXT(tbl_working_daily[[#This Row],[ActivityDate]],"mmmm")</f>
        <v>May</v>
      </c>
      <c r="R1095">
        <f t="shared" si="34"/>
        <v>264</v>
      </c>
      <c r="S1095">
        <f t="shared" si="35"/>
        <v>1064</v>
      </c>
      <c r="T1095">
        <f>ROUND(tbl_working_daily[[#This Row],[SedentaryMinutes]]/60,2)</f>
        <v>13.33</v>
      </c>
      <c r="U1095" t="str" cm="1">
        <f t="array" ref="U109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95" t="str" cm="1">
        <f t="array" ref="V1095">_xlfn.IFS(tbl_working_daily[[#This Row],[VeryActiveMinutes]]&gt;=30,"Very Active",tbl_working_daily[[#This Row],[VeryActiveMinutes]]&gt;=15,"Moderately Active",tbl_working_daily[[#This Row],[VeryActiveMinutes]]&gt;=1,"Lightly Active",tbl_working_daily[[#This Row],[VeryActiveMinutes]]=0,"Sedentary")</f>
        <v>Sedentary</v>
      </c>
      <c r="W1095" t="str">
        <f>tbl_working_daily[[#This Row],[Id]]&amp;"|"&amp;TEXT(tbl_working_daily[[#This Row],[ActivityDate]],"yyyy-mm-dd")</f>
        <v>6290855005|2016-05-09</v>
      </c>
      <c r="X1095" t="b">
        <f>ISNUMBER(MATCH(tbl_working_daily[[#This Row],[LookupKey]],tbl_working_sleep[LookupKey],0))</f>
        <v>0</v>
      </c>
    </row>
    <row r="1096" spans="1:24" x14ac:dyDescent="0.3">
      <c r="A1096">
        <v>6290855005</v>
      </c>
      <c r="B1096" s="1">
        <v>42500</v>
      </c>
      <c r="C1096">
        <v>0</v>
      </c>
      <c r="D1096">
        <v>0</v>
      </c>
      <c r="E1096">
        <v>0</v>
      </c>
      <c r="F1096">
        <v>0</v>
      </c>
      <c r="G1096">
        <v>0</v>
      </c>
      <c r="H1096">
        <v>0</v>
      </c>
      <c r="I1096">
        <v>0</v>
      </c>
      <c r="J1096">
        <v>0</v>
      </c>
      <c r="K1096">
        <v>0</v>
      </c>
      <c r="L1096">
        <v>0</v>
      </c>
      <c r="M1096">
        <v>0</v>
      </c>
      <c r="N1096">
        <v>1440</v>
      </c>
      <c r="O1096">
        <v>0</v>
      </c>
      <c r="P1096" t="str">
        <f>TEXT(tbl_working_daily[[#This Row],[ActivityDate]],"dddd")</f>
        <v>Tuesday</v>
      </c>
      <c r="Q1096" t="str">
        <f>TEXT(tbl_working_daily[[#This Row],[ActivityDate]],"mmmm")</f>
        <v>May</v>
      </c>
      <c r="R1096">
        <f t="shared" si="34"/>
        <v>0</v>
      </c>
      <c r="S1096">
        <f t="shared" si="35"/>
        <v>1440</v>
      </c>
      <c r="T1096">
        <f>ROUND(tbl_working_daily[[#This Row],[SedentaryMinutes]]/60,2)</f>
        <v>24</v>
      </c>
      <c r="U1096" t="str" cm="1">
        <f t="array" ref="U109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96" t="str" cm="1">
        <f t="array" ref="V1096">_xlfn.IFS(tbl_working_daily[[#This Row],[VeryActiveMinutes]]&gt;=30,"Very Active",tbl_working_daily[[#This Row],[VeryActiveMinutes]]&gt;=15,"Moderately Active",tbl_working_daily[[#This Row],[VeryActiveMinutes]]&gt;=1,"Lightly Active",tbl_working_daily[[#This Row],[VeryActiveMinutes]]=0,"Sedentary")</f>
        <v>Sedentary</v>
      </c>
      <c r="W1096" t="str">
        <f>tbl_working_daily[[#This Row],[Id]]&amp;"|"&amp;TEXT(tbl_working_daily[[#This Row],[ActivityDate]],"yyyy-mm-dd")</f>
        <v>6290855005|2016-05-10</v>
      </c>
      <c r="X1096" t="b">
        <f>ISNUMBER(MATCH(tbl_working_daily[[#This Row],[LookupKey]],tbl_working_sleep[LookupKey],0))</f>
        <v>0</v>
      </c>
    </row>
    <row r="1097" spans="1:24" x14ac:dyDescent="0.3">
      <c r="A1097">
        <v>6775888955</v>
      </c>
      <c r="B1097" s="1">
        <v>42472</v>
      </c>
      <c r="C1097">
        <v>0</v>
      </c>
      <c r="D1097">
        <v>0</v>
      </c>
      <c r="E1097">
        <v>0</v>
      </c>
      <c r="F1097">
        <v>0</v>
      </c>
      <c r="G1097">
        <v>0</v>
      </c>
      <c r="H1097">
        <v>0</v>
      </c>
      <c r="I1097">
        <v>0</v>
      </c>
      <c r="J1097">
        <v>0</v>
      </c>
      <c r="K1097">
        <v>0</v>
      </c>
      <c r="L1097">
        <v>0</v>
      </c>
      <c r="M1097">
        <v>0</v>
      </c>
      <c r="N1097">
        <v>1440</v>
      </c>
      <c r="O1097">
        <v>1841</v>
      </c>
      <c r="P1097" t="str">
        <f>TEXT(tbl_working_daily[[#This Row],[ActivityDate]],"dddd")</f>
        <v>Tuesday</v>
      </c>
      <c r="Q1097" t="str">
        <f>TEXT(tbl_working_daily[[#This Row],[ActivityDate]],"mmmm")</f>
        <v>April</v>
      </c>
      <c r="R1097">
        <f t="shared" si="34"/>
        <v>0</v>
      </c>
      <c r="S1097">
        <f t="shared" si="35"/>
        <v>1440</v>
      </c>
      <c r="T1097">
        <f>ROUND(tbl_working_daily[[#This Row],[SedentaryMinutes]]/60,2)</f>
        <v>24</v>
      </c>
      <c r="U1097" t="str" cm="1">
        <f t="array" ref="U109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97" t="str" cm="1">
        <f t="array" ref="V1097">_xlfn.IFS(tbl_working_daily[[#This Row],[VeryActiveMinutes]]&gt;=30,"Very Active",tbl_working_daily[[#This Row],[VeryActiveMinutes]]&gt;=15,"Moderately Active",tbl_working_daily[[#This Row],[VeryActiveMinutes]]&gt;=1,"Lightly Active",tbl_working_daily[[#This Row],[VeryActiveMinutes]]=0,"Sedentary")</f>
        <v>Sedentary</v>
      </c>
      <c r="W1097" t="str">
        <f>tbl_working_daily[[#This Row],[Id]]&amp;"|"&amp;TEXT(tbl_working_daily[[#This Row],[ActivityDate]],"yyyy-mm-dd")</f>
        <v>6775888955|2016-04-12</v>
      </c>
      <c r="X1097" t="b">
        <f>ISNUMBER(MATCH(tbl_working_daily[[#This Row],[LookupKey]],tbl_working_sleep[LookupKey],0))</f>
        <v>0</v>
      </c>
    </row>
    <row r="1098" spans="1:24" x14ac:dyDescent="0.3">
      <c r="A1098">
        <v>6775888955</v>
      </c>
      <c r="B1098" s="1">
        <v>42473</v>
      </c>
      <c r="C1098">
        <v>4053</v>
      </c>
      <c r="D1098">
        <v>2.9100000858306898</v>
      </c>
      <c r="E1098">
        <v>2.9100000858306898</v>
      </c>
      <c r="F1098">
        <v>0</v>
      </c>
      <c r="G1098">
        <v>1.1100000143051101</v>
      </c>
      <c r="H1098">
        <v>0.57999998331069902</v>
      </c>
      <c r="I1098">
        <v>1.2200000286102299</v>
      </c>
      <c r="J1098">
        <v>0</v>
      </c>
      <c r="K1098">
        <v>17</v>
      </c>
      <c r="L1098">
        <v>18</v>
      </c>
      <c r="M1098">
        <v>85</v>
      </c>
      <c r="N1098">
        <v>1053</v>
      </c>
      <c r="O1098">
        <v>2400</v>
      </c>
      <c r="P1098" t="str">
        <f>TEXT(tbl_working_daily[[#This Row],[ActivityDate]],"dddd")</f>
        <v>Wednesday</v>
      </c>
      <c r="Q1098" t="str">
        <f>TEXT(tbl_working_daily[[#This Row],[ActivityDate]],"mmmm")</f>
        <v>April</v>
      </c>
      <c r="R1098">
        <f t="shared" si="34"/>
        <v>120</v>
      </c>
      <c r="S1098">
        <f t="shared" si="35"/>
        <v>1173</v>
      </c>
      <c r="T1098">
        <f>ROUND(tbl_working_daily[[#This Row],[SedentaryMinutes]]/60,2)</f>
        <v>17.55</v>
      </c>
      <c r="U1098" t="str" cm="1">
        <f t="array" ref="U109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098" t="str" cm="1">
        <f t="array" ref="V1098">_xlfn.IFS(tbl_working_daily[[#This Row],[VeryActiveMinutes]]&gt;=30,"Very Active",tbl_working_daily[[#This Row],[VeryActiveMinutes]]&gt;=15,"Moderately Active",tbl_working_daily[[#This Row],[VeryActiveMinutes]]&gt;=1,"Lightly Active",tbl_working_daily[[#This Row],[VeryActiveMinutes]]=0,"Sedentary")</f>
        <v>Moderately Active</v>
      </c>
      <c r="W1098" t="str">
        <f>tbl_working_daily[[#This Row],[Id]]&amp;"|"&amp;TEXT(tbl_working_daily[[#This Row],[ActivityDate]],"yyyy-mm-dd")</f>
        <v>6775888955|2016-04-13</v>
      </c>
      <c r="X1098" t="b">
        <f>ISNUMBER(MATCH(tbl_working_daily[[#This Row],[LookupKey]],tbl_working_sleep[LookupKey],0))</f>
        <v>1</v>
      </c>
    </row>
    <row r="1099" spans="1:24" x14ac:dyDescent="0.3">
      <c r="A1099">
        <v>6775888955</v>
      </c>
      <c r="B1099" s="1">
        <v>42474</v>
      </c>
      <c r="C1099">
        <v>5162</v>
      </c>
      <c r="D1099">
        <v>3.7000000476837198</v>
      </c>
      <c r="E1099">
        <v>3.7000000476837198</v>
      </c>
      <c r="F1099">
        <v>0</v>
      </c>
      <c r="G1099">
        <v>0.87000000476837203</v>
      </c>
      <c r="H1099">
        <v>0.86000001430511497</v>
      </c>
      <c r="I1099">
        <v>1.9700000286102299</v>
      </c>
      <c r="J1099">
        <v>0</v>
      </c>
      <c r="K1099">
        <v>14</v>
      </c>
      <c r="L1099">
        <v>24</v>
      </c>
      <c r="M1099">
        <v>105</v>
      </c>
      <c r="N1099">
        <v>863</v>
      </c>
      <c r="O1099">
        <v>2507</v>
      </c>
      <c r="P1099" t="str">
        <f>TEXT(tbl_working_daily[[#This Row],[ActivityDate]],"dddd")</f>
        <v>Thursday</v>
      </c>
      <c r="Q1099" t="str">
        <f>TEXT(tbl_working_daily[[#This Row],[ActivityDate]],"mmmm")</f>
        <v>April</v>
      </c>
      <c r="R1099">
        <f t="shared" si="34"/>
        <v>143</v>
      </c>
      <c r="S1099">
        <f t="shared" si="35"/>
        <v>1006</v>
      </c>
      <c r="T1099">
        <f>ROUND(tbl_working_daily[[#This Row],[SedentaryMinutes]]/60,2)</f>
        <v>14.38</v>
      </c>
      <c r="U1099" t="str" cm="1">
        <f t="array" ref="U109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099" t="str" cm="1">
        <f t="array" ref="V1099">_xlfn.IFS(tbl_working_daily[[#This Row],[VeryActiveMinutes]]&gt;=30,"Very Active",tbl_working_daily[[#This Row],[VeryActiveMinutes]]&gt;=15,"Moderately Active",tbl_working_daily[[#This Row],[VeryActiveMinutes]]&gt;=1,"Lightly Active",tbl_working_daily[[#This Row],[VeryActiveMinutes]]=0,"Sedentary")</f>
        <v>Lightly Active</v>
      </c>
      <c r="W1099" t="str">
        <f>tbl_working_daily[[#This Row],[Id]]&amp;"|"&amp;TEXT(tbl_working_daily[[#This Row],[ActivityDate]],"yyyy-mm-dd")</f>
        <v>6775888955|2016-04-14</v>
      </c>
      <c r="X1099" t="b">
        <f>ISNUMBER(MATCH(tbl_working_daily[[#This Row],[LookupKey]],tbl_working_sleep[LookupKey],0))</f>
        <v>1</v>
      </c>
    </row>
    <row r="1100" spans="1:24" x14ac:dyDescent="0.3">
      <c r="A1100">
        <v>6775888955</v>
      </c>
      <c r="B1100" s="1">
        <v>42475</v>
      </c>
      <c r="C1100">
        <v>1282</v>
      </c>
      <c r="D1100">
        <v>0.92000001668930098</v>
      </c>
      <c r="E1100">
        <v>0.92000001668930098</v>
      </c>
      <c r="F1100">
        <v>0</v>
      </c>
      <c r="G1100">
        <v>0</v>
      </c>
      <c r="H1100">
        <v>0</v>
      </c>
      <c r="I1100">
        <v>0.92000001668930098</v>
      </c>
      <c r="J1100">
        <v>0</v>
      </c>
      <c r="K1100">
        <v>0</v>
      </c>
      <c r="L1100">
        <v>0</v>
      </c>
      <c r="M1100">
        <v>58</v>
      </c>
      <c r="N1100">
        <v>976</v>
      </c>
      <c r="O1100">
        <v>2127</v>
      </c>
      <c r="P1100" t="str">
        <f>TEXT(tbl_working_daily[[#This Row],[ActivityDate]],"dddd")</f>
        <v>Friday</v>
      </c>
      <c r="Q1100" t="str">
        <f>TEXT(tbl_working_daily[[#This Row],[ActivityDate]],"mmmm")</f>
        <v>April</v>
      </c>
      <c r="R1100">
        <f t="shared" si="34"/>
        <v>58</v>
      </c>
      <c r="S1100">
        <f t="shared" si="35"/>
        <v>1034</v>
      </c>
      <c r="T1100">
        <f>ROUND(tbl_working_daily[[#This Row],[SedentaryMinutes]]/60,2)</f>
        <v>16.27</v>
      </c>
      <c r="U1100" t="str" cm="1">
        <f t="array" ref="U110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0" t="str" cm="1">
        <f t="array" ref="V1100">_xlfn.IFS(tbl_working_daily[[#This Row],[VeryActiveMinutes]]&gt;=30,"Very Active",tbl_working_daily[[#This Row],[VeryActiveMinutes]]&gt;=15,"Moderately Active",tbl_working_daily[[#This Row],[VeryActiveMinutes]]&gt;=1,"Lightly Active",tbl_working_daily[[#This Row],[VeryActiveMinutes]]=0,"Sedentary")</f>
        <v>Sedentary</v>
      </c>
      <c r="W1100" t="str">
        <f>tbl_working_daily[[#This Row],[Id]]&amp;"|"&amp;TEXT(tbl_working_daily[[#This Row],[ActivityDate]],"yyyy-mm-dd")</f>
        <v>6775888955|2016-04-15</v>
      </c>
      <c r="X1100" t="b">
        <f>ISNUMBER(MATCH(tbl_working_daily[[#This Row],[LookupKey]],tbl_working_sleep[LookupKey],0))</f>
        <v>1</v>
      </c>
    </row>
    <row r="1101" spans="1:24" x14ac:dyDescent="0.3">
      <c r="A1101">
        <v>6775888955</v>
      </c>
      <c r="B1101" s="1">
        <v>42476</v>
      </c>
      <c r="C1101">
        <v>4732</v>
      </c>
      <c r="D1101">
        <v>3.3900001049041699</v>
      </c>
      <c r="E1101">
        <v>3.3900001049041699</v>
      </c>
      <c r="F1101">
        <v>0</v>
      </c>
      <c r="G1101">
        <v>2.5199999809265101</v>
      </c>
      <c r="H1101">
        <v>0.81000000238418601</v>
      </c>
      <c r="I1101">
        <v>5.9999998658895499E-2</v>
      </c>
      <c r="J1101">
        <v>0</v>
      </c>
      <c r="K1101">
        <v>36</v>
      </c>
      <c r="L1101">
        <v>18</v>
      </c>
      <c r="M1101">
        <v>9</v>
      </c>
      <c r="N1101">
        <v>1377</v>
      </c>
      <c r="O1101">
        <v>2225</v>
      </c>
      <c r="P1101" t="str">
        <f>TEXT(tbl_working_daily[[#This Row],[ActivityDate]],"dddd")</f>
        <v>Saturday</v>
      </c>
      <c r="Q1101" t="str">
        <f>TEXT(tbl_working_daily[[#This Row],[ActivityDate]],"mmmm")</f>
        <v>April</v>
      </c>
      <c r="R1101">
        <f t="shared" si="34"/>
        <v>63</v>
      </c>
      <c r="S1101">
        <f t="shared" si="35"/>
        <v>1440</v>
      </c>
      <c r="T1101">
        <f>ROUND(tbl_working_daily[[#This Row],[SedentaryMinutes]]/60,2)</f>
        <v>22.95</v>
      </c>
      <c r="U1101" t="str" cm="1">
        <f t="array" ref="U110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1" t="str" cm="1">
        <f t="array" ref="V1101">_xlfn.IFS(tbl_working_daily[[#This Row],[VeryActiveMinutes]]&gt;=30,"Very Active",tbl_working_daily[[#This Row],[VeryActiveMinutes]]&gt;=15,"Moderately Active",tbl_working_daily[[#This Row],[VeryActiveMinutes]]&gt;=1,"Lightly Active",tbl_working_daily[[#This Row],[VeryActiveMinutes]]=0,"Sedentary")</f>
        <v>Very Active</v>
      </c>
      <c r="W1101" t="str">
        <f>tbl_working_daily[[#This Row],[Id]]&amp;"|"&amp;TEXT(tbl_working_daily[[#This Row],[ActivityDate]],"yyyy-mm-dd")</f>
        <v>6775888955|2016-04-16</v>
      </c>
      <c r="X1101" t="b">
        <f>ISNUMBER(MATCH(tbl_working_daily[[#This Row],[LookupKey]],tbl_working_sleep[LookupKey],0))</f>
        <v>0</v>
      </c>
    </row>
    <row r="1102" spans="1:24" x14ac:dyDescent="0.3">
      <c r="A1102">
        <v>6775888955</v>
      </c>
      <c r="B1102" s="1">
        <v>42477</v>
      </c>
      <c r="C1102">
        <v>2497</v>
      </c>
      <c r="D1102">
        <v>1.78999996185303</v>
      </c>
      <c r="E1102">
        <v>1.78999996185303</v>
      </c>
      <c r="F1102">
        <v>0</v>
      </c>
      <c r="G1102">
        <v>0.34999999403953602</v>
      </c>
      <c r="H1102">
        <v>1.12999999523163</v>
      </c>
      <c r="I1102">
        <v>0.31000000238418601</v>
      </c>
      <c r="J1102">
        <v>0</v>
      </c>
      <c r="K1102">
        <v>5</v>
      </c>
      <c r="L1102">
        <v>24</v>
      </c>
      <c r="M1102">
        <v>19</v>
      </c>
      <c r="N1102">
        <v>1392</v>
      </c>
      <c r="O1102">
        <v>2067</v>
      </c>
      <c r="P1102" t="str">
        <f>TEXT(tbl_working_daily[[#This Row],[ActivityDate]],"dddd")</f>
        <v>Sunday</v>
      </c>
      <c r="Q1102" t="str">
        <f>TEXT(tbl_working_daily[[#This Row],[ActivityDate]],"mmmm")</f>
        <v>April</v>
      </c>
      <c r="R1102">
        <f t="shared" si="34"/>
        <v>48</v>
      </c>
      <c r="S1102">
        <f t="shared" si="35"/>
        <v>1440</v>
      </c>
      <c r="T1102">
        <f>ROUND(tbl_working_daily[[#This Row],[SedentaryMinutes]]/60,2)</f>
        <v>23.2</v>
      </c>
      <c r="U1102" t="str" cm="1">
        <f t="array" ref="U110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2" t="str" cm="1">
        <f t="array" ref="V1102">_xlfn.IFS(tbl_working_daily[[#This Row],[VeryActiveMinutes]]&gt;=30,"Very Active",tbl_working_daily[[#This Row],[VeryActiveMinutes]]&gt;=15,"Moderately Active",tbl_working_daily[[#This Row],[VeryActiveMinutes]]&gt;=1,"Lightly Active",tbl_working_daily[[#This Row],[VeryActiveMinutes]]=0,"Sedentary")</f>
        <v>Lightly Active</v>
      </c>
      <c r="W1102" t="str">
        <f>tbl_working_daily[[#This Row],[Id]]&amp;"|"&amp;TEXT(tbl_working_daily[[#This Row],[ActivityDate]],"yyyy-mm-dd")</f>
        <v>6775888955|2016-04-17</v>
      </c>
      <c r="X1102" t="b">
        <f>ISNUMBER(MATCH(tbl_working_daily[[#This Row],[LookupKey]],tbl_working_sleep[LookupKey],0))</f>
        <v>0</v>
      </c>
    </row>
    <row r="1103" spans="1:24" x14ac:dyDescent="0.3">
      <c r="A1103">
        <v>6775888955</v>
      </c>
      <c r="B1103" s="1">
        <v>42478</v>
      </c>
      <c r="C1103">
        <v>8294</v>
      </c>
      <c r="D1103">
        <v>5.9499998092651403</v>
      </c>
      <c r="E1103">
        <v>5.9499998092651403</v>
      </c>
      <c r="F1103">
        <v>0</v>
      </c>
      <c r="G1103">
        <v>2</v>
      </c>
      <c r="H1103">
        <v>0.769999980926514</v>
      </c>
      <c r="I1103">
        <v>3.1700000762939502</v>
      </c>
      <c r="J1103">
        <v>0</v>
      </c>
      <c r="K1103">
        <v>30</v>
      </c>
      <c r="L1103">
        <v>31</v>
      </c>
      <c r="M1103">
        <v>146</v>
      </c>
      <c r="N1103">
        <v>1233</v>
      </c>
      <c r="O1103">
        <v>2798</v>
      </c>
      <c r="P1103" t="str">
        <f>TEXT(tbl_working_daily[[#This Row],[ActivityDate]],"dddd")</f>
        <v>Monday</v>
      </c>
      <c r="Q1103" t="str">
        <f>TEXT(tbl_working_daily[[#This Row],[ActivityDate]],"mmmm")</f>
        <v>April</v>
      </c>
      <c r="R1103">
        <f t="shared" si="34"/>
        <v>207</v>
      </c>
      <c r="S1103">
        <f t="shared" si="35"/>
        <v>1440</v>
      </c>
      <c r="T1103">
        <f>ROUND(tbl_working_daily[[#This Row],[SedentaryMinutes]]/60,2)</f>
        <v>20.55</v>
      </c>
      <c r="U1103" t="str" cm="1">
        <f t="array" ref="U110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03" t="str" cm="1">
        <f t="array" ref="V1103">_xlfn.IFS(tbl_working_daily[[#This Row],[VeryActiveMinutes]]&gt;=30,"Very Active",tbl_working_daily[[#This Row],[VeryActiveMinutes]]&gt;=15,"Moderately Active",tbl_working_daily[[#This Row],[VeryActiveMinutes]]&gt;=1,"Lightly Active",tbl_working_daily[[#This Row],[VeryActiveMinutes]]=0,"Sedentary")</f>
        <v>Very Active</v>
      </c>
      <c r="W1103" t="str">
        <f>tbl_working_daily[[#This Row],[Id]]&amp;"|"&amp;TEXT(tbl_working_daily[[#This Row],[ActivityDate]],"yyyy-mm-dd")</f>
        <v>6775888955|2016-04-18</v>
      </c>
      <c r="X1103" t="b">
        <f>ISNUMBER(MATCH(tbl_working_daily[[#This Row],[LookupKey]],tbl_working_sleep[LookupKey],0))</f>
        <v>0</v>
      </c>
    </row>
    <row r="1104" spans="1:24" x14ac:dyDescent="0.3">
      <c r="A1104">
        <v>6775888955</v>
      </c>
      <c r="B1104" s="1">
        <v>42479</v>
      </c>
      <c r="C1104">
        <v>0</v>
      </c>
      <c r="D1104">
        <v>0</v>
      </c>
      <c r="E1104">
        <v>0</v>
      </c>
      <c r="F1104">
        <v>0</v>
      </c>
      <c r="G1104">
        <v>0</v>
      </c>
      <c r="H1104">
        <v>0</v>
      </c>
      <c r="I1104">
        <v>0</v>
      </c>
      <c r="J1104">
        <v>0</v>
      </c>
      <c r="K1104">
        <v>0</v>
      </c>
      <c r="L1104">
        <v>0</v>
      </c>
      <c r="M1104">
        <v>0</v>
      </c>
      <c r="N1104">
        <v>1440</v>
      </c>
      <c r="O1104">
        <v>1841</v>
      </c>
      <c r="P1104" t="str">
        <f>TEXT(tbl_working_daily[[#This Row],[ActivityDate]],"dddd")</f>
        <v>Tuesday</v>
      </c>
      <c r="Q1104" t="str">
        <f>TEXT(tbl_working_daily[[#This Row],[ActivityDate]],"mmmm")</f>
        <v>April</v>
      </c>
      <c r="R1104">
        <f t="shared" si="34"/>
        <v>0</v>
      </c>
      <c r="S1104">
        <f t="shared" si="35"/>
        <v>1440</v>
      </c>
      <c r="T1104">
        <f>ROUND(tbl_working_daily[[#This Row],[SedentaryMinutes]]/60,2)</f>
        <v>24</v>
      </c>
      <c r="U1104" t="str" cm="1">
        <f t="array" ref="U110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4" t="str" cm="1">
        <f t="array" ref="V1104">_xlfn.IFS(tbl_working_daily[[#This Row],[VeryActiveMinutes]]&gt;=30,"Very Active",tbl_working_daily[[#This Row],[VeryActiveMinutes]]&gt;=15,"Moderately Active",tbl_working_daily[[#This Row],[VeryActiveMinutes]]&gt;=1,"Lightly Active",tbl_working_daily[[#This Row],[VeryActiveMinutes]]=0,"Sedentary")</f>
        <v>Sedentary</v>
      </c>
      <c r="W1104" t="str">
        <f>tbl_working_daily[[#This Row],[Id]]&amp;"|"&amp;TEXT(tbl_working_daily[[#This Row],[ActivityDate]],"yyyy-mm-dd")</f>
        <v>6775888955|2016-04-19</v>
      </c>
      <c r="X1104" t="b">
        <f>ISNUMBER(MATCH(tbl_working_daily[[#This Row],[LookupKey]],tbl_working_sleep[LookupKey],0))</f>
        <v>0</v>
      </c>
    </row>
    <row r="1105" spans="1:24" x14ac:dyDescent="0.3">
      <c r="A1105">
        <v>6775888955</v>
      </c>
      <c r="B1105" s="1">
        <v>42480</v>
      </c>
      <c r="C1105">
        <v>10771</v>
      </c>
      <c r="D1105">
        <v>7.7199997901916504</v>
      </c>
      <c r="E1105">
        <v>7.7199997901916504</v>
      </c>
      <c r="F1105">
        <v>0</v>
      </c>
      <c r="G1105">
        <v>3.7699999809265101</v>
      </c>
      <c r="H1105">
        <v>1.7400000095367401</v>
      </c>
      <c r="I1105">
        <v>2.2200000286102299</v>
      </c>
      <c r="J1105">
        <v>0</v>
      </c>
      <c r="K1105">
        <v>70</v>
      </c>
      <c r="L1105">
        <v>113</v>
      </c>
      <c r="M1105">
        <v>178</v>
      </c>
      <c r="N1105">
        <v>1079</v>
      </c>
      <c r="O1105">
        <v>3727</v>
      </c>
      <c r="P1105" t="str">
        <f>TEXT(tbl_working_daily[[#This Row],[ActivityDate]],"dddd")</f>
        <v>Wednesday</v>
      </c>
      <c r="Q1105" t="str">
        <f>TEXT(tbl_working_daily[[#This Row],[ActivityDate]],"mmmm")</f>
        <v>April</v>
      </c>
      <c r="R1105">
        <f t="shared" si="34"/>
        <v>361</v>
      </c>
      <c r="S1105">
        <f t="shared" si="35"/>
        <v>1440</v>
      </c>
      <c r="T1105">
        <f>ROUND(tbl_working_daily[[#This Row],[SedentaryMinutes]]/60,2)</f>
        <v>17.98</v>
      </c>
      <c r="U1105" t="str" cm="1">
        <f t="array" ref="U110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05" t="str" cm="1">
        <f t="array" ref="V1105">_xlfn.IFS(tbl_working_daily[[#This Row],[VeryActiveMinutes]]&gt;=30,"Very Active",tbl_working_daily[[#This Row],[VeryActiveMinutes]]&gt;=15,"Moderately Active",tbl_working_daily[[#This Row],[VeryActiveMinutes]]&gt;=1,"Lightly Active",tbl_working_daily[[#This Row],[VeryActiveMinutes]]=0,"Sedentary")</f>
        <v>Very Active</v>
      </c>
      <c r="W1105" t="str">
        <f>tbl_working_daily[[#This Row],[Id]]&amp;"|"&amp;TEXT(tbl_working_daily[[#This Row],[ActivityDate]],"yyyy-mm-dd")</f>
        <v>6775888955|2016-04-20</v>
      </c>
      <c r="X1105" t="b">
        <f>ISNUMBER(MATCH(tbl_working_daily[[#This Row],[LookupKey]],tbl_working_sleep[LookupKey],0))</f>
        <v>0</v>
      </c>
    </row>
    <row r="1106" spans="1:24" x14ac:dyDescent="0.3">
      <c r="A1106">
        <v>6775888955</v>
      </c>
      <c r="B1106" s="1">
        <v>42481</v>
      </c>
      <c r="C1106">
        <v>0</v>
      </c>
      <c r="D1106">
        <v>0</v>
      </c>
      <c r="E1106">
        <v>0</v>
      </c>
      <c r="F1106">
        <v>0</v>
      </c>
      <c r="G1106">
        <v>0</v>
      </c>
      <c r="H1106">
        <v>0</v>
      </c>
      <c r="I1106">
        <v>0</v>
      </c>
      <c r="J1106">
        <v>0</v>
      </c>
      <c r="K1106">
        <v>0</v>
      </c>
      <c r="L1106">
        <v>0</v>
      </c>
      <c r="M1106">
        <v>0</v>
      </c>
      <c r="N1106">
        <v>1440</v>
      </c>
      <c r="O1106">
        <v>1841</v>
      </c>
      <c r="P1106" t="str">
        <f>TEXT(tbl_working_daily[[#This Row],[ActivityDate]],"dddd")</f>
        <v>Thursday</v>
      </c>
      <c r="Q1106" t="str">
        <f>TEXT(tbl_working_daily[[#This Row],[ActivityDate]],"mmmm")</f>
        <v>April</v>
      </c>
      <c r="R1106">
        <f t="shared" si="34"/>
        <v>0</v>
      </c>
      <c r="S1106">
        <f t="shared" si="35"/>
        <v>1440</v>
      </c>
      <c r="T1106">
        <f>ROUND(tbl_working_daily[[#This Row],[SedentaryMinutes]]/60,2)</f>
        <v>24</v>
      </c>
      <c r="U1106" t="str" cm="1">
        <f t="array" ref="U110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6" t="str" cm="1">
        <f t="array" ref="V1106">_xlfn.IFS(tbl_working_daily[[#This Row],[VeryActiveMinutes]]&gt;=30,"Very Active",tbl_working_daily[[#This Row],[VeryActiveMinutes]]&gt;=15,"Moderately Active",tbl_working_daily[[#This Row],[VeryActiveMinutes]]&gt;=1,"Lightly Active",tbl_working_daily[[#This Row],[VeryActiveMinutes]]=0,"Sedentary")</f>
        <v>Sedentary</v>
      </c>
      <c r="W1106" t="str">
        <f>tbl_working_daily[[#This Row],[Id]]&amp;"|"&amp;TEXT(tbl_working_daily[[#This Row],[ActivityDate]],"yyyy-mm-dd")</f>
        <v>6775888955|2016-04-21</v>
      </c>
      <c r="X1106" t="b">
        <f>ISNUMBER(MATCH(tbl_working_daily[[#This Row],[LookupKey]],tbl_working_sleep[LookupKey],0))</f>
        <v>0</v>
      </c>
    </row>
    <row r="1107" spans="1:24" x14ac:dyDescent="0.3">
      <c r="A1107">
        <v>6775888955</v>
      </c>
      <c r="B1107" s="1">
        <v>42482</v>
      </c>
      <c r="C1107">
        <v>637</v>
      </c>
      <c r="D1107">
        <v>0.46000000834464999</v>
      </c>
      <c r="E1107">
        <v>0.46000000834464999</v>
      </c>
      <c r="F1107">
        <v>0</v>
      </c>
      <c r="G1107">
        <v>0</v>
      </c>
      <c r="H1107">
        <v>0</v>
      </c>
      <c r="I1107">
        <v>0.46000000834464999</v>
      </c>
      <c r="J1107">
        <v>0</v>
      </c>
      <c r="K1107">
        <v>0</v>
      </c>
      <c r="L1107">
        <v>0</v>
      </c>
      <c r="M1107">
        <v>20</v>
      </c>
      <c r="N1107">
        <v>1420</v>
      </c>
      <c r="O1107">
        <v>1922</v>
      </c>
      <c r="P1107" t="str">
        <f>TEXT(tbl_working_daily[[#This Row],[ActivityDate]],"dddd")</f>
        <v>Friday</v>
      </c>
      <c r="Q1107" t="str">
        <f>TEXT(tbl_working_daily[[#This Row],[ActivityDate]],"mmmm")</f>
        <v>April</v>
      </c>
      <c r="R1107">
        <f t="shared" si="34"/>
        <v>20</v>
      </c>
      <c r="S1107">
        <f t="shared" si="35"/>
        <v>1440</v>
      </c>
      <c r="T1107">
        <f>ROUND(tbl_working_daily[[#This Row],[SedentaryMinutes]]/60,2)</f>
        <v>23.67</v>
      </c>
      <c r="U1107" t="str" cm="1">
        <f t="array" ref="U11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7" t="str" cm="1">
        <f t="array" ref="V1107">_xlfn.IFS(tbl_working_daily[[#This Row],[VeryActiveMinutes]]&gt;=30,"Very Active",tbl_working_daily[[#This Row],[VeryActiveMinutes]]&gt;=15,"Moderately Active",tbl_working_daily[[#This Row],[VeryActiveMinutes]]&gt;=1,"Lightly Active",tbl_working_daily[[#This Row],[VeryActiveMinutes]]=0,"Sedentary")</f>
        <v>Sedentary</v>
      </c>
      <c r="W1107" t="str">
        <f>tbl_working_daily[[#This Row],[Id]]&amp;"|"&amp;TEXT(tbl_working_daily[[#This Row],[ActivityDate]],"yyyy-mm-dd")</f>
        <v>6775888955|2016-04-22</v>
      </c>
      <c r="X1107" t="b">
        <f>ISNUMBER(MATCH(tbl_working_daily[[#This Row],[LookupKey]],tbl_working_sleep[LookupKey],0))</f>
        <v>0</v>
      </c>
    </row>
    <row r="1108" spans="1:24" x14ac:dyDescent="0.3">
      <c r="A1108">
        <v>6775888955</v>
      </c>
      <c r="B1108" s="1">
        <v>42483</v>
      </c>
      <c r="C1108">
        <v>0</v>
      </c>
      <c r="D1108">
        <v>0</v>
      </c>
      <c r="E1108">
        <v>0</v>
      </c>
      <c r="F1108">
        <v>0</v>
      </c>
      <c r="G1108">
        <v>0</v>
      </c>
      <c r="H1108">
        <v>0</v>
      </c>
      <c r="I1108">
        <v>0</v>
      </c>
      <c r="J1108">
        <v>0</v>
      </c>
      <c r="K1108">
        <v>0</v>
      </c>
      <c r="L1108">
        <v>0</v>
      </c>
      <c r="M1108">
        <v>0</v>
      </c>
      <c r="N1108">
        <v>1440</v>
      </c>
      <c r="O1108">
        <v>1841</v>
      </c>
      <c r="P1108" t="str">
        <f>TEXT(tbl_working_daily[[#This Row],[ActivityDate]],"dddd")</f>
        <v>Saturday</v>
      </c>
      <c r="Q1108" t="str">
        <f>TEXT(tbl_working_daily[[#This Row],[ActivityDate]],"mmmm")</f>
        <v>April</v>
      </c>
      <c r="R1108">
        <f t="shared" si="34"/>
        <v>0</v>
      </c>
      <c r="S1108">
        <f t="shared" si="35"/>
        <v>1440</v>
      </c>
      <c r="T1108">
        <f>ROUND(tbl_working_daily[[#This Row],[SedentaryMinutes]]/60,2)</f>
        <v>24</v>
      </c>
      <c r="U1108" t="str" cm="1">
        <f t="array" ref="U11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8" t="str" cm="1">
        <f t="array" ref="V1108">_xlfn.IFS(tbl_working_daily[[#This Row],[VeryActiveMinutes]]&gt;=30,"Very Active",tbl_working_daily[[#This Row],[VeryActiveMinutes]]&gt;=15,"Moderately Active",tbl_working_daily[[#This Row],[VeryActiveMinutes]]&gt;=1,"Lightly Active",tbl_working_daily[[#This Row],[VeryActiveMinutes]]=0,"Sedentary")</f>
        <v>Sedentary</v>
      </c>
      <c r="W1108" t="str">
        <f>tbl_working_daily[[#This Row],[Id]]&amp;"|"&amp;TEXT(tbl_working_daily[[#This Row],[ActivityDate]],"yyyy-mm-dd")</f>
        <v>6775888955|2016-04-23</v>
      </c>
      <c r="X1108" t="b">
        <f>ISNUMBER(MATCH(tbl_working_daily[[#This Row],[LookupKey]],tbl_working_sleep[LookupKey],0))</f>
        <v>0</v>
      </c>
    </row>
    <row r="1109" spans="1:24" x14ac:dyDescent="0.3">
      <c r="A1109">
        <v>6775888955</v>
      </c>
      <c r="B1109" s="1">
        <v>42484</v>
      </c>
      <c r="C1109">
        <v>2153</v>
      </c>
      <c r="D1109">
        <v>1.53999996185303</v>
      </c>
      <c r="E1109">
        <v>1.53999996185303</v>
      </c>
      <c r="F1109">
        <v>0</v>
      </c>
      <c r="G1109">
        <v>0.769999980926514</v>
      </c>
      <c r="H1109">
        <v>0.62000000476837203</v>
      </c>
      <c r="I1109">
        <v>0.15000000596046401</v>
      </c>
      <c r="J1109">
        <v>0</v>
      </c>
      <c r="K1109">
        <v>11</v>
      </c>
      <c r="L1109">
        <v>18</v>
      </c>
      <c r="M1109">
        <v>11</v>
      </c>
      <c r="N1109">
        <v>1400</v>
      </c>
      <c r="O1109">
        <v>2053</v>
      </c>
      <c r="P1109" t="str">
        <f>TEXT(tbl_working_daily[[#This Row],[ActivityDate]],"dddd")</f>
        <v>Sunday</v>
      </c>
      <c r="Q1109" t="str">
        <f>TEXT(tbl_working_daily[[#This Row],[ActivityDate]],"mmmm")</f>
        <v>April</v>
      </c>
      <c r="R1109">
        <f t="shared" si="34"/>
        <v>40</v>
      </c>
      <c r="S1109">
        <f t="shared" si="35"/>
        <v>1440</v>
      </c>
      <c r="T1109">
        <f>ROUND(tbl_working_daily[[#This Row],[SedentaryMinutes]]/60,2)</f>
        <v>23.33</v>
      </c>
      <c r="U1109" t="str" cm="1">
        <f t="array" ref="U110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09" t="str" cm="1">
        <f t="array" ref="V1109">_xlfn.IFS(tbl_working_daily[[#This Row],[VeryActiveMinutes]]&gt;=30,"Very Active",tbl_working_daily[[#This Row],[VeryActiveMinutes]]&gt;=15,"Moderately Active",tbl_working_daily[[#This Row],[VeryActiveMinutes]]&gt;=1,"Lightly Active",tbl_working_daily[[#This Row],[VeryActiveMinutes]]=0,"Sedentary")</f>
        <v>Lightly Active</v>
      </c>
      <c r="W1109" t="str">
        <f>tbl_working_daily[[#This Row],[Id]]&amp;"|"&amp;TEXT(tbl_working_daily[[#This Row],[ActivityDate]],"yyyy-mm-dd")</f>
        <v>6775888955|2016-04-24</v>
      </c>
      <c r="X1109" t="b">
        <f>ISNUMBER(MATCH(tbl_working_daily[[#This Row],[LookupKey]],tbl_working_sleep[LookupKey],0))</f>
        <v>0</v>
      </c>
    </row>
    <row r="1110" spans="1:24" x14ac:dyDescent="0.3">
      <c r="A1110">
        <v>6775888955</v>
      </c>
      <c r="B1110" s="1">
        <v>42485</v>
      </c>
      <c r="C1110">
        <v>6474</v>
      </c>
      <c r="D1110">
        <v>4.6399998664856001</v>
      </c>
      <c r="E1110">
        <v>4.6399998664856001</v>
      </c>
      <c r="F1110">
        <v>0</v>
      </c>
      <c r="G1110">
        <v>2.2699999809265101</v>
      </c>
      <c r="H1110">
        <v>0.46000000834464999</v>
      </c>
      <c r="I1110">
        <v>1.8999999761581401</v>
      </c>
      <c r="J1110">
        <v>0</v>
      </c>
      <c r="K1110">
        <v>33</v>
      </c>
      <c r="L1110">
        <v>13</v>
      </c>
      <c r="M1110">
        <v>92</v>
      </c>
      <c r="N1110">
        <v>1302</v>
      </c>
      <c r="O1110">
        <v>2484</v>
      </c>
      <c r="P1110" t="str">
        <f>TEXT(tbl_working_daily[[#This Row],[ActivityDate]],"dddd")</f>
        <v>Monday</v>
      </c>
      <c r="Q1110" t="str">
        <f>TEXT(tbl_working_daily[[#This Row],[ActivityDate]],"mmmm")</f>
        <v>April</v>
      </c>
      <c r="R1110">
        <f t="shared" si="34"/>
        <v>138</v>
      </c>
      <c r="S1110">
        <f t="shared" si="35"/>
        <v>1440</v>
      </c>
      <c r="T1110">
        <f>ROUND(tbl_working_daily[[#This Row],[SedentaryMinutes]]/60,2)</f>
        <v>21.7</v>
      </c>
      <c r="U1110" t="str" cm="1">
        <f t="array" ref="U111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10" t="str" cm="1">
        <f t="array" ref="V1110">_xlfn.IFS(tbl_working_daily[[#This Row],[VeryActiveMinutes]]&gt;=30,"Very Active",tbl_working_daily[[#This Row],[VeryActiveMinutes]]&gt;=15,"Moderately Active",tbl_working_daily[[#This Row],[VeryActiveMinutes]]&gt;=1,"Lightly Active",tbl_working_daily[[#This Row],[VeryActiveMinutes]]=0,"Sedentary")</f>
        <v>Very Active</v>
      </c>
      <c r="W1110" t="str">
        <f>tbl_working_daily[[#This Row],[Id]]&amp;"|"&amp;TEXT(tbl_working_daily[[#This Row],[ActivityDate]],"yyyy-mm-dd")</f>
        <v>6775888955|2016-04-25</v>
      </c>
      <c r="X1110" t="b">
        <f>ISNUMBER(MATCH(tbl_working_daily[[#This Row],[LookupKey]],tbl_working_sleep[LookupKey],0))</f>
        <v>0</v>
      </c>
    </row>
    <row r="1111" spans="1:24" x14ac:dyDescent="0.3">
      <c r="A1111">
        <v>6775888955</v>
      </c>
      <c r="B1111" s="1">
        <v>42486</v>
      </c>
      <c r="C1111">
        <v>7091</v>
      </c>
      <c r="D1111">
        <v>5.2699999809265101</v>
      </c>
      <c r="E1111">
        <v>5.2699999809265101</v>
      </c>
      <c r="F1111">
        <v>1.9595960378646899</v>
      </c>
      <c r="G1111">
        <v>3.4800000190734899</v>
      </c>
      <c r="H1111">
        <v>0.87000000476837203</v>
      </c>
      <c r="I1111">
        <v>0.730000019073486</v>
      </c>
      <c r="J1111">
        <v>0</v>
      </c>
      <c r="K1111">
        <v>42</v>
      </c>
      <c r="L1111">
        <v>30</v>
      </c>
      <c r="M1111">
        <v>47</v>
      </c>
      <c r="N1111">
        <v>1321</v>
      </c>
      <c r="O1111">
        <v>2584</v>
      </c>
      <c r="P1111" t="str">
        <f>TEXT(tbl_working_daily[[#This Row],[ActivityDate]],"dddd")</f>
        <v>Tuesday</v>
      </c>
      <c r="Q1111" t="str">
        <f>TEXT(tbl_working_daily[[#This Row],[ActivityDate]],"mmmm")</f>
        <v>April</v>
      </c>
      <c r="R1111">
        <f t="shared" si="34"/>
        <v>119</v>
      </c>
      <c r="S1111">
        <f t="shared" si="35"/>
        <v>1440</v>
      </c>
      <c r="T1111">
        <f>ROUND(tbl_working_daily[[#This Row],[SedentaryMinutes]]/60,2)</f>
        <v>22.02</v>
      </c>
      <c r="U1111" t="str" cm="1">
        <f t="array" ref="U111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11" t="str" cm="1">
        <f t="array" ref="V1111">_xlfn.IFS(tbl_working_daily[[#This Row],[VeryActiveMinutes]]&gt;=30,"Very Active",tbl_working_daily[[#This Row],[VeryActiveMinutes]]&gt;=15,"Moderately Active",tbl_working_daily[[#This Row],[VeryActiveMinutes]]&gt;=1,"Lightly Active",tbl_working_daily[[#This Row],[VeryActiveMinutes]]=0,"Sedentary")</f>
        <v>Very Active</v>
      </c>
      <c r="W1111" t="str">
        <f>tbl_working_daily[[#This Row],[Id]]&amp;"|"&amp;TEXT(tbl_working_daily[[#This Row],[ActivityDate]],"yyyy-mm-dd")</f>
        <v>6775888955|2016-04-26</v>
      </c>
      <c r="X1111" t="b">
        <f>ISNUMBER(MATCH(tbl_working_daily[[#This Row],[LookupKey]],tbl_working_sleep[LookupKey],0))</f>
        <v>0</v>
      </c>
    </row>
    <row r="1112" spans="1:24" x14ac:dyDescent="0.3">
      <c r="A1112">
        <v>6775888955</v>
      </c>
      <c r="B1112" s="1">
        <v>42487</v>
      </c>
      <c r="C1112">
        <v>0</v>
      </c>
      <c r="D1112">
        <v>0</v>
      </c>
      <c r="E1112">
        <v>0</v>
      </c>
      <c r="F1112">
        <v>0</v>
      </c>
      <c r="G1112">
        <v>0</v>
      </c>
      <c r="H1112">
        <v>0</v>
      </c>
      <c r="I1112">
        <v>0</v>
      </c>
      <c r="J1112">
        <v>0</v>
      </c>
      <c r="K1112">
        <v>0</v>
      </c>
      <c r="L1112">
        <v>0</v>
      </c>
      <c r="M1112">
        <v>0</v>
      </c>
      <c r="N1112">
        <v>1440</v>
      </c>
      <c r="O1112">
        <v>1841</v>
      </c>
      <c r="P1112" t="str">
        <f>TEXT(tbl_working_daily[[#This Row],[ActivityDate]],"dddd")</f>
        <v>Wednesday</v>
      </c>
      <c r="Q1112" t="str">
        <f>TEXT(tbl_working_daily[[#This Row],[ActivityDate]],"mmmm")</f>
        <v>April</v>
      </c>
      <c r="R1112">
        <f t="shared" si="34"/>
        <v>0</v>
      </c>
      <c r="S1112">
        <f t="shared" si="35"/>
        <v>1440</v>
      </c>
      <c r="T1112">
        <f>ROUND(tbl_working_daily[[#This Row],[SedentaryMinutes]]/60,2)</f>
        <v>24</v>
      </c>
      <c r="U1112" t="str" cm="1">
        <f t="array" ref="U111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2" t="str" cm="1">
        <f t="array" ref="V1112">_xlfn.IFS(tbl_working_daily[[#This Row],[VeryActiveMinutes]]&gt;=30,"Very Active",tbl_working_daily[[#This Row],[VeryActiveMinutes]]&gt;=15,"Moderately Active",tbl_working_daily[[#This Row],[VeryActiveMinutes]]&gt;=1,"Lightly Active",tbl_working_daily[[#This Row],[VeryActiveMinutes]]=0,"Sedentary")</f>
        <v>Sedentary</v>
      </c>
      <c r="W1112" t="str">
        <f>tbl_working_daily[[#This Row],[Id]]&amp;"|"&amp;TEXT(tbl_working_daily[[#This Row],[ActivityDate]],"yyyy-mm-dd")</f>
        <v>6775888955|2016-04-27</v>
      </c>
      <c r="X1112" t="b">
        <f>ISNUMBER(MATCH(tbl_working_daily[[#This Row],[LookupKey]],tbl_working_sleep[LookupKey],0))</f>
        <v>0</v>
      </c>
    </row>
    <row r="1113" spans="1:24" x14ac:dyDescent="0.3">
      <c r="A1113">
        <v>6775888955</v>
      </c>
      <c r="B1113" s="1">
        <v>42488</v>
      </c>
      <c r="C1113">
        <v>703</v>
      </c>
      <c r="D1113">
        <v>0.5</v>
      </c>
      <c r="E1113">
        <v>0.5</v>
      </c>
      <c r="F1113">
        <v>0</v>
      </c>
      <c r="G1113">
        <v>5.9999998658895499E-2</v>
      </c>
      <c r="H1113">
        <v>0.20000000298023199</v>
      </c>
      <c r="I1113">
        <v>0.239999994635582</v>
      </c>
      <c r="J1113">
        <v>0</v>
      </c>
      <c r="K1113">
        <v>2</v>
      </c>
      <c r="L1113">
        <v>13</v>
      </c>
      <c r="M1113">
        <v>15</v>
      </c>
      <c r="N1113">
        <v>1410</v>
      </c>
      <c r="O1113">
        <v>1993</v>
      </c>
      <c r="P1113" t="str">
        <f>TEXT(tbl_working_daily[[#This Row],[ActivityDate]],"dddd")</f>
        <v>Thursday</v>
      </c>
      <c r="Q1113" t="str">
        <f>TEXT(tbl_working_daily[[#This Row],[ActivityDate]],"mmmm")</f>
        <v>April</v>
      </c>
      <c r="R1113">
        <f t="shared" si="34"/>
        <v>30</v>
      </c>
      <c r="S1113">
        <f t="shared" si="35"/>
        <v>1440</v>
      </c>
      <c r="T1113">
        <f>ROUND(tbl_working_daily[[#This Row],[SedentaryMinutes]]/60,2)</f>
        <v>23.5</v>
      </c>
      <c r="U1113" t="str" cm="1">
        <f t="array" ref="U111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3" t="str" cm="1">
        <f t="array" ref="V1113">_xlfn.IFS(tbl_working_daily[[#This Row],[VeryActiveMinutes]]&gt;=30,"Very Active",tbl_working_daily[[#This Row],[VeryActiveMinutes]]&gt;=15,"Moderately Active",tbl_working_daily[[#This Row],[VeryActiveMinutes]]&gt;=1,"Lightly Active",tbl_working_daily[[#This Row],[VeryActiveMinutes]]=0,"Sedentary")</f>
        <v>Lightly Active</v>
      </c>
      <c r="W1113" t="str">
        <f>tbl_working_daily[[#This Row],[Id]]&amp;"|"&amp;TEXT(tbl_working_daily[[#This Row],[ActivityDate]],"yyyy-mm-dd")</f>
        <v>6775888955|2016-04-28</v>
      </c>
      <c r="X1113" t="b">
        <f>ISNUMBER(MATCH(tbl_working_daily[[#This Row],[LookupKey]],tbl_working_sleep[LookupKey],0))</f>
        <v>0</v>
      </c>
    </row>
    <row r="1114" spans="1:24" x14ac:dyDescent="0.3">
      <c r="A1114">
        <v>6775888955</v>
      </c>
      <c r="B1114" s="1">
        <v>42489</v>
      </c>
      <c r="C1114">
        <v>0</v>
      </c>
      <c r="D1114">
        <v>0</v>
      </c>
      <c r="E1114">
        <v>0</v>
      </c>
      <c r="F1114">
        <v>0</v>
      </c>
      <c r="G1114">
        <v>0</v>
      </c>
      <c r="H1114">
        <v>0</v>
      </c>
      <c r="I1114">
        <v>0</v>
      </c>
      <c r="J1114">
        <v>0</v>
      </c>
      <c r="K1114">
        <v>0</v>
      </c>
      <c r="L1114">
        <v>0</v>
      </c>
      <c r="M1114">
        <v>0</v>
      </c>
      <c r="N1114">
        <v>1440</v>
      </c>
      <c r="O1114">
        <v>1841</v>
      </c>
      <c r="P1114" t="str">
        <f>TEXT(tbl_working_daily[[#This Row],[ActivityDate]],"dddd")</f>
        <v>Friday</v>
      </c>
      <c r="Q1114" t="str">
        <f>TEXT(tbl_working_daily[[#This Row],[ActivityDate]],"mmmm")</f>
        <v>April</v>
      </c>
      <c r="R1114">
        <f t="shared" si="34"/>
        <v>0</v>
      </c>
      <c r="S1114">
        <f t="shared" si="35"/>
        <v>1440</v>
      </c>
      <c r="T1114">
        <f>ROUND(tbl_working_daily[[#This Row],[SedentaryMinutes]]/60,2)</f>
        <v>24</v>
      </c>
      <c r="U1114" t="str" cm="1">
        <f t="array" ref="U111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4" t="str" cm="1">
        <f t="array" ref="V1114">_xlfn.IFS(tbl_working_daily[[#This Row],[VeryActiveMinutes]]&gt;=30,"Very Active",tbl_working_daily[[#This Row],[VeryActiveMinutes]]&gt;=15,"Moderately Active",tbl_working_daily[[#This Row],[VeryActiveMinutes]]&gt;=1,"Lightly Active",tbl_working_daily[[#This Row],[VeryActiveMinutes]]=0,"Sedentary")</f>
        <v>Sedentary</v>
      </c>
      <c r="W1114" t="str">
        <f>tbl_working_daily[[#This Row],[Id]]&amp;"|"&amp;TEXT(tbl_working_daily[[#This Row],[ActivityDate]],"yyyy-mm-dd")</f>
        <v>6775888955|2016-04-29</v>
      </c>
      <c r="X1114" t="b">
        <f>ISNUMBER(MATCH(tbl_working_daily[[#This Row],[LookupKey]],tbl_working_sleep[LookupKey],0))</f>
        <v>0</v>
      </c>
    </row>
    <row r="1115" spans="1:24" x14ac:dyDescent="0.3">
      <c r="A1115">
        <v>6775888955</v>
      </c>
      <c r="B1115" s="1">
        <v>42490</v>
      </c>
      <c r="C1115">
        <v>2503</v>
      </c>
      <c r="D1115">
        <v>1.78999996185303</v>
      </c>
      <c r="E1115">
        <v>1.78999996185303</v>
      </c>
      <c r="F1115">
        <v>0</v>
      </c>
      <c r="G1115">
        <v>0.15999999642372101</v>
      </c>
      <c r="H1115">
        <v>0.15999999642372101</v>
      </c>
      <c r="I1115">
        <v>1.4800000190734901</v>
      </c>
      <c r="J1115">
        <v>0</v>
      </c>
      <c r="K1115">
        <v>3</v>
      </c>
      <c r="L1115">
        <v>9</v>
      </c>
      <c r="M1115">
        <v>84</v>
      </c>
      <c r="N1115">
        <v>1344</v>
      </c>
      <c r="O1115">
        <v>2280</v>
      </c>
      <c r="P1115" t="str">
        <f>TEXT(tbl_working_daily[[#This Row],[ActivityDate]],"dddd")</f>
        <v>Saturday</v>
      </c>
      <c r="Q1115" t="str">
        <f>TEXT(tbl_working_daily[[#This Row],[ActivityDate]],"mmmm")</f>
        <v>April</v>
      </c>
      <c r="R1115">
        <f t="shared" si="34"/>
        <v>96</v>
      </c>
      <c r="S1115">
        <f t="shared" si="35"/>
        <v>1440</v>
      </c>
      <c r="T1115">
        <f>ROUND(tbl_working_daily[[#This Row],[SedentaryMinutes]]/60,2)</f>
        <v>22.4</v>
      </c>
      <c r="U1115" t="str" cm="1">
        <f t="array" ref="U111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5" t="str" cm="1">
        <f t="array" ref="V1115">_xlfn.IFS(tbl_working_daily[[#This Row],[VeryActiveMinutes]]&gt;=30,"Very Active",tbl_working_daily[[#This Row],[VeryActiveMinutes]]&gt;=15,"Moderately Active",tbl_working_daily[[#This Row],[VeryActiveMinutes]]&gt;=1,"Lightly Active",tbl_working_daily[[#This Row],[VeryActiveMinutes]]=0,"Sedentary")</f>
        <v>Lightly Active</v>
      </c>
      <c r="W1115" t="str">
        <f>tbl_working_daily[[#This Row],[Id]]&amp;"|"&amp;TEXT(tbl_working_daily[[#This Row],[ActivityDate]],"yyyy-mm-dd")</f>
        <v>6775888955|2016-04-30</v>
      </c>
      <c r="X1115" t="b">
        <f>ISNUMBER(MATCH(tbl_working_daily[[#This Row],[LookupKey]],tbl_working_sleep[LookupKey],0))</f>
        <v>0</v>
      </c>
    </row>
    <row r="1116" spans="1:24" x14ac:dyDescent="0.3">
      <c r="A1116">
        <v>6775888955</v>
      </c>
      <c r="B1116" s="1">
        <v>42491</v>
      </c>
      <c r="C1116">
        <v>2487</v>
      </c>
      <c r="D1116">
        <v>1.7799999713897701</v>
      </c>
      <c r="E1116">
        <v>1.7799999713897701</v>
      </c>
      <c r="F1116">
        <v>0</v>
      </c>
      <c r="G1116">
        <v>0.479999989271164</v>
      </c>
      <c r="H1116">
        <v>0.62000000476837203</v>
      </c>
      <c r="I1116">
        <v>0.68000000715255704</v>
      </c>
      <c r="J1116">
        <v>0</v>
      </c>
      <c r="K1116">
        <v>9</v>
      </c>
      <c r="L1116">
        <v>34</v>
      </c>
      <c r="M1116">
        <v>50</v>
      </c>
      <c r="N1116">
        <v>1347</v>
      </c>
      <c r="O1116">
        <v>2319</v>
      </c>
      <c r="P1116" t="str">
        <f>TEXT(tbl_working_daily[[#This Row],[ActivityDate]],"dddd")</f>
        <v>Sunday</v>
      </c>
      <c r="Q1116" t="str">
        <f>TEXT(tbl_working_daily[[#This Row],[ActivityDate]],"mmmm")</f>
        <v>May</v>
      </c>
      <c r="R1116">
        <f t="shared" si="34"/>
        <v>93</v>
      </c>
      <c r="S1116">
        <f t="shared" si="35"/>
        <v>1440</v>
      </c>
      <c r="T1116">
        <f>ROUND(tbl_working_daily[[#This Row],[SedentaryMinutes]]/60,2)</f>
        <v>22.45</v>
      </c>
      <c r="U1116" t="str" cm="1">
        <f t="array" ref="U111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6" t="str" cm="1">
        <f t="array" ref="V1116">_xlfn.IFS(tbl_working_daily[[#This Row],[VeryActiveMinutes]]&gt;=30,"Very Active",tbl_working_daily[[#This Row],[VeryActiveMinutes]]&gt;=15,"Moderately Active",tbl_working_daily[[#This Row],[VeryActiveMinutes]]&gt;=1,"Lightly Active",tbl_working_daily[[#This Row],[VeryActiveMinutes]]=0,"Sedentary")</f>
        <v>Lightly Active</v>
      </c>
      <c r="W1116" t="str">
        <f>tbl_working_daily[[#This Row],[Id]]&amp;"|"&amp;TEXT(tbl_working_daily[[#This Row],[ActivityDate]],"yyyy-mm-dd")</f>
        <v>6775888955|2016-05-01</v>
      </c>
      <c r="X1116" t="b">
        <f>ISNUMBER(MATCH(tbl_working_daily[[#This Row],[LookupKey]],tbl_working_sleep[LookupKey],0))</f>
        <v>0</v>
      </c>
    </row>
    <row r="1117" spans="1:24" x14ac:dyDescent="0.3">
      <c r="A1117">
        <v>6775888955</v>
      </c>
      <c r="B1117" s="1">
        <v>42492</v>
      </c>
      <c r="C1117">
        <v>0</v>
      </c>
      <c r="D1117">
        <v>0</v>
      </c>
      <c r="E1117">
        <v>0</v>
      </c>
      <c r="F1117">
        <v>0</v>
      </c>
      <c r="G1117">
        <v>0</v>
      </c>
      <c r="H1117">
        <v>0</v>
      </c>
      <c r="I1117">
        <v>0</v>
      </c>
      <c r="J1117">
        <v>0</v>
      </c>
      <c r="K1117">
        <v>0</v>
      </c>
      <c r="L1117">
        <v>0</v>
      </c>
      <c r="M1117">
        <v>0</v>
      </c>
      <c r="N1117">
        <v>1440</v>
      </c>
      <c r="O1117">
        <v>1841</v>
      </c>
      <c r="P1117" t="str">
        <f>TEXT(tbl_working_daily[[#This Row],[ActivityDate]],"dddd")</f>
        <v>Monday</v>
      </c>
      <c r="Q1117" t="str">
        <f>TEXT(tbl_working_daily[[#This Row],[ActivityDate]],"mmmm")</f>
        <v>May</v>
      </c>
      <c r="R1117">
        <f t="shared" si="34"/>
        <v>0</v>
      </c>
      <c r="S1117">
        <f t="shared" si="35"/>
        <v>1440</v>
      </c>
      <c r="T1117">
        <f>ROUND(tbl_working_daily[[#This Row],[SedentaryMinutes]]/60,2)</f>
        <v>24</v>
      </c>
      <c r="U1117" t="str" cm="1">
        <f t="array" ref="U111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7" t="str" cm="1">
        <f t="array" ref="V1117">_xlfn.IFS(tbl_working_daily[[#This Row],[VeryActiveMinutes]]&gt;=30,"Very Active",tbl_working_daily[[#This Row],[VeryActiveMinutes]]&gt;=15,"Moderately Active",tbl_working_daily[[#This Row],[VeryActiveMinutes]]&gt;=1,"Lightly Active",tbl_working_daily[[#This Row],[VeryActiveMinutes]]=0,"Sedentary")</f>
        <v>Sedentary</v>
      </c>
      <c r="W1117" t="str">
        <f>tbl_working_daily[[#This Row],[Id]]&amp;"|"&amp;TEXT(tbl_working_daily[[#This Row],[ActivityDate]],"yyyy-mm-dd")</f>
        <v>6775888955|2016-05-02</v>
      </c>
      <c r="X1117" t="b">
        <f>ISNUMBER(MATCH(tbl_working_daily[[#This Row],[LookupKey]],tbl_working_sleep[LookupKey],0))</f>
        <v>0</v>
      </c>
    </row>
    <row r="1118" spans="1:24" x14ac:dyDescent="0.3">
      <c r="A1118">
        <v>6775888955</v>
      </c>
      <c r="B1118" s="1">
        <v>42493</v>
      </c>
      <c r="C1118">
        <v>9</v>
      </c>
      <c r="D1118">
        <v>9.9999997764825804E-3</v>
      </c>
      <c r="E1118">
        <v>9.9999997764825804E-3</v>
      </c>
      <c r="F1118">
        <v>0</v>
      </c>
      <c r="G1118">
        <v>0</v>
      </c>
      <c r="H1118">
        <v>0</v>
      </c>
      <c r="I1118">
        <v>9.9999997764825804E-3</v>
      </c>
      <c r="J1118">
        <v>0</v>
      </c>
      <c r="K1118">
        <v>0</v>
      </c>
      <c r="L1118">
        <v>0</v>
      </c>
      <c r="M1118">
        <v>1</v>
      </c>
      <c r="N1118">
        <v>1439</v>
      </c>
      <c r="O1118">
        <v>1843</v>
      </c>
      <c r="P1118" t="str">
        <f>TEXT(tbl_working_daily[[#This Row],[ActivityDate]],"dddd")</f>
        <v>Tuesday</v>
      </c>
      <c r="Q1118" t="str">
        <f>TEXT(tbl_working_daily[[#This Row],[ActivityDate]],"mmmm")</f>
        <v>May</v>
      </c>
      <c r="R1118">
        <f t="shared" si="34"/>
        <v>1</v>
      </c>
      <c r="S1118">
        <f t="shared" si="35"/>
        <v>1440</v>
      </c>
      <c r="T1118">
        <f>ROUND(tbl_working_daily[[#This Row],[SedentaryMinutes]]/60,2)</f>
        <v>23.98</v>
      </c>
      <c r="U1118" t="str" cm="1">
        <f t="array" ref="U111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8" t="str" cm="1">
        <f t="array" ref="V1118">_xlfn.IFS(tbl_working_daily[[#This Row],[VeryActiveMinutes]]&gt;=30,"Very Active",tbl_working_daily[[#This Row],[VeryActiveMinutes]]&gt;=15,"Moderately Active",tbl_working_daily[[#This Row],[VeryActiveMinutes]]&gt;=1,"Lightly Active",tbl_working_daily[[#This Row],[VeryActiveMinutes]]=0,"Sedentary")</f>
        <v>Sedentary</v>
      </c>
      <c r="W1118" t="str">
        <f>tbl_working_daily[[#This Row],[Id]]&amp;"|"&amp;TEXT(tbl_working_daily[[#This Row],[ActivityDate]],"yyyy-mm-dd")</f>
        <v>6775888955|2016-05-03</v>
      </c>
      <c r="X1118" t="b">
        <f>ISNUMBER(MATCH(tbl_working_daily[[#This Row],[LookupKey]],tbl_working_sleep[LookupKey],0))</f>
        <v>0</v>
      </c>
    </row>
    <row r="1119" spans="1:24" x14ac:dyDescent="0.3">
      <c r="A1119">
        <v>6775888955</v>
      </c>
      <c r="B1119" s="1">
        <v>42494</v>
      </c>
      <c r="C1119">
        <v>0</v>
      </c>
      <c r="D1119">
        <v>0</v>
      </c>
      <c r="E1119">
        <v>0</v>
      </c>
      <c r="F1119">
        <v>0</v>
      </c>
      <c r="G1119">
        <v>0</v>
      </c>
      <c r="H1119">
        <v>0</v>
      </c>
      <c r="I1119">
        <v>0</v>
      </c>
      <c r="J1119">
        <v>0</v>
      </c>
      <c r="K1119">
        <v>0</v>
      </c>
      <c r="L1119">
        <v>0</v>
      </c>
      <c r="M1119">
        <v>0</v>
      </c>
      <c r="N1119">
        <v>1440</v>
      </c>
      <c r="O1119">
        <v>1841</v>
      </c>
      <c r="P1119" t="str">
        <f>TEXT(tbl_working_daily[[#This Row],[ActivityDate]],"dddd")</f>
        <v>Wednesday</v>
      </c>
      <c r="Q1119" t="str">
        <f>TEXT(tbl_working_daily[[#This Row],[ActivityDate]],"mmmm")</f>
        <v>May</v>
      </c>
      <c r="R1119">
        <f t="shared" si="34"/>
        <v>0</v>
      </c>
      <c r="S1119">
        <f t="shared" si="35"/>
        <v>1440</v>
      </c>
      <c r="T1119">
        <f>ROUND(tbl_working_daily[[#This Row],[SedentaryMinutes]]/60,2)</f>
        <v>24</v>
      </c>
      <c r="U1119" t="str" cm="1">
        <f t="array" ref="U111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19" t="str" cm="1">
        <f t="array" ref="V1119">_xlfn.IFS(tbl_working_daily[[#This Row],[VeryActiveMinutes]]&gt;=30,"Very Active",tbl_working_daily[[#This Row],[VeryActiveMinutes]]&gt;=15,"Moderately Active",tbl_working_daily[[#This Row],[VeryActiveMinutes]]&gt;=1,"Lightly Active",tbl_working_daily[[#This Row],[VeryActiveMinutes]]=0,"Sedentary")</f>
        <v>Sedentary</v>
      </c>
      <c r="W1119" t="str">
        <f>tbl_working_daily[[#This Row],[Id]]&amp;"|"&amp;TEXT(tbl_working_daily[[#This Row],[ActivityDate]],"yyyy-mm-dd")</f>
        <v>6775888955|2016-05-04</v>
      </c>
      <c r="X1119" t="b">
        <f>ISNUMBER(MATCH(tbl_working_daily[[#This Row],[LookupKey]],tbl_working_sleep[LookupKey],0))</f>
        <v>0</v>
      </c>
    </row>
    <row r="1120" spans="1:24" x14ac:dyDescent="0.3">
      <c r="A1120">
        <v>6775888955</v>
      </c>
      <c r="B1120" s="1">
        <v>42495</v>
      </c>
      <c r="C1120">
        <v>0</v>
      </c>
      <c r="D1120">
        <v>0</v>
      </c>
      <c r="E1120">
        <v>0</v>
      </c>
      <c r="F1120">
        <v>0</v>
      </c>
      <c r="G1120">
        <v>0</v>
      </c>
      <c r="H1120">
        <v>0</v>
      </c>
      <c r="I1120">
        <v>0</v>
      </c>
      <c r="J1120">
        <v>0</v>
      </c>
      <c r="K1120">
        <v>0</v>
      </c>
      <c r="L1120">
        <v>0</v>
      </c>
      <c r="M1120">
        <v>0</v>
      </c>
      <c r="N1120">
        <v>1440</v>
      </c>
      <c r="O1120">
        <v>1841</v>
      </c>
      <c r="P1120" t="str">
        <f>TEXT(tbl_working_daily[[#This Row],[ActivityDate]],"dddd")</f>
        <v>Thursday</v>
      </c>
      <c r="Q1120" t="str">
        <f>TEXT(tbl_working_daily[[#This Row],[ActivityDate]],"mmmm")</f>
        <v>May</v>
      </c>
      <c r="R1120">
        <f t="shared" si="34"/>
        <v>0</v>
      </c>
      <c r="S1120">
        <f t="shared" si="35"/>
        <v>1440</v>
      </c>
      <c r="T1120">
        <f>ROUND(tbl_working_daily[[#This Row],[SedentaryMinutes]]/60,2)</f>
        <v>24</v>
      </c>
      <c r="U1120" t="str" cm="1">
        <f t="array" ref="U112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20" t="str" cm="1">
        <f t="array" ref="V1120">_xlfn.IFS(tbl_working_daily[[#This Row],[VeryActiveMinutes]]&gt;=30,"Very Active",tbl_working_daily[[#This Row],[VeryActiveMinutes]]&gt;=15,"Moderately Active",tbl_working_daily[[#This Row],[VeryActiveMinutes]]&gt;=1,"Lightly Active",tbl_working_daily[[#This Row],[VeryActiveMinutes]]=0,"Sedentary")</f>
        <v>Sedentary</v>
      </c>
      <c r="W1120" t="str">
        <f>tbl_working_daily[[#This Row],[Id]]&amp;"|"&amp;TEXT(tbl_working_daily[[#This Row],[ActivityDate]],"yyyy-mm-dd")</f>
        <v>6775888955|2016-05-05</v>
      </c>
      <c r="X1120" t="b">
        <f>ISNUMBER(MATCH(tbl_working_daily[[#This Row],[LookupKey]],tbl_working_sleep[LookupKey],0))</f>
        <v>0</v>
      </c>
    </row>
    <row r="1121" spans="1:24" x14ac:dyDescent="0.3">
      <c r="A1121">
        <v>6775888955</v>
      </c>
      <c r="B1121" s="1">
        <v>42496</v>
      </c>
      <c r="C1121">
        <v>4697</v>
      </c>
      <c r="D1121">
        <v>3.3699998855590798</v>
      </c>
      <c r="E1121">
        <v>3.3699998855590798</v>
      </c>
      <c r="F1121">
        <v>0</v>
      </c>
      <c r="G1121">
        <v>0.46999999880790699</v>
      </c>
      <c r="H1121">
        <v>0.93000000715255704</v>
      </c>
      <c r="I1121">
        <v>1.9299999475479099</v>
      </c>
      <c r="J1121">
        <v>0</v>
      </c>
      <c r="K1121">
        <v>12</v>
      </c>
      <c r="L1121">
        <v>35</v>
      </c>
      <c r="M1121">
        <v>75</v>
      </c>
      <c r="N1121">
        <v>1318</v>
      </c>
      <c r="O1121">
        <v>2496</v>
      </c>
      <c r="P1121" t="str">
        <f>TEXT(tbl_working_daily[[#This Row],[ActivityDate]],"dddd")</f>
        <v>Friday</v>
      </c>
      <c r="Q1121" t="str">
        <f>TEXT(tbl_working_daily[[#This Row],[ActivityDate]],"mmmm")</f>
        <v>May</v>
      </c>
      <c r="R1121">
        <f t="shared" si="34"/>
        <v>122</v>
      </c>
      <c r="S1121">
        <f t="shared" si="35"/>
        <v>1440</v>
      </c>
      <c r="T1121">
        <f>ROUND(tbl_working_daily[[#This Row],[SedentaryMinutes]]/60,2)</f>
        <v>21.97</v>
      </c>
      <c r="U1121" t="str" cm="1">
        <f t="array" ref="U112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21" t="str" cm="1">
        <f t="array" ref="V1121">_xlfn.IFS(tbl_working_daily[[#This Row],[VeryActiveMinutes]]&gt;=30,"Very Active",tbl_working_daily[[#This Row],[VeryActiveMinutes]]&gt;=15,"Moderately Active",tbl_working_daily[[#This Row],[VeryActiveMinutes]]&gt;=1,"Lightly Active",tbl_working_daily[[#This Row],[VeryActiveMinutes]]=0,"Sedentary")</f>
        <v>Lightly Active</v>
      </c>
      <c r="W1121" t="str">
        <f>tbl_working_daily[[#This Row],[Id]]&amp;"|"&amp;TEXT(tbl_working_daily[[#This Row],[ActivityDate]],"yyyy-mm-dd")</f>
        <v>6775888955|2016-05-06</v>
      </c>
      <c r="X1121" t="b">
        <f>ISNUMBER(MATCH(tbl_working_daily[[#This Row],[LookupKey]],tbl_working_sleep[LookupKey],0))</f>
        <v>0</v>
      </c>
    </row>
    <row r="1122" spans="1:24" x14ac:dyDescent="0.3">
      <c r="A1122">
        <v>6775888955</v>
      </c>
      <c r="B1122" s="1">
        <v>42497</v>
      </c>
      <c r="C1122">
        <v>1967</v>
      </c>
      <c r="D1122">
        <v>1.4099999666214</v>
      </c>
      <c r="E1122">
        <v>1.4099999666214</v>
      </c>
      <c r="F1122">
        <v>0</v>
      </c>
      <c r="G1122">
        <v>0.129999995231628</v>
      </c>
      <c r="H1122">
        <v>0.239999994635582</v>
      </c>
      <c r="I1122">
        <v>1.04999995231628</v>
      </c>
      <c r="J1122">
        <v>0</v>
      </c>
      <c r="K1122">
        <v>2</v>
      </c>
      <c r="L1122">
        <v>5</v>
      </c>
      <c r="M1122">
        <v>49</v>
      </c>
      <c r="N1122">
        <v>551</v>
      </c>
      <c r="O1122">
        <v>1032</v>
      </c>
      <c r="P1122" t="str">
        <f>TEXT(tbl_working_daily[[#This Row],[ActivityDate]],"dddd")</f>
        <v>Saturday</v>
      </c>
      <c r="Q1122" t="str">
        <f>TEXT(tbl_working_daily[[#This Row],[ActivityDate]],"mmmm")</f>
        <v>May</v>
      </c>
      <c r="R1122">
        <f t="shared" si="34"/>
        <v>56</v>
      </c>
      <c r="S1122">
        <f t="shared" si="35"/>
        <v>607</v>
      </c>
      <c r="T1122">
        <f>ROUND(tbl_working_daily[[#This Row],[SedentaryMinutes]]/60,2)</f>
        <v>9.18</v>
      </c>
      <c r="U1122" t="str" cm="1">
        <f t="array" ref="U112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22" t="str" cm="1">
        <f t="array" ref="V1122">_xlfn.IFS(tbl_working_daily[[#This Row],[VeryActiveMinutes]]&gt;=30,"Very Active",tbl_working_daily[[#This Row],[VeryActiveMinutes]]&gt;=15,"Moderately Active",tbl_working_daily[[#This Row],[VeryActiveMinutes]]&gt;=1,"Lightly Active",tbl_working_daily[[#This Row],[VeryActiveMinutes]]=0,"Sedentary")</f>
        <v>Lightly Active</v>
      </c>
      <c r="W1122" t="str">
        <f>tbl_working_daily[[#This Row],[Id]]&amp;"|"&amp;TEXT(tbl_working_daily[[#This Row],[ActivityDate]],"yyyy-mm-dd")</f>
        <v>6775888955|2016-05-07</v>
      </c>
      <c r="X1122" t="b">
        <f>ISNUMBER(MATCH(tbl_working_daily[[#This Row],[LookupKey]],tbl_working_sleep[LookupKey],0))</f>
        <v>0</v>
      </c>
    </row>
    <row r="1123" spans="1:24" x14ac:dyDescent="0.3">
      <c r="A1123">
        <v>6962181067</v>
      </c>
      <c r="B1123" s="1">
        <v>42473</v>
      </c>
      <c r="C1123">
        <v>5652</v>
      </c>
      <c r="D1123">
        <v>3.7400000095367401</v>
      </c>
      <c r="E1123">
        <v>3.7400000095367401</v>
      </c>
      <c r="F1123">
        <v>0</v>
      </c>
      <c r="G1123">
        <v>0.56999999284744296</v>
      </c>
      <c r="H1123">
        <v>1.21000003814697</v>
      </c>
      <c r="I1123">
        <v>1.96000003814697</v>
      </c>
      <c r="J1123">
        <v>0</v>
      </c>
      <c r="K1123">
        <v>8</v>
      </c>
      <c r="L1123">
        <v>24</v>
      </c>
      <c r="M1123">
        <v>142</v>
      </c>
      <c r="N1123">
        <v>548</v>
      </c>
      <c r="O1123">
        <v>1718</v>
      </c>
      <c r="P1123" t="str">
        <f>TEXT(tbl_working_daily[[#This Row],[ActivityDate]],"dddd")</f>
        <v>Wednesday</v>
      </c>
      <c r="Q1123" t="str">
        <f>TEXT(tbl_working_daily[[#This Row],[ActivityDate]],"mmmm")</f>
        <v>April</v>
      </c>
      <c r="R1123">
        <f t="shared" si="34"/>
        <v>174</v>
      </c>
      <c r="S1123">
        <f t="shared" si="35"/>
        <v>722</v>
      </c>
      <c r="T1123">
        <f>ROUND(tbl_working_daily[[#This Row],[SedentaryMinutes]]/60,2)</f>
        <v>9.1300000000000008</v>
      </c>
      <c r="U1123" t="str" cm="1">
        <f t="array" ref="U112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23" t="str" cm="1">
        <f t="array" ref="V1123">_xlfn.IFS(tbl_working_daily[[#This Row],[VeryActiveMinutes]]&gt;=30,"Very Active",tbl_working_daily[[#This Row],[VeryActiveMinutes]]&gt;=15,"Moderately Active",tbl_working_daily[[#This Row],[VeryActiveMinutes]]&gt;=1,"Lightly Active",tbl_working_daily[[#This Row],[VeryActiveMinutes]]=0,"Sedentary")</f>
        <v>Lightly Active</v>
      </c>
      <c r="W1123" t="str">
        <f>tbl_working_daily[[#This Row],[Id]]&amp;"|"&amp;TEXT(tbl_working_daily[[#This Row],[ActivityDate]],"yyyy-mm-dd")</f>
        <v>6962181067|2016-04-13</v>
      </c>
      <c r="X1123" t="b">
        <f>ISNUMBER(MATCH(tbl_working_daily[[#This Row],[LookupKey]],tbl_working_sleep[LookupKey],0))</f>
        <v>1</v>
      </c>
    </row>
    <row r="1124" spans="1:24" x14ac:dyDescent="0.3">
      <c r="A1124">
        <v>6962181067</v>
      </c>
      <c r="B1124" s="1">
        <v>42474</v>
      </c>
      <c r="C1124">
        <v>1551</v>
      </c>
      <c r="D1124">
        <v>1.0299999713897701</v>
      </c>
      <c r="E1124">
        <v>1.0299999713897701</v>
      </c>
      <c r="F1124">
        <v>0</v>
      </c>
      <c r="G1124">
        <v>0</v>
      </c>
      <c r="H1124">
        <v>0</v>
      </c>
      <c r="I1124">
        <v>1.0299999713897701</v>
      </c>
      <c r="J1124">
        <v>0</v>
      </c>
      <c r="K1124">
        <v>0</v>
      </c>
      <c r="L1124">
        <v>0</v>
      </c>
      <c r="M1124">
        <v>86</v>
      </c>
      <c r="N1124">
        <v>862</v>
      </c>
      <c r="O1124">
        <v>1466</v>
      </c>
      <c r="P1124" t="str">
        <f>TEXT(tbl_working_daily[[#This Row],[ActivityDate]],"dddd")</f>
        <v>Thursday</v>
      </c>
      <c r="Q1124" t="str">
        <f>TEXT(tbl_working_daily[[#This Row],[ActivityDate]],"mmmm")</f>
        <v>April</v>
      </c>
      <c r="R1124">
        <f t="shared" si="34"/>
        <v>86</v>
      </c>
      <c r="S1124">
        <f t="shared" si="35"/>
        <v>948</v>
      </c>
      <c r="T1124">
        <f>ROUND(tbl_working_daily[[#This Row],[SedentaryMinutes]]/60,2)</f>
        <v>14.37</v>
      </c>
      <c r="U1124" t="str" cm="1">
        <f t="array" ref="U11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24" t="str" cm="1">
        <f t="array" ref="V1124">_xlfn.IFS(tbl_working_daily[[#This Row],[VeryActiveMinutes]]&gt;=30,"Very Active",tbl_working_daily[[#This Row],[VeryActiveMinutes]]&gt;=15,"Moderately Active",tbl_working_daily[[#This Row],[VeryActiveMinutes]]&gt;=1,"Lightly Active",tbl_working_daily[[#This Row],[VeryActiveMinutes]]=0,"Sedentary")</f>
        <v>Sedentary</v>
      </c>
      <c r="W1124" t="str">
        <f>tbl_working_daily[[#This Row],[Id]]&amp;"|"&amp;TEXT(tbl_working_daily[[#This Row],[ActivityDate]],"yyyy-mm-dd")</f>
        <v>6962181067|2016-04-14</v>
      </c>
      <c r="X1124" t="b">
        <f>ISNUMBER(MATCH(tbl_working_daily[[#This Row],[LookupKey]],tbl_working_sleep[LookupKey],0))</f>
        <v>1</v>
      </c>
    </row>
    <row r="1125" spans="1:24" x14ac:dyDescent="0.3">
      <c r="A1125">
        <v>6962181067</v>
      </c>
      <c r="B1125" s="1">
        <v>42475</v>
      </c>
      <c r="C1125">
        <v>5563</v>
      </c>
      <c r="D1125">
        <v>3.6800000667571999</v>
      </c>
      <c r="E1125">
        <v>3.6800000667571999</v>
      </c>
      <c r="F1125">
        <v>0</v>
      </c>
      <c r="G1125">
        <v>0</v>
      </c>
      <c r="H1125">
        <v>0</v>
      </c>
      <c r="I1125">
        <v>3.6800000667571999</v>
      </c>
      <c r="J1125">
        <v>0</v>
      </c>
      <c r="K1125">
        <v>0</v>
      </c>
      <c r="L1125">
        <v>0</v>
      </c>
      <c r="M1125">
        <v>217</v>
      </c>
      <c r="N1125">
        <v>837</v>
      </c>
      <c r="O1125">
        <v>1756</v>
      </c>
      <c r="P1125" t="str">
        <f>TEXT(tbl_working_daily[[#This Row],[ActivityDate]],"dddd")</f>
        <v>Friday</v>
      </c>
      <c r="Q1125" t="str">
        <f>TEXT(tbl_working_daily[[#This Row],[ActivityDate]],"mmmm")</f>
        <v>April</v>
      </c>
      <c r="R1125">
        <f t="shared" si="34"/>
        <v>217</v>
      </c>
      <c r="S1125">
        <f t="shared" si="35"/>
        <v>1054</v>
      </c>
      <c r="T1125">
        <f>ROUND(tbl_working_daily[[#This Row],[SedentaryMinutes]]/60,2)</f>
        <v>13.95</v>
      </c>
      <c r="U1125" t="str" cm="1">
        <f t="array" ref="U112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25" t="str" cm="1">
        <f t="array" ref="V1125">_xlfn.IFS(tbl_working_daily[[#This Row],[VeryActiveMinutes]]&gt;=30,"Very Active",tbl_working_daily[[#This Row],[VeryActiveMinutes]]&gt;=15,"Moderately Active",tbl_working_daily[[#This Row],[VeryActiveMinutes]]&gt;=1,"Lightly Active",tbl_working_daily[[#This Row],[VeryActiveMinutes]]=0,"Sedentary")</f>
        <v>Sedentary</v>
      </c>
      <c r="W1125" t="str">
        <f>tbl_working_daily[[#This Row],[Id]]&amp;"|"&amp;TEXT(tbl_working_daily[[#This Row],[ActivityDate]],"yyyy-mm-dd")</f>
        <v>6962181067|2016-04-15</v>
      </c>
      <c r="X1125" t="b">
        <f>ISNUMBER(MATCH(tbl_working_daily[[#This Row],[LookupKey]],tbl_working_sleep[LookupKey],0))</f>
        <v>1</v>
      </c>
    </row>
    <row r="1126" spans="1:24" x14ac:dyDescent="0.3">
      <c r="A1126">
        <v>6962181067</v>
      </c>
      <c r="B1126" s="1">
        <v>42476</v>
      </c>
      <c r="C1126">
        <v>13217</v>
      </c>
      <c r="D1126">
        <v>8.7399997711181605</v>
      </c>
      <c r="E1126">
        <v>8.7399997711181605</v>
      </c>
      <c r="F1126">
        <v>0</v>
      </c>
      <c r="G1126">
        <v>3.6600000858306898</v>
      </c>
      <c r="H1126">
        <v>0.18999999761581399</v>
      </c>
      <c r="I1126">
        <v>4.8800001144409197</v>
      </c>
      <c r="J1126">
        <v>0</v>
      </c>
      <c r="K1126">
        <v>50</v>
      </c>
      <c r="L1126">
        <v>3</v>
      </c>
      <c r="M1126">
        <v>280</v>
      </c>
      <c r="N1126">
        <v>741</v>
      </c>
      <c r="O1126">
        <v>2173</v>
      </c>
      <c r="P1126" t="str">
        <f>TEXT(tbl_working_daily[[#This Row],[ActivityDate]],"dddd")</f>
        <v>Saturday</v>
      </c>
      <c r="Q1126" t="str">
        <f>TEXT(tbl_working_daily[[#This Row],[ActivityDate]],"mmmm")</f>
        <v>April</v>
      </c>
      <c r="R1126">
        <f t="shared" si="34"/>
        <v>333</v>
      </c>
      <c r="S1126">
        <f t="shared" si="35"/>
        <v>1074</v>
      </c>
      <c r="T1126">
        <f>ROUND(tbl_working_daily[[#This Row],[SedentaryMinutes]]/60,2)</f>
        <v>12.35</v>
      </c>
      <c r="U1126" t="str" cm="1">
        <f t="array" ref="U112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26" t="str" cm="1">
        <f t="array" ref="V1126">_xlfn.IFS(tbl_working_daily[[#This Row],[VeryActiveMinutes]]&gt;=30,"Very Active",tbl_working_daily[[#This Row],[VeryActiveMinutes]]&gt;=15,"Moderately Active",tbl_working_daily[[#This Row],[VeryActiveMinutes]]&gt;=1,"Lightly Active",tbl_working_daily[[#This Row],[VeryActiveMinutes]]=0,"Sedentary")</f>
        <v>Very Active</v>
      </c>
      <c r="W1126" t="str">
        <f>tbl_working_daily[[#This Row],[Id]]&amp;"|"&amp;TEXT(tbl_working_daily[[#This Row],[ActivityDate]],"yyyy-mm-dd")</f>
        <v>6962181067|2016-04-16</v>
      </c>
      <c r="X1126" t="b">
        <f>ISNUMBER(MATCH(tbl_working_daily[[#This Row],[LookupKey]],tbl_working_sleep[LookupKey],0))</f>
        <v>1</v>
      </c>
    </row>
    <row r="1127" spans="1:24" x14ac:dyDescent="0.3">
      <c r="A1127">
        <v>6962181067</v>
      </c>
      <c r="B1127" s="1">
        <v>42477</v>
      </c>
      <c r="C1127">
        <v>10145</v>
      </c>
      <c r="D1127">
        <v>6.71000003814697</v>
      </c>
      <c r="E1127">
        <v>6.71000003814697</v>
      </c>
      <c r="F1127">
        <v>0</v>
      </c>
      <c r="G1127">
        <v>0.33000001311302202</v>
      </c>
      <c r="H1127">
        <v>0.68000000715255704</v>
      </c>
      <c r="I1127">
        <v>5.6900000572204599</v>
      </c>
      <c r="J1127">
        <v>0</v>
      </c>
      <c r="K1127">
        <v>5</v>
      </c>
      <c r="L1127">
        <v>13</v>
      </c>
      <c r="M1127">
        <v>295</v>
      </c>
      <c r="N1127">
        <v>634</v>
      </c>
      <c r="O1127">
        <v>2027</v>
      </c>
      <c r="P1127" t="str">
        <f>TEXT(tbl_working_daily[[#This Row],[ActivityDate]],"dddd")</f>
        <v>Sunday</v>
      </c>
      <c r="Q1127" t="str">
        <f>TEXT(tbl_working_daily[[#This Row],[ActivityDate]],"mmmm")</f>
        <v>April</v>
      </c>
      <c r="R1127">
        <f t="shared" si="34"/>
        <v>313</v>
      </c>
      <c r="S1127">
        <f t="shared" si="35"/>
        <v>947</v>
      </c>
      <c r="T1127">
        <f>ROUND(tbl_working_daily[[#This Row],[SedentaryMinutes]]/60,2)</f>
        <v>10.57</v>
      </c>
      <c r="U1127" t="str" cm="1">
        <f t="array" ref="U112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27" t="str" cm="1">
        <f t="array" ref="V1127">_xlfn.IFS(tbl_working_daily[[#This Row],[VeryActiveMinutes]]&gt;=30,"Very Active",tbl_working_daily[[#This Row],[VeryActiveMinutes]]&gt;=15,"Moderately Active",tbl_working_daily[[#This Row],[VeryActiveMinutes]]&gt;=1,"Lightly Active",tbl_working_daily[[#This Row],[VeryActiveMinutes]]=0,"Sedentary")</f>
        <v>Lightly Active</v>
      </c>
      <c r="W1127" t="str">
        <f>tbl_working_daily[[#This Row],[Id]]&amp;"|"&amp;TEXT(tbl_working_daily[[#This Row],[ActivityDate]],"yyyy-mm-dd")</f>
        <v>6962181067|2016-04-17</v>
      </c>
      <c r="X1127" t="b">
        <f>ISNUMBER(MATCH(tbl_working_daily[[#This Row],[LookupKey]],tbl_working_sleep[LookupKey],0))</f>
        <v>1</v>
      </c>
    </row>
    <row r="1128" spans="1:24" x14ac:dyDescent="0.3">
      <c r="A1128">
        <v>6962181067</v>
      </c>
      <c r="B1128" s="1">
        <v>42478</v>
      </c>
      <c r="C1128">
        <v>11404</v>
      </c>
      <c r="D1128">
        <v>7.53999996185303</v>
      </c>
      <c r="E1128">
        <v>7.53999996185303</v>
      </c>
      <c r="F1128">
        <v>0</v>
      </c>
      <c r="G1128">
        <v>0.82999998331069902</v>
      </c>
      <c r="H1128">
        <v>2.3900001049041699</v>
      </c>
      <c r="I1128">
        <v>4.3200001716613796</v>
      </c>
      <c r="J1128">
        <v>0</v>
      </c>
      <c r="K1128">
        <v>13</v>
      </c>
      <c r="L1128">
        <v>42</v>
      </c>
      <c r="M1128">
        <v>238</v>
      </c>
      <c r="N1128">
        <v>689</v>
      </c>
      <c r="O1128">
        <v>2039</v>
      </c>
      <c r="P1128" t="str">
        <f>TEXT(tbl_working_daily[[#This Row],[ActivityDate]],"dddd")</f>
        <v>Monday</v>
      </c>
      <c r="Q1128" t="str">
        <f>TEXT(tbl_working_daily[[#This Row],[ActivityDate]],"mmmm")</f>
        <v>April</v>
      </c>
      <c r="R1128">
        <f t="shared" si="34"/>
        <v>293</v>
      </c>
      <c r="S1128">
        <f t="shared" si="35"/>
        <v>982</v>
      </c>
      <c r="T1128">
        <f>ROUND(tbl_working_daily[[#This Row],[SedentaryMinutes]]/60,2)</f>
        <v>11.48</v>
      </c>
      <c r="U1128" t="str" cm="1">
        <f t="array" ref="U112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28" t="str" cm="1">
        <f t="array" ref="V1128">_xlfn.IFS(tbl_working_daily[[#This Row],[VeryActiveMinutes]]&gt;=30,"Very Active",tbl_working_daily[[#This Row],[VeryActiveMinutes]]&gt;=15,"Moderately Active",tbl_working_daily[[#This Row],[VeryActiveMinutes]]&gt;=1,"Lightly Active",tbl_working_daily[[#This Row],[VeryActiveMinutes]]=0,"Sedentary")</f>
        <v>Lightly Active</v>
      </c>
      <c r="W1128" t="str">
        <f>tbl_working_daily[[#This Row],[Id]]&amp;"|"&amp;TEXT(tbl_working_daily[[#This Row],[ActivityDate]],"yyyy-mm-dd")</f>
        <v>6962181067|2016-04-18</v>
      </c>
      <c r="X1128" t="b">
        <f>ISNUMBER(MATCH(tbl_working_daily[[#This Row],[LookupKey]],tbl_working_sleep[LookupKey],0))</f>
        <v>1</v>
      </c>
    </row>
    <row r="1129" spans="1:24" x14ac:dyDescent="0.3">
      <c r="A1129">
        <v>6962181067</v>
      </c>
      <c r="B1129" s="1">
        <v>42479</v>
      </c>
      <c r="C1129">
        <v>10742</v>
      </c>
      <c r="D1129">
        <v>7.0999999046325701</v>
      </c>
      <c r="E1129">
        <v>7.0999999046325701</v>
      </c>
      <c r="F1129">
        <v>0</v>
      </c>
      <c r="G1129">
        <v>2.0999999046325701</v>
      </c>
      <c r="H1129">
        <v>2.1300001144409202</v>
      </c>
      <c r="I1129">
        <v>2.8699998855590798</v>
      </c>
      <c r="J1129">
        <v>0</v>
      </c>
      <c r="K1129">
        <v>35</v>
      </c>
      <c r="L1129">
        <v>41</v>
      </c>
      <c r="M1129">
        <v>195</v>
      </c>
      <c r="N1129">
        <v>659</v>
      </c>
      <c r="O1129">
        <v>2046</v>
      </c>
      <c r="P1129" t="str">
        <f>TEXT(tbl_working_daily[[#This Row],[ActivityDate]],"dddd")</f>
        <v>Tuesday</v>
      </c>
      <c r="Q1129" t="str">
        <f>TEXT(tbl_working_daily[[#This Row],[ActivityDate]],"mmmm")</f>
        <v>April</v>
      </c>
      <c r="R1129">
        <f t="shared" si="34"/>
        <v>271</v>
      </c>
      <c r="S1129">
        <f t="shared" si="35"/>
        <v>930</v>
      </c>
      <c r="T1129">
        <f>ROUND(tbl_working_daily[[#This Row],[SedentaryMinutes]]/60,2)</f>
        <v>10.98</v>
      </c>
      <c r="U1129" t="str" cm="1">
        <f t="array" ref="U112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29" t="str" cm="1">
        <f t="array" ref="V1129">_xlfn.IFS(tbl_working_daily[[#This Row],[VeryActiveMinutes]]&gt;=30,"Very Active",tbl_working_daily[[#This Row],[VeryActiveMinutes]]&gt;=15,"Moderately Active",tbl_working_daily[[#This Row],[VeryActiveMinutes]]&gt;=1,"Lightly Active",tbl_working_daily[[#This Row],[VeryActiveMinutes]]=0,"Sedentary")</f>
        <v>Very Active</v>
      </c>
      <c r="W1129" t="str">
        <f>tbl_working_daily[[#This Row],[Id]]&amp;"|"&amp;TEXT(tbl_working_daily[[#This Row],[ActivityDate]],"yyyy-mm-dd")</f>
        <v>6962181067|2016-04-19</v>
      </c>
      <c r="X1129" t="b">
        <f>ISNUMBER(MATCH(tbl_working_daily[[#This Row],[LookupKey]],tbl_working_sleep[LookupKey],0))</f>
        <v>1</v>
      </c>
    </row>
    <row r="1130" spans="1:24" x14ac:dyDescent="0.3">
      <c r="A1130">
        <v>6962181067</v>
      </c>
      <c r="B1130" s="1">
        <v>42480</v>
      </c>
      <c r="C1130">
        <v>13928</v>
      </c>
      <c r="D1130">
        <v>9.5500001907348597</v>
      </c>
      <c r="E1130">
        <v>9.5500001907348597</v>
      </c>
      <c r="F1130">
        <v>0</v>
      </c>
      <c r="G1130">
        <v>4.2800002098083496</v>
      </c>
      <c r="H1130">
        <v>0.18999999761581399</v>
      </c>
      <c r="I1130">
        <v>5.0900001525878897</v>
      </c>
      <c r="J1130">
        <v>0</v>
      </c>
      <c r="K1130">
        <v>48</v>
      </c>
      <c r="L1130">
        <v>4</v>
      </c>
      <c r="M1130">
        <v>297</v>
      </c>
      <c r="N1130">
        <v>639</v>
      </c>
      <c r="O1130">
        <v>2174</v>
      </c>
      <c r="P1130" t="str">
        <f>TEXT(tbl_working_daily[[#This Row],[ActivityDate]],"dddd")</f>
        <v>Wednesday</v>
      </c>
      <c r="Q1130" t="str">
        <f>TEXT(tbl_working_daily[[#This Row],[ActivityDate]],"mmmm")</f>
        <v>April</v>
      </c>
      <c r="R1130">
        <f t="shared" si="34"/>
        <v>349</v>
      </c>
      <c r="S1130">
        <f t="shared" si="35"/>
        <v>988</v>
      </c>
      <c r="T1130">
        <f>ROUND(tbl_working_daily[[#This Row],[SedentaryMinutes]]/60,2)</f>
        <v>10.65</v>
      </c>
      <c r="U1130" t="str" cm="1">
        <f t="array" ref="U113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30" t="str" cm="1">
        <f t="array" ref="V1130">_xlfn.IFS(tbl_working_daily[[#This Row],[VeryActiveMinutes]]&gt;=30,"Very Active",tbl_working_daily[[#This Row],[VeryActiveMinutes]]&gt;=15,"Moderately Active",tbl_working_daily[[#This Row],[VeryActiveMinutes]]&gt;=1,"Lightly Active",tbl_working_daily[[#This Row],[VeryActiveMinutes]]=0,"Sedentary")</f>
        <v>Very Active</v>
      </c>
      <c r="W1130" t="str">
        <f>tbl_working_daily[[#This Row],[Id]]&amp;"|"&amp;TEXT(tbl_working_daily[[#This Row],[ActivityDate]],"yyyy-mm-dd")</f>
        <v>6962181067|2016-04-20</v>
      </c>
      <c r="X1130" t="b">
        <f>ISNUMBER(MATCH(tbl_working_daily[[#This Row],[LookupKey]],tbl_working_sleep[LookupKey],0))</f>
        <v>1</v>
      </c>
    </row>
    <row r="1131" spans="1:24" x14ac:dyDescent="0.3">
      <c r="A1131">
        <v>6962181067</v>
      </c>
      <c r="B1131" s="1">
        <v>42481</v>
      </c>
      <c r="C1131">
        <v>11835</v>
      </c>
      <c r="D1131">
        <v>9.7100000381469709</v>
      </c>
      <c r="E1131">
        <v>7.8800001144409197</v>
      </c>
      <c r="F1131">
        <v>4.0816922187805202</v>
      </c>
      <c r="G1131">
        <v>3.9900000095367401</v>
      </c>
      <c r="H1131">
        <v>2.0999999046325701</v>
      </c>
      <c r="I1131">
        <v>3.5099999904632599</v>
      </c>
      <c r="J1131">
        <v>0.109999999403954</v>
      </c>
      <c r="K1131">
        <v>53</v>
      </c>
      <c r="L1131">
        <v>27</v>
      </c>
      <c r="M1131">
        <v>214</v>
      </c>
      <c r="N1131">
        <v>708</v>
      </c>
      <c r="O1131">
        <v>2179</v>
      </c>
      <c r="P1131" t="str">
        <f>TEXT(tbl_working_daily[[#This Row],[ActivityDate]],"dddd")</f>
        <v>Thursday</v>
      </c>
      <c r="Q1131" t="str">
        <f>TEXT(tbl_working_daily[[#This Row],[ActivityDate]],"mmmm")</f>
        <v>April</v>
      </c>
      <c r="R1131">
        <f t="shared" si="34"/>
        <v>294</v>
      </c>
      <c r="S1131">
        <f t="shared" si="35"/>
        <v>1002</v>
      </c>
      <c r="T1131">
        <f>ROUND(tbl_working_daily[[#This Row],[SedentaryMinutes]]/60,2)</f>
        <v>11.8</v>
      </c>
      <c r="U1131" t="str" cm="1">
        <f t="array" ref="U113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31" t="str" cm="1">
        <f t="array" ref="V1131">_xlfn.IFS(tbl_working_daily[[#This Row],[VeryActiveMinutes]]&gt;=30,"Very Active",tbl_working_daily[[#This Row],[VeryActiveMinutes]]&gt;=15,"Moderately Active",tbl_working_daily[[#This Row],[VeryActiveMinutes]]&gt;=1,"Lightly Active",tbl_working_daily[[#This Row],[VeryActiveMinutes]]=0,"Sedentary")</f>
        <v>Very Active</v>
      </c>
      <c r="W1131" t="str">
        <f>tbl_working_daily[[#This Row],[Id]]&amp;"|"&amp;TEXT(tbl_working_daily[[#This Row],[ActivityDate]],"yyyy-mm-dd")</f>
        <v>6962181067|2016-04-21</v>
      </c>
      <c r="X1131" t="b">
        <f>ISNUMBER(MATCH(tbl_working_daily[[#This Row],[LookupKey]],tbl_working_sleep[LookupKey],0))</f>
        <v>1</v>
      </c>
    </row>
    <row r="1132" spans="1:24" x14ac:dyDescent="0.3">
      <c r="A1132">
        <v>6962181067</v>
      </c>
      <c r="B1132" s="1">
        <v>42482</v>
      </c>
      <c r="C1132">
        <v>10725</v>
      </c>
      <c r="D1132">
        <v>7.0900001525878897</v>
      </c>
      <c r="E1132">
        <v>7.0900001525878897</v>
      </c>
      <c r="F1132">
        <v>0</v>
      </c>
      <c r="G1132">
        <v>1.7699999809265099</v>
      </c>
      <c r="H1132">
        <v>1.54999995231628</v>
      </c>
      <c r="I1132">
        <v>3.7699999809265101</v>
      </c>
      <c r="J1132">
        <v>0</v>
      </c>
      <c r="K1132">
        <v>30</v>
      </c>
      <c r="L1132">
        <v>33</v>
      </c>
      <c r="M1132">
        <v>240</v>
      </c>
      <c r="N1132">
        <v>659</v>
      </c>
      <c r="O1132">
        <v>2086</v>
      </c>
      <c r="P1132" t="str">
        <f>TEXT(tbl_working_daily[[#This Row],[ActivityDate]],"dddd")</f>
        <v>Friday</v>
      </c>
      <c r="Q1132" t="str">
        <f>TEXT(tbl_working_daily[[#This Row],[ActivityDate]],"mmmm")</f>
        <v>April</v>
      </c>
      <c r="R1132">
        <f t="shared" si="34"/>
        <v>303</v>
      </c>
      <c r="S1132">
        <f t="shared" si="35"/>
        <v>962</v>
      </c>
      <c r="T1132">
        <f>ROUND(tbl_working_daily[[#This Row],[SedentaryMinutes]]/60,2)</f>
        <v>10.98</v>
      </c>
      <c r="U1132" t="str" cm="1">
        <f t="array" ref="U113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32" t="str" cm="1">
        <f t="array" ref="V1132">_xlfn.IFS(tbl_working_daily[[#This Row],[VeryActiveMinutes]]&gt;=30,"Very Active",tbl_working_daily[[#This Row],[VeryActiveMinutes]]&gt;=15,"Moderately Active",tbl_working_daily[[#This Row],[VeryActiveMinutes]]&gt;=1,"Lightly Active",tbl_working_daily[[#This Row],[VeryActiveMinutes]]=0,"Sedentary")</f>
        <v>Very Active</v>
      </c>
      <c r="W1132" t="str">
        <f>tbl_working_daily[[#This Row],[Id]]&amp;"|"&amp;TEXT(tbl_working_daily[[#This Row],[ActivityDate]],"yyyy-mm-dd")</f>
        <v>6962181067|2016-04-22</v>
      </c>
      <c r="X1132" t="b">
        <f>ISNUMBER(MATCH(tbl_working_daily[[#This Row],[LookupKey]],tbl_working_sleep[LookupKey],0))</f>
        <v>1</v>
      </c>
    </row>
    <row r="1133" spans="1:24" x14ac:dyDescent="0.3">
      <c r="A1133">
        <v>6962181067</v>
      </c>
      <c r="B1133" s="1">
        <v>42483</v>
      </c>
      <c r="C1133">
        <v>20031</v>
      </c>
      <c r="D1133">
        <v>13.2399997711182</v>
      </c>
      <c r="E1133">
        <v>13.2399997711182</v>
      </c>
      <c r="F1133">
        <v>0</v>
      </c>
      <c r="G1133">
        <v>4.1999998092651403</v>
      </c>
      <c r="H1133">
        <v>2</v>
      </c>
      <c r="I1133">
        <v>7.03999996185303</v>
      </c>
      <c r="J1133">
        <v>0</v>
      </c>
      <c r="K1133">
        <v>58</v>
      </c>
      <c r="L1133">
        <v>41</v>
      </c>
      <c r="M1133">
        <v>347</v>
      </c>
      <c r="N1133">
        <v>484</v>
      </c>
      <c r="O1133">
        <v>2571</v>
      </c>
      <c r="P1133" t="str">
        <f>TEXT(tbl_working_daily[[#This Row],[ActivityDate]],"dddd")</f>
        <v>Saturday</v>
      </c>
      <c r="Q1133" t="str">
        <f>TEXT(tbl_working_daily[[#This Row],[ActivityDate]],"mmmm")</f>
        <v>April</v>
      </c>
      <c r="R1133">
        <f t="shared" si="34"/>
        <v>446</v>
      </c>
      <c r="S1133">
        <f t="shared" si="35"/>
        <v>930</v>
      </c>
      <c r="T1133">
        <f>ROUND(tbl_working_daily[[#This Row],[SedentaryMinutes]]/60,2)</f>
        <v>8.07</v>
      </c>
      <c r="U1133" t="str" cm="1">
        <f t="array" ref="U113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33" t="str" cm="1">
        <f t="array" ref="V1133">_xlfn.IFS(tbl_working_daily[[#This Row],[VeryActiveMinutes]]&gt;=30,"Very Active",tbl_working_daily[[#This Row],[VeryActiveMinutes]]&gt;=15,"Moderately Active",tbl_working_daily[[#This Row],[VeryActiveMinutes]]&gt;=1,"Lightly Active",tbl_working_daily[[#This Row],[VeryActiveMinutes]]=0,"Sedentary")</f>
        <v>Very Active</v>
      </c>
      <c r="W1133" t="str">
        <f>tbl_working_daily[[#This Row],[Id]]&amp;"|"&amp;TEXT(tbl_working_daily[[#This Row],[ActivityDate]],"yyyy-mm-dd")</f>
        <v>6962181067|2016-04-23</v>
      </c>
      <c r="X1133" t="b">
        <f>ISNUMBER(MATCH(tbl_working_daily[[#This Row],[LookupKey]],tbl_working_sleep[LookupKey],0))</f>
        <v>1</v>
      </c>
    </row>
    <row r="1134" spans="1:24" x14ac:dyDescent="0.3">
      <c r="A1134">
        <v>6962181067</v>
      </c>
      <c r="B1134" s="1">
        <v>42484</v>
      </c>
      <c r="C1134">
        <v>5029</v>
      </c>
      <c r="D1134">
        <v>3.3199999332428001</v>
      </c>
      <c r="E1134">
        <v>3.3199999332428001</v>
      </c>
      <c r="F1134">
        <v>0</v>
      </c>
      <c r="G1134">
        <v>0</v>
      </c>
      <c r="H1134">
        <v>0</v>
      </c>
      <c r="I1134">
        <v>3.3199999332428001</v>
      </c>
      <c r="J1134">
        <v>0</v>
      </c>
      <c r="K1134">
        <v>0</v>
      </c>
      <c r="L1134">
        <v>0</v>
      </c>
      <c r="M1134">
        <v>199</v>
      </c>
      <c r="N1134">
        <v>720</v>
      </c>
      <c r="O1134">
        <v>1705</v>
      </c>
      <c r="P1134" t="str">
        <f>TEXT(tbl_working_daily[[#This Row],[ActivityDate]],"dddd")</f>
        <v>Sunday</v>
      </c>
      <c r="Q1134" t="str">
        <f>TEXT(tbl_working_daily[[#This Row],[ActivityDate]],"mmmm")</f>
        <v>April</v>
      </c>
      <c r="R1134">
        <f t="shared" si="34"/>
        <v>199</v>
      </c>
      <c r="S1134">
        <f t="shared" si="35"/>
        <v>919</v>
      </c>
      <c r="T1134">
        <f>ROUND(tbl_working_daily[[#This Row],[SedentaryMinutes]]/60,2)</f>
        <v>12</v>
      </c>
      <c r="U1134" t="str" cm="1">
        <f t="array" ref="U113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34" t="str" cm="1">
        <f t="array" ref="V1134">_xlfn.IFS(tbl_working_daily[[#This Row],[VeryActiveMinutes]]&gt;=30,"Very Active",tbl_working_daily[[#This Row],[VeryActiveMinutes]]&gt;=15,"Moderately Active",tbl_working_daily[[#This Row],[VeryActiveMinutes]]&gt;=1,"Lightly Active",tbl_working_daily[[#This Row],[VeryActiveMinutes]]=0,"Sedentary")</f>
        <v>Sedentary</v>
      </c>
      <c r="W1134" t="str">
        <f>tbl_working_daily[[#This Row],[Id]]&amp;"|"&amp;TEXT(tbl_working_daily[[#This Row],[ActivityDate]],"yyyy-mm-dd")</f>
        <v>6962181067|2016-04-24</v>
      </c>
      <c r="X1134" t="b">
        <f>ISNUMBER(MATCH(tbl_working_daily[[#This Row],[LookupKey]],tbl_working_sleep[LookupKey],0))</f>
        <v>1</v>
      </c>
    </row>
    <row r="1135" spans="1:24" x14ac:dyDescent="0.3">
      <c r="A1135">
        <v>6962181067</v>
      </c>
      <c r="B1135" s="1">
        <v>42485</v>
      </c>
      <c r="C1135">
        <v>13239</v>
      </c>
      <c r="D1135">
        <v>9.2700004577636701</v>
      </c>
      <c r="E1135">
        <v>9.0799999237060494</v>
      </c>
      <c r="F1135">
        <v>2.7851750850677499</v>
      </c>
      <c r="G1135">
        <v>3.0199999809265101</v>
      </c>
      <c r="H1135">
        <v>1.6799999475479099</v>
      </c>
      <c r="I1135">
        <v>4.46000003814697</v>
      </c>
      <c r="J1135">
        <v>0.10000000149011599</v>
      </c>
      <c r="K1135">
        <v>35</v>
      </c>
      <c r="L1135">
        <v>31</v>
      </c>
      <c r="M1135">
        <v>282</v>
      </c>
      <c r="N1135">
        <v>637</v>
      </c>
      <c r="O1135">
        <v>2194</v>
      </c>
      <c r="P1135" t="str">
        <f>TEXT(tbl_working_daily[[#This Row],[ActivityDate]],"dddd")</f>
        <v>Monday</v>
      </c>
      <c r="Q1135" t="str">
        <f>TEXT(tbl_working_daily[[#This Row],[ActivityDate]],"mmmm")</f>
        <v>April</v>
      </c>
      <c r="R1135">
        <f t="shared" si="34"/>
        <v>348</v>
      </c>
      <c r="S1135">
        <f t="shared" si="35"/>
        <v>985</v>
      </c>
      <c r="T1135">
        <f>ROUND(tbl_working_daily[[#This Row],[SedentaryMinutes]]/60,2)</f>
        <v>10.62</v>
      </c>
      <c r="U1135" t="str" cm="1">
        <f t="array" ref="U113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35" t="str" cm="1">
        <f t="array" ref="V1135">_xlfn.IFS(tbl_working_daily[[#This Row],[VeryActiveMinutes]]&gt;=30,"Very Active",tbl_working_daily[[#This Row],[VeryActiveMinutes]]&gt;=15,"Moderately Active",tbl_working_daily[[#This Row],[VeryActiveMinutes]]&gt;=1,"Lightly Active",tbl_working_daily[[#This Row],[VeryActiveMinutes]]=0,"Sedentary")</f>
        <v>Very Active</v>
      </c>
      <c r="W1135" t="str">
        <f>tbl_working_daily[[#This Row],[Id]]&amp;"|"&amp;TEXT(tbl_working_daily[[#This Row],[ActivityDate]],"yyyy-mm-dd")</f>
        <v>6962181067|2016-04-25</v>
      </c>
      <c r="X1135" t="b">
        <f>ISNUMBER(MATCH(tbl_working_daily[[#This Row],[LookupKey]],tbl_working_sleep[LookupKey],0))</f>
        <v>1</v>
      </c>
    </row>
    <row r="1136" spans="1:24" x14ac:dyDescent="0.3">
      <c r="A1136">
        <v>6962181067</v>
      </c>
      <c r="B1136" s="1">
        <v>42486</v>
      </c>
      <c r="C1136">
        <v>10433</v>
      </c>
      <c r="D1136">
        <v>6.9000000953674299</v>
      </c>
      <c r="E1136">
        <v>6.9000000953674299</v>
      </c>
      <c r="F1136">
        <v>0</v>
      </c>
      <c r="G1136">
        <v>2.5799999237060498</v>
      </c>
      <c r="H1136">
        <v>0.41999998688697798</v>
      </c>
      <c r="I1136">
        <v>3.9000000953674299</v>
      </c>
      <c r="J1136">
        <v>0</v>
      </c>
      <c r="K1136">
        <v>36</v>
      </c>
      <c r="L1136">
        <v>7</v>
      </c>
      <c r="M1136">
        <v>254</v>
      </c>
      <c r="N1136">
        <v>680</v>
      </c>
      <c r="O1136">
        <v>2012</v>
      </c>
      <c r="P1136" t="str">
        <f>TEXT(tbl_working_daily[[#This Row],[ActivityDate]],"dddd")</f>
        <v>Tuesday</v>
      </c>
      <c r="Q1136" t="str">
        <f>TEXT(tbl_working_daily[[#This Row],[ActivityDate]],"mmmm")</f>
        <v>April</v>
      </c>
      <c r="R1136">
        <f t="shared" si="34"/>
        <v>297</v>
      </c>
      <c r="S1136">
        <f t="shared" si="35"/>
        <v>977</v>
      </c>
      <c r="T1136">
        <f>ROUND(tbl_working_daily[[#This Row],[SedentaryMinutes]]/60,2)</f>
        <v>11.33</v>
      </c>
      <c r="U1136" t="str" cm="1">
        <f t="array" ref="U113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36" t="str" cm="1">
        <f t="array" ref="V1136">_xlfn.IFS(tbl_working_daily[[#This Row],[VeryActiveMinutes]]&gt;=30,"Very Active",tbl_working_daily[[#This Row],[VeryActiveMinutes]]&gt;=15,"Moderately Active",tbl_working_daily[[#This Row],[VeryActiveMinutes]]&gt;=1,"Lightly Active",tbl_working_daily[[#This Row],[VeryActiveMinutes]]=0,"Sedentary")</f>
        <v>Very Active</v>
      </c>
      <c r="W1136" t="str">
        <f>tbl_working_daily[[#This Row],[Id]]&amp;"|"&amp;TEXT(tbl_working_daily[[#This Row],[ActivityDate]],"yyyy-mm-dd")</f>
        <v>6962181067|2016-04-26</v>
      </c>
      <c r="X1136" t="b">
        <f>ISNUMBER(MATCH(tbl_working_daily[[#This Row],[LookupKey]],tbl_working_sleep[LookupKey],0))</f>
        <v>1</v>
      </c>
    </row>
    <row r="1137" spans="1:24" x14ac:dyDescent="0.3">
      <c r="A1137">
        <v>6962181067</v>
      </c>
      <c r="B1137" s="1">
        <v>42487</v>
      </c>
      <c r="C1137">
        <v>10320</v>
      </c>
      <c r="D1137">
        <v>6.8200001716613796</v>
      </c>
      <c r="E1137">
        <v>6.8200001716613796</v>
      </c>
      <c r="F1137">
        <v>0</v>
      </c>
      <c r="G1137">
        <v>0.55000001192092896</v>
      </c>
      <c r="H1137">
        <v>2.0199999809265101</v>
      </c>
      <c r="I1137">
        <v>4.25</v>
      </c>
      <c r="J1137">
        <v>0</v>
      </c>
      <c r="K1137">
        <v>7</v>
      </c>
      <c r="L1137">
        <v>38</v>
      </c>
      <c r="M1137">
        <v>279</v>
      </c>
      <c r="N1137">
        <v>697</v>
      </c>
      <c r="O1137">
        <v>2034</v>
      </c>
      <c r="P1137" t="str">
        <f>TEXT(tbl_working_daily[[#This Row],[ActivityDate]],"dddd")</f>
        <v>Wednesday</v>
      </c>
      <c r="Q1137" t="str">
        <f>TEXT(tbl_working_daily[[#This Row],[ActivityDate]],"mmmm")</f>
        <v>April</v>
      </c>
      <c r="R1137">
        <f t="shared" si="34"/>
        <v>324</v>
      </c>
      <c r="S1137">
        <f t="shared" si="35"/>
        <v>1021</v>
      </c>
      <c r="T1137">
        <f>ROUND(tbl_working_daily[[#This Row],[SedentaryMinutes]]/60,2)</f>
        <v>11.62</v>
      </c>
      <c r="U1137" t="str" cm="1">
        <f t="array" ref="U113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37" t="str" cm="1">
        <f t="array" ref="V1137">_xlfn.IFS(tbl_working_daily[[#This Row],[VeryActiveMinutes]]&gt;=30,"Very Active",tbl_working_daily[[#This Row],[VeryActiveMinutes]]&gt;=15,"Moderately Active",tbl_working_daily[[#This Row],[VeryActiveMinutes]]&gt;=1,"Lightly Active",tbl_working_daily[[#This Row],[VeryActiveMinutes]]=0,"Sedentary")</f>
        <v>Lightly Active</v>
      </c>
      <c r="W1137" t="str">
        <f>tbl_working_daily[[#This Row],[Id]]&amp;"|"&amp;TEXT(tbl_working_daily[[#This Row],[ActivityDate]],"yyyy-mm-dd")</f>
        <v>6962181067|2016-04-27</v>
      </c>
      <c r="X1137" t="b">
        <f>ISNUMBER(MATCH(tbl_working_daily[[#This Row],[LookupKey]],tbl_working_sleep[LookupKey],0))</f>
        <v>1</v>
      </c>
    </row>
    <row r="1138" spans="1:24" x14ac:dyDescent="0.3">
      <c r="A1138">
        <v>6962181067</v>
      </c>
      <c r="B1138" s="1">
        <v>42488</v>
      </c>
      <c r="C1138">
        <v>12627</v>
      </c>
      <c r="D1138">
        <v>8.3500003814697301</v>
      </c>
      <c r="E1138">
        <v>8.3500003814697301</v>
      </c>
      <c r="F1138">
        <v>0</v>
      </c>
      <c r="G1138">
        <v>2.5099999904632599</v>
      </c>
      <c r="H1138">
        <v>0.239999994635582</v>
      </c>
      <c r="I1138">
        <v>5.5900001525878897</v>
      </c>
      <c r="J1138">
        <v>0</v>
      </c>
      <c r="K1138">
        <v>38</v>
      </c>
      <c r="L1138">
        <v>8</v>
      </c>
      <c r="M1138">
        <v>288</v>
      </c>
      <c r="N1138">
        <v>621</v>
      </c>
      <c r="O1138">
        <v>2182</v>
      </c>
      <c r="P1138" t="str">
        <f>TEXT(tbl_working_daily[[#This Row],[ActivityDate]],"dddd")</f>
        <v>Thursday</v>
      </c>
      <c r="Q1138" t="str">
        <f>TEXT(tbl_working_daily[[#This Row],[ActivityDate]],"mmmm")</f>
        <v>April</v>
      </c>
      <c r="R1138">
        <f t="shared" si="34"/>
        <v>334</v>
      </c>
      <c r="S1138">
        <f t="shared" si="35"/>
        <v>955</v>
      </c>
      <c r="T1138">
        <f>ROUND(tbl_working_daily[[#This Row],[SedentaryMinutes]]/60,2)</f>
        <v>10.35</v>
      </c>
      <c r="U1138" t="str" cm="1">
        <f t="array" ref="U113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38" t="str" cm="1">
        <f t="array" ref="V1138">_xlfn.IFS(tbl_working_daily[[#This Row],[VeryActiveMinutes]]&gt;=30,"Very Active",tbl_working_daily[[#This Row],[VeryActiveMinutes]]&gt;=15,"Moderately Active",tbl_working_daily[[#This Row],[VeryActiveMinutes]]&gt;=1,"Lightly Active",tbl_working_daily[[#This Row],[VeryActiveMinutes]]=0,"Sedentary")</f>
        <v>Very Active</v>
      </c>
      <c r="W1138" t="str">
        <f>tbl_working_daily[[#This Row],[Id]]&amp;"|"&amp;TEXT(tbl_working_daily[[#This Row],[ActivityDate]],"yyyy-mm-dd")</f>
        <v>6962181067|2016-04-28</v>
      </c>
      <c r="X1138" t="b">
        <f>ISNUMBER(MATCH(tbl_working_daily[[#This Row],[LookupKey]],tbl_working_sleep[LookupKey],0))</f>
        <v>1</v>
      </c>
    </row>
    <row r="1139" spans="1:24" x14ac:dyDescent="0.3">
      <c r="A1139">
        <v>6962181067</v>
      </c>
      <c r="B1139" s="1">
        <v>42489</v>
      </c>
      <c r="C1139">
        <v>10762</v>
      </c>
      <c r="D1139">
        <v>7.1100001335143999</v>
      </c>
      <c r="E1139">
        <v>7.1100001335143999</v>
      </c>
      <c r="F1139">
        <v>0</v>
      </c>
      <c r="G1139">
        <v>0.81999999284744296</v>
      </c>
      <c r="H1139">
        <v>0.479999989271164</v>
      </c>
      <c r="I1139">
        <v>5.8099999427795401</v>
      </c>
      <c r="J1139">
        <v>0</v>
      </c>
      <c r="K1139">
        <v>12</v>
      </c>
      <c r="L1139">
        <v>15</v>
      </c>
      <c r="M1139">
        <v>369</v>
      </c>
      <c r="N1139">
        <v>645</v>
      </c>
      <c r="O1139">
        <v>2254</v>
      </c>
      <c r="P1139" t="str">
        <f>TEXT(tbl_working_daily[[#This Row],[ActivityDate]],"dddd")</f>
        <v>Friday</v>
      </c>
      <c r="Q1139" t="str">
        <f>TEXT(tbl_working_daily[[#This Row],[ActivityDate]],"mmmm")</f>
        <v>April</v>
      </c>
      <c r="R1139">
        <f t="shared" si="34"/>
        <v>396</v>
      </c>
      <c r="S1139">
        <f t="shared" si="35"/>
        <v>1041</v>
      </c>
      <c r="T1139">
        <f>ROUND(tbl_working_daily[[#This Row],[SedentaryMinutes]]/60,2)</f>
        <v>10.75</v>
      </c>
      <c r="U1139" t="str" cm="1">
        <f t="array" ref="U113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39" t="str" cm="1">
        <f t="array" ref="V1139">_xlfn.IFS(tbl_working_daily[[#This Row],[VeryActiveMinutes]]&gt;=30,"Very Active",tbl_working_daily[[#This Row],[VeryActiveMinutes]]&gt;=15,"Moderately Active",tbl_working_daily[[#This Row],[VeryActiveMinutes]]&gt;=1,"Lightly Active",tbl_working_daily[[#This Row],[VeryActiveMinutes]]=0,"Sedentary")</f>
        <v>Lightly Active</v>
      </c>
      <c r="W1139" t="str">
        <f>tbl_working_daily[[#This Row],[Id]]&amp;"|"&amp;TEXT(tbl_working_daily[[#This Row],[ActivityDate]],"yyyy-mm-dd")</f>
        <v>6962181067|2016-04-29</v>
      </c>
      <c r="X1139" t="b">
        <f>ISNUMBER(MATCH(tbl_working_daily[[#This Row],[LookupKey]],tbl_working_sleep[LookupKey],0))</f>
        <v>1</v>
      </c>
    </row>
    <row r="1140" spans="1:24" x14ac:dyDescent="0.3">
      <c r="A1140">
        <v>6962181067</v>
      </c>
      <c r="B1140" s="1">
        <v>42490</v>
      </c>
      <c r="C1140">
        <v>10081</v>
      </c>
      <c r="D1140">
        <v>6.6599998474121103</v>
      </c>
      <c r="E1140">
        <v>6.6599998474121103</v>
      </c>
      <c r="F1140">
        <v>0</v>
      </c>
      <c r="G1140">
        <v>2.2400000095367401</v>
      </c>
      <c r="H1140">
        <v>0.75999999046325695</v>
      </c>
      <c r="I1140">
        <v>3.6700000762939502</v>
      </c>
      <c r="J1140">
        <v>0</v>
      </c>
      <c r="K1140">
        <v>32</v>
      </c>
      <c r="L1140">
        <v>16</v>
      </c>
      <c r="M1140">
        <v>237</v>
      </c>
      <c r="N1140">
        <v>731</v>
      </c>
      <c r="O1140">
        <v>2002</v>
      </c>
      <c r="P1140" t="str">
        <f>TEXT(tbl_working_daily[[#This Row],[ActivityDate]],"dddd")</f>
        <v>Saturday</v>
      </c>
      <c r="Q1140" t="str">
        <f>TEXT(tbl_working_daily[[#This Row],[ActivityDate]],"mmmm")</f>
        <v>April</v>
      </c>
      <c r="R1140">
        <f t="shared" si="34"/>
        <v>285</v>
      </c>
      <c r="S1140">
        <f t="shared" si="35"/>
        <v>1016</v>
      </c>
      <c r="T1140">
        <f>ROUND(tbl_working_daily[[#This Row],[SedentaryMinutes]]/60,2)</f>
        <v>12.18</v>
      </c>
      <c r="U1140" t="str" cm="1">
        <f t="array" ref="U114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40" t="str" cm="1">
        <f t="array" ref="V1140">_xlfn.IFS(tbl_working_daily[[#This Row],[VeryActiveMinutes]]&gt;=30,"Very Active",tbl_working_daily[[#This Row],[VeryActiveMinutes]]&gt;=15,"Moderately Active",tbl_working_daily[[#This Row],[VeryActiveMinutes]]&gt;=1,"Lightly Active",tbl_working_daily[[#This Row],[VeryActiveMinutes]]=0,"Sedentary")</f>
        <v>Very Active</v>
      </c>
      <c r="W1140" t="str">
        <f>tbl_working_daily[[#This Row],[Id]]&amp;"|"&amp;TEXT(tbl_working_daily[[#This Row],[ActivityDate]],"yyyy-mm-dd")</f>
        <v>6962181067|2016-04-30</v>
      </c>
      <c r="X1140" t="b">
        <f>ISNUMBER(MATCH(tbl_working_daily[[#This Row],[LookupKey]],tbl_working_sleep[LookupKey],0))</f>
        <v>1</v>
      </c>
    </row>
    <row r="1141" spans="1:24" x14ac:dyDescent="0.3">
      <c r="A1141">
        <v>6962181067</v>
      </c>
      <c r="B1141" s="1">
        <v>42491</v>
      </c>
      <c r="C1141">
        <v>5454</v>
      </c>
      <c r="D1141">
        <v>3.6099998950958301</v>
      </c>
      <c r="E1141">
        <v>3.6099998950958301</v>
      </c>
      <c r="F1141">
        <v>0</v>
      </c>
      <c r="G1141">
        <v>0</v>
      </c>
      <c r="H1141">
        <v>0</v>
      </c>
      <c r="I1141">
        <v>3.6099998950958301</v>
      </c>
      <c r="J1141">
        <v>0</v>
      </c>
      <c r="K1141">
        <v>0</v>
      </c>
      <c r="L1141">
        <v>0</v>
      </c>
      <c r="M1141">
        <v>215</v>
      </c>
      <c r="N1141">
        <v>722</v>
      </c>
      <c r="O1141">
        <v>1740</v>
      </c>
      <c r="P1141" t="str">
        <f>TEXT(tbl_working_daily[[#This Row],[ActivityDate]],"dddd")</f>
        <v>Sunday</v>
      </c>
      <c r="Q1141" t="str">
        <f>TEXT(tbl_working_daily[[#This Row],[ActivityDate]],"mmmm")</f>
        <v>May</v>
      </c>
      <c r="R1141">
        <f t="shared" si="34"/>
        <v>215</v>
      </c>
      <c r="S1141">
        <f t="shared" si="35"/>
        <v>937</v>
      </c>
      <c r="T1141">
        <f>ROUND(tbl_working_daily[[#This Row],[SedentaryMinutes]]/60,2)</f>
        <v>12.03</v>
      </c>
      <c r="U1141" t="str" cm="1">
        <f t="array" ref="U114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41" t="str" cm="1">
        <f t="array" ref="V1141">_xlfn.IFS(tbl_working_daily[[#This Row],[VeryActiveMinutes]]&gt;=30,"Very Active",tbl_working_daily[[#This Row],[VeryActiveMinutes]]&gt;=15,"Moderately Active",tbl_working_daily[[#This Row],[VeryActiveMinutes]]&gt;=1,"Lightly Active",tbl_working_daily[[#This Row],[VeryActiveMinutes]]=0,"Sedentary")</f>
        <v>Sedentary</v>
      </c>
      <c r="W1141" t="str">
        <f>tbl_working_daily[[#This Row],[Id]]&amp;"|"&amp;TEXT(tbl_working_daily[[#This Row],[ActivityDate]],"yyyy-mm-dd")</f>
        <v>6962181067|2016-05-01</v>
      </c>
      <c r="X1141" t="b">
        <f>ISNUMBER(MATCH(tbl_working_daily[[#This Row],[LookupKey]],tbl_working_sleep[LookupKey],0))</f>
        <v>1</v>
      </c>
    </row>
    <row r="1142" spans="1:24" x14ac:dyDescent="0.3">
      <c r="A1142">
        <v>6962181067</v>
      </c>
      <c r="B1142" s="1">
        <v>42492</v>
      </c>
      <c r="C1142">
        <v>12912</v>
      </c>
      <c r="D1142">
        <v>8.5399999618530291</v>
      </c>
      <c r="E1142">
        <v>8.5399999618530291</v>
      </c>
      <c r="F1142">
        <v>0</v>
      </c>
      <c r="G1142">
        <v>1.20000004768372</v>
      </c>
      <c r="H1142">
        <v>2</v>
      </c>
      <c r="I1142">
        <v>5.3400001525878897</v>
      </c>
      <c r="J1142">
        <v>0</v>
      </c>
      <c r="K1142">
        <v>18</v>
      </c>
      <c r="L1142">
        <v>39</v>
      </c>
      <c r="M1142">
        <v>313</v>
      </c>
      <c r="N1142">
        <v>655</v>
      </c>
      <c r="O1142">
        <v>2162</v>
      </c>
      <c r="P1142" t="str">
        <f>TEXT(tbl_working_daily[[#This Row],[ActivityDate]],"dddd")</f>
        <v>Monday</v>
      </c>
      <c r="Q1142" t="str">
        <f>TEXT(tbl_working_daily[[#This Row],[ActivityDate]],"mmmm")</f>
        <v>May</v>
      </c>
      <c r="R1142">
        <f t="shared" si="34"/>
        <v>370</v>
      </c>
      <c r="S1142">
        <f t="shared" si="35"/>
        <v>1025</v>
      </c>
      <c r="T1142">
        <f>ROUND(tbl_working_daily[[#This Row],[SedentaryMinutes]]/60,2)</f>
        <v>10.92</v>
      </c>
      <c r="U1142" t="str" cm="1">
        <f t="array" ref="U114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42" t="str" cm="1">
        <f t="array" ref="V1142">_xlfn.IFS(tbl_working_daily[[#This Row],[VeryActiveMinutes]]&gt;=30,"Very Active",tbl_working_daily[[#This Row],[VeryActiveMinutes]]&gt;=15,"Moderately Active",tbl_working_daily[[#This Row],[VeryActiveMinutes]]&gt;=1,"Lightly Active",tbl_working_daily[[#This Row],[VeryActiveMinutes]]=0,"Sedentary")</f>
        <v>Moderately Active</v>
      </c>
      <c r="W1142" t="str">
        <f>tbl_working_daily[[#This Row],[Id]]&amp;"|"&amp;TEXT(tbl_working_daily[[#This Row],[ActivityDate]],"yyyy-mm-dd")</f>
        <v>6962181067|2016-05-02</v>
      </c>
      <c r="X1142" t="b">
        <f>ISNUMBER(MATCH(tbl_working_daily[[#This Row],[LookupKey]],tbl_working_sleep[LookupKey],0))</f>
        <v>1</v>
      </c>
    </row>
    <row r="1143" spans="1:24" x14ac:dyDescent="0.3">
      <c r="A1143">
        <v>6962181067</v>
      </c>
      <c r="B1143" s="1">
        <v>42493</v>
      </c>
      <c r="C1143">
        <v>12109</v>
      </c>
      <c r="D1143">
        <v>8.1199998855590803</v>
      </c>
      <c r="E1143">
        <v>8.1199998855590803</v>
      </c>
      <c r="F1143">
        <v>0</v>
      </c>
      <c r="G1143">
        <v>1.7400000095367401</v>
      </c>
      <c r="H1143">
        <v>2.03999996185303</v>
      </c>
      <c r="I1143">
        <v>4.3299999237060502</v>
      </c>
      <c r="J1143">
        <v>0</v>
      </c>
      <c r="K1143">
        <v>21</v>
      </c>
      <c r="L1143">
        <v>36</v>
      </c>
      <c r="M1143">
        <v>267</v>
      </c>
      <c r="N1143">
        <v>654</v>
      </c>
      <c r="O1143">
        <v>2072</v>
      </c>
      <c r="P1143" t="str">
        <f>TEXT(tbl_working_daily[[#This Row],[ActivityDate]],"dddd")</f>
        <v>Tuesday</v>
      </c>
      <c r="Q1143" t="str">
        <f>TEXT(tbl_working_daily[[#This Row],[ActivityDate]],"mmmm")</f>
        <v>May</v>
      </c>
      <c r="R1143">
        <f t="shared" si="34"/>
        <v>324</v>
      </c>
      <c r="S1143">
        <f t="shared" si="35"/>
        <v>978</v>
      </c>
      <c r="T1143">
        <f>ROUND(tbl_working_daily[[#This Row],[SedentaryMinutes]]/60,2)</f>
        <v>10.9</v>
      </c>
      <c r="U1143" t="str" cm="1">
        <f t="array" ref="U114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43" t="str" cm="1">
        <f t="array" ref="V1143">_xlfn.IFS(tbl_working_daily[[#This Row],[VeryActiveMinutes]]&gt;=30,"Very Active",tbl_working_daily[[#This Row],[VeryActiveMinutes]]&gt;=15,"Moderately Active",tbl_working_daily[[#This Row],[VeryActiveMinutes]]&gt;=1,"Lightly Active",tbl_working_daily[[#This Row],[VeryActiveMinutes]]=0,"Sedentary")</f>
        <v>Moderately Active</v>
      </c>
      <c r="W1143" t="str">
        <f>tbl_working_daily[[#This Row],[Id]]&amp;"|"&amp;TEXT(tbl_working_daily[[#This Row],[ActivityDate]],"yyyy-mm-dd")</f>
        <v>6962181067|2016-05-03</v>
      </c>
      <c r="X1143" t="b">
        <f>ISNUMBER(MATCH(tbl_working_daily[[#This Row],[LookupKey]],tbl_working_sleep[LookupKey],0))</f>
        <v>1</v>
      </c>
    </row>
    <row r="1144" spans="1:24" x14ac:dyDescent="0.3">
      <c r="A1144">
        <v>6962181067</v>
      </c>
      <c r="B1144" s="1">
        <v>42494</v>
      </c>
      <c r="C1144">
        <v>10147</v>
      </c>
      <c r="D1144">
        <v>6.71000003814697</v>
      </c>
      <c r="E1144">
        <v>6.71000003814697</v>
      </c>
      <c r="F1144">
        <v>0</v>
      </c>
      <c r="G1144">
        <v>0.46999999880790699</v>
      </c>
      <c r="H1144">
        <v>1.6799999475479099</v>
      </c>
      <c r="I1144">
        <v>4.5500001907348597</v>
      </c>
      <c r="J1144">
        <v>0</v>
      </c>
      <c r="K1144">
        <v>15</v>
      </c>
      <c r="L1144">
        <v>36</v>
      </c>
      <c r="M1144">
        <v>284</v>
      </c>
      <c r="N1144">
        <v>683</v>
      </c>
      <c r="O1144">
        <v>2086</v>
      </c>
      <c r="P1144" t="str">
        <f>TEXT(tbl_working_daily[[#This Row],[ActivityDate]],"dddd")</f>
        <v>Wednesday</v>
      </c>
      <c r="Q1144" t="str">
        <f>TEXT(tbl_working_daily[[#This Row],[ActivityDate]],"mmmm")</f>
        <v>May</v>
      </c>
      <c r="R1144">
        <f t="shared" si="34"/>
        <v>335</v>
      </c>
      <c r="S1144">
        <f t="shared" si="35"/>
        <v>1018</v>
      </c>
      <c r="T1144">
        <f>ROUND(tbl_working_daily[[#This Row],[SedentaryMinutes]]/60,2)</f>
        <v>11.38</v>
      </c>
      <c r="U1144" t="str" cm="1">
        <f t="array" ref="U114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44" t="str" cm="1">
        <f t="array" ref="V1144">_xlfn.IFS(tbl_working_daily[[#This Row],[VeryActiveMinutes]]&gt;=30,"Very Active",tbl_working_daily[[#This Row],[VeryActiveMinutes]]&gt;=15,"Moderately Active",tbl_working_daily[[#This Row],[VeryActiveMinutes]]&gt;=1,"Lightly Active",tbl_working_daily[[#This Row],[VeryActiveMinutes]]=0,"Sedentary")</f>
        <v>Moderately Active</v>
      </c>
      <c r="W1144" t="str">
        <f>tbl_working_daily[[#This Row],[Id]]&amp;"|"&amp;TEXT(tbl_working_daily[[#This Row],[ActivityDate]],"yyyy-mm-dd")</f>
        <v>6962181067|2016-05-04</v>
      </c>
      <c r="X1144" t="b">
        <f>ISNUMBER(MATCH(tbl_working_daily[[#This Row],[LookupKey]],tbl_working_sleep[LookupKey],0))</f>
        <v>1</v>
      </c>
    </row>
    <row r="1145" spans="1:24" x14ac:dyDescent="0.3">
      <c r="A1145">
        <v>6962181067</v>
      </c>
      <c r="B1145" s="1">
        <v>42495</v>
      </c>
      <c r="C1145">
        <v>10524</v>
      </c>
      <c r="D1145">
        <v>6.96000003814697</v>
      </c>
      <c r="E1145">
        <v>6.96000003814697</v>
      </c>
      <c r="F1145">
        <v>0</v>
      </c>
      <c r="G1145">
        <v>0.99000000953674305</v>
      </c>
      <c r="H1145">
        <v>1.1599999666214</v>
      </c>
      <c r="I1145">
        <v>4.8099999427795401</v>
      </c>
      <c r="J1145">
        <v>0</v>
      </c>
      <c r="K1145">
        <v>14</v>
      </c>
      <c r="L1145">
        <v>22</v>
      </c>
      <c r="M1145">
        <v>305</v>
      </c>
      <c r="N1145">
        <v>591</v>
      </c>
      <c r="O1145">
        <v>2066</v>
      </c>
      <c r="P1145" t="str">
        <f>TEXT(tbl_working_daily[[#This Row],[ActivityDate]],"dddd")</f>
        <v>Thursday</v>
      </c>
      <c r="Q1145" t="str">
        <f>TEXT(tbl_working_daily[[#This Row],[ActivityDate]],"mmmm")</f>
        <v>May</v>
      </c>
      <c r="R1145">
        <f t="shared" si="34"/>
        <v>341</v>
      </c>
      <c r="S1145">
        <f t="shared" si="35"/>
        <v>932</v>
      </c>
      <c r="T1145">
        <f>ROUND(tbl_working_daily[[#This Row],[SedentaryMinutes]]/60,2)</f>
        <v>9.85</v>
      </c>
      <c r="U1145" t="str" cm="1">
        <f t="array" ref="U114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45" t="str" cm="1">
        <f t="array" ref="V1145">_xlfn.IFS(tbl_working_daily[[#This Row],[VeryActiveMinutes]]&gt;=30,"Very Active",tbl_working_daily[[#This Row],[VeryActiveMinutes]]&gt;=15,"Moderately Active",tbl_working_daily[[#This Row],[VeryActiveMinutes]]&gt;=1,"Lightly Active",tbl_working_daily[[#This Row],[VeryActiveMinutes]]=0,"Sedentary")</f>
        <v>Lightly Active</v>
      </c>
      <c r="W1145" t="str">
        <f>tbl_working_daily[[#This Row],[Id]]&amp;"|"&amp;TEXT(tbl_working_daily[[#This Row],[ActivityDate]],"yyyy-mm-dd")</f>
        <v>6962181067|2016-05-05</v>
      </c>
      <c r="X1145" t="b">
        <f>ISNUMBER(MATCH(tbl_working_daily[[#This Row],[LookupKey]],tbl_working_sleep[LookupKey],0))</f>
        <v>1</v>
      </c>
    </row>
    <row r="1146" spans="1:24" x14ac:dyDescent="0.3">
      <c r="A1146">
        <v>6962181067</v>
      </c>
      <c r="B1146" s="1">
        <v>42496</v>
      </c>
      <c r="C1146">
        <v>5908</v>
      </c>
      <c r="D1146">
        <v>3.9100000858306898</v>
      </c>
      <c r="E1146">
        <v>3.9100000858306898</v>
      </c>
      <c r="F1146">
        <v>0</v>
      </c>
      <c r="G1146">
        <v>0</v>
      </c>
      <c r="H1146">
        <v>0</v>
      </c>
      <c r="I1146">
        <v>3.9100000858306898</v>
      </c>
      <c r="J1146">
        <v>0</v>
      </c>
      <c r="K1146">
        <v>0</v>
      </c>
      <c r="L1146">
        <v>0</v>
      </c>
      <c r="M1146">
        <v>299</v>
      </c>
      <c r="N1146">
        <v>717</v>
      </c>
      <c r="O1146">
        <v>1850</v>
      </c>
      <c r="P1146" t="str">
        <f>TEXT(tbl_working_daily[[#This Row],[ActivityDate]],"dddd")</f>
        <v>Friday</v>
      </c>
      <c r="Q1146" t="str">
        <f>TEXT(tbl_working_daily[[#This Row],[ActivityDate]],"mmmm")</f>
        <v>May</v>
      </c>
      <c r="R1146">
        <f t="shared" si="34"/>
        <v>299</v>
      </c>
      <c r="S1146">
        <f t="shared" si="35"/>
        <v>1016</v>
      </c>
      <c r="T1146">
        <f>ROUND(tbl_working_daily[[#This Row],[SedentaryMinutes]]/60,2)</f>
        <v>11.95</v>
      </c>
      <c r="U1146" t="str" cm="1">
        <f t="array" ref="U114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46" t="str" cm="1">
        <f t="array" ref="V1146">_xlfn.IFS(tbl_working_daily[[#This Row],[VeryActiveMinutes]]&gt;=30,"Very Active",tbl_working_daily[[#This Row],[VeryActiveMinutes]]&gt;=15,"Moderately Active",tbl_working_daily[[#This Row],[VeryActiveMinutes]]&gt;=1,"Lightly Active",tbl_working_daily[[#This Row],[VeryActiveMinutes]]=0,"Sedentary")</f>
        <v>Sedentary</v>
      </c>
      <c r="W1146" t="str">
        <f>tbl_working_daily[[#This Row],[Id]]&amp;"|"&amp;TEXT(tbl_working_daily[[#This Row],[ActivityDate]],"yyyy-mm-dd")</f>
        <v>6962181067|2016-05-06</v>
      </c>
      <c r="X1146" t="b">
        <f>ISNUMBER(MATCH(tbl_working_daily[[#This Row],[LookupKey]],tbl_working_sleep[LookupKey],0))</f>
        <v>1</v>
      </c>
    </row>
    <row r="1147" spans="1:24" x14ac:dyDescent="0.3">
      <c r="A1147">
        <v>6962181067</v>
      </c>
      <c r="B1147" s="1">
        <v>42497</v>
      </c>
      <c r="C1147">
        <v>6815</v>
      </c>
      <c r="D1147">
        <v>4.5</v>
      </c>
      <c r="E1147">
        <v>4.5</v>
      </c>
      <c r="F1147">
        <v>0</v>
      </c>
      <c r="G1147">
        <v>0</v>
      </c>
      <c r="H1147">
        <v>0</v>
      </c>
      <c r="I1147">
        <v>4.5</v>
      </c>
      <c r="J1147">
        <v>0</v>
      </c>
      <c r="K1147">
        <v>0</v>
      </c>
      <c r="L1147">
        <v>0</v>
      </c>
      <c r="M1147">
        <v>328</v>
      </c>
      <c r="N1147">
        <v>745</v>
      </c>
      <c r="O1147">
        <v>1947</v>
      </c>
      <c r="P1147" t="str">
        <f>TEXT(tbl_working_daily[[#This Row],[ActivityDate]],"dddd")</f>
        <v>Saturday</v>
      </c>
      <c r="Q1147" t="str">
        <f>TEXT(tbl_working_daily[[#This Row],[ActivityDate]],"mmmm")</f>
        <v>May</v>
      </c>
      <c r="R1147">
        <f t="shared" si="34"/>
        <v>328</v>
      </c>
      <c r="S1147">
        <f t="shared" si="35"/>
        <v>1073</v>
      </c>
      <c r="T1147">
        <f>ROUND(tbl_working_daily[[#This Row],[SedentaryMinutes]]/60,2)</f>
        <v>12.42</v>
      </c>
      <c r="U1147" t="str" cm="1">
        <f t="array" ref="U114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47" t="str" cm="1">
        <f t="array" ref="V1147">_xlfn.IFS(tbl_working_daily[[#This Row],[VeryActiveMinutes]]&gt;=30,"Very Active",tbl_working_daily[[#This Row],[VeryActiveMinutes]]&gt;=15,"Moderately Active",tbl_working_daily[[#This Row],[VeryActiveMinutes]]&gt;=1,"Lightly Active",tbl_working_daily[[#This Row],[VeryActiveMinutes]]=0,"Sedentary")</f>
        <v>Sedentary</v>
      </c>
      <c r="W1147" t="str">
        <f>tbl_working_daily[[#This Row],[Id]]&amp;"|"&amp;TEXT(tbl_working_daily[[#This Row],[ActivityDate]],"yyyy-mm-dd")</f>
        <v>6962181067|2016-05-07</v>
      </c>
      <c r="X1147" t="b">
        <f>ISNUMBER(MATCH(tbl_working_daily[[#This Row],[LookupKey]],tbl_working_sleep[LookupKey],0))</f>
        <v>1</v>
      </c>
    </row>
    <row r="1148" spans="1:24" x14ac:dyDescent="0.3">
      <c r="A1148">
        <v>6962181067</v>
      </c>
      <c r="B1148" s="1">
        <v>42498</v>
      </c>
      <c r="C1148">
        <v>4188</v>
      </c>
      <c r="D1148">
        <v>2.7699999809265101</v>
      </c>
      <c r="E1148">
        <v>2.7699999809265101</v>
      </c>
      <c r="F1148">
        <v>0</v>
      </c>
      <c r="G1148">
        <v>0</v>
      </c>
      <c r="H1148">
        <v>0.519999980926514</v>
      </c>
      <c r="I1148">
        <v>2.25</v>
      </c>
      <c r="J1148">
        <v>0</v>
      </c>
      <c r="K1148">
        <v>0</v>
      </c>
      <c r="L1148">
        <v>14</v>
      </c>
      <c r="M1148">
        <v>151</v>
      </c>
      <c r="N1148">
        <v>709</v>
      </c>
      <c r="O1148">
        <v>1659</v>
      </c>
      <c r="P1148" t="str">
        <f>TEXT(tbl_working_daily[[#This Row],[ActivityDate]],"dddd")</f>
        <v>Sunday</v>
      </c>
      <c r="Q1148" t="str">
        <f>TEXT(tbl_working_daily[[#This Row],[ActivityDate]],"mmmm")</f>
        <v>May</v>
      </c>
      <c r="R1148">
        <f t="shared" si="34"/>
        <v>165</v>
      </c>
      <c r="S1148">
        <f t="shared" si="35"/>
        <v>874</v>
      </c>
      <c r="T1148">
        <f>ROUND(tbl_working_daily[[#This Row],[SedentaryMinutes]]/60,2)</f>
        <v>11.82</v>
      </c>
      <c r="U1148" t="str" cm="1">
        <f t="array" ref="U114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48" t="str" cm="1">
        <f t="array" ref="V1148">_xlfn.IFS(tbl_working_daily[[#This Row],[VeryActiveMinutes]]&gt;=30,"Very Active",tbl_working_daily[[#This Row],[VeryActiveMinutes]]&gt;=15,"Moderately Active",tbl_working_daily[[#This Row],[VeryActiveMinutes]]&gt;=1,"Lightly Active",tbl_working_daily[[#This Row],[VeryActiveMinutes]]=0,"Sedentary")</f>
        <v>Sedentary</v>
      </c>
      <c r="W1148" t="str">
        <f>tbl_working_daily[[#This Row],[Id]]&amp;"|"&amp;TEXT(tbl_working_daily[[#This Row],[ActivityDate]],"yyyy-mm-dd")</f>
        <v>6962181067|2016-05-08</v>
      </c>
      <c r="X1148" t="b">
        <f>ISNUMBER(MATCH(tbl_working_daily[[#This Row],[LookupKey]],tbl_working_sleep[LookupKey],0))</f>
        <v>1</v>
      </c>
    </row>
    <row r="1149" spans="1:24" x14ac:dyDescent="0.3">
      <c r="A1149">
        <v>6962181067</v>
      </c>
      <c r="B1149" s="1">
        <v>42499</v>
      </c>
      <c r="C1149">
        <v>12342</v>
      </c>
      <c r="D1149">
        <v>8.7200002670288104</v>
      </c>
      <c r="E1149">
        <v>8.6800003051757795</v>
      </c>
      <c r="F1149">
        <v>3.1678218841552699</v>
      </c>
      <c r="G1149">
        <v>3.9000000953674299</v>
      </c>
      <c r="H1149">
        <v>1.1799999475479099</v>
      </c>
      <c r="I1149">
        <v>3.6500000953674299</v>
      </c>
      <c r="J1149">
        <v>0</v>
      </c>
      <c r="K1149">
        <v>43</v>
      </c>
      <c r="L1149">
        <v>21</v>
      </c>
      <c r="M1149">
        <v>231</v>
      </c>
      <c r="N1149">
        <v>607</v>
      </c>
      <c r="O1149">
        <v>2105</v>
      </c>
      <c r="P1149" t="str">
        <f>TEXT(tbl_working_daily[[#This Row],[ActivityDate]],"dddd")</f>
        <v>Monday</v>
      </c>
      <c r="Q1149" t="str">
        <f>TEXT(tbl_working_daily[[#This Row],[ActivityDate]],"mmmm")</f>
        <v>May</v>
      </c>
      <c r="R1149">
        <f t="shared" si="34"/>
        <v>295</v>
      </c>
      <c r="S1149">
        <f t="shared" si="35"/>
        <v>902</v>
      </c>
      <c r="T1149">
        <f>ROUND(tbl_working_daily[[#This Row],[SedentaryMinutes]]/60,2)</f>
        <v>10.119999999999999</v>
      </c>
      <c r="U1149" t="str" cm="1">
        <f t="array" ref="U114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49" t="str" cm="1">
        <f t="array" ref="V1149">_xlfn.IFS(tbl_working_daily[[#This Row],[VeryActiveMinutes]]&gt;=30,"Very Active",tbl_working_daily[[#This Row],[VeryActiveMinutes]]&gt;=15,"Moderately Active",tbl_working_daily[[#This Row],[VeryActiveMinutes]]&gt;=1,"Lightly Active",tbl_working_daily[[#This Row],[VeryActiveMinutes]]=0,"Sedentary")</f>
        <v>Very Active</v>
      </c>
      <c r="W1149" t="str">
        <f>tbl_working_daily[[#This Row],[Id]]&amp;"|"&amp;TEXT(tbl_working_daily[[#This Row],[ActivityDate]],"yyyy-mm-dd")</f>
        <v>6962181067|2016-05-09</v>
      </c>
      <c r="X1149" t="b">
        <f>ISNUMBER(MATCH(tbl_working_daily[[#This Row],[LookupKey]],tbl_working_sleep[LookupKey],0))</f>
        <v>1</v>
      </c>
    </row>
    <row r="1150" spans="1:24" x14ac:dyDescent="0.3">
      <c r="A1150">
        <v>6962181067</v>
      </c>
      <c r="B1150" s="1">
        <v>42500</v>
      </c>
      <c r="C1150">
        <v>15448</v>
      </c>
      <c r="D1150">
        <v>10.210000038146999</v>
      </c>
      <c r="E1150">
        <v>10.210000038146999</v>
      </c>
      <c r="F1150">
        <v>0</v>
      </c>
      <c r="G1150">
        <v>3.4700000286102299</v>
      </c>
      <c r="H1150">
        <v>1.75</v>
      </c>
      <c r="I1150">
        <v>4.9899997711181596</v>
      </c>
      <c r="J1150">
        <v>0</v>
      </c>
      <c r="K1150">
        <v>62</v>
      </c>
      <c r="L1150">
        <v>34</v>
      </c>
      <c r="M1150">
        <v>275</v>
      </c>
      <c r="N1150">
        <v>626</v>
      </c>
      <c r="O1150">
        <v>2361</v>
      </c>
      <c r="P1150" t="str">
        <f>TEXT(tbl_working_daily[[#This Row],[ActivityDate]],"dddd")</f>
        <v>Tuesday</v>
      </c>
      <c r="Q1150" t="str">
        <f>TEXT(tbl_working_daily[[#This Row],[ActivityDate]],"mmmm")</f>
        <v>May</v>
      </c>
      <c r="R1150">
        <f t="shared" si="34"/>
        <v>371</v>
      </c>
      <c r="S1150">
        <f t="shared" si="35"/>
        <v>997</v>
      </c>
      <c r="T1150">
        <f>ROUND(tbl_working_daily[[#This Row],[SedentaryMinutes]]/60,2)</f>
        <v>10.43</v>
      </c>
      <c r="U1150" t="str" cm="1">
        <f t="array" ref="U115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50" t="str" cm="1">
        <f t="array" ref="V1150">_xlfn.IFS(tbl_working_daily[[#This Row],[VeryActiveMinutes]]&gt;=30,"Very Active",tbl_working_daily[[#This Row],[VeryActiveMinutes]]&gt;=15,"Moderately Active",tbl_working_daily[[#This Row],[VeryActiveMinutes]]&gt;=1,"Lightly Active",tbl_working_daily[[#This Row],[VeryActiveMinutes]]=0,"Sedentary")</f>
        <v>Very Active</v>
      </c>
      <c r="W1150" t="str">
        <f>tbl_working_daily[[#This Row],[Id]]&amp;"|"&amp;TEXT(tbl_working_daily[[#This Row],[ActivityDate]],"yyyy-mm-dd")</f>
        <v>6962181067|2016-05-10</v>
      </c>
      <c r="X1150" t="b">
        <f>ISNUMBER(MATCH(tbl_working_daily[[#This Row],[LookupKey]],tbl_working_sleep[LookupKey],0))</f>
        <v>1</v>
      </c>
    </row>
    <row r="1151" spans="1:24" x14ac:dyDescent="0.3">
      <c r="A1151">
        <v>6962181067</v>
      </c>
      <c r="B1151" s="1">
        <v>42501</v>
      </c>
      <c r="C1151">
        <v>6722</v>
      </c>
      <c r="D1151">
        <v>4.4400000572204599</v>
      </c>
      <c r="E1151">
        <v>4.4400000572204599</v>
      </c>
      <c r="F1151">
        <v>0</v>
      </c>
      <c r="G1151">
        <v>1.4900000095367401</v>
      </c>
      <c r="H1151">
        <v>0.31000000238418601</v>
      </c>
      <c r="I1151">
        <v>2.6500000953674299</v>
      </c>
      <c r="J1151">
        <v>0</v>
      </c>
      <c r="K1151">
        <v>24</v>
      </c>
      <c r="L1151">
        <v>7</v>
      </c>
      <c r="M1151">
        <v>199</v>
      </c>
      <c r="N1151">
        <v>709</v>
      </c>
      <c r="O1151">
        <v>1855</v>
      </c>
      <c r="P1151" t="str">
        <f>TEXT(tbl_working_daily[[#This Row],[ActivityDate]],"dddd")</f>
        <v>Wednesday</v>
      </c>
      <c r="Q1151" t="str">
        <f>TEXT(tbl_working_daily[[#This Row],[ActivityDate]],"mmmm")</f>
        <v>May</v>
      </c>
      <c r="R1151">
        <f t="shared" si="34"/>
        <v>230</v>
      </c>
      <c r="S1151">
        <f t="shared" si="35"/>
        <v>939</v>
      </c>
      <c r="T1151">
        <f>ROUND(tbl_working_daily[[#This Row],[SedentaryMinutes]]/60,2)</f>
        <v>11.82</v>
      </c>
      <c r="U1151" t="str" cm="1">
        <f t="array" ref="U115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51" t="str" cm="1">
        <f t="array" ref="V1151">_xlfn.IFS(tbl_working_daily[[#This Row],[VeryActiveMinutes]]&gt;=30,"Very Active",tbl_working_daily[[#This Row],[VeryActiveMinutes]]&gt;=15,"Moderately Active",tbl_working_daily[[#This Row],[VeryActiveMinutes]]&gt;=1,"Lightly Active",tbl_working_daily[[#This Row],[VeryActiveMinutes]]=0,"Sedentary")</f>
        <v>Moderately Active</v>
      </c>
      <c r="W1151" t="str">
        <f>tbl_working_daily[[#This Row],[Id]]&amp;"|"&amp;TEXT(tbl_working_daily[[#This Row],[ActivityDate]],"yyyy-mm-dd")</f>
        <v>6962181067|2016-05-11</v>
      </c>
      <c r="X1151" t="b">
        <f>ISNUMBER(MATCH(tbl_working_daily[[#This Row],[LookupKey]],tbl_working_sleep[LookupKey],0))</f>
        <v>1</v>
      </c>
    </row>
    <row r="1152" spans="1:24" x14ac:dyDescent="0.3">
      <c r="A1152">
        <v>6962181067</v>
      </c>
      <c r="B1152" s="1">
        <v>42502</v>
      </c>
      <c r="C1152">
        <v>3587</v>
      </c>
      <c r="D1152">
        <v>2.3699998855590798</v>
      </c>
      <c r="E1152">
        <v>2.3699998855590798</v>
      </c>
      <c r="F1152">
        <v>0</v>
      </c>
      <c r="G1152">
        <v>0</v>
      </c>
      <c r="H1152">
        <v>0.25</v>
      </c>
      <c r="I1152">
        <v>2.1099998950958301</v>
      </c>
      <c r="J1152">
        <v>0</v>
      </c>
      <c r="K1152">
        <v>0</v>
      </c>
      <c r="L1152">
        <v>8</v>
      </c>
      <c r="M1152">
        <v>105</v>
      </c>
      <c r="N1152">
        <v>127</v>
      </c>
      <c r="O1152">
        <v>928</v>
      </c>
      <c r="P1152" t="str">
        <f>TEXT(tbl_working_daily[[#This Row],[ActivityDate]],"dddd")</f>
        <v>Thursday</v>
      </c>
      <c r="Q1152" t="str">
        <f>TEXT(tbl_working_daily[[#This Row],[ActivityDate]],"mmmm")</f>
        <v>May</v>
      </c>
      <c r="R1152">
        <f t="shared" si="34"/>
        <v>113</v>
      </c>
      <c r="S1152">
        <f t="shared" si="35"/>
        <v>240</v>
      </c>
      <c r="T1152">
        <f>ROUND(tbl_working_daily[[#This Row],[SedentaryMinutes]]/60,2)</f>
        <v>2.12</v>
      </c>
      <c r="U1152" t="str" cm="1">
        <f t="array" ref="U115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52" t="str" cm="1">
        <f t="array" ref="V1152">_xlfn.IFS(tbl_working_daily[[#This Row],[VeryActiveMinutes]]&gt;=30,"Very Active",tbl_working_daily[[#This Row],[VeryActiveMinutes]]&gt;=15,"Moderately Active",tbl_working_daily[[#This Row],[VeryActiveMinutes]]&gt;=1,"Lightly Active",tbl_working_daily[[#This Row],[VeryActiveMinutes]]=0,"Sedentary")</f>
        <v>Sedentary</v>
      </c>
      <c r="W1152" t="str">
        <f>tbl_working_daily[[#This Row],[Id]]&amp;"|"&amp;TEXT(tbl_working_daily[[#This Row],[ActivityDate]],"yyyy-mm-dd")</f>
        <v>6962181067|2016-05-12</v>
      </c>
      <c r="X1152" t="b">
        <f>ISNUMBER(MATCH(tbl_working_daily[[#This Row],[LookupKey]],tbl_working_sleep[LookupKey],0))</f>
        <v>1</v>
      </c>
    </row>
    <row r="1153" spans="1:24" x14ac:dyDescent="0.3">
      <c r="A1153">
        <v>7007744171</v>
      </c>
      <c r="B1153" s="1">
        <v>42473</v>
      </c>
      <c r="C1153">
        <v>12862</v>
      </c>
      <c r="D1153">
        <v>9.6499996185302699</v>
      </c>
      <c r="E1153">
        <v>8.6000003814697301</v>
      </c>
      <c r="F1153">
        <v>4.8513069152831996</v>
      </c>
      <c r="G1153">
        <v>4.6100001335143999</v>
      </c>
      <c r="H1153">
        <v>0.56000000238418601</v>
      </c>
      <c r="I1153">
        <v>4.4800000190734899</v>
      </c>
      <c r="J1153">
        <v>0</v>
      </c>
      <c r="K1153">
        <v>56</v>
      </c>
      <c r="L1153">
        <v>22</v>
      </c>
      <c r="M1153">
        <v>261</v>
      </c>
      <c r="N1153">
        <v>1101</v>
      </c>
      <c r="O1153">
        <v>2742</v>
      </c>
      <c r="P1153" t="str">
        <f>TEXT(tbl_working_daily[[#This Row],[ActivityDate]],"dddd")</f>
        <v>Wednesday</v>
      </c>
      <c r="Q1153" t="str">
        <f>TEXT(tbl_working_daily[[#This Row],[ActivityDate]],"mmmm")</f>
        <v>April</v>
      </c>
      <c r="R1153">
        <f t="shared" si="34"/>
        <v>339</v>
      </c>
      <c r="S1153">
        <f t="shared" si="35"/>
        <v>1440</v>
      </c>
      <c r="T1153">
        <f>ROUND(tbl_working_daily[[#This Row],[SedentaryMinutes]]/60,2)</f>
        <v>18.350000000000001</v>
      </c>
      <c r="U1153" t="str" cm="1">
        <f t="array" ref="U115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53" t="str" cm="1">
        <f t="array" ref="V1153">_xlfn.IFS(tbl_working_daily[[#This Row],[VeryActiveMinutes]]&gt;=30,"Very Active",tbl_working_daily[[#This Row],[VeryActiveMinutes]]&gt;=15,"Moderately Active",tbl_working_daily[[#This Row],[VeryActiveMinutes]]&gt;=1,"Lightly Active",tbl_working_daily[[#This Row],[VeryActiveMinutes]]=0,"Sedentary")</f>
        <v>Very Active</v>
      </c>
      <c r="W1153" t="str">
        <f>tbl_working_daily[[#This Row],[Id]]&amp;"|"&amp;TEXT(tbl_working_daily[[#This Row],[ActivityDate]],"yyyy-mm-dd")</f>
        <v>7007744171|2016-04-13</v>
      </c>
      <c r="X1153" t="b">
        <f>ISNUMBER(MATCH(tbl_working_daily[[#This Row],[LookupKey]],tbl_working_sleep[LookupKey],0))</f>
        <v>0</v>
      </c>
    </row>
    <row r="1154" spans="1:24" x14ac:dyDescent="0.3">
      <c r="A1154">
        <v>7007744171</v>
      </c>
      <c r="B1154" s="1">
        <v>42474</v>
      </c>
      <c r="C1154">
        <v>11179</v>
      </c>
      <c r="D1154">
        <v>8.2399997711181605</v>
      </c>
      <c r="E1154">
        <v>7.4800000190734899</v>
      </c>
      <c r="F1154">
        <v>3.2854149341583301</v>
      </c>
      <c r="G1154">
        <v>2.9500000476837198</v>
      </c>
      <c r="H1154">
        <v>0.34000000357627902</v>
      </c>
      <c r="I1154">
        <v>4.96000003814697</v>
      </c>
      <c r="J1154">
        <v>0</v>
      </c>
      <c r="K1154">
        <v>34</v>
      </c>
      <c r="L1154">
        <v>6</v>
      </c>
      <c r="M1154">
        <v>304</v>
      </c>
      <c r="N1154">
        <v>1096</v>
      </c>
      <c r="O1154">
        <v>2668</v>
      </c>
      <c r="P1154" t="str">
        <f>TEXT(tbl_working_daily[[#This Row],[ActivityDate]],"dddd")</f>
        <v>Thursday</v>
      </c>
      <c r="Q1154" t="str">
        <f>TEXT(tbl_working_daily[[#This Row],[ActivityDate]],"mmmm")</f>
        <v>April</v>
      </c>
      <c r="R1154">
        <f t="shared" ref="R1154:R1217" si="36">K1154+L1154+M1154</f>
        <v>344</v>
      </c>
      <c r="S1154">
        <f t="shared" ref="S1154:S1217" si="37">R1154+N1154</f>
        <v>1440</v>
      </c>
      <c r="T1154">
        <f>ROUND(tbl_working_daily[[#This Row],[SedentaryMinutes]]/60,2)</f>
        <v>18.27</v>
      </c>
      <c r="U1154" t="str" cm="1">
        <f t="array" ref="U115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54" t="str" cm="1">
        <f t="array" ref="V1154">_xlfn.IFS(tbl_working_daily[[#This Row],[VeryActiveMinutes]]&gt;=30,"Very Active",tbl_working_daily[[#This Row],[VeryActiveMinutes]]&gt;=15,"Moderately Active",tbl_working_daily[[#This Row],[VeryActiveMinutes]]&gt;=1,"Lightly Active",tbl_working_daily[[#This Row],[VeryActiveMinutes]]=0,"Sedentary")</f>
        <v>Very Active</v>
      </c>
      <c r="W1154" t="str">
        <f>tbl_working_daily[[#This Row],[Id]]&amp;"|"&amp;TEXT(tbl_working_daily[[#This Row],[ActivityDate]],"yyyy-mm-dd")</f>
        <v>7007744171|2016-04-14</v>
      </c>
      <c r="X1154" t="b">
        <f>ISNUMBER(MATCH(tbl_working_daily[[#This Row],[LookupKey]],tbl_working_sleep[LookupKey],0))</f>
        <v>0</v>
      </c>
    </row>
    <row r="1155" spans="1:24" x14ac:dyDescent="0.3">
      <c r="A1155">
        <v>7007744171</v>
      </c>
      <c r="B1155" s="1">
        <v>42475</v>
      </c>
      <c r="C1155">
        <v>5273</v>
      </c>
      <c r="D1155">
        <v>3.5299999713897701</v>
      </c>
      <c r="E1155">
        <v>3.5299999713897701</v>
      </c>
      <c r="F1155">
        <v>0</v>
      </c>
      <c r="G1155">
        <v>0</v>
      </c>
      <c r="H1155">
        <v>0</v>
      </c>
      <c r="I1155">
        <v>3.5299999713897701</v>
      </c>
      <c r="J1155">
        <v>0</v>
      </c>
      <c r="K1155">
        <v>0</v>
      </c>
      <c r="L1155">
        <v>0</v>
      </c>
      <c r="M1155">
        <v>202</v>
      </c>
      <c r="N1155">
        <v>1238</v>
      </c>
      <c r="O1155">
        <v>2098</v>
      </c>
      <c r="P1155" t="str">
        <f>TEXT(tbl_working_daily[[#This Row],[ActivityDate]],"dddd")</f>
        <v>Friday</v>
      </c>
      <c r="Q1155" t="str">
        <f>TEXT(tbl_working_daily[[#This Row],[ActivityDate]],"mmmm")</f>
        <v>April</v>
      </c>
      <c r="R1155">
        <f t="shared" si="36"/>
        <v>202</v>
      </c>
      <c r="S1155">
        <f t="shared" si="37"/>
        <v>1440</v>
      </c>
      <c r="T1155">
        <f>ROUND(tbl_working_daily[[#This Row],[SedentaryMinutes]]/60,2)</f>
        <v>20.63</v>
      </c>
      <c r="U1155" t="str" cm="1">
        <f t="array" ref="U115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55" t="str" cm="1">
        <f t="array" ref="V1155">_xlfn.IFS(tbl_working_daily[[#This Row],[VeryActiveMinutes]]&gt;=30,"Very Active",tbl_working_daily[[#This Row],[VeryActiveMinutes]]&gt;=15,"Moderately Active",tbl_working_daily[[#This Row],[VeryActiveMinutes]]&gt;=1,"Lightly Active",tbl_working_daily[[#This Row],[VeryActiveMinutes]]=0,"Sedentary")</f>
        <v>Sedentary</v>
      </c>
      <c r="W1155" t="str">
        <f>tbl_working_daily[[#This Row],[Id]]&amp;"|"&amp;TEXT(tbl_working_daily[[#This Row],[ActivityDate]],"yyyy-mm-dd")</f>
        <v>7007744171|2016-04-15</v>
      </c>
      <c r="X1155" t="b">
        <f>ISNUMBER(MATCH(tbl_working_daily[[#This Row],[LookupKey]],tbl_working_sleep[LookupKey],0))</f>
        <v>0</v>
      </c>
    </row>
    <row r="1156" spans="1:24" x14ac:dyDescent="0.3">
      <c r="A1156">
        <v>7007744171</v>
      </c>
      <c r="B1156" s="1">
        <v>42476</v>
      </c>
      <c r="C1156">
        <v>4631</v>
      </c>
      <c r="D1156">
        <v>3.0999999046325701</v>
      </c>
      <c r="E1156">
        <v>3.0999999046325701</v>
      </c>
      <c r="F1156">
        <v>0</v>
      </c>
      <c r="G1156">
        <v>0</v>
      </c>
      <c r="H1156">
        <v>0</v>
      </c>
      <c r="I1156">
        <v>3.0999999046325701</v>
      </c>
      <c r="J1156">
        <v>0</v>
      </c>
      <c r="K1156">
        <v>0</v>
      </c>
      <c r="L1156">
        <v>0</v>
      </c>
      <c r="M1156">
        <v>203</v>
      </c>
      <c r="N1156">
        <v>1155</v>
      </c>
      <c r="O1156">
        <v>2076</v>
      </c>
      <c r="P1156" t="str">
        <f>TEXT(tbl_working_daily[[#This Row],[ActivityDate]],"dddd")</f>
        <v>Saturday</v>
      </c>
      <c r="Q1156" t="str">
        <f>TEXT(tbl_working_daily[[#This Row],[ActivityDate]],"mmmm")</f>
        <v>April</v>
      </c>
      <c r="R1156">
        <f t="shared" si="36"/>
        <v>203</v>
      </c>
      <c r="S1156">
        <f t="shared" si="37"/>
        <v>1358</v>
      </c>
      <c r="T1156">
        <f>ROUND(tbl_working_daily[[#This Row],[SedentaryMinutes]]/60,2)</f>
        <v>19.25</v>
      </c>
      <c r="U1156" t="str" cm="1">
        <f t="array" ref="U115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56" t="str" cm="1">
        <f t="array" ref="V1156">_xlfn.IFS(tbl_working_daily[[#This Row],[VeryActiveMinutes]]&gt;=30,"Very Active",tbl_working_daily[[#This Row],[VeryActiveMinutes]]&gt;=15,"Moderately Active",tbl_working_daily[[#This Row],[VeryActiveMinutes]]&gt;=1,"Lightly Active",tbl_working_daily[[#This Row],[VeryActiveMinutes]]=0,"Sedentary")</f>
        <v>Sedentary</v>
      </c>
      <c r="W1156" t="str">
        <f>tbl_working_daily[[#This Row],[Id]]&amp;"|"&amp;TEXT(tbl_working_daily[[#This Row],[ActivityDate]],"yyyy-mm-dd")</f>
        <v>7007744171|2016-04-16</v>
      </c>
      <c r="X1156" t="b">
        <f>ISNUMBER(MATCH(tbl_working_daily[[#This Row],[LookupKey]],tbl_working_sleep[LookupKey],0))</f>
        <v>1</v>
      </c>
    </row>
    <row r="1157" spans="1:24" x14ac:dyDescent="0.3">
      <c r="A1157">
        <v>7007744171</v>
      </c>
      <c r="B1157" s="1">
        <v>42477</v>
      </c>
      <c r="C1157">
        <v>8059</v>
      </c>
      <c r="D1157">
        <v>5.3899998664856001</v>
      </c>
      <c r="E1157">
        <v>5.3899998664856001</v>
      </c>
      <c r="F1157">
        <v>0</v>
      </c>
      <c r="G1157">
        <v>0</v>
      </c>
      <c r="H1157">
        <v>0</v>
      </c>
      <c r="I1157">
        <v>5.3899998664856001</v>
      </c>
      <c r="J1157">
        <v>0</v>
      </c>
      <c r="K1157">
        <v>0</v>
      </c>
      <c r="L1157">
        <v>0</v>
      </c>
      <c r="M1157">
        <v>305</v>
      </c>
      <c r="N1157">
        <v>1135</v>
      </c>
      <c r="O1157">
        <v>2383</v>
      </c>
      <c r="P1157" t="str">
        <f>TEXT(tbl_working_daily[[#This Row],[ActivityDate]],"dddd")</f>
        <v>Sunday</v>
      </c>
      <c r="Q1157" t="str">
        <f>TEXT(tbl_working_daily[[#This Row],[ActivityDate]],"mmmm")</f>
        <v>April</v>
      </c>
      <c r="R1157">
        <f t="shared" si="36"/>
        <v>305</v>
      </c>
      <c r="S1157">
        <f t="shared" si="37"/>
        <v>1440</v>
      </c>
      <c r="T1157">
        <f>ROUND(tbl_working_daily[[#This Row],[SedentaryMinutes]]/60,2)</f>
        <v>18.920000000000002</v>
      </c>
      <c r="U1157" t="str" cm="1">
        <f t="array" ref="U115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57" t="str" cm="1">
        <f t="array" ref="V1157">_xlfn.IFS(tbl_working_daily[[#This Row],[VeryActiveMinutes]]&gt;=30,"Very Active",tbl_working_daily[[#This Row],[VeryActiveMinutes]]&gt;=15,"Moderately Active",tbl_working_daily[[#This Row],[VeryActiveMinutes]]&gt;=1,"Lightly Active",tbl_working_daily[[#This Row],[VeryActiveMinutes]]=0,"Sedentary")</f>
        <v>Sedentary</v>
      </c>
      <c r="W1157" t="str">
        <f>tbl_working_daily[[#This Row],[Id]]&amp;"|"&amp;TEXT(tbl_working_daily[[#This Row],[ActivityDate]],"yyyy-mm-dd")</f>
        <v>7007744171|2016-04-17</v>
      </c>
      <c r="X1157" t="b">
        <f>ISNUMBER(MATCH(tbl_working_daily[[#This Row],[LookupKey]],tbl_working_sleep[LookupKey],0))</f>
        <v>0</v>
      </c>
    </row>
    <row r="1158" spans="1:24" x14ac:dyDescent="0.3">
      <c r="A1158">
        <v>7007744171</v>
      </c>
      <c r="B1158" s="1">
        <v>42478</v>
      </c>
      <c r="C1158">
        <v>14816</v>
      </c>
      <c r="D1158">
        <v>10.9799995422363</v>
      </c>
      <c r="E1158">
        <v>9.9099998474121094</v>
      </c>
      <c r="F1158">
        <v>4.9305500984191903</v>
      </c>
      <c r="G1158">
        <v>3.78999996185303</v>
      </c>
      <c r="H1158">
        <v>2.1199998855590798</v>
      </c>
      <c r="I1158">
        <v>5.0500001907348597</v>
      </c>
      <c r="J1158">
        <v>1.9999999552965199E-2</v>
      </c>
      <c r="K1158">
        <v>48</v>
      </c>
      <c r="L1158">
        <v>31</v>
      </c>
      <c r="M1158">
        <v>284</v>
      </c>
      <c r="N1158">
        <v>1077</v>
      </c>
      <c r="O1158">
        <v>2832</v>
      </c>
      <c r="P1158" t="str">
        <f>TEXT(tbl_working_daily[[#This Row],[ActivityDate]],"dddd")</f>
        <v>Monday</v>
      </c>
      <c r="Q1158" t="str">
        <f>TEXT(tbl_working_daily[[#This Row],[ActivityDate]],"mmmm")</f>
        <v>April</v>
      </c>
      <c r="R1158">
        <f t="shared" si="36"/>
        <v>363</v>
      </c>
      <c r="S1158">
        <f t="shared" si="37"/>
        <v>1440</v>
      </c>
      <c r="T1158">
        <f>ROUND(tbl_working_daily[[#This Row],[SedentaryMinutes]]/60,2)</f>
        <v>17.95</v>
      </c>
      <c r="U1158" t="str" cm="1">
        <f t="array" ref="U115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58" t="str" cm="1">
        <f t="array" ref="V1158">_xlfn.IFS(tbl_working_daily[[#This Row],[VeryActiveMinutes]]&gt;=30,"Very Active",tbl_working_daily[[#This Row],[VeryActiveMinutes]]&gt;=15,"Moderately Active",tbl_working_daily[[#This Row],[VeryActiveMinutes]]&gt;=1,"Lightly Active",tbl_working_daily[[#This Row],[VeryActiveMinutes]]=0,"Sedentary")</f>
        <v>Very Active</v>
      </c>
      <c r="W1158" t="str">
        <f>tbl_working_daily[[#This Row],[Id]]&amp;"|"&amp;TEXT(tbl_working_daily[[#This Row],[ActivityDate]],"yyyy-mm-dd")</f>
        <v>7007744171|2016-04-18</v>
      </c>
      <c r="X1158" t="b">
        <f>ISNUMBER(MATCH(tbl_working_daily[[#This Row],[LookupKey]],tbl_working_sleep[LookupKey],0))</f>
        <v>0</v>
      </c>
    </row>
    <row r="1159" spans="1:24" x14ac:dyDescent="0.3">
      <c r="A1159">
        <v>7007744171</v>
      </c>
      <c r="B1159" s="1">
        <v>42479</v>
      </c>
      <c r="C1159">
        <v>14194</v>
      </c>
      <c r="D1159">
        <v>10.4799995422363</v>
      </c>
      <c r="E1159">
        <v>9.5</v>
      </c>
      <c r="F1159">
        <v>4.9421420097351101</v>
      </c>
      <c r="G1159">
        <v>4.4099998474121103</v>
      </c>
      <c r="H1159">
        <v>0.75999999046325695</v>
      </c>
      <c r="I1159">
        <v>5.3099999427795401</v>
      </c>
      <c r="J1159">
        <v>0</v>
      </c>
      <c r="K1159">
        <v>53</v>
      </c>
      <c r="L1159">
        <v>17</v>
      </c>
      <c r="M1159">
        <v>304</v>
      </c>
      <c r="N1159">
        <v>1066</v>
      </c>
      <c r="O1159">
        <v>2812</v>
      </c>
      <c r="P1159" t="str">
        <f>TEXT(tbl_working_daily[[#This Row],[ActivityDate]],"dddd")</f>
        <v>Tuesday</v>
      </c>
      <c r="Q1159" t="str">
        <f>TEXT(tbl_working_daily[[#This Row],[ActivityDate]],"mmmm")</f>
        <v>April</v>
      </c>
      <c r="R1159">
        <f t="shared" si="36"/>
        <v>374</v>
      </c>
      <c r="S1159">
        <f t="shared" si="37"/>
        <v>1440</v>
      </c>
      <c r="T1159">
        <f>ROUND(tbl_working_daily[[#This Row],[SedentaryMinutes]]/60,2)</f>
        <v>17.77</v>
      </c>
      <c r="U1159" t="str" cm="1">
        <f t="array" ref="U115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59" t="str" cm="1">
        <f t="array" ref="V1159">_xlfn.IFS(tbl_working_daily[[#This Row],[VeryActiveMinutes]]&gt;=30,"Very Active",tbl_working_daily[[#This Row],[VeryActiveMinutes]]&gt;=15,"Moderately Active",tbl_working_daily[[#This Row],[VeryActiveMinutes]]&gt;=1,"Lightly Active",tbl_working_daily[[#This Row],[VeryActiveMinutes]]=0,"Sedentary")</f>
        <v>Very Active</v>
      </c>
      <c r="W1159" t="str">
        <f>tbl_working_daily[[#This Row],[Id]]&amp;"|"&amp;TEXT(tbl_working_daily[[#This Row],[ActivityDate]],"yyyy-mm-dd")</f>
        <v>7007744171|2016-04-19</v>
      </c>
      <c r="X1159" t="b">
        <f>ISNUMBER(MATCH(tbl_working_daily[[#This Row],[LookupKey]],tbl_working_sleep[LookupKey],0))</f>
        <v>0</v>
      </c>
    </row>
    <row r="1160" spans="1:24" x14ac:dyDescent="0.3">
      <c r="A1160">
        <v>7007744171</v>
      </c>
      <c r="B1160" s="1">
        <v>42480</v>
      </c>
      <c r="C1160">
        <v>15566</v>
      </c>
      <c r="D1160">
        <v>11.310000419616699</v>
      </c>
      <c r="E1160">
        <v>10.4099998474121</v>
      </c>
      <c r="F1160">
        <v>4.9248409271240199</v>
      </c>
      <c r="G1160">
        <v>4.78999996185303</v>
      </c>
      <c r="H1160">
        <v>0.67000001668930098</v>
      </c>
      <c r="I1160">
        <v>5.8600001335143999</v>
      </c>
      <c r="J1160">
        <v>0</v>
      </c>
      <c r="K1160">
        <v>60</v>
      </c>
      <c r="L1160">
        <v>33</v>
      </c>
      <c r="M1160">
        <v>347</v>
      </c>
      <c r="N1160">
        <v>1000</v>
      </c>
      <c r="O1160">
        <v>3096</v>
      </c>
      <c r="P1160" t="str">
        <f>TEXT(tbl_working_daily[[#This Row],[ActivityDate]],"dddd")</f>
        <v>Wednesday</v>
      </c>
      <c r="Q1160" t="str">
        <f>TEXT(tbl_working_daily[[#This Row],[ActivityDate]],"mmmm")</f>
        <v>April</v>
      </c>
      <c r="R1160">
        <f t="shared" si="36"/>
        <v>440</v>
      </c>
      <c r="S1160">
        <f t="shared" si="37"/>
        <v>1440</v>
      </c>
      <c r="T1160">
        <f>ROUND(tbl_working_daily[[#This Row],[SedentaryMinutes]]/60,2)</f>
        <v>16.670000000000002</v>
      </c>
      <c r="U1160" t="str" cm="1">
        <f t="array" ref="U116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0" t="str" cm="1">
        <f t="array" ref="V1160">_xlfn.IFS(tbl_working_daily[[#This Row],[VeryActiveMinutes]]&gt;=30,"Very Active",tbl_working_daily[[#This Row],[VeryActiveMinutes]]&gt;=15,"Moderately Active",tbl_working_daily[[#This Row],[VeryActiveMinutes]]&gt;=1,"Lightly Active",tbl_working_daily[[#This Row],[VeryActiveMinutes]]=0,"Sedentary")</f>
        <v>Very Active</v>
      </c>
      <c r="W1160" t="str">
        <f>tbl_working_daily[[#This Row],[Id]]&amp;"|"&amp;TEXT(tbl_working_daily[[#This Row],[ActivityDate]],"yyyy-mm-dd")</f>
        <v>7007744171|2016-04-20</v>
      </c>
      <c r="X1160" t="b">
        <f>ISNUMBER(MATCH(tbl_working_daily[[#This Row],[LookupKey]],tbl_working_sleep[LookupKey],0))</f>
        <v>0</v>
      </c>
    </row>
    <row r="1161" spans="1:24" x14ac:dyDescent="0.3">
      <c r="A1161">
        <v>7007744171</v>
      </c>
      <c r="B1161" s="1">
        <v>42481</v>
      </c>
      <c r="C1161">
        <v>13744</v>
      </c>
      <c r="D1161">
        <v>9.1899995803833008</v>
      </c>
      <c r="E1161">
        <v>9.1899995803833008</v>
      </c>
      <c r="F1161">
        <v>0</v>
      </c>
      <c r="G1161">
        <v>2.1500000953674299</v>
      </c>
      <c r="H1161">
        <v>1.87000000476837</v>
      </c>
      <c r="I1161">
        <v>5.1700000762939498</v>
      </c>
      <c r="J1161">
        <v>0</v>
      </c>
      <c r="K1161">
        <v>30</v>
      </c>
      <c r="L1161">
        <v>34</v>
      </c>
      <c r="M1161">
        <v>327</v>
      </c>
      <c r="N1161">
        <v>1049</v>
      </c>
      <c r="O1161">
        <v>2763</v>
      </c>
      <c r="P1161" t="str">
        <f>TEXT(tbl_working_daily[[#This Row],[ActivityDate]],"dddd")</f>
        <v>Thursday</v>
      </c>
      <c r="Q1161" t="str">
        <f>TEXT(tbl_working_daily[[#This Row],[ActivityDate]],"mmmm")</f>
        <v>April</v>
      </c>
      <c r="R1161">
        <f t="shared" si="36"/>
        <v>391</v>
      </c>
      <c r="S1161">
        <f t="shared" si="37"/>
        <v>1440</v>
      </c>
      <c r="T1161">
        <f>ROUND(tbl_working_daily[[#This Row],[SedentaryMinutes]]/60,2)</f>
        <v>17.48</v>
      </c>
      <c r="U1161" t="str" cm="1">
        <f t="array" ref="U116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1" t="str" cm="1">
        <f t="array" ref="V1161">_xlfn.IFS(tbl_working_daily[[#This Row],[VeryActiveMinutes]]&gt;=30,"Very Active",tbl_working_daily[[#This Row],[VeryActiveMinutes]]&gt;=15,"Moderately Active",tbl_working_daily[[#This Row],[VeryActiveMinutes]]&gt;=1,"Lightly Active",tbl_working_daily[[#This Row],[VeryActiveMinutes]]=0,"Sedentary")</f>
        <v>Very Active</v>
      </c>
      <c r="W1161" t="str">
        <f>tbl_working_daily[[#This Row],[Id]]&amp;"|"&amp;TEXT(tbl_working_daily[[#This Row],[ActivityDate]],"yyyy-mm-dd")</f>
        <v>7007744171|2016-04-21</v>
      </c>
      <c r="X1161" t="b">
        <f>ISNUMBER(MATCH(tbl_working_daily[[#This Row],[LookupKey]],tbl_working_sleep[LookupKey],0))</f>
        <v>0</v>
      </c>
    </row>
    <row r="1162" spans="1:24" x14ac:dyDescent="0.3">
      <c r="A1162">
        <v>7007744171</v>
      </c>
      <c r="B1162" s="1">
        <v>42482</v>
      </c>
      <c r="C1162">
        <v>15299</v>
      </c>
      <c r="D1162">
        <v>10.2399997711182</v>
      </c>
      <c r="E1162">
        <v>10.2399997711182</v>
      </c>
      <c r="F1162">
        <v>0</v>
      </c>
      <c r="G1162">
        <v>4.0999999046325701</v>
      </c>
      <c r="H1162">
        <v>1.7599999904632599</v>
      </c>
      <c r="I1162">
        <v>4.3699998855590803</v>
      </c>
      <c r="J1162">
        <v>0</v>
      </c>
      <c r="K1162">
        <v>64</v>
      </c>
      <c r="L1162">
        <v>50</v>
      </c>
      <c r="M1162">
        <v>261</v>
      </c>
      <c r="N1162">
        <v>1065</v>
      </c>
      <c r="O1162">
        <v>2889</v>
      </c>
      <c r="P1162" t="str">
        <f>TEXT(tbl_working_daily[[#This Row],[ActivityDate]],"dddd")</f>
        <v>Friday</v>
      </c>
      <c r="Q1162" t="str">
        <f>TEXT(tbl_working_daily[[#This Row],[ActivityDate]],"mmmm")</f>
        <v>April</v>
      </c>
      <c r="R1162">
        <f t="shared" si="36"/>
        <v>375</v>
      </c>
      <c r="S1162">
        <f t="shared" si="37"/>
        <v>1440</v>
      </c>
      <c r="T1162">
        <f>ROUND(tbl_working_daily[[#This Row],[SedentaryMinutes]]/60,2)</f>
        <v>17.75</v>
      </c>
      <c r="U1162" t="str" cm="1">
        <f t="array" ref="U116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2" t="str" cm="1">
        <f t="array" ref="V1162">_xlfn.IFS(tbl_working_daily[[#This Row],[VeryActiveMinutes]]&gt;=30,"Very Active",tbl_working_daily[[#This Row],[VeryActiveMinutes]]&gt;=15,"Moderately Active",tbl_working_daily[[#This Row],[VeryActiveMinutes]]&gt;=1,"Lightly Active",tbl_working_daily[[#This Row],[VeryActiveMinutes]]=0,"Sedentary")</f>
        <v>Very Active</v>
      </c>
      <c r="W1162" t="str">
        <f>tbl_working_daily[[#This Row],[Id]]&amp;"|"&amp;TEXT(tbl_working_daily[[#This Row],[ActivityDate]],"yyyy-mm-dd")</f>
        <v>7007744171|2016-04-22</v>
      </c>
      <c r="X1162" t="b">
        <f>ISNUMBER(MATCH(tbl_working_daily[[#This Row],[LookupKey]],tbl_working_sleep[LookupKey],0))</f>
        <v>0</v>
      </c>
    </row>
    <row r="1163" spans="1:24" x14ac:dyDescent="0.3">
      <c r="A1163">
        <v>7007744171</v>
      </c>
      <c r="B1163" s="1">
        <v>42483</v>
      </c>
      <c r="C1163">
        <v>8093</v>
      </c>
      <c r="D1163">
        <v>5.4099998474121103</v>
      </c>
      <c r="E1163">
        <v>5.4099998474121103</v>
      </c>
      <c r="F1163">
        <v>0</v>
      </c>
      <c r="G1163">
        <v>0.129999995231628</v>
      </c>
      <c r="H1163">
        <v>1.12999999523163</v>
      </c>
      <c r="I1163">
        <v>4.1500000953674299</v>
      </c>
      <c r="J1163">
        <v>0</v>
      </c>
      <c r="K1163">
        <v>2</v>
      </c>
      <c r="L1163">
        <v>25</v>
      </c>
      <c r="M1163">
        <v>223</v>
      </c>
      <c r="N1163">
        <v>1190</v>
      </c>
      <c r="O1163">
        <v>2284</v>
      </c>
      <c r="P1163" t="str">
        <f>TEXT(tbl_working_daily[[#This Row],[ActivityDate]],"dddd")</f>
        <v>Saturday</v>
      </c>
      <c r="Q1163" t="str">
        <f>TEXT(tbl_working_daily[[#This Row],[ActivityDate]],"mmmm")</f>
        <v>April</v>
      </c>
      <c r="R1163">
        <f t="shared" si="36"/>
        <v>250</v>
      </c>
      <c r="S1163">
        <f t="shared" si="37"/>
        <v>1440</v>
      </c>
      <c r="T1163">
        <f>ROUND(tbl_working_daily[[#This Row],[SedentaryMinutes]]/60,2)</f>
        <v>19.829999999999998</v>
      </c>
      <c r="U1163" t="str" cm="1">
        <f t="array" ref="U116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63" t="str" cm="1">
        <f t="array" ref="V1163">_xlfn.IFS(tbl_working_daily[[#This Row],[VeryActiveMinutes]]&gt;=30,"Very Active",tbl_working_daily[[#This Row],[VeryActiveMinutes]]&gt;=15,"Moderately Active",tbl_working_daily[[#This Row],[VeryActiveMinutes]]&gt;=1,"Lightly Active",tbl_working_daily[[#This Row],[VeryActiveMinutes]]=0,"Sedentary")</f>
        <v>Lightly Active</v>
      </c>
      <c r="W1163" t="str">
        <f>tbl_working_daily[[#This Row],[Id]]&amp;"|"&amp;TEXT(tbl_working_daily[[#This Row],[ActivityDate]],"yyyy-mm-dd")</f>
        <v>7007744171|2016-04-23</v>
      </c>
      <c r="X1163" t="b">
        <f>ISNUMBER(MATCH(tbl_working_daily[[#This Row],[LookupKey]],tbl_working_sleep[LookupKey],0))</f>
        <v>0</v>
      </c>
    </row>
    <row r="1164" spans="1:24" x14ac:dyDescent="0.3">
      <c r="A1164">
        <v>7007744171</v>
      </c>
      <c r="B1164" s="1">
        <v>42484</v>
      </c>
      <c r="C1164">
        <v>11085</v>
      </c>
      <c r="D1164">
        <v>7.4200000762939498</v>
      </c>
      <c r="E1164">
        <v>7.4200000762939498</v>
      </c>
      <c r="F1164">
        <v>0</v>
      </c>
      <c r="G1164">
        <v>0</v>
      </c>
      <c r="H1164">
        <v>0</v>
      </c>
      <c r="I1164">
        <v>7.4200000762939498</v>
      </c>
      <c r="J1164">
        <v>0</v>
      </c>
      <c r="K1164">
        <v>0</v>
      </c>
      <c r="L1164">
        <v>0</v>
      </c>
      <c r="M1164">
        <v>419</v>
      </c>
      <c r="N1164">
        <v>1021</v>
      </c>
      <c r="O1164">
        <v>2667</v>
      </c>
      <c r="P1164" t="str">
        <f>TEXT(tbl_working_daily[[#This Row],[ActivityDate]],"dddd")</f>
        <v>Sunday</v>
      </c>
      <c r="Q1164" t="str">
        <f>TEXT(tbl_working_daily[[#This Row],[ActivityDate]],"mmmm")</f>
        <v>April</v>
      </c>
      <c r="R1164">
        <f t="shared" si="36"/>
        <v>419</v>
      </c>
      <c r="S1164">
        <f t="shared" si="37"/>
        <v>1440</v>
      </c>
      <c r="T1164">
        <f>ROUND(tbl_working_daily[[#This Row],[SedentaryMinutes]]/60,2)</f>
        <v>17.02</v>
      </c>
      <c r="U1164" t="str" cm="1">
        <f t="array" ref="U116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64" t="str" cm="1">
        <f t="array" ref="V1164">_xlfn.IFS(tbl_working_daily[[#This Row],[VeryActiveMinutes]]&gt;=30,"Very Active",tbl_working_daily[[#This Row],[VeryActiveMinutes]]&gt;=15,"Moderately Active",tbl_working_daily[[#This Row],[VeryActiveMinutes]]&gt;=1,"Lightly Active",tbl_working_daily[[#This Row],[VeryActiveMinutes]]=0,"Sedentary")</f>
        <v>Sedentary</v>
      </c>
      <c r="W1164" t="str">
        <f>tbl_working_daily[[#This Row],[Id]]&amp;"|"&amp;TEXT(tbl_working_daily[[#This Row],[ActivityDate]],"yyyy-mm-dd")</f>
        <v>7007744171|2016-04-24</v>
      </c>
      <c r="X1164" t="b">
        <f>ISNUMBER(MATCH(tbl_working_daily[[#This Row],[LookupKey]],tbl_working_sleep[LookupKey],0))</f>
        <v>0</v>
      </c>
    </row>
    <row r="1165" spans="1:24" x14ac:dyDescent="0.3">
      <c r="A1165">
        <v>7007744171</v>
      </c>
      <c r="B1165" s="1">
        <v>42485</v>
      </c>
      <c r="C1165">
        <v>18229</v>
      </c>
      <c r="D1165">
        <v>13.3400001525879</v>
      </c>
      <c r="E1165">
        <v>12.199999809265099</v>
      </c>
      <c r="F1165">
        <v>4.8617920875549299</v>
      </c>
      <c r="G1165">
        <v>4.3099999427795401</v>
      </c>
      <c r="H1165">
        <v>1.37000000476837</v>
      </c>
      <c r="I1165">
        <v>7.6700000762939498</v>
      </c>
      <c r="J1165">
        <v>0</v>
      </c>
      <c r="K1165">
        <v>51</v>
      </c>
      <c r="L1165">
        <v>24</v>
      </c>
      <c r="M1165">
        <v>379</v>
      </c>
      <c r="N1165">
        <v>986</v>
      </c>
      <c r="O1165">
        <v>3055</v>
      </c>
      <c r="P1165" t="str">
        <f>TEXT(tbl_working_daily[[#This Row],[ActivityDate]],"dddd")</f>
        <v>Monday</v>
      </c>
      <c r="Q1165" t="str">
        <f>TEXT(tbl_working_daily[[#This Row],[ActivityDate]],"mmmm")</f>
        <v>April</v>
      </c>
      <c r="R1165">
        <f t="shared" si="36"/>
        <v>454</v>
      </c>
      <c r="S1165">
        <f t="shared" si="37"/>
        <v>1440</v>
      </c>
      <c r="T1165">
        <f>ROUND(tbl_working_daily[[#This Row],[SedentaryMinutes]]/60,2)</f>
        <v>16.43</v>
      </c>
      <c r="U1165" t="str" cm="1">
        <f t="array" ref="U116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5" t="str" cm="1">
        <f t="array" ref="V1165">_xlfn.IFS(tbl_working_daily[[#This Row],[VeryActiveMinutes]]&gt;=30,"Very Active",tbl_working_daily[[#This Row],[VeryActiveMinutes]]&gt;=15,"Moderately Active",tbl_working_daily[[#This Row],[VeryActiveMinutes]]&gt;=1,"Lightly Active",tbl_working_daily[[#This Row],[VeryActiveMinutes]]=0,"Sedentary")</f>
        <v>Very Active</v>
      </c>
      <c r="W1165" t="str">
        <f>tbl_working_daily[[#This Row],[Id]]&amp;"|"&amp;TEXT(tbl_working_daily[[#This Row],[ActivityDate]],"yyyy-mm-dd")</f>
        <v>7007744171|2016-04-25</v>
      </c>
      <c r="X1165" t="b">
        <f>ISNUMBER(MATCH(tbl_working_daily[[#This Row],[LookupKey]],tbl_working_sleep[LookupKey],0))</f>
        <v>0</v>
      </c>
    </row>
    <row r="1166" spans="1:24" x14ac:dyDescent="0.3">
      <c r="A1166">
        <v>7007744171</v>
      </c>
      <c r="B1166" s="1">
        <v>42486</v>
      </c>
      <c r="C1166">
        <v>15090</v>
      </c>
      <c r="D1166">
        <v>10.1000003814697</v>
      </c>
      <c r="E1166">
        <v>10.1000003814697</v>
      </c>
      <c r="F1166">
        <v>0</v>
      </c>
      <c r="G1166">
        <v>0.93000000715255704</v>
      </c>
      <c r="H1166">
        <v>0.93999999761581399</v>
      </c>
      <c r="I1166">
        <v>8.2299995422363299</v>
      </c>
      <c r="J1166">
        <v>0</v>
      </c>
      <c r="K1166">
        <v>16</v>
      </c>
      <c r="L1166">
        <v>22</v>
      </c>
      <c r="M1166">
        <v>424</v>
      </c>
      <c r="N1166">
        <v>978</v>
      </c>
      <c r="O1166">
        <v>2939</v>
      </c>
      <c r="P1166" t="str">
        <f>TEXT(tbl_working_daily[[#This Row],[ActivityDate]],"dddd")</f>
        <v>Tuesday</v>
      </c>
      <c r="Q1166" t="str">
        <f>TEXT(tbl_working_daily[[#This Row],[ActivityDate]],"mmmm")</f>
        <v>April</v>
      </c>
      <c r="R1166">
        <f t="shared" si="36"/>
        <v>462</v>
      </c>
      <c r="S1166">
        <f t="shared" si="37"/>
        <v>1440</v>
      </c>
      <c r="T1166">
        <f>ROUND(tbl_working_daily[[#This Row],[SedentaryMinutes]]/60,2)</f>
        <v>16.3</v>
      </c>
      <c r="U1166" t="str" cm="1">
        <f t="array" ref="U116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6" t="str" cm="1">
        <f t="array" ref="V1166">_xlfn.IFS(tbl_working_daily[[#This Row],[VeryActiveMinutes]]&gt;=30,"Very Active",tbl_working_daily[[#This Row],[VeryActiveMinutes]]&gt;=15,"Moderately Active",tbl_working_daily[[#This Row],[VeryActiveMinutes]]&gt;=1,"Lightly Active",tbl_working_daily[[#This Row],[VeryActiveMinutes]]=0,"Sedentary")</f>
        <v>Moderately Active</v>
      </c>
      <c r="W1166" t="str">
        <f>tbl_working_daily[[#This Row],[Id]]&amp;"|"&amp;TEXT(tbl_working_daily[[#This Row],[ActivityDate]],"yyyy-mm-dd")</f>
        <v>7007744171|2016-04-26</v>
      </c>
      <c r="X1166" t="b">
        <f>ISNUMBER(MATCH(tbl_working_daily[[#This Row],[LookupKey]],tbl_working_sleep[LookupKey],0))</f>
        <v>0</v>
      </c>
    </row>
    <row r="1167" spans="1:24" x14ac:dyDescent="0.3">
      <c r="A1167">
        <v>7007744171</v>
      </c>
      <c r="B1167" s="1">
        <v>42487</v>
      </c>
      <c r="C1167">
        <v>13541</v>
      </c>
      <c r="D1167">
        <v>10.2200002670288</v>
      </c>
      <c r="E1167">
        <v>9.0600004196166992</v>
      </c>
      <c r="F1167">
        <v>4.8856048583984402</v>
      </c>
      <c r="G1167">
        <v>4.2699999809265101</v>
      </c>
      <c r="H1167">
        <v>0.66000002622604403</v>
      </c>
      <c r="I1167">
        <v>5.28999996185303</v>
      </c>
      <c r="J1167">
        <v>0</v>
      </c>
      <c r="K1167">
        <v>50</v>
      </c>
      <c r="L1167">
        <v>12</v>
      </c>
      <c r="M1167">
        <v>337</v>
      </c>
      <c r="N1167">
        <v>1041</v>
      </c>
      <c r="O1167">
        <v>2830</v>
      </c>
      <c r="P1167" t="str">
        <f>TEXT(tbl_working_daily[[#This Row],[ActivityDate]],"dddd")</f>
        <v>Wednesday</v>
      </c>
      <c r="Q1167" t="str">
        <f>TEXT(tbl_working_daily[[#This Row],[ActivityDate]],"mmmm")</f>
        <v>April</v>
      </c>
      <c r="R1167">
        <f t="shared" si="36"/>
        <v>399</v>
      </c>
      <c r="S1167">
        <f t="shared" si="37"/>
        <v>1440</v>
      </c>
      <c r="T1167">
        <f>ROUND(tbl_working_daily[[#This Row],[SedentaryMinutes]]/60,2)</f>
        <v>17.350000000000001</v>
      </c>
      <c r="U1167" t="str" cm="1">
        <f t="array" ref="U116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7" t="str" cm="1">
        <f t="array" ref="V1167">_xlfn.IFS(tbl_working_daily[[#This Row],[VeryActiveMinutes]]&gt;=30,"Very Active",tbl_working_daily[[#This Row],[VeryActiveMinutes]]&gt;=15,"Moderately Active",tbl_working_daily[[#This Row],[VeryActiveMinutes]]&gt;=1,"Lightly Active",tbl_working_daily[[#This Row],[VeryActiveMinutes]]=0,"Sedentary")</f>
        <v>Very Active</v>
      </c>
      <c r="W1167" t="str">
        <f>tbl_working_daily[[#This Row],[Id]]&amp;"|"&amp;TEXT(tbl_working_daily[[#This Row],[ActivityDate]],"yyyy-mm-dd")</f>
        <v>7007744171|2016-04-27</v>
      </c>
      <c r="X1167" t="b">
        <f>ISNUMBER(MATCH(tbl_working_daily[[#This Row],[LookupKey]],tbl_working_sleep[LookupKey],0))</f>
        <v>0</v>
      </c>
    </row>
    <row r="1168" spans="1:24" x14ac:dyDescent="0.3">
      <c r="A1168">
        <v>7007744171</v>
      </c>
      <c r="B1168" s="1">
        <v>42488</v>
      </c>
      <c r="C1168">
        <v>15128</v>
      </c>
      <c r="D1168">
        <v>10.1199998855591</v>
      </c>
      <c r="E1168">
        <v>10.1199998855591</v>
      </c>
      <c r="F1168">
        <v>0</v>
      </c>
      <c r="G1168">
        <v>1.0900000333786</v>
      </c>
      <c r="H1168">
        <v>0.769999980926514</v>
      </c>
      <c r="I1168">
        <v>8.2600002288818395</v>
      </c>
      <c r="J1168">
        <v>0</v>
      </c>
      <c r="K1168">
        <v>16</v>
      </c>
      <c r="L1168">
        <v>16</v>
      </c>
      <c r="M1168">
        <v>401</v>
      </c>
      <c r="N1168">
        <v>1007</v>
      </c>
      <c r="O1168">
        <v>2836</v>
      </c>
      <c r="P1168" t="str">
        <f>TEXT(tbl_working_daily[[#This Row],[ActivityDate]],"dddd")</f>
        <v>Thursday</v>
      </c>
      <c r="Q1168" t="str">
        <f>TEXT(tbl_working_daily[[#This Row],[ActivityDate]],"mmmm")</f>
        <v>April</v>
      </c>
      <c r="R1168">
        <f t="shared" si="36"/>
        <v>433</v>
      </c>
      <c r="S1168">
        <f t="shared" si="37"/>
        <v>1440</v>
      </c>
      <c r="T1168">
        <f>ROUND(tbl_working_daily[[#This Row],[SedentaryMinutes]]/60,2)</f>
        <v>16.78</v>
      </c>
      <c r="U1168" t="str" cm="1">
        <f t="array" ref="U116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8" t="str" cm="1">
        <f t="array" ref="V1168">_xlfn.IFS(tbl_working_daily[[#This Row],[VeryActiveMinutes]]&gt;=30,"Very Active",tbl_working_daily[[#This Row],[VeryActiveMinutes]]&gt;=15,"Moderately Active",tbl_working_daily[[#This Row],[VeryActiveMinutes]]&gt;=1,"Lightly Active",tbl_working_daily[[#This Row],[VeryActiveMinutes]]=0,"Sedentary")</f>
        <v>Moderately Active</v>
      </c>
      <c r="W1168" t="str">
        <f>tbl_working_daily[[#This Row],[Id]]&amp;"|"&amp;TEXT(tbl_working_daily[[#This Row],[ActivityDate]],"yyyy-mm-dd")</f>
        <v>7007744171|2016-04-28</v>
      </c>
      <c r="X1168" t="b">
        <f>ISNUMBER(MATCH(tbl_working_daily[[#This Row],[LookupKey]],tbl_working_sleep[LookupKey],0))</f>
        <v>0</v>
      </c>
    </row>
    <row r="1169" spans="1:24" x14ac:dyDescent="0.3">
      <c r="A1169">
        <v>7007744171</v>
      </c>
      <c r="B1169" s="1">
        <v>42489</v>
      </c>
      <c r="C1169">
        <v>20067</v>
      </c>
      <c r="D1169">
        <v>14.300000190734901</v>
      </c>
      <c r="E1169">
        <v>13.420000076293899</v>
      </c>
      <c r="F1169">
        <v>4.9111461639404297</v>
      </c>
      <c r="G1169">
        <v>4.3099999427795401</v>
      </c>
      <c r="H1169">
        <v>2.0499999523162802</v>
      </c>
      <c r="I1169">
        <v>7.9499998092651403</v>
      </c>
      <c r="J1169">
        <v>0</v>
      </c>
      <c r="K1169">
        <v>55</v>
      </c>
      <c r="L1169">
        <v>42</v>
      </c>
      <c r="M1169">
        <v>382</v>
      </c>
      <c r="N1169">
        <v>961</v>
      </c>
      <c r="O1169">
        <v>3180</v>
      </c>
      <c r="P1169" t="str">
        <f>TEXT(tbl_working_daily[[#This Row],[ActivityDate]],"dddd")</f>
        <v>Friday</v>
      </c>
      <c r="Q1169" t="str">
        <f>TEXT(tbl_working_daily[[#This Row],[ActivityDate]],"mmmm")</f>
        <v>April</v>
      </c>
      <c r="R1169">
        <f t="shared" si="36"/>
        <v>479</v>
      </c>
      <c r="S1169">
        <f t="shared" si="37"/>
        <v>1440</v>
      </c>
      <c r="T1169">
        <f>ROUND(tbl_working_daily[[#This Row],[SedentaryMinutes]]/60,2)</f>
        <v>16.02</v>
      </c>
      <c r="U1169" t="str" cm="1">
        <f t="array" ref="U116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69" t="str" cm="1">
        <f t="array" ref="V1169">_xlfn.IFS(tbl_working_daily[[#This Row],[VeryActiveMinutes]]&gt;=30,"Very Active",tbl_working_daily[[#This Row],[VeryActiveMinutes]]&gt;=15,"Moderately Active",tbl_working_daily[[#This Row],[VeryActiveMinutes]]&gt;=1,"Lightly Active",tbl_working_daily[[#This Row],[VeryActiveMinutes]]=0,"Sedentary")</f>
        <v>Very Active</v>
      </c>
      <c r="W1169" t="str">
        <f>tbl_working_daily[[#This Row],[Id]]&amp;"|"&amp;TEXT(tbl_working_daily[[#This Row],[ActivityDate]],"yyyy-mm-dd")</f>
        <v>7007744171|2016-04-29</v>
      </c>
      <c r="X1169" t="b">
        <f>ISNUMBER(MATCH(tbl_working_daily[[#This Row],[LookupKey]],tbl_working_sleep[LookupKey],0))</f>
        <v>0</v>
      </c>
    </row>
    <row r="1170" spans="1:24" x14ac:dyDescent="0.3">
      <c r="A1170">
        <v>7007744171</v>
      </c>
      <c r="B1170" s="1">
        <v>42490</v>
      </c>
      <c r="C1170">
        <v>3761</v>
      </c>
      <c r="D1170">
        <v>2.5199999809265101</v>
      </c>
      <c r="E1170">
        <v>2.5199999809265101</v>
      </c>
      <c r="F1170">
        <v>0</v>
      </c>
      <c r="G1170">
        <v>0</v>
      </c>
      <c r="H1170">
        <v>0</v>
      </c>
      <c r="I1170">
        <v>2.5199999809265101</v>
      </c>
      <c r="J1170">
        <v>0</v>
      </c>
      <c r="K1170">
        <v>0</v>
      </c>
      <c r="L1170">
        <v>0</v>
      </c>
      <c r="M1170">
        <v>200</v>
      </c>
      <c r="N1170">
        <v>1240</v>
      </c>
      <c r="O1170">
        <v>2051</v>
      </c>
      <c r="P1170" t="str">
        <f>TEXT(tbl_working_daily[[#This Row],[ActivityDate]],"dddd")</f>
        <v>Saturday</v>
      </c>
      <c r="Q1170" t="str">
        <f>TEXT(tbl_working_daily[[#This Row],[ActivityDate]],"mmmm")</f>
        <v>April</v>
      </c>
      <c r="R1170">
        <f t="shared" si="36"/>
        <v>200</v>
      </c>
      <c r="S1170">
        <f t="shared" si="37"/>
        <v>1440</v>
      </c>
      <c r="T1170">
        <f>ROUND(tbl_working_daily[[#This Row],[SedentaryMinutes]]/60,2)</f>
        <v>20.67</v>
      </c>
      <c r="U1170" t="str" cm="1">
        <f t="array" ref="U117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70" t="str" cm="1">
        <f t="array" ref="V1170">_xlfn.IFS(tbl_working_daily[[#This Row],[VeryActiveMinutes]]&gt;=30,"Very Active",tbl_working_daily[[#This Row],[VeryActiveMinutes]]&gt;=15,"Moderately Active",tbl_working_daily[[#This Row],[VeryActiveMinutes]]&gt;=1,"Lightly Active",tbl_working_daily[[#This Row],[VeryActiveMinutes]]=0,"Sedentary")</f>
        <v>Sedentary</v>
      </c>
      <c r="W1170" t="str">
        <f>tbl_working_daily[[#This Row],[Id]]&amp;"|"&amp;TEXT(tbl_working_daily[[#This Row],[ActivityDate]],"yyyy-mm-dd")</f>
        <v>7007744171|2016-04-30</v>
      </c>
      <c r="X1170" t="b">
        <f>ISNUMBER(MATCH(tbl_working_daily[[#This Row],[LookupKey]],tbl_working_sleep[LookupKey],0))</f>
        <v>0</v>
      </c>
    </row>
    <row r="1171" spans="1:24" x14ac:dyDescent="0.3">
      <c r="A1171">
        <v>7007744171</v>
      </c>
      <c r="B1171" s="1">
        <v>42491</v>
      </c>
      <c r="C1171">
        <v>5600</v>
      </c>
      <c r="D1171">
        <v>3.75</v>
      </c>
      <c r="E1171">
        <v>3.75</v>
      </c>
      <c r="F1171">
        <v>0</v>
      </c>
      <c r="G1171">
        <v>0</v>
      </c>
      <c r="H1171">
        <v>0</v>
      </c>
      <c r="I1171">
        <v>3.75</v>
      </c>
      <c r="J1171">
        <v>0</v>
      </c>
      <c r="K1171">
        <v>0</v>
      </c>
      <c r="L1171">
        <v>0</v>
      </c>
      <c r="M1171">
        <v>237</v>
      </c>
      <c r="N1171">
        <v>1142</v>
      </c>
      <c r="O1171">
        <v>2225</v>
      </c>
      <c r="P1171" t="str">
        <f>TEXT(tbl_working_daily[[#This Row],[ActivityDate]],"dddd")</f>
        <v>Sunday</v>
      </c>
      <c r="Q1171" t="str">
        <f>TEXT(tbl_working_daily[[#This Row],[ActivityDate]],"mmmm")</f>
        <v>May</v>
      </c>
      <c r="R1171">
        <f t="shared" si="36"/>
        <v>237</v>
      </c>
      <c r="S1171">
        <f t="shared" si="37"/>
        <v>1379</v>
      </c>
      <c r="T1171">
        <f>ROUND(tbl_working_daily[[#This Row],[SedentaryMinutes]]/60,2)</f>
        <v>19.03</v>
      </c>
      <c r="U1171" t="str" cm="1">
        <f t="array" ref="U117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71" t="str" cm="1">
        <f t="array" ref="V1171">_xlfn.IFS(tbl_working_daily[[#This Row],[VeryActiveMinutes]]&gt;=30,"Very Active",tbl_working_daily[[#This Row],[VeryActiveMinutes]]&gt;=15,"Moderately Active",tbl_working_daily[[#This Row],[VeryActiveMinutes]]&gt;=1,"Lightly Active",tbl_working_daily[[#This Row],[VeryActiveMinutes]]=0,"Sedentary")</f>
        <v>Sedentary</v>
      </c>
      <c r="W1171" t="str">
        <f>tbl_working_daily[[#This Row],[Id]]&amp;"|"&amp;TEXT(tbl_working_daily[[#This Row],[ActivityDate]],"yyyy-mm-dd")</f>
        <v>7007744171|2016-05-01</v>
      </c>
      <c r="X1171" t="b">
        <f>ISNUMBER(MATCH(tbl_working_daily[[#This Row],[LookupKey]],tbl_working_sleep[LookupKey],0))</f>
        <v>1</v>
      </c>
    </row>
    <row r="1172" spans="1:24" x14ac:dyDescent="0.3">
      <c r="A1172">
        <v>7007744171</v>
      </c>
      <c r="B1172" s="1">
        <v>42492</v>
      </c>
      <c r="C1172">
        <v>13041</v>
      </c>
      <c r="D1172">
        <v>9.1800003051757795</v>
      </c>
      <c r="E1172">
        <v>8.7200002670288104</v>
      </c>
      <c r="F1172">
        <v>2.83232593536377</v>
      </c>
      <c r="G1172">
        <v>4.6399998664856001</v>
      </c>
      <c r="H1172">
        <v>0.69999998807907104</v>
      </c>
      <c r="I1172">
        <v>3.8299999237060498</v>
      </c>
      <c r="J1172">
        <v>0</v>
      </c>
      <c r="K1172">
        <v>64</v>
      </c>
      <c r="L1172">
        <v>14</v>
      </c>
      <c r="M1172">
        <v>250</v>
      </c>
      <c r="N1172">
        <v>1112</v>
      </c>
      <c r="O1172">
        <v>2642</v>
      </c>
      <c r="P1172" t="str">
        <f>TEXT(tbl_working_daily[[#This Row],[ActivityDate]],"dddd")</f>
        <v>Monday</v>
      </c>
      <c r="Q1172" t="str">
        <f>TEXT(tbl_working_daily[[#This Row],[ActivityDate]],"mmmm")</f>
        <v>May</v>
      </c>
      <c r="R1172">
        <f t="shared" si="36"/>
        <v>328</v>
      </c>
      <c r="S1172">
        <f t="shared" si="37"/>
        <v>1440</v>
      </c>
      <c r="T1172">
        <f>ROUND(tbl_working_daily[[#This Row],[SedentaryMinutes]]/60,2)</f>
        <v>18.53</v>
      </c>
      <c r="U1172" t="str" cm="1">
        <f t="array" ref="U117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72" t="str" cm="1">
        <f t="array" ref="V1172">_xlfn.IFS(tbl_working_daily[[#This Row],[VeryActiveMinutes]]&gt;=30,"Very Active",tbl_working_daily[[#This Row],[VeryActiveMinutes]]&gt;=15,"Moderately Active",tbl_working_daily[[#This Row],[VeryActiveMinutes]]&gt;=1,"Lightly Active",tbl_working_daily[[#This Row],[VeryActiveMinutes]]=0,"Sedentary")</f>
        <v>Very Active</v>
      </c>
      <c r="W1172" t="str">
        <f>tbl_working_daily[[#This Row],[Id]]&amp;"|"&amp;TEXT(tbl_working_daily[[#This Row],[ActivityDate]],"yyyy-mm-dd")</f>
        <v>7007744171|2016-05-02</v>
      </c>
      <c r="X1172" t="b">
        <f>ISNUMBER(MATCH(tbl_working_daily[[#This Row],[LookupKey]],tbl_working_sleep[LookupKey],0))</f>
        <v>0</v>
      </c>
    </row>
    <row r="1173" spans="1:24" x14ac:dyDescent="0.3">
      <c r="A1173">
        <v>7007744171</v>
      </c>
      <c r="B1173" s="1">
        <v>42493</v>
      </c>
      <c r="C1173">
        <v>14510</v>
      </c>
      <c r="D1173">
        <v>10.8699998855591</v>
      </c>
      <c r="E1173">
        <v>9.7100000381469709</v>
      </c>
      <c r="F1173">
        <v>4.9123678207397496</v>
      </c>
      <c r="G1173">
        <v>4.4800000190734899</v>
      </c>
      <c r="H1173">
        <v>1.0199999809265099</v>
      </c>
      <c r="I1173">
        <v>5.3600001335143999</v>
      </c>
      <c r="J1173">
        <v>0</v>
      </c>
      <c r="K1173">
        <v>58</v>
      </c>
      <c r="L1173">
        <v>31</v>
      </c>
      <c r="M1173">
        <v>330</v>
      </c>
      <c r="N1173">
        <v>1021</v>
      </c>
      <c r="O1173">
        <v>2976</v>
      </c>
      <c r="P1173" t="str">
        <f>TEXT(tbl_working_daily[[#This Row],[ActivityDate]],"dddd")</f>
        <v>Tuesday</v>
      </c>
      <c r="Q1173" t="str">
        <f>TEXT(tbl_working_daily[[#This Row],[ActivityDate]],"mmmm")</f>
        <v>May</v>
      </c>
      <c r="R1173">
        <f t="shared" si="36"/>
        <v>419</v>
      </c>
      <c r="S1173">
        <f t="shared" si="37"/>
        <v>1440</v>
      </c>
      <c r="T1173">
        <f>ROUND(tbl_working_daily[[#This Row],[SedentaryMinutes]]/60,2)</f>
        <v>17.02</v>
      </c>
      <c r="U1173" t="str" cm="1">
        <f t="array" ref="U117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73" t="str" cm="1">
        <f t="array" ref="V1173">_xlfn.IFS(tbl_working_daily[[#This Row],[VeryActiveMinutes]]&gt;=30,"Very Active",tbl_working_daily[[#This Row],[VeryActiveMinutes]]&gt;=15,"Moderately Active",tbl_working_daily[[#This Row],[VeryActiveMinutes]]&gt;=1,"Lightly Active",tbl_working_daily[[#This Row],[VeryActiveMinutes]]=0,"Sedentary")</f>
        <v>Very Active</v>
      </c>
      <c r="W1173" t="str">
        <f>tbl_working_daily[[#This Row],[Id]]&amp;"|"&amp;TEXT(tbl_working_daily[[#This Row],[ActivityDate]],"yyyy-mm-dd")</f>
        <v>7007744171|2016-05-03</v>
      </c>
      <c r="X1173" t="b">
        <f>ISNUMBER(MATCH(tbl_working_daily[[#This Row],[LookupKey]],tbl_working_sleep[LookupKey],0))</f>
        <v>0</v>
      </c>
    </row>
    <row r="1174" spans="1:24" x14ac:dyDescent="0.3">
      <c r="A1174">
        <v>7007744171</v>
      </c>
      <c r="B1174" s="1">
        <v>42494</v>
      </c>
      <c r="C1174">
        <v>0</v>
      </c>
      <c r="D1174">
        <v>0</v>
      </c>
      <c r="E1174">
        <v>0</v>
      </c>
      <c r="F1174">
        <v>0</v>
      </c>
      <c r="G1174">
        <v>0</v>
      </c>
      <c r="H1174">
        <v>0</v>
      </c>
      <c r="I1174">
        <v>0</v>
      </c>
      <c r="J1174">
        <v>0</v>
      </c>
      <c r="K1174">
        <v>0</v>
      </c>
      <c r="L1174">
        <v>0</v>
      </c>
      <c r="M1174">
        <v>0</v>
      </c>
      <c r="N1174">
        <v>1440</v>
      </c>
      <c r="O1174">
        <v>1557</v>
      </c>
      <c r="P1174" t="str">
        <f>TEXT(tbl_working_daily[[#This Row],[ActivityDate]],"dddd")</f>
        <v>Wednesday</v>
      </c>
      <c r="Q1174" t="str">
        <f>TEXT(tbl_working_daily[[#This Row],[ActivityDate]],"mmmm")</f>
        <v>May</v>
      </c>
      <c r="R1174">
        <f t="shared" si="36"/>
        <v>0</v>
      </c>
      <c r="S1174">
        <f t="shared" si="37"/>
        <v>1440</v>
      </c>
      <c r="T1174">
        <f>ROUND(tbl_working_daily[[#This Row],[SedentaryMinutes]]/60,2)</f>
        <v>24</v>
      </c>
      <c r="U1174" t="str" cm="1">
        <f t="array" ref="U117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74" t="str" cm="1">
        <f t="array" ref="V1174">_xlfn.IFS(tbl_working_daily[[#This Row],[VeryActiveMinutes]]&gt;=30,"Very Active",tbl_working_daily[[#This Row],[VeryActiveMinutes]]&gt;=15,"Moderately Active",tbl_working_daily[[#This Row],[VeryActiveMinutes]]&gt;=1,"Lightly Active",tbl_working_daily[[#This Row],[VeryActiveMinutes]]=0,"Sedentary")</f>
        <v>Sedentary</v>
      </c>
      <c r="W1174" t="str">
        <f>tbl_working_daily[[#This Row],[Id]]&amp;"|"&amp;TEXT(tbl_working_daily[[#This Row],[ActivityDate]],"yyyy-mm-dd")</f>
        <v>7007744171|2016-05-04</v>
      </c>
      <c r="X1174" t="b">
        <f>ISNUMBER(MATCH(tbl_working_daily[[#This Row],[LookupKey]],tbl_working_sleep[LookupKey],0))</f>
        <v>0</v>
      </c>
    </row>
    <row r="1175" spans="1:24" x14ac:dyDescent="0.3">
      <c r="A1175">
        <v>7007744171</v>
      </c>
      <c r="B1175" s="1">
        <v>42495</v>
      </c>
      <c r="C1175">
        <v>15010</v>
      </c>
      <c r="D1175">
        <v>11.1000003814697</v>
      </c>
      <c r="E1175">
        <v>10.039999961853001</v>
      </c>
      <c r="F1175">
        <v>4.8782320022582999</v>
      </c>
      <c r="G1175">
        <v>4.3299999237060502</v>
      </c>
      <c r="H1175">
        <v>1.28999996185303</v>
      </c>
      <c r="I1175">
        <v>5.4800000190734899</v>
      </c>
      <c r="J1175">
        <v>0</v>
      </c>
      <c r="K1175">
        <v>53</v>
      </c>
      <c r="L1175">
        <v>23</v>
      </c>
      <c r="M1175">
        <v>317</v>
      </c>
      <c r="N1175">
        <v>1047</v>
      </c>
      <c r="O1175">
        <v>2933</v>
      </c>
      <c r="P1175" t="str">
        <f>TEXT(tbl_working_daily[[#This Row],[ActivityDate]],"dddd")</f>
        <v>Thursday</v>
      </c>
      <c r="Q1175" t="str">
        <f>TEXT(tbl_working_daily[[#This Row],[ActivityDate]],"mmmm")</f>
        <v>May</v>
      </c>
      <c r="R1175">
        <f t="shared" si="36"/>
        <v>393</v>
      </c>
      <c r="S1175">
        <f t="shared" si="37"/>
        <v>1440</v>
      </c>
      <c r="T1175">
        <f>ROUND(tbl_working_daily[[#This Row],[SedentaryMinutes]]/60,2)</f>
        <v>17.45</v>
      </c>
      <c r="U1175" t="str" cm="1">
        <f t="array" ref="U117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75" t="str" cm="1">
        <f t="array" ref="V1175">_xlfn.IFS(tbl_working_daily[[#This Row],[VeryActiveMinutes]]&gt;=30,"Very Active",tbl_working_daily[[#This Row],[VeryActiveMinutes]]&gt;=15,"Moderately Active",tbl_working_daily[[#This Row],[VeryActiveMinutes]]&gt;=1,"Lightly Active",tbl_working_daily[[#This Row],[VeryActiveMinutes]]=0,"Sedentary")</f>
        <v>Very Active</v>
      </c>
      <c r="W1175" t="str">
        <f>tbl_working_daily[[#This Row],[Id]]&amp;"|"&amp;TEXT(tbl_working_daily[[#This Row],[ActivityDate]],"yyyy-mm-dd")</f>
        <v>7007744171|2016-05-05</v>
      </c>
      <c r="X1175" t="b">
        <f>ISNUMBER(MATCH(tbl_working_daily[[#This Row],[LookupKey]],tbl_working_sleep[LookupKey],0))</f>
        <v>0</v>
      </c>
    </row>
    <row r="1176" spans="1:24" x14ac:dyDescent="0.3">
      <c r="A1176">
        <v>7007744171</v>
      </c>
      <c r="B1176" s="1">
        <v>42496</v>
      </c>
      <c r="C1176">
        <v>11459</v>
      </c>
      <c r="D1176">
        <v>7.6700000762939498</v>
      </c>
      <c r="E1176">
        <v>7.6700000762939498</v>
      </c>
      <c r="F1176">
        <v>0</v>
      </c>
      <c r="G1176">
        <v>3</v>
      </c>
      <c r="H1176">
        <v>0.81000000238418601</v>
      </c>
      <c r="I1176">
        <v>3.8599998950958301</v>
      </c>
      <c r="J1176">
        <v>0</v>
      </c>
      <c r="K1176">
        <v>44</v>
      </c>
      <c r="L1176">
        <v>13</v>
      </c>
      <c r="M1176">
        <v>247</v>
      </c>
      <c r="N1176">
        <v>1136</v>
      </c>
      <c r="O1176">
        <v>2553</v>
      </c>
      <c r="P1176" t="str">
        <f>TEXT(tbl_working_daily[[#This Row],[ActivityDate]],"dddd")</f>
        <v>Friday</v>
      </c>
      <c r="Q1176" t="str">
        <f>TEXT(tbl_working_daily[[#This Row],[ActivityDate]],"mmmm")</f>
        <v>May</v>
      </c>
      <c r="R1176">
        <f t="shared" si="36"/>
        <v>304</v>
      </c>
      <c r="S1176">
        <f t="shared" si="37"/>
        <v>1440</v>
      </c>
      <c r="T1176">
        <f>ROUND(tbl_working_daily[[#This Row],[SedentaryMinutes]]/60,2)</f>
        <v>18.93</v>
      </c>
      <c r="U1176" t="str" cm="1">
        <f t="array" ref="U117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76" t="str" cm="1">
        <f t="array" ref="V1176">_xlfn.IFS(tbl_working_daily[[#This Row],[VeryActiveMinutes]]&gt;=30,"Very Active",tbl_working_daily[[#This Row],[VeryActiveMinutes]]&gt;=15,"Moderately Active",tbl_working_daily[[#This Row],[VeryActiveMinutes]]&gt;=1,"Lightly Active",tbl_working_daily[[#This Row],[VeryActiveMinutes]]=0,"Sedentary")</f>
        <v>Very Active</v>
      </c>
      <c r="W1176" t="str">
        <f>tbl_working_daily[[#This Row],[Id]]&amp;"|"&amp;TEXT(tbl_working_daily[[#This Row],[ActivityDate]],"yyyy-mm-dd")</f>
        <v>7007744171|2016-05-06</v>
      </c>
      <c r="X1176" t="b">
        <f>ISNUMBER(MATCH(tbl_working_daily[[#This Row],[LookupKey]],tbl_working_sleep[LookupKey],0))</f>
        <v>0</v>
      </c>
    </row>
    <row r="1177" spans="1:24" x14ac:dyDescent="0.3">
      <c r="A1177">
        <v>7007744171</v>
      </c>
      <c r="B1177" s="1">
        <v>42497</v>
      </c>
      <c r="C1177">
        <v>0</v>
      </c>
      <c r="D1177">
        <v>0</v>
      </c>
      <c r="E1177">
        <v>0</v>
      </c>
      <c r="F1177">
        <v>0</v>
      </c>
      <c r="G1177">
        <v>0</v>
      </c>
      <c r="H1177">
        <v>0</v>
      </c>
      <c r="I1177">
        <v>0</v>
      </c>
      <c r="J1177">
        <v>0</v>
      </c>
      <c r="K1177">
        <v>0</v>
      </c>
      <c r="L1177">
        <v>0</v>
      </c>
      <c r="M1177">
        <v>0</v>
      </c>
      <c r="N1177">
        <v>111</v>
      </c>
      <c r="O1177">
        <v>120</v>
      </c>
      <c r="P1177" t="str">
        <f>TEXT(tbl_working_daily[[#This Row],[ActivityDate]],"dddd")</f>
        <v>Saturday</v>
      </c>
      <c r="Q1177" t="str">
        <f>TEXT(tbl_working_daily[[#This Row],[ActivityDate]],"mmmm")</f>
        <v>May</v>
      </c>
      <c r="R1177">
        <f t="shared" si="36"/>
        <v>0</v>
      </c>
      <c r="S1177">
        <f t="shared" si="37"/>
        <v>111</v>
      </c>
      <c r="T1177">
        <f>ROUND(tbl_working_daily[[#This Row],[SedentaryMinutes]]/60,2)</f>
        <v>1.85</v>
      </c>
      <c r="U1177" t="str" cm="1">
        <f t="array" ref="U117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77" t="str" cm="1">
        <f t="array" ref="V1177">_xlfn.IFS(tbl_working_daily[[#This Row],[VeryActiveMinutes]]&gt;=30,"Very Active",tbl_working_daily[[#This Row],[VeryActiveMinutes]]&gt;=15,"Moderately Active",tbl_working_daily[[#This Row],[VeryActiveMinutes]]&gt;=1,"Lightly Active",tbl_working_daily[[#This Row],[VeryActiveMinutes]]=0,"Sedentary")</f>
        <v>Sedentary</v>
      </c>
      <c r="W1177" t="str">
        <f>tbl_working_daily[[#This Row],[Id]]&amp;"|"&amp;TEXT(tbl_working_daily[[#This Row],[ActivityDate]],"yyyy-mm-dd")</f>
        <v>7007744171|2016-05-07</v>
      </c>
      <c r="X1177" t="b">
        <f>ISNUMBER(MATCH(tbl_working_daily[[#This Row],[LookupKey]],tbl_working_sleep[LookupKey],0))</f>
        <v>0</v>
      </c>
    </row>
    <row r="1178" spans="1:24" x14ac:dyDescent="0.3">
      <c r="A1178">
        <v>7086361926</v>
      </c>
      <c r="B1178" s="1">
        <v>42473</v>
      </c>
      <c r="C1178">
        <v>5813</v>
      </c>
      <c r="D1178">
        <v>3.6199998855590798</v>
      </c>
      <c r="E1178">
        <v>3.6199998855590798</v>
      </c>
      <c r="F1178">
        <v>0</v>
      </c>
      <c r="G1178">
        <v>0.56000000238418601</v>
      </c>
      <c r="H1178">
        <v>0.20999999344348899</v>
      </c>
      <c r="I1178">
        <v>2.8399999141693102</v>
      </c>
      <c r="J1178">
        <v>0</v>
      </c>
      <c r="K1178">
        <v>31</v>
      </c>
      <c r="L1178">
        <v>26</v>
      </c>
      <c r="M1178">
        <v>155</v>
      </c>
      <c r="N1178">
        <v>744</v>
      </c>
      <c r="O1178">
        <v>2516</v>
      </c>
      <c r="P1178" t="str">
        <f>TEXT(tbl_working_daily[[#This Row],[ActivityDate]],"dddd")</f>
        <v>Wednesday</v>
      </c>
      <c r="Q1178" t="str">
        <f>TEXT(tbl_working_daily[[#This Row],[ActivityDate]],"mmmm")</f>
        <v>April</v>
      </c>
      <c r="R1178">
        <f t="shared" si="36"/>
        <v>212</v>
      </c>
      <c r="S1178">
        <f t="shared" si="37"/>
        <v>956</v>
      </c>
      <c r="T1178">
        <f>ROUND(tbl_working_daily[[#This Row],[SedentaryMinutes]]/60,2)</f>
        <v>12.4</v>
      </c>
      <c r="U1178" t="str" cm="1">
        <f t="array" ref="U1178">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178" t="str" cm="1">
        <f t="array" ref="V1178">_xlfn.IFS(tbl_working_daily[[#This Row],[VeryActiveMinutes]]&gt;=30,"Very Active",tbl_working_daily[[#This Row],[VeryActiveMinutes]]&gt;=15,"Moderately Active",tbl_working_daily[[#This Row],[VeryActiveMinutes]]&gt;=1,"Lightly Active",tbl_working_daily[[#This Row],[VeryActiveMinutes]]=0,"Sedentary")</f>
        <v>Very Active</v>
      </c>
      <c r="W1178" t="str">
        <f>tbl_working_daily[[#This Row],[Id]]&amp;"|"&amp;TEXT(tbl_working_daily[[#This Row],[ActivityDate]],"yyyy-mm-dd")</f>
        <v>7086361926|2016-04-13</v>
      </c>
      <c r="X1178" t="b">
        <f>ISNUMBER(MATCH(tbl_working_daily[[#This Row],[LookupKey]],tbl_working_sleep[LookupKey],0))</f>
        <v>1</v>
      </c>
    </row>
    <row r="1179" spans="1:24" x14ac:dyDescent="0.3">
      <c r="A1179">
        <v>7086361926</v>
      </c>
      <c r="B1179" s="1">
        <v>42474</v>
      </c>
      <c r="C1179">
        <v>9123</v>
      </c>
      <c r="D1179">
        <v>6.1199998855590803</v>
      </c>
      <c r="E1179">
        <v>6.1199998855590803</v>
      </c>
      <c r="F1179">
        <v>0</v>
      </c>
      <c r="G1179">
        <v>2.0299999713897701</v>
      </c>
      <c r="H1179">
        <v>0.33000001311302202</v>
      </c>
      <c r="I1179">
        <v>3.6600000858306898</v>
      </c>
      <c r="J1179">
        <v>0</v>
      </c>
      <c r="K1179">
        <v>35</v>
      </c>
      <c r="L1179">
        <v>32</v>
      </c>
      <c r="M1179">
        <v>189</v>
      </c>
      <c r="N1179">
        <v>787</v>
      </c>
      <c r="O1179">
        <v>2734</v>
      </c>
      <c r="P1179" t="str">
        <f>TEXT(tbl_working_daily[[#This Row],[ActivityDate]],"dddd")</f>
        <v>Thursday</v>
      </c>
      <c r="Q1179" t="str">
        <f>TEXT(tbl_working_daily[[#This Row],[ActivityDate]],"mmmm")</f>
        <v>April</v>
      </c>
      <c r="R1179">
        <f t="shared" si="36"/>
        <v>256</v>
      </c>
      <c r="S1179">
        <f t="shared" si="37"/>
        <v>1043</v>
      </c>
      <c r="T1179">
        <f>ROUND(tbl_working_daily[[#This Row],[SedentaryMinutes]]/60,2)</f>
        <v>13.12</v>
      </c>
      <c r="U1179" t="str" cm="1">
        <f t="array" ref="U117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79" t="str" cm="1">
        <f t="array" ref="V1179">_xlfn.IFS(tbl_working_daily[[#This Row],[VeryActiveMinutes]]&gt;=30,"Very Active",tbl_working_daily[[#This Row],[VeryActiveMinutes]]&gt;=15,"Moderately Active",tbl_working_daily[[#This Row],[VeryActiveMinutes]]&gt;=1,"Lightly Active",tbl_working_daily[[#This Row],[VeryActiveMinutes]]=0,"Sedentary")</f>
        <v>Very Active</v>
      </c>
      <c r="W1179" t="str">
        <f>tbl_working_daily[[#This Row],[Id]]&amp;"|"&amp;TEXT(tbl_working_daily[[#This Row],[ActivityDate]],"yyyy-mm-dd")</f>
        <v>7086361926|2016-04-14</v>
      </c>
      <c r="X1179" t="b">
        <f>ISNUMBER(MATCH(tbl_working_daily[[#This Row],[LookupKey]],tbl_working_sleep[LookupKey],0))</f>
        <v>1</v>
      </c>
    </row>
    <row r="1180" spans="1:24" x14ac:dyDescent="0.3">
      <c r="A1180">
        <v>7086361926</v>
      </c>
      <c r="B1180" s="1">
        <v>42475</v>
      </c>
      <c r="C1180">
        <v>8585</v>
      </c>
      <c r="D1180">
        <v>5.6700000762939498</v>
      </c>
      <c r="E1180">
        <v>5.6700000762939498</v>
      </c>
      <c r="F1180">
        <v>0</v>
      </c>
      <c r="G1180">
        <v>2.03999996185303</v>
      </c>
      <c r="H1180">
        <v>1.1100000143051101</v>
      </c>
      <c r="I1180">
        <v>2.5299999713897701</v>
      </c>
      <c r="J1180">
        <v>0</v>
      </c>
      <c r="K1180">
        <v>30</v>
      </c>
      <c r="L1180">
        <v>21</v>
      </c>
      <c r="M1180">
        <v>139</v>
      </c>
      <c r="N1180">
        <v>864</v>
      </c>
      <c r="O1180">
        <v>2395</v>
      </c>
      <c r="P1180" t="str">
        <f>TEXT(tbl_working_daily[[#This Row],[ActivityDate]],"dddd")</f>
        <v>Friday</v>
      </c>
      <c r="Q1180" t="str">
        <f>TEXT(tbl_working_daily[[#This Row],[ActivityDate]],"mmmm")</f>
        <v>April</v>
      </c>
      <c r="R1180">
        <f t="shared" si="36"/>
        <v>190</v>
      </c>
      <c r="S1180">
        <f t="shared" si="37"/>
        <v>1054</v>
      </c>
      <c r="T1180">
        <f>ROUND(tbl_working_daily[[#This Row],[SedentaryMinutes]]/60,2)</f>
        <v>14.4</v>
      </c>
      <c r="U1180" t="str" cm="1">
        <f t="array" ref="U118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80" t="str" cm="1">
        <f t="array" ref="V1180">_xlfn.IFS(tbl_working_daily[[#This Row],[VeryActiveMinutes]]&gt;=30,"Very Active",tbl_working_daily[[#This Row],[VeryActiveMinutes]]&gt;=15,"Moderately Active",tbl_working_daily[[#This Row],[VeryActiveMinutes]]&gt;=1,"Lightly Active",tbl_working_daily[[#This Row],[VeryActiveMinutes]]=0,"Sedentary")</f>
        <v>Very Active</v>
      </c>
      <c r="W1180" t="str">
        <f>tbl_working_daily[[#This Row],[Id]]&amp;"|"&amp;TEXT(tbl_working_daily[[#This Row],[ActivityDate]],"yyyy-mm-dd")</f>
        <v>7086361926|2016-04-15</v>
      </c>
      <c r="X1180" t="b">
        <f>ISNUMBER(MATCH(tbl_working_daily[[#This Row],[LookupKey]],tbl_working_sleep[LookupKey],0))</f>
        <v>1</v>
      </c>
    </row>
    <row r="1181" spans="1:24" x14ac:dyDescent="0.3">
      <c r="A1181">
        <v>7086361926</v>
      </c>
      <c r="B1181" s="1">
        <v>42476</v>
      </c>
      <c r="C1181">
        <v>31</v>
      </c>
      <c r="D1181">
        <v>9.9999997764825804E-3</v>
      </c>
      <c r="E1181">
        <v>9.9999997764825804E-3</v>
      </c>
      <c r="F1181">
        <v>0</v>
      </c>
      <c r="G1181">
        <v>0</v>
      </c>
      <c r="H1181">
        <v>0</v>
      </c>
      <c r="I1181">
        <v>9.9999997764825804E-3</v>
      </c>
      <c r="J1181">
        <v>0</v>
      </c>
      <c r="K1181">
        <v>0</v>
      </c>
      <c r="L1181">
        <v>0</v>
      </c>
      <c r="M1181">
        <v>3</v>
      </c>
      <c r="N1181">
        <v>1437</v>
      </c>
      <c r="O1181">
        <v>1635</v>
      </c>
      <c r="P1181" t="str">
        <f>TEXT(tbl_working_daily[[#This Row],[ActivityDate]],"dddd")</f>
        <v>Saturday</v>
      </c>
      <c r="Q1181" t="str">
        <f>TEXT(tbl_working_daily[[#This Row],[ActivityDate]],"mmmm")</f>
        <v>April</v>
      </c>
      <c r="R1181">
        <f t="shared" si="36"/>
        <v>3</v>
      </c>
      <c r="S1181">
        <f t="shared" si="37"/>
        <v>1440</v>
      </c>
      <c r="T1181">
        <f>ROUND(tbl_working_daily[[#This Row],[SedentaryMinutes]]/60,2)</f>
        <v>23.95</v>
      </c>
      <c r="U1181" t="str" cm="1">
        <f t="array" ref="U118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81" t="str" cm="1">
        <f t="array" ref="V1181">_xlfn.IFS(tbl_working_daily[[#This Row],[VeryActiveMinutes]]&gt;=30,"Very Active",tbl_working_daily[[#This Row],[VeryActiveMinutes]]&gt;=15,"Moderately Active",tbl_working_daily[[#This Row],[VeryActiveMinutes]]&gt;=1,"Lightly Active",tbl_working_daily[[#This Row],[VeryActiveMinutes]]=0,"Sedentary")</f>
        <v>Sedentary</v>
      </c>
      <c r="W1181" t="str">
        <f>tbl_working_daily[[#This Row],[Id]]&amp;"|"&amp;TEXT(tbl_working_daily[[#This Row],[ActivityDate]],"yyyy-mm-dd")</f>
        <v>7086361926|2016-04-16</v>
      </c>
      <c r="X1181" t="b">
        <f>ISNUMBER(MATCH(tbl_working_daily[[#This Row],[LookupKey]],tbl_working_sleep[LookupKey],0))</f>
        <v>0</v>
      </c>
    </row>
    <row r="1182" spans="1:24" x14ac:dyDescent="0.3">
      <c r="A1182">
        <v>7086361926</v>
      </c>
      <c r="B1182" s="1">
        <v>42477</v>
      </c>
      <c r="C1182">
        <v>0</v>
      </c>
      <c r="D1182">
        <v>0</v>
      </c>
      <c r="E1182">
        <v>0</v>
      </c>
      <c r="F1182">
        <v>0</v>
      </c>
      <c r="G1182">
        <v>0</v>
      </c>
      <c r="H1182">
        <v>0</v>
      </c>
      <c r="I1182">
        <v>0</v>
      </c>
      <c r="J1182">
        <v>0</v>
      </c>
      <c r="K1182">
        <v>0</v>
      </c>
      <c r="L1182">
        <v>0</v>
      </c>
      <c r="M1182">
        <v>0</v>
      </c>
      <c r="N1182">
        <v>1440</v>
      </c>
      <c r="O1182">
        <v>1629</v>
      </c>
      <c r="P1182" t="str">
        <f>TEXT(tbl_working_daily[[#This Row],[ActivityDate]],"dddd")</f>
        <v>Sunday</v>
      </c>
      <c r="Q1182" t="str">
        <f>TEXT(tbl_working_daily[[#This Row],[ActivityDate]],"mmmm")</f>
        <v>April</v>
      </c>
      <c r="R1182">
        <f t="shared" si="36"/>
        <v>0</v>
      </c>
      <c r="S1182">
        <f t="shared" si="37"/>
        <v>1440</v>
      </c>
      <c r="T1182">
        <f>ROUND(tbl_working_daily[[#This Row],[SedentaryMinutes]]/60,2)</f>
        <v>24</v>
      </c>
      <c r="U1182" t="str" cm="1">
        <f t="array" ref="U118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82" t="str" cm="1">
        <f t="array" ref="V1182">_xlfn.IFS(tbl_working_daily[[#This Row],[VeryActiveMinutes]]&gt;=30,"Very Active",tbl_working_daily[[#This Row],[VeryActiveMinutes]]&gt;=15,"Moderately Active",tbl_working_daily[[#This Row],[VeryActiveMinutes]]&gt;=1,"Lightly Active",tbl_working_daily[[#This Row],[VeryActiveMinutes]]=0,"Sedentary")</f>
        <v>Sedentary</v>
      </c>
      <c r="W1182" t="str">
        <f>tbl_working_daily[[#This Row],[Id]]&amp;"|"&amp;TEXT(tbl_working_daily[[#This Row],[ActivityDate]],"yyyy-mm-dd")</f>
        <v>7086361926|2016-04-17</v>
      </c>
      <c r="X1182" t="b">
        <f>ISNUMBER(MATCH(tbl_working_daily[[#This Row],[LookupKey]],tbl_working_sleep[LookupKey],0))</f>
        <v>0</v>
      </c>
    </row>
    <row r="1183" spans="1:24" x14ac:dyDescent="0.3">
      <c r="A1183">
        <v>7086361926</v>
      </c>
      <c r="B1183" s="1">
        <v>42478</v>
      </c>
      <c r="C1183">
        <v>9827</v>
      </c>
      <c r="D1183">
        <v>6.71000003814697</v>
      </c>
      <c r="E1183">
        <v>6.71000003814697</v>
      </c>
      <c r="F1183">
        <v>0</v>
      </c>
      <c r="G1183">
        <v>3.1700000762939502</v>
      </c>
      <c r="H1183">
        <v>1.2200000286102299</v>
      </c>
      <c r="I1183">
        <v>2.3099999427795401</v>
      </c>
      <c r="J1183">
        <v>0</v>
      </c>
      <c r="K1183">
        <v>61</v>
      </c>
      <c r="L1183">
        <v>51</v>
      </c>
      <c r="M1183">
        <v>114</v>
      </c>
      <c r="N1183">
        <v>1136</v>
      </c>
      <c r="O1183">
        <v>2743</v>
      </c>
      <c r="P1183" t="str">
        <f>TEXT(tbl_working_daily[[#This Row],[ActivityDate]],"dddd")</f>
        <v>Monday</v>
      </c>
      <c r="Q1183" t="str">
        <f>TEXT(tbl_working_daily[[#This Row],[ActivityDate]],"mmmm")</f>
        <v>April</v>
      </c>
      <c r="R1183">
        <f t="shared" si="36"/>
        <v>226</v>
      </c>
      <c r="S1183">
        <f t="shared" si="37"/>
        <v>1362</v>
      </c>
      <c r="T1183">
        <f>ROUND(tbl_working_daily[[#This Row],[SedentaryMinutes]]/60,2)</f>
        <v>18.93</v>
      </c>
      <c r="U1183" t="str" cm="1">
        <f t="array" ref="U118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83" t="str" cm="1">
        <f t="array" ref="V1183">_xlfn.IFS(tbl_working_daily[[#This Row],[VeryActiveMinutes]]&gt;=30,"Very Active",tbl_working_daily[[#This Row],[VeryActiveMinutes]]&gt;=15,"Moderately Active",tbl_working_daily[[#This Row],[VeryActiveMinutes]]&gt;=1,"Lightly Active",tbl_working_daily[[#This Row],[VeryActiveMinutes]]=0,"Sedentary")</f>
        <v>Very Active</v>
      </c>
      <c r="W1183" t="str">
        <f>tbl_working_daily[[#This Row],[Id]]&amp;"|"&amp;TEXT(tbl_working_daily[[#This Row],[ActivityDate]],"yyyy-mm-dd")</f>
        <v>7086361926|2016-04-18</v>
      </c>
      <c r="X1183" t="b">
        <f>ISNUMBER(MATCH(tbl_working_daily[[#This Row],[LookupKey]],tbl_working_sleep[LookupKey],0))</f>
        <v>0</v>
      </c>
    </row>
    <row r="1184" spans="1:24" x14ac:dyDescent="0.3">
      <c r="A1184">
        <v>7086361926</v>
      </c>
      <c r="B1184" s="1">
        <v>42479</v>
      </c>
      <c r="C1184">
        <v>10688</v>
      </c>
      <c r="D1184">
        <v>7.28999996185303</v>
      </c>
      <c r="E1184">
        <v>7.28999996185303</v>
      </c>
      <c r="F1184">
        <v>0</v>
      </c>
      <c r="G1184">
        <v>3.5299999713897701</v>
      </c>
      <c r="H1184">
        <v>1.2300000190734901</v>
      </c>
      <c r="I1184">
        <v>2.5099999904632599</v>
      </c>
      <c r="J1184">
        <v>0</v>
      </c>
      <c r="K1184">
        <v>67</v>
      </c>
      <c r="L1184">
        <v>69</v>
      </c>
      <c r="M1184">
        <v>124</v>
      </c>
      <c r="N1184">
        <v>671</v>
      </c>
      <c r="O1184">
        <v>2944</v>
      </c>
      <c r="P1184" t="str">
        <f>TEXT(tbl_working_daily[[#This Row],[ActivityDate]],"dddd")</f>
        <v>Tuesday</v>
      </c>
      <c r="Q1184" t="str">
        <f>TEXT(tbl_working_daily[[#This Row],[ActivityDate]],"mmmm")</f>
        <v>April</v>
      </c>
      <c r="R1184">
        <f t="shared" si="36"/>
        <v>260</v>
      </c>
      <c r="S1184">
        <f t="shared" si="37"/>
        <v>931</v>
      </c>
      <c r="T1184">
        <f>ROUND(tbl_working_daily[[#This Row],[SedentaryMinutes]]/60,2)</f>
        <v>11.18</v>
      </c>
      <c r="U1184" t="str" cm="1">
        <f t="array" ref="U118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84" t="str" cm="1">
        <f t="array" ref="V1184">_xlfn.IFS(tbl_working_daily[[#This Row],[VeryActiveMinutes]]&gt;=30,"Very Active",tbl_working_daily[[#This Row],[VeryActiveMinutes]]&gt;=15,"Moderately Active",tbl_working_daily[[#This Row],[VeryActiveMinutes]]&gt;=1,"Lightly Active",tbl_working_daily[[#This Row],[VeryActiveMinutes]]=0,"Sedentary")</f>
        <v>Very Active</v>
      </c>
      <c r="W1184" t="str">
        <f>tbl_working_daily[[#This Row],[Id]]&amp;"|"&amp;TEXT(tbl_working_daily[[#This Row],[ActivityDate]],"yyyy-mm-dd")</f>
        <v>7086361926|2016-04-19</v>
      </c>
      <c r="X1184" t="b">
        <f>ISNUMBER(MATCH(tbl_working_daily[[#This Row],[LookupKey]],tbl_working_sleep[LookupKey],0))</f>
        <v>1</v>
      </c>
    </row>
    <row r="1185" spans="1:24" x14ac:dyDescent="0.3">
      <c r="A1185">
        <v>7086361926</v>
      </c>
      <c r="B1185" s="1">
        <v>42480</v>
      </c>
      <c r="C1185">
        <v>14365</v>
      </c>
      <c r="D1185">
        <v>10.6400003433228</v>
      </c>
      <c r="E1185">
        <v>10.6400003433228</v>
      </c>
      <c r="F1185">
        <v>0</v>
      </c>
      <c r="G1185">
        <v>7.6399998664856001</v>
      </c>
      <c r="H1185">
        <v>0.44999998807907099</v>
      </c>
      <c r="I1185">
        <v>2.53999996185303</v>
      </c>
      <c r="J1185">
        <v>0</v>
      </c>
      <c r="K1185">
        <v>87</v>
      </c>
      <c r="L1185">
        <v>13</v>
      </c>
      <c r="M1185">
        <v>145</v>
      </c>
      <c r="N1185">
        <v>797</v>
      </c>
      <c r="O1185">
        <v>2997</v>
      </c>
      <c r="P1185" t="str">
        <f>TEXT(tbl_working_daily[[#This Row],[ActivityDate]],"dddd")</f>
        <v>Wednesday</v>
      </c>
      <c r="Q1185" t="str">
        <f>TEXT(tbl_working_daily[[#This Row],[ActivityDate]],"mmmm")</f>
        <v>April</v>
      </c>
      <c r="R1185">
        <f t="shared" si="36"/>
        <v>245</v>
      </c>
      <c r="S1185">
        <f t="shared" si="37"/>
        <v>1042</v>
      </c>
      <c r="T1185">
        <f>ROUND(tbl_working_daily[[#This Row],[SedentaryMinutes]]/60,2)</f>
        <v>13.28</v>
      </c>
      <c r="U1185" t="str" cm="1">
        <f t="array" ref="U118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85" t="str" cm="1">
        <f t="array" ref="V1185">_xlfn.IFS(tbl_working_daily[[#This Row],[VeryActiveMinutes]]&gt;=30,"Very Active",tbl_working_daily[[#This Row],[VeryActiveMinutes]]&gt;=15,"Moderately Active",tbl_working_daily[[#This Row],[VeryActiveMinutes]]&gt;=1,"Lightly Active",tbl_working_daily[[#This Row],[VeryActiveMinutes]]=0,"Sedentary")</f>
        <v>Very Active</v>
      </c>
      <c r="W1185" t="str">
        <f>tbl_working_daily[[#This Row],[Id]]&amp;"|"&amp;TEXT(tbl_working_daily[[#This Row],[ActivityDate]],"yyyy-mm-dd")</f>
        <v>7086361926|2016-04-20</v>
      </c>
      <c r="X1185" t="b">
        <f>ISNUMBER(MATCH(tbl_working_daily[[#This Row],[LookupKey]],tbl_working_sleep[LookupKey],0))</f>
        <v>1</v>
      </c>
    </row>
    <row r="1186" spans="1:24" x14ac:dyDescent="0.3">
      <c r="A1186">
        <v>7086361926</v>
      </c>
      <c r="B1186" s="1">
        <v>42481</v>
      </c>
      <c r="C1186">
        <v>9469</v>
      </c>
      <c r="D1186">
        <v>6.1799998283386204</v>
      </c>
      <c r="E1186">
        <v>6.1799998283386204</v>
      </c>
      <c r="F1186">
        <v>0</v>
      </c>
      <c r="G1186">
        <v>1.3600000143051101</v>
      </c>
      <c r="H1186">
        <v>0.30000001192092901</v>
      </c>
      <c r="I1186">
        <v>4.5100002288818404</v>
      </c>
      <c r="J1186">
        <v>0</v>
      </c>
      <c r="K1186">
        <v>19</v>
      </c>
      <c r="L1186">
        <v>6</v>
      </c>
      <c r="M1186">
        <v>206</v>
      </c>
      <c r="N1186">
        <v>758</v>
      </c>
      <c r="O1186">
        <v>2463</v>
      </c>
      <c r="P1186" t="str">
        <f>TEXT(tbl_working_daily[[#This Row],[ActivityDate]],"dddd")</f>
        <v>Thursday</v>
      </c>
      <c r="Q1186" t="str">
        <f>TEXT(tbl_working_daily[[#This Row],[ActivityDate]],"mmmm")</f>
        <v>April</v>
      </c>
      <c r="R1186">
        <f t="shared" si="36"/>
        <v>231</v>
      </c>
      <c r="S1186">
        <f t="shared" si="37"/>
        <v>989</v>
      </c>
      <c r="T1186">
        <f>ROUND(tbl_working_daily[[#This Row],[SedentaryMinutes]]/60,2)</f>
        <v>12.63</v>
      </c>
      <c r="U1186" t="str" cm="1">
        <f t="array" ref="U118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86" t="str" cm="1">
        <f t="array" ref="V1186">_xlfn.IFS(tbl_working_daily[[#This Row],[VeryActiveMinutes]]&gt;=30,"Very Active",tbl_working_daily[[#This Row],[VeryActiveMinutes]]&gt;=15,"Moderately Active",tbl_working_daily[[#This Row],[VeryActiveMinutes]]&gt;=1,"Lightly Active",tbl_working_daily[[#This Row],[VeryActiveMinutes]]=0,"Sedentary")</f>
        <v>Moderately Active</v>
      </c>
      <c r="W1186" t="str">
        <f>tbl_working_daily[[#This Row],[Id]]&amp;"|"&amp;TEXT(tbl_working_daily[[#This Row],[ActivityDate]],"yyyy-mm-dd")</f>
        <v>7086361926|2016-04-21</v>
      </c>
      <c r="X1186" t="b">
        <f>ISNUMBER(MATCH(tbl_working_daily[[#This Row],[LookupKey]],tbl_working_sleep[LookupKey],0))</f>
        <v>1</v>
      </c>
    </row>
    <row r="1187" spans="1:24" x14ac:dyDescent="0.3">
      <c r="A1187">
        <v>7086361926</v>
      </c>
      <c r="B1187" s="1">
        <v>42482</v>
      </c>
      <c r="C1187">
        <v>9753</v>
      </c>
      <c r="D1187">
        <v>6.5300002098083496</v>
      </c>
      <c r="E1187">
        <v>6.5300002098083496</v>
      </c>
      <c r="F1187">
        <v>0</v>
      </c>
      <c r="G1187">
        <v>2.8699998855590798</v>
      </c>
      <c r="H1187">
        <v>0.97000002861022905</v>
      </c>
      <c r="I1187">
        <v>2.6700000762939502</v>
      </c>
      <c r="J1187">
        <v>0</v>
      </c>
      <c r="K1187">
        <v>58</v>
      </c>
      <c r="L1187">
        <v>59</v>
      </c>
      <c r="M1187">
        <v>153</v>
      </c>
      <c r="N1187">
        <v>762</v>
      </c>
      <c r="O1187">
        <v>2846</v>
      </c>
      <c r="P1187" t="str">
        <f>TEXT(tbl_working_daily[[#This Row],[ActivityDate]],"dddd")</f>
        <v>Friday</v>
      </c>
      <c r="Q1187" t="str">
        <f>TEXT(tbl_working_daily[[#This Row],[ActivityDate]],"mmmm")</f>
        <v>April</v>
      </c>
      <c r="R1187">
        <f t="shared" si="36"/>
        <v>270</v>
      </c>
      <c r="S1187">
        <f t="shared" si="37"/>
        <v>1032</v>
      </c>
      <c r="T1187">
        <f>ROUND(tbl_working_daily[[#This Row],[SedentaryMinutes]]/60,2)</f>
        <v>12.7</v>
      </c>
      <c r="U1187" t="str" cm="1">
        <f t="array" ref="U118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87" t="str" cm="1">
        <f t="array" ref="V1187">_xlfn.IFS(tbl_working_daily[[#This Row],[VeryActiveMinutes]]&gt;=30,"Very Active",tbl_working_daily[[#This Row],[VeryActiveMinutes]]&gt;=15,"Moderately Active",tbl_working_daily[[#This Row],[VeryActiveMinutes]]&gt;=1,"Lightly Active",tbl_working_daily[[#This Row],[VeryActiveMinutes]]=0,"Sedentary")</f>
        <v>Very Active</v>
      </c>
      <c r="W1187" t="str">
        <f>tbl_working_daily[[#This Row],[Id]]&amp;"|"&amp;TEXT(tbl_working_daily[[#This Row],[ActivityDate]],"yyyy-mm-dd")</f>
        <v>7086361926|2016-04-22</v>
      </c>
      <c r="X1187" t="b">
        <f>ISNUMBER(MATCH(tbl_working_daily[[#This Row],[LookupKey]],tbl_working_sleep[LookupKey],0))</f>
        <v>1</v>
      </c>
    </row>
    <row r="1188" spans="1:24" x14ac:dyDescent="0.3">
      <c r="A1188">
        <v>7086361926</v>
      </c>
      <c r="B1188" s="1">
        <v>42483</v>
      </c>
      <c r="C1188">
        <v>2817</v>
      </c>
      <c r="D1188">
        <v>1.8099999427795399</v>
      </c>
      <c r="E1188">
        <v>1.8099999427795399</v>
      </c>
      <c r="F1188">
        <v>0</v>
      </c>
      <c r="G1188">
        <v>0</v>
      </c>
      <c r="H1188">
        <v>0</v>
      </c>
      <c r="I1188">
        <v>1.79999995231628</v>
      </c>
      <c r="J1188">
        <v>0</v>
      </c>
      <c r="K1188">
        <v>0</v>
      </c>
      <c r="L1188">
        <v>0</v>
      </c>
      <c r="M1188">
        <v>90</v>
      </c>
      <c r="N1188">
        <v>1350</v>
      </c>
      <c r="O1188">
        <v>1965</v>
      </c>
      <c r="P1188" t="str">
        <f>TEXT(tbl_working_daily[[#This Row],[ActivityDate]],"dddd")</f>
        <v>Saturday</v>
      </c>
      <c r="Q1188" t="str">
        <f>TEXT(tbl_working_daily[[#This Row],[ActivityDate]],"mmmm")</f>
        <v>April</v>
      </c>
      <c r="R1188">
        <f t="shared" si="36"/>
        <v>90</v>
      </c>
      <c r="S1188">
        <f t="shared" si="37"/>
        <v>1440</v>
      </c>
      <c r="T1188">
        <f>ROUND(tbl_working_daily[[#This Row],[SedentaryMinutes]]/60,2)</f>
        <v>22.5</v>
      </c>
      <c r="U1188" t="str" cm="1">
        <f t="array" ref="U11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88" t="str" cm="1">
        <f t="array" ref="V1188">_xlfn.IFS(tbl_working_daily[[#This Row],[VeryActiveMinutes]]&gt;=30,"Very Active",tbl_working_daily[[#This Row],[VeryActiveMinutes]]&gt;=15,"Moderately Active",tbl_working_daily[[#This Row],[VeryActiveMinutes]]&gt;=1,"Lightly Active",tbl_working_daily[[#This Row],[VeryActiveMinutes]]=0,"Sedentary")</f>
        <v>Sedentary</v>
      </c>
      <c r="W1188" t="str">
        <f>tbl_working_daily[[#This Row],[Id]]&amp;"|"&amp;TEXT(tbl_working_daily[[#This Row],[ActivityDate]],"yyyy-mm-dd")</f>
        <v>7086361926|2016-04-23</v>
      </c>
      <c r="X1188" t="b">
        <f>ISNUMBER(MATCH(tbl_working_daily[[#This Row],[LookupKey]],tbl_working_sleep[LookupKey],0))</f>
        <v>0</v>
      </c>
    </row>
    <row r="1189" spans="1:24" x14ac:dyDescent="0.3">
      <c r="A1189">
        <v>7086361926</v>
      </c>
      <c r="B1189" s="1">
        <v>42484</v>
      </c>
      <c r="C1189">
        <v>3520</v>
      </c>
      <c r="D1189">
        <v>2.1600000858306898</v>
      </c>
      <c r="E1189">
        <v>2.1600000858306898</v>
      </c>
      <c r="F1189">
        <v>0</v>
      </c>
      <c r="G1189">
        <v>0</v>
      </c>
      <c r="H1189">
        <v>0</v>
      </c>
      <c r="I1189">
        <v>2.1500000953674299</v>
      </c>
      <c r="J1189">
        <v>0</v>
      </c>
      <c r="K1189">
        <v>0</v>
      </c>
      <c r="L1189">
        <v>0</v>
      </c>
      <c r="M1189">
        <v>125</v>
      </c>
      <c r="N1189">
        <v>566</v>
      </c>
      <c r="O1189">
        <v>2049</v>
      </c>
      <c r="P1189" t="str">
        <f>TEXT(tbl_working_daily[[#This Row],[ActivityDate]],"dddd")</f>
        <v>Sunday</v>
      </c>
      <c r="Q1189" t="str">
        <f>TEXT(tbl_working_daily[[#This Row],[ActivityDate]],"mmmm")</f>
        <v>April</v>
      </c>
      <c r="R1189">
        <f t="shared" si="36"/>
        <v>125</v>
      </c>
      <c r="S1189">
        <f t="shared" si="37"/>
        <v>691</v>
      </c>
      <c r="T1189">
        <f>ROUND(tbl_working_daily[[#This Row],[SedentaryMinutes]]/60,2)</f>
        <v>9.43</v>
      </c>
      <c r="U1189" t="str" cm="1">
        <f t="array" ref="U118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189" t="str" cm="1">
        <f t="array" ref="V1189">_xlfn.IFS(tbl_working_daily[[#This Row],[VeryActiveMinutes]]&gt;=30,"Very Active",tbl_working_daily[[#This Row],[VeryActiveMinutes]]&gt;=15,"Moderately Active",tbl_working_daily[[#This Row],[VeryActiveMinutes]]&gt;=1,"Lightly Active",tbl_working_daily[[#This Row],[VeryActiveMinutes]]=0,"Sedentary")</f>
        <v>Sedentary</v>
      </c>
      <c r="W1189" t="str">
        <f>tbl_working_daily[[#This Row],[Id]]&amp;"|"&amp;TEXT(tbl_working_daily[[#This Row],[ActivityDate]],"yyyy-mm-dd")</f>
        <v>7086361926|2016-04-24</v>
      </c>
      <c r="X1189" t="b">
        <f>ISNUMBER(MATCH(tbl_working_daily[[#This Row],[LookupKey]],tbl_working_sleep[LookupKey],0))</f>
        <v>1</v>
      </c>
    </row>
    <row r="1190" spans="1:24" x14ac:dyDescent="0.3">
      <c r="A1190">
        <v>7086361926</v>
      </c>
      <c r="B1190" s="1">
        <v>42485</v>
      </c>
      <c r="C1190">
        <v>10091</v>
      </c>
      <c r="D1190">
        <v>6.8200001716613796</v>
      </c>
      <c r="E1190">
        <v>6.8200001716613796</v>
      </c>
      <c r="F1190">
        <v>0</v>
      </c>
      <c r="G1190">
        <v>3.75</v>
      </c>
      <c r="H1190">
        <v>0.69999998807907104</v>
      </c>
      <c r="I1190">
        <v>2.3699998855590798</v>
      </c>
      <c r="J1190">
        <v>0</v>
      </c>
      <c r="K1190">
        <v>69</v>
      </c>
      <c r="L1190">
        <v>39</v>
      </c>
      <c r="M1190">
        <v>129</v>
      </c>
      <c r="N1190">
        <v>706</v>
      </c>
      <c r="O1190">
        <v>2752</v>
      </c>
      <c r="P1190" t="str">
        <f>TEXT(tbl_working_daily[[#This Row],[ActivityDate]],"dddd")</f>
        <v>Monday</v>
      </c>
      <c r="Q1190" t="str">
        <f>TEXT(tbl_working_daily[[#This Row],[ActivityDate]],"mmmm")</f>
        <v>April</v>
      </c>
      <c r="R1190">
        <f t="shared" si="36"/>
        <v>237</v>
      </c>
      <c r="S1190">
        <f t="shared" si="37"/>
        <v>943</v>
      </c>
      <c r="T1190">
        <f>ROUND(tbl_working_daily[[#This Row],[SedentaryMinutes]]/60,2)</f>
        <v>11.77</v>
      </c>
      <c r="U1190" t="str" cm="1">
        <f t="array" ref="U119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0" t="str" cm="1">
        <f t="array" ref="V1190">_xlfn.IFS(tbl_working_daily[[#This Row],[VeryActiveMinutes]]&gt;=30,"Very Active",tbl_working_daily[[#This Row],[VeryActiveMinutes]]&gt;=15,"Moderately Active",tbl_working_daily[[#This Row],[VeryActiveMinutes]]&gt;=1,"Lightly Active",tbl_working_daily[[#This Row],[VeryActiveMinutes]]=0,"Sedentary")</f>
        <v>Very Active</v>
      </c>
      <c r="W1190" t="str">
        <f>tbl_working_daily[[#This Row],[Id]]&amp;"|"&amp;TEXT(tbl_working_daily[[#This Row],[ActivityDate]],"yyyy-mm-dd")</f>
        <v>7086361926|2016-04-25</v>
      </c>
      <c r="X1190" t="b">
        <f>ISNUMBER(MATCH(tbl_working_daily[[#This Row],[LookupKey]],tbl_working_sleep[LookupKey],0))</f>
        <v>1</v>
      </c>
    </row>
    <row r="1191" spans="1:24" x14ac:dyDescent="0.3">
      <c r="A1191">
        <v>7086361926</v>
      </c>
      <c r="B1191" s="1">
        <v>42486</v>
      </c>
      <c r="C1191">
        <v>10387</v>
      </c>
      <c r="D1191">
        <v>7.0700001716613796</v>
      </c>
      <c r="E1191">
        <v>7.0700001716613796</v>
      </c>
      <c r="F1191">
        <v>0</v>
      </c>
      <c r="G1191">
        <v>4.1599998474121103</v>
      </c>
      <c r="H1191">
        <v>0.769999980926514</v>
      </c>
      <c r="I1191">
        <v>2.1199998855590798</v>
      </c>
      <c r="J1191">
        <v>0</v>
      </c>
      <c r="K1191">
        <v>70</v>
      </c>
      <c r="L1191">
        <v>33</v>
      </c>
      <c r="M1191">
        <v>132</v>
      </c>
      <c r="N1191">
        <v>726</v>
      </c>
      <c r="O1191">
        <v>2781</v>
      </c>
      <c r="P1191" t="str">
        <f>TEXT(tbl_working_daily[[#This Row],[ActivityDate]],"dddd")</f>
        <v>Tuesday</v>
      </c>
      <c r="Q1191" t="str">
        <f>TEXT(tbl_working_daily[[#This Row],[ActivityDate]],"mmmm")</f>
        <v>April</v>
      </c>
      <c r="R1191">
        <f t="shared" si="36"/>
        <v>235</v>
      </c>
      <c r="S1191">
        <f t="shared" si="37"/>
        <v>961</v>
      </c>
      <c r="T1191">
        <f>ROUND(tbl_working_daily[[#This Row],[SedentaryMinutes]]/60,2)</f>
        <v>12.1</v>
      </c>
      <c r="U1191" t="str" cm="1">
        <f t="array" ref="U119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1" t="str" cm="1">
        <f t="array" ref="V1191">_xlfn.IFS(tbl_working_daily[[#This Row],[VeryActiveMinutes]]&gt;=30,"Very Active",tbl_working_daily[[#This Row],[VeryActiveMinutes]]&gt;=15,"Moderately Active",tbl_working_daily[[#This Row],[VeryActiveMinutes]]&gt;=1,"Lightly Active",tbl_working_daily[[#This Row],[VeryActiveMinutes]]=0,"Sedentary")</f>
        <v>Very Active</v>
      </c>
      <c r="W1191" t="str">
        <f>tbl_working_daily[[#This Row],[Id]]&amp;"|"&amp;TEXT(tbl_working_daily[[#This Row],[ActivityDate]],"yyyy-mm-dd")</f>
        <v>7086361926|2016-04-26</v>
      </c>
      <c r="X1191" t="b">
        <f>ISNUMBER(MATCH(tbl_working_daily[[#This Row],[LookupKey]],tbl_working_sleep[LookupKey],0))</f>
        <v>1</v>
      </c>
    </row>
    <row r="1192" spans="1:24" x14ac:dyDescent="0.3">
      <c r="A1192">
        <v>7086361926</v>
      </c>
      <c r="B1192" s="1">
        <v>42487</v>
      </c>
      <c r="C1192">
        <v>11107</v>
      </c>
      <c r="D1192">
        <v>8.3400001525878906</v>
      </c>
      <c r="E1192">
        <v>8.3400001525878906</v>
      </c>
      <c r="F1192">
        <v>0</v>
      </c>
      <c r="G1192">
        <v>5.6300001144409197</v>
      </c>
      <c r="H1192">
        <v>0.18000000715255701</v>
      </c>
      <c r="I1192">
        <v>2.5299999713897701</v>
      </c>
      <c r="J1192">
        <v>0</v>
      </c>
      <c r="K1192">
        <v>55</v>
      </c>
      <c r="L1192">
        <v>6</v>
      </c>
      <c r="M1192">
        <v>145</v>
      </c>
      <c r="N1192">
        <v>829</v>
      </c>
      <c r="O1192">
        <v>2693</v>
      </c>
      <c r="P1192" t="str">
        <f>TEXT(tbl_working_daily[[#This Row],[ActivityDate]],"dddd")</f>
        <v>Wednesday</v>
      </c>
      <c r="Q1192" t="str">
        <f>TEXT(tbl_working_daily[[#This Row],[ActivityDate]],"mmmm")</f>
        <v>April</v>
      </c>
      <c r="R1192">
        <f t="shared" si="36"/>
        <v>206</v>
      </c>
      <c r="S1192">
        <f t="shared" si="37"/>
        <v>1035</v>
      </c>
      <c r="T1192">
        <f>ROUND(tbl_working_daily[[#This Row],[SedentaryMinutes]]/60,2)</f>
        <v>13.82</v>
      </c>
      <c r="U1192" t="str" cm="1">
        <f t="array" ref="U119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2" t="str" cm="1">
        <f t="array" ref="V1192">_xlfn.IFS(tbl_working_daily[[#This Row],[VeryActiveMinutes]]&gt;=30,"Very Active",tbl_working_daily[[#This Row],[VeryActiveMinutes]]&gt;=15,"Moderately Active",tbl_working_daily[[#This Row],[VeryActiveMinutes]]&gt;=1,"Lightly Active",tbl_working_daily[[#This Row],[VeryActiveMinutes]]=0,"Sedentary")</f>
        <v>Very Active</v>
      </c>
      <c r="W1192" t="str">
        <f>tbl_working_daily[[#This Row],[Id]]&amp;"|"&amp;TEXT(tbl_working_daily[[#This Row],[ActivityDate]],"yyyy-mm-dd")</f>
        <v>7086361926|2016-04-27</v>
      </c>
      <c r="X1192" t="b">
        <f>ISNUMBER(MATCH(tbl_working_daily[[#This Row],[LookupKey]],tbl_working_sleep[LookupKey],0))</f>
        <v>1</v>
      </c>
    </row>
    <row r="1193" spans="1:24" x14ac:dyDescent="0.3">
      <c r="A1193">
        <v>7086361926</v>
      </c>
      <c r="B1193" s="1">
        <v>42488</v>
      </c>
      <c r="C1193">
        <v>11584</v>
      </c>
      <c r="D1193">
        <v>7.8000001907348597</v>
      </c>
      <c r="E1193">
        <v>7.8000001907348597</v>
      </c>
      <c r="F1193">
        <v>0</v>
      </c>
      <c r="G1193">
        <v>2.78999996185303</v>
      </c>
      <c r="H1193">
        <v>1.6399999856948899</v>
      </c>
      <c r="I1193">
        <v>3.3599998950958301</v>
      </c>
      <c r="J1193">
        <v>0</v>
      </c>
      <c r="K1193">
        <v>54</v>
      </c>
      <c r="L1193">
        <v>48</v>
      </c>
      <c r="M1193">
        <v>161</v>
      </c>
      <c r="N1193">
        <v>810</v>
      </c>
      <c r="O1193">
        <v>2862</v>
      </c>
      <c r="P1193" t="str">
        <f>TEXT(tbl_working_daily[[#This Row],[ActivityDate]],"dddd")</f>
        <v>Thursday</v>
      </c>
      <c r="Q1193" t="str">
        <f>TEXT(tbl_working_daily[[#This Row],[ActivityDate]],"mmmm")</f>
        <v>April</v>
      </c>
      <c r="R1193">
        <f t="shared" si="36"/>
        <v>263</v>
      </c>
      <c r="S1193">
        <f t="shared" si="37"/>
        <v>1073</v>
      </c>
      <c r="T1193">
        <f>ROUND(tbl_working_daily[[#This Row],[SedentaryMinutes]]/60,2)</f>
        <v>13.5</v>
      </c>
      <c r="U1193" t="str" cm="1">
        <f t="array" ref="U119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3" t="str" cm="1">
        <f t="array" ref="V1193">_xlfn.IFS(tbl_working_daily[[#This Row],[VeryActiveMinutes]]&gt;=30,"Very Active",tbl_working_daily[[#This Row],[VeryActiveMinutes]]&gt;=15,"Moderately Active",tbl_working_daily[[#This Row],[VeryActiveMinutes]]&gt;=1,"Lightly Active",tbl_working_daily[[#This Row],[VeryActiveMinutes]]=0,"Sedentary")</f>
        <v>Very Active</v>
      </c>
      <c r="W1193" t="str">
        <f>tbl_working_daily[[#This Row],[Id]]&amp;"|"&amp;TEXT(tbl_working_daily[[#This Row],[ActivityDate]],"yyyy-mm-dd")</f>
        <v>7086361926|2016-04-28</v>
      </c>
      <c r="X1193" t="b">
        <f>ISNUMBER(MATCH(tbl_working_daily[[#This Row],[LookupKey]],tbl_working_sleep[LookupKey],0))</f>
        <v>1</v>
      </c>
    </row>
    <row r="1194" spans="1:24" x14ac:dyDescent="0.3">
      <c r="A1194">
        <v>7086361926</v>
      </c>
      <c r="B1194" s="1">
        <v>42489</v>
      </c>
      <c r="C1194">
        <v>7881</v>
      </c>
      <c r="D1194">
        <v>4.9499998092651403</v>
      </c>
      <c r="E1194">
        <v>4.9499998092651403</v>
      </c>
      <c r="F1194">
        <v>0</v>
      </c>
      <c r="G1194">
        <v>0.490000009536743</v>
      </c>
      <c r="H1194">
        <v>0.44999998807907099</v>
      </c>
      <c r="I1194">
        <v>4</v>
      </c>
      <c r="J1194">
        <v>0</v>
      </c>
      <c r="K1194">
        <v>24</v>
      </c>
      <c r="L1194">
        <v>36</v>
      </c>
      <c r="M1194">
        <v>182</v>
      </c>
      <c r="N1194">
        <v>1198</v>
      </c>
      <c r="O1194">
        <v>2616</v>
      </c>
      <c r="P1194" t="str">
        <f>TEXT(tbl_working_daily[[#This Row],[ActivityDate]],"dddd")</f>
        <v>Friday</v>
      </c>
      <c r="Q1194" t="str">
        <f>TEXT(tbl_working_daily[[#This Row],[ActivityDate]],"mmmm")</f>
        <v>April</v>
      </c>
      <c r="R1194">
        <f t="shared" si="36"/>
        <v>242</v>
      </c>
      <c r="S1194">
        <f t="shared" si="37"/>
        <v>1440</v>
      </c>
      <c r="T1194">
        <f>ROUND(tbl_working_daily[[#This Row],[SedentaryMinutes]]/60,2)</f>
        <v>19.97</v>
      </c>
      <c r="U1194" t="str" cm="1">
        <f t="array" ref="U119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194" t="str" cm="1">
        <f t="array" ref="V1194">_xlfn.IFS(tbl_working_daily[[#This Row],[VeryActiveMinutes]]&gt;=30,"Very Active",tbl_working_daily[[#This Row],[VeryActiveMinutes]]&gt;=15,"Moderately Active",tbl_working_daily[[#This Row],[VeryActiveMinutes]]&gt;=1,"Lightly Active",tbl_working_daily[[#This Row],[VeryActiveMinutes]]=0,"Sedentary")</f>
        <v>Moderately Active</v>
      </c>
      <c r="W1194" t="str">
        <f>tbl_working_daily[[#This Row],[Id]]&amp;"|"&amp;TEXT(tbl_working_daily[[#This Row],[ActivityDate]],"yyyy-mm-dd")</f>
        <v>7086361926|2016-04-29</v>
      </c>
      <c r="X1194" t="b">
        <f>ISNUMBER(MATCH(tbl_working_daily[[#This Row],[LookupKey]],tbl_working_sleep[LookupKey],0))</f>
        <v>0</v>
      </c>
    </row>
    <row r="1195" spans="1:24" x14ac:dyDescent="0.3">
      <c r="A1195">
        <v>7086361926</v>
      </c>
      <c r="B1195" s="1">
        <v>42490</v>
      </c>
      <c r="C1195">
        <v>14560</v>
      </c>
      <c r="D1195">
        <v>9.4099998474121094</v>
      </c>
      <c r="E1195">
        <v>9.4099998474121094</v>
      </c>
      <c r="F1195">
        <v>0</v>
      </c>
      <c r="G1195">
        <v>3.1199998855590798</v>
      </c>
      <c r="H1195">
        <v>1.03999996185303</v>
      </c>
      <c r="I1195">
        <v>5.2399997711181596</v>
      </c>
      <c r="J1195">
        <v>0</v>
      </c>
      <c r="K1195">
        <v>42</v>
      </c>
      <c r="L1195">
        <v>17</v>
      </c>
      <c r="M1195">
        <v>308</v>
      </c>
      <c r="N1195">
        <v>584</v>
      </c>
      <c r="O1195">
        <v>2995</v>
      </c>
      <c r="P1195" t="str">
        <f>TEXT(tbl_working_daily[[#This Row],[ActivityDate]],"dddd")</f>
        <v>Saturday</v>
      </c>
      <c r="Q1195" t="str">
        <f>TEXT(tbl_working_daily[[#This Row],[ActivityDate]],"mmmm")</f>
        <v>April</v>
      </c>
      <c r="R1195">
        <f t="shared" si="36"/>
        <v>367</v>
      </c>
      <c r="S1195">
        <f t="shared" si="37"/>
        <v>951</v>
      </c>
      <c r="T1195">
        <f>ROUND(tbl_working_daily[[#This Row],[SedentaryMinutes]]/60,2)</f>
        <v>9.73</v>
      </c>
      <c r="U1195" t="str" cm="1">
        <f t="array" ref="U119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195" t="str" cm="1">
        <f t="array" ref="V1195">_xlfn.IFS(tbl_working_daily[[#This Row],[VeryActiveMinutes]]&gt;=30,"Very Active",tbl_working_daily[[#This Row],[VeryActiveMinutes]]&gt;=15,"Moderately Active",tbl_working_daily[[#This Row],[VeryActiveMinutes]]&gt;=1,"Lightly Active",tbl_working_daily[[#This Row],[VeryActiveMinutes]]=0,"Sedentary")</f>
        <v>Very Active</v>
      </c>
      <c r="W1195" t="str">
        <f>tbl_working_daily[[#This Row],[Id]]&amp;"|"&amp;TEXT(tbl_working_daily[[#This Row],[ActivityDate]],"yyyy-mm-dd")</f>
        <v>7086361926|2016-04-30</v>
      </c>
      <c r="X1195" t="b">
        <f>ISNUMBER(MATCH(tbl_working_daily[[#This Row],[LookupKey]],tbl_working_sleep[LookupKey],0))</f>
        <v>1</v>
      </c>
    </row>
    <row r="1196" spans="1:24" x14ac:dyDescent="0.3">
      <c r="A1196">
        <v>7086361926</v>
      </c>
      <c r="B1196" s="1">
        <v>42491</v>
      </c>
      <c r="C1196">
        <v>12390</v>
      </c>
      <c r="D1196">
        <v>8.0699996948242205</v>
      </c>
      <c r="E1196">
        <v>8.0699996948242205</v>
      </c>
      <c r="F1196">
        <v>0</v>
      </c>
      <c r="G1196">
        <v>2.2999999523162802</v>
      </c>
      <c r="H1196">
        <v>0.89999997615814198</v>
      </c>
      <c r="I1196">
        <v>4.8499999046325701</v>
      </c>
      <c r="J1196">
        <v>0</v>
      </c>
      <c r="K1196">
        <v>30</v>
      </c>
      <c r="L1196">
        <v>15</v>
      </c>
      <c r="M1196">
        <v>258</v>
      </c>
      <c r="N1196">
        <v>685</v>
      </c>
      <c r="O1196">
        <v>2730</v>
      </c>
      <c r="P1196" t="str">
        <f>TEXT(tbl_working_daily[[#This Row],[ActivityDate]],"dddd")</f>
        <v>Sunday</v>
      </c>
      <c r="Q1196" t="str">
        <f>TEXT(tbl_working_daily[[#This Row],[ActivityDate]],"mmmm")</f>
        <v>May</v>
      </c>
      <c r="R1196">
        <f t="shared" si="36"/>
        <v>303</v>
      </c>
      <c r="S1196">
        <f t="shared" si="37"/>
        <v>988</v>
      </c>
      <c r="T1196">
        <f>ROUND(tbl_working_daily[[#This Row],[SedentaryMinutes]]/60,2)</f>
        <v>11.42</v>
      </c>
      <c r="U1196" t="str" cm="1">
        <f t="array" ref="U119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6" t="str" cm="1">
        <f t="array" ref="V1196">_xlfn.IFS(tbl_working_daily[[#This Row],[VeryActiveMinutes]]&gt;=30,"Very Active",tbl_working_daily[[#This Row],[VeryActiveMinutes]]&gt;=15,"Moderately Active",tbl_working_daily[[#This Row],[VeryActiveMinutes]]&gt;=1,"Lightly Active",tbl_working_daily[[#This Row],[VeryActiveMinutes]]=0,"Sedentary")</f>
        <v>Very Active</v>
      </c>
      <c r="W1196" t="str">
        <f>tbl_working_daily[[#This Row],[Id]]&amp;"|"&amp;TEXT(tbl_working_daily[[#This Row],[ActivityDate]],"yyyy-mm-dd")</f>
        <v>7086361926|2016-05-01</v>
      </c>
      <c r="X1196" t="b">
        <f>ISNUMBER(MATCH(tbl_working_daily[[#This Row],[LookupKey]],tbl_working_sleep[LookupKey],0))</f>
        <v>1</v>
      </c>
    </row>
    <row r="1197" spans="1:24" x14ac:dyDescent="0.3">
      <c r="A1197">
        <v>7086361926</v>
      </c>
      <c r="B1197" s="1">
        <v>42492</v>
      </c>
      <c r="C1197">
        <v>10052</v>
      </c>
      <c r="D1197">
        <v>6.8099999427795401</v>
      </c>
      <c r="E1197">
        <v>6.8099999427795401</v>
      </c>
      <c r="F1197">
        <v>0</v>
      </c>
      <c r="G1197">
        <v>3.4800000190734899</v>
      </c>
      <c r="H1197">
        <v>0.66000002622604403</v>
      </c>
      <c r="I1197">
        <v>2.6600000858306898</v>
      </c>
      <c r="J1197">
        <v>0</v>
      </c>
      <c r="K1197">
        <v>66</v>
      </c>
      <c r="L1197">
        <v>26</v>
      </c>
      <c r="M1197">
        <v>139</v>
      </c>
      <c r="N1197">
        <v>737</v>
      </c>
      <c r="O1197">
        <v>2754</v>
      </c>
      <c r="P1197" t="str">
        <f>TEXT(tbl_working_daily[[#This Row],[ActivityDate]],"dddd")</f>
        <v>Monday</v>
      </c>
      <c r="Q1197" t="str">
        <f>TEXT(tbl_working_daily[[#This Row],[ActivityDate]],"mmmm")</f>
        <v>May</v>
      </c>
      <c r="R1197">
        <f t="shared" si="36"/>
        <v>231</v>
      </c>
      <c r="S1197">
        <f t="shared" si="37"/>
        <v>968</v>
      </c>
      <c r="T1197">
        <f>ROUND(tbl_working_daily[[#This Row],[SedentaryMinutes]]/60,2)</f>
        <v>12.28</v>
      </c>
      <c r="U1197" t="str" cm="1">
        <f t="array" ref="U119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7" t="str" cm="1">
        <f t="array" ref="V1197">_xlfn.IFS(tbl_working_daily[[#This Row],[VeryActiveMinutes]]&gt;=30,"Very Active",tbl_working_daily[[#This Row],[VeryActiveMinutes]]&gt;=15,"Moderately Active",tbl_working_daily[[#This Row],[VeryActiveMinutes]]&gt;=1,"Lightly Active",tbl_working_daily[[#This Row],[VeryActiveMinutes]]=0,"Sedentary")</f>
        <v>Very Active</v>
      </c>
      <c r="W1197" t="str">
        <f>tbl_working_daily[[#This Row],[Id]]&amp;"|"&amp;TEXT(tbl_working_daily[[#This Row],[ActivityDate]],"yyyy-mm-dd")</f>
        <v>7086361926|2016-05-02</v>
      </c>
      <c r="X1197" t="b">
        <f>ISNUMBER(MATCH(tbl_working_daily[[#This Row],[LookupKey]],tbl_working_sleep[LookupKey],0))</f>
        <v>1</v>
      </c>
    </row>
    <row r="1198" spans="1:24" x14ac:dyDescent="0.3">
      <c r="A1198">
        <v>7086361926</v>
      </c>
      <c r="B1198" s="1">
        <v>42493</v>
      </c>
      <c r="C1198">
        <v>10288</v>
      </c>
      <c r="D1198">
        <v>6.7600002288818404</v>
      </c>
      <c r="E1198">
        <v>6.7600002288818404</v>
      </c>
      <c r="F1198">
        <v>0</v>
      </c>
      <c r="G1198">
        <v>2.7400000095367401</v>
      </c>
      <c r="H1198">
        <v>0.85000002384185802</v>
      </c>
      <c r="I1198">
        <v>3.1600000858306898</v>
      </c>
      <c r="J1198">
        <v>0</v>
      </c>
      <c r="K1198">
        <v>57</v>
      </c>
      <c r="L1198">
        <v>36</v>
      </c>
      <c r="M1198">
        <v>152</v>
      </c>
      <c r="N1198">
        <v>761</v>
      </c>
      <c r="O1198">
        <v>2754</v>
      </c>
      <c r="P1198" t="str">
        <f>TEXT(tbl_working_daily[[#This Row],[ActivityDate]],"dddd")</f>
        <v>Tuesday</v>
      </c>
      <c r="Q1198" t="str">
        <f>TEXT(tbl_working_daily[[#This Row],[ActivityDate]],"mmmm")</f>
        <v>May</v>
      </c>
      <c r="R1198">
        <f t="shared" si="36"/>
        <v>245</v>
      </c>
      <c r="S1198">
        <f t="shared" si="37"/>
        <v>1006</v>
      </c>
      <c r="T1198">
        <f>ROUND(tbl_working_daily[[#This Row],[SedentaryMinutes]]/60,2)</f>
        <v>12.68</v>
      </c>
      <c r="U1198" t="str" cm="1">
        <f t="array" ref="U119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8" t="str" cm="1">
        <f t="array" ref="V1198">_xlfn.IFS(tbl_working_daily[[#This Row],[VeryActiveMinutes]]&gt;=30,"Very Active",tbl_working_daily[[#This Row],[VeryActiveMinutes]]&gt;=15,"Moderately Active",tbl_working_daily[[#This Row],[VeryActiveMinutes]]&gt;=1,"Lightly Active",tbl_working_daily[[#This Row],[VeryActiveMinutes]]=0,"Sedentary")</f>
        <v>Very Active</v>
      </c>
      <c r="W1198" t="str">
        <f>tbl_working_daily[[#This Row],[Id]]&amp;"|"&amp;TEXT(tbl_working_daily[[#This Row],[ActivityDate]],"yyyy-mm-dd")</f>
        <v>7086361926|2016-05-03</v>
      </c>
      <c r="X1198" t="b">
        <f>ISNUMBER(MATCH(tbl_working_daily[[#This Row],[LookupKey]],tbl_working_sleep[LookupKey],0))</f>
        <v>1</v>
      </c>
    </row>
    <row r="1199" spans="1:24" x14ac:dyDescent="0.3">
      <c r="A1199">
        <v>7086361926</v>
      </c>
      <c r="B1199" s="1">
        <v>42494</v>
      </c>
      <c r="C1199">
        <v>10988</v>
      </c>
      <c r="D1199">
        <v>8.3100004196166992</v>
      </c>
      <c r="E1199">
        <v>8.3100004196166992</v>
      </c>
      <c r="F1199">
        <v>0</v>
      </c>
      <c r="G1199">
        <v>5.2800002098083496</v>
      </c>
      <c r="H1199">
        <v>0.119999997317791</v>
      </c>
      <c r="I1199">
        <v>2.9000000953674299</v>
      </c>
      <c r="J1199">
        <v>0</v>
      </c>
      <c r="K1199">
        <v>45</v>
      </c>
      <c r="L1199">
        <v>12</v>
      </c>
      <c r="M1199">
        <v>135</v>
      </c>
      <c r="N1199">
        <v>843</v>
      </c>
      <c r="O1199">
        <v>2655</v>
      </c>
      <c r="P1199" t="str">
        <f>TEXT(tbl_working_daily[[#This Row],[ActivityDate]],"dddd")</f>
        <v>Wednesday</v>
      </c>
      <c r="Q1199" t="str">
        <f>TEXT(tbl_working_daily[[#This Row],[ActivityDate]],"mmmm")</f>
        <v>May</v>
      </c>
      <c r="R1199">
        <f t="shared" si="36"/>
        <v>192</v>
      </c>
      <c r="S1199">
        <f t="shared" si="37"/>
        <v>1035</v>
      </c>
      <c r="T1199">
        <f>ROUND(tbl_working_daily[[#This Row],[SedentaryMinutes]]/60,2)</f>
        <v>14.05</v>
      </c>
      <c r="U1199" t="str" cm="1">
        <f t="array" ref="U119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199" t="str" cm="1">
        <f t="array" ref="V1199">_xlfn.IFS(tbl_working_daily[[#This Row],[VeryActiveMinutes]]&gt;=30,"Very Active",tbl_working_daily[[#This Row],[VeryActiveMinutes]]&gt;=15,"Moderately Active",tbl_working_daily[[#This Row],[VeryActiveMinutes]]&gt;=1,"Lightly Active",tbl_working_daily[[#This Row],[VeryActiveMinutes]]=0,"Sedentary")</f>
        <v>Very Active</v>
      </c>
      <c r="W1199" t="str">
        <f>tbl_working_daily[[#This Row],[Id]]&amp;"|"&amp;TEXT(tbl_working_daily[[#This Row],[ActivityDate]],"yyyy-mm-dd")</f>
        <v>7086361926|2016-05-04</v>
      </c>
      <c r="X1199" t="b">
        <f>ISNUMBER(MATCH(tbl_working_daily[[#This Row],[LookupKey]],tbl_working_sleep[LookupKey],0))</f>
        <v>1</v>
      </c>
    </row>
    <row r="1200" spans="1:24" x14ac:dyDescent="0.3">
      <c r="A1200">
        <v>7086361926</v>
      </c>
      <c r="B1200" s="1">
        <v>42495</v>
      </c>
      <c r="C1200">
        <v>8564</v>
      </c>
      <c r="D1200">
        <v>5.5999999046325701</v>
      </c>
      <c r="E1200">
        <v>5.5999999046325701</v>
      </c>
      <c r="F1200">
        <v>0</v>
      </c>
      <c r="G1200">
        <v>1.7799999713897701</v>
      </c>
      <c r="H1200">
        <v>0.82999998331069902</v>
      </c>
      <c r="I1200">
        <v>2.9500000476837198</v>
      </c>
      <c r="J1200">
        <v>0</v>
      </c>
      <c r="K1200">
        <v>24</v>
      </c>
      <c r="L1200">
        <v>14</v>
      </c>
      <c r="M1200">
        <v>149</v>
      </c>
      <c r="N1200">
        <v>1253</v>
      </c>
      <c r="O1200">
        <v>2386</v>
      </c>
      <c r="P1200" t="str">
        <f>TEXT(tbl_working_daily[[#This Row],[ActivityDate]],"dddd")</f>
        <v>Thursday</v>
      </c>
      <c r="Q1200" t="str">
        <f>TEXT(tbl_working_daily[[#This Row],[ActivityDate]],"mmmm")</f>
        <v>May</v>
      </c>
      <c r="R1200">
        <f t="shared" si="36"/>
        <v>187</v>
      </c>
      <c r="S1200">
        <f t="shared" si="37"/>
        <v>1440</v>
      </c>
      <c r="T1200">
        <f>ROUND(tbl_working_daily[[#This Row],[SedentaryMinutes]]/60,2)</f>
        <v>20.88</v>
      </c>
      <c r="U1200" t="str" cm="1">
        <f t="array" ref="U1200">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00" t="str" cm="1">
        <f t="array" ref="V1200">_xlfn.IFS(tbl_working_daily[[#This Row],[VeryActiveMinutes]]&gt;=30,"Very Active",tbl_working_daily[[#This Row],[VeryActiveMinutes]]&gt;=15,"Moderately Active",tbl_working_daily[[#This Row],[VeryActiveMinutes]]&gt;=1,"Lightly Active",tbl_working_daily[[#This Row],[VeryActiveMinutes]]=0,"Sedentary")</f>
        <v>Moderately Active</v>
      </c>
      <c r="W1200" t="str">
        <f>tbl_working_daily[[#This Row],[Id]]&amp;"|"&amp;TEXT(tbl_working_daily[[#This Row],[ActivityDate]],"yyyy-mm-dd")</f>
        <v>7086361926|2016-05-05</v>
      </c>
      <c r="X1200" t="b">
        <f>ISNUMBER(MATCH(tbl_working_daily[[#This Row],[LookupKey]],tbl_working_sleep[LookupKey],0))</f>
        <v>0</v>
      </c>
    </row>
    <row r="1201" spans="1:24" x14ac:dyDescent="0.3">
      <c r="A1201">
        <v>7086361926</v>
      </c>
      <c r="B1201" s="1">
        <v>42496</v>
      </c>
      <c r="C1201">
        <v>12461</v>
      </c>
      <c r="D1201">
        <v>8.3800001144409197</v>
      </c>
      <c r="E1201">
        <v>8.3800001144409197</v>
      </c>
      <c r="F1201">
        <v>0</v>
      </c>
      <c r="G1201">
        <v>3.8199999332428001</v>
      </c>
      <c r="H1201">
        <v>1.4299999475479099</v>
      </c>
      <c r="I1201">
        <v>3.1199998855590798</v>
      </c>
      <c r="J1201">
        <v>0</v>
      </c>
      <c r="K1201">
        <v>84</v>
      </c>
      <c r="L1201">
        <v>35</v>
      </c>
      <c r="M1201">
        <v>154</v>
      </c>
      <c r="N1201">
        <v>834</v>
      </c>
      <c r="O1201">
        <v>2924</v>
      </c>
      <c r="P1201" t="str">
        <f>TEXT(tbl_working_daily[[#This Row],[ActivityDate]],"dddd")</f>
        <v>Friday</v>
      </c>
      <c r="Q1201" t="str">
        <f>TEXT(tbl_working_daily[[#This Row],[ActivityDate]],"mmmm")</f>
        <v>May</v>
      </c>
      <c r="R1201">
        <f t="shared" si="36"/>
        <v>273</v>
      </c>
      <c r="S1201">
        <f t="shared" si="37"/>
        <v>1107</v>
      </c>
      <c r="T1201">
        <f>ROUND(tbl_working_daily[[#This Row],[SedentaryMinutes]]/60,2)</f>
        <v>13.9</v>
      </c>
      <c r="U1201" t="str" cm="1">
        <f t="array" ref="U120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01" t="str" cm="1">
        <f t="array" ref="V1201">_xlfn.IFS(tbl_working_daily[[#This Row],[VeryActiveMinutes]]&gt;=30,"Very Active",tbl_working_daily[[#This Row],[VeryActiveMinutes]]&gt;=15,"Moderately Active",tbl_working_daily[[#This Row],[VeryActiveMinutes]]&gt;=1,"Lightly Active",tbl_working_daily[[#This Row],[VeryActiveMinutes]]=0,"Sedentary")</f>
        <v>Very Active</v>
      </c>
      <c r="W1201" t="str">
        <f>tbl_working_daily[[#This Row],[Id]]&amp;"|"&amp;TEXT(tbl_working_daily[[#This Row],[ActivityDate]],"yyyy-mm-dd")</f>
        <v>7086361926|2016-05-06</v>
      </c>
      <c r="X1201" t="b">
        <f>ISNUMBER(MATCH(tbl_working_daily[[#This Row],[LookupKey]],tbl_working_sleep[LookupKey],0))</f>
        <v>1</v>
      </c>
    </row>
    <row r="1202" spans="1:24" x14ac:dyDescent="0.3">
      <c r="A1202">
        <v>7086361926</v>
      </c>
      <c r="B1202" s="1">
        <v>42497</v>
      </c>
      <c r="C1202">
        <v>12827</v>
      </c>
      <c r="D1202">
        <v>8.4799995422363299</v>
      </c>
      <c r="E1202">
        <v>8.4799995422363299</v>
      </c>
      <c r="F1202">
        <v>0</v>
      </c>
      <c r="G1202">
        <v>1.46000003814697</v>
      </c>
      <c r="H1202">
        <v>2.3299999237060498</v>
      </c>
      <c r="I1202">
        <v>4.6799998283386204</v>
      </c>
      <c r="J1202">
        <v>0</v>
      </c>
      <c r="K1202">
        <v>20</v>
      </c>
      <c r="L1202">
        <v>42</v>
      </c>
      <c r="M1202">
        <v>209</v>
      </c>
      <c r="N1202">
        <v>621</v>
      </c>
      <c r="O1202">
        <v>2739</v>
      </c>
      <c r="P1202" t="str">
        <f>TEXT(tbl_working_daily[[#This Row],[ActivityDate]],"dddd")</f>
        <v>Saturday</v>
      </c>
      <c r="Q1202" t="str">
        <f>TEXT(tbl_working_daily[[#This Row],[ActivityDate]],"mmmm")</f>
        <v>May</v>
      </c>
      <c r="R1202">
        <f t="shared" si="36"/>
        <v>271</v>
      </c>
      <c r="S1202">
        <f t="shared" si="37"/>
        <v>892</v>
      </c>
      <c r="T1202">
        <f>ROUND(tbl_working_daily[[#This Row],[SedentaryMinutes]]/60,2)</f>
        <v>10.35</v>
      </c>
      <c r="U1202" t="str" cm="1">
        <f t="array" ref="U120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02" t="str" cm="1">
        <f t="array" ref="V1202">_xlfn.IFS(tbl_working_daily[[#This Row],[VeryActiveMinutes]]&gt;=30,"Very Active",tbl_working_daily[[#This Row],[VeryActiveMinutes]]&gt;=15,"Moderately Active",tbl_working_daily[[#This Row],[VeryActiveMinutes]]&gt;=1,"Lightly Active",tbl_working_daily[[#This Row],[VeryActiveMinutes]]=0,"Sedentary")</f>
        <v>Moderately Active</v>
      </c>
      <c r="W1202" t="str">
        <f>tbl_working_daily[[#This Row],[Id]]&amp;"|"&amp;TEXT(tbl_working_daily[[#This Row],[ActivityDate]],"yyyy-mm-dd")</f>
        <v>7086361926|2016-05-07</v>
      </c>
      <c r="X1202" t="b">
        <f>ISNUMBER(MATCH(tbl_working_daily[[#This Row],[LookupKey]],tbl_working_sleep[LookupKey],0))</f>
        <v>1</v>
      </c>
    </row>
    <row r="1203" spans="1:24" x14ac:dyDescent="0.3">
      <c r="A1203">
        <v>7086361926</v>
      </c>
      <c r="B1203" s="1">
        <v>42498</v>
      </c>
      <c r="C1203">
        <v>10677</v>
      </c>
      <c r="D1203">
        <v>7.0999999046325701</v>
      </c>
      <c r="E1203">
        <v>7.0999999046325701</v>
      </c>
      <c r="F1203">
        <v>0</v>
      </c>
      <c r="G1203">
        <v>2.3099999427795401</v>
      </c>
      <c r="H1203">
        <v>1.5299999713897701</v>
      </c>
      <c r="I1203">
        <v>3.25</v>
      </c>
      <c r="J1203">
        <v>0</v>
      </c>
      <c r="K1203">
        <v>32</v>
      </c>
      <c r="L1203">
        <v>27</v>
      </c>
      <c r="M1203">
        <v>147</v>
      </c>
      <c r="N1203">
        <v>695</v>
      </c>
      <c r="O1203">
        <v>2534</v>
      </c>
      <c r="P1203" t="str">
        <f>TEXT(tbl_working_daily[[#This Row],[ActivityDate]],"dddd")</f>
        <v>Sunday</v>
      </c>
      <c r="Q1203" t="str">
        <f>TEXT(tbl_working_daily[[#This Row],[ActivityDate]],"mmmm")</f>
        <v>May</v>
      </c>
      <c r="R1203">
        <f t="shared" si="36"/>
        <v>206</v>
      </c>
      <c r="S1203">
        <f t="shared" si="37"/>
        <v>901</v>
      </c>
      <c r="T1203">
        <f>ROUND(tbl_working_daily[[#This Row],[SedentaryMinutes]]/60,2)</f>
        <v>11.58</v>
      </c>
      <c r="U1203" t="str" cm="1">
        <f t="array" ref="U120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03" t="str" cm="1">
        <f t="array" ref="V1203">_xlfn.IFS(tbl_working_daily[[#This Row],[VeryActiveMinutes]]&gt;=30,"Very Active",tbl_working_daily[[#This Row],[VeryActiveMinutes]]&gt;=15,"Moderately Active",tbl_working_daily[[#This Row],[VeryActiveMinutes]]&gt;=1,"Lightly Active",tbl_working_daily[[#This Row],[VeryActiveMinutes]]=0,"Sedentary")</f>
        <v>Very Active</v>
      </c>
      <c r="W1203" t="str">
        <f>tbl_working_daily[[#This Row],[Id]]&amp;"|"&amp;TEXT(tbl_working_daily[[#This Row],[ActivityDate]],"yyyy-mm-dd")</f>
        <v>7086361926|2016-05-08</v>
      </c>
      <c r="X1203" t="b">
        <f>ISNUMBER(MATCH(tbl_working_daily[[#This Row],[LookupKey]],tbl_working_sleep[LookupKey],0))</f>
        <v>1</v>
      </c>
    </row>
    <row r="1204" spans="1:24" x14ac:dyDescent="0.3">
      <c r="A1204">
        <v>7086361926</v>
      </c>
      <c r="B1204" s="1">
        <v>42499</v>
      </c>
      <c r="C1204">
        <v>13566</v>
      </c>
      <c r="D1204">
        <v>9.1099996566772496</v>
      </c>
      <c r="E1204">
        <v>9.1099996566772496</v>
      </c>
      <c r="F1204">
        <v>0</v>
      </c>
      <c r="G1204">
        <v>4.2600002288818404</v>
      </c>
      <c r="H1204">
        <v>1.71000003814697</v>
      </c>
      <c r="I1204">
        <v>3.1199998855590798</v>
      </c>
      <c r="J1204">
        <v>0</v>
      </c>
      <c r="K1204">
        <v>67</v>
      </c>
      <c r="L1204">
        <v>50</v>
      </c>
      <c r="M1204">
        <v>171</v>
      </c>
      <c r="N1204">
        <v>743</v>
      </c>
      <c r="O1204">
        <v>2960</v>
      </c>
      <c r="P1204" t="str">
        <f>TEXT(tbl_working_daily[[#This Row],[ActivityDate]],"dddd")</f>
        <v>Monday</v>
      </c>
      <c r="Q1204" t="str">
        <f>TEXT(tbl_working_daily[[#This Row],[ActivityDate]],"mmmm")</f>
        <v>May</v>
      </c>
      <c r="R1204">
        <f t="shared" si="36"/>
        <v>288</v>
      </c>
      <c r="S1204">
        <f t="shared" si="37"/>
        <v>1031</v>
      </c>
      <c r="T1204">
        <f>ROUND(tbl_working_daily[[#This Row],[SedentaryMinutes]]/60,2)</f>
        <v>12.38</v>
      </c>
      <c r="U1204" t="str" cm="1">
        <f t="array" ref="U120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04" t="str" cm="1">
        <f t="array" ref="V1204">_xlfn.IFS(tbl_working_daily[[#This Row],[VeryActiveMinutes]]&gt;=30,"Very Active",tbl_working_daily[[#This Row],[VeryActiveMinutes]]&gt;=15,"Moderately Active",tbl_working_daily[[#This Row],[VeryActiveMinutes]]&gt;=1,"Lightly Active",tbl_working_daily[[#This Row],[VeryActiveMinutes]]=0,"Sedentary")</f>
        <v>Very Active</v>
      </c>
      <c r="W1204" t="str">
        <f>tbl_working_daily[[#This Row],[Id]]&amp;"|"&amp;TEXT(tbl_working_daily[[#This Row],[ActivityDate]],"yyyy-mm-dd")</f>
        <v>7086361926|2016-05-09</v>
      </c>
      <c r="X1204" t="b">
        <f>ISNUMBER(MATCH(tbl_working_daily[[#This Row],[LookupKey]],tbl_working_sleep[LookupKey],0))</f>
        <v>1</v>
      </c>
    </row>
    <row r="1205" spans="1:24" x14ac:dyDescent="0.3">
      <c r="A1205">
        <v>7086361926</v>
      </c>
      <c r="B1205" s="1">
        <v>42500</v>
      </c>
      <c r="C1205">
        <v>14433</v>
      </c>
      <c r="D1205">
        <v>10.789999961853001</v>
      </c>
      <c r="E1205">
        <v>10.789999961853001</v>
      </c>
      <c r="F1205">
        <v>0</v>
      </c>
      <c r="G1205">
        <v>7.1100001335143999</v>
      </c>
      <c r="H1205">
        <v>1.20000004768372</v>
      </c>
      <c r="I1205">
        <v>2.4500000476837198</v>
      </c>
      <c r="J1205">
        <v>0</v>
      </c>
      <c r="K1205">
        <v>72</v>
      </c>
      <c r="L1205">
        <v>23</v>
      </c>
      <c r="M1205">
        <v>106</v>
      </c>
      <c r="N1205">
        <v>1182</v>
      </c>
      <c r="O1205">
        <v>2800</v>
      </c>
      <c r="P1205" t="str">
        <f>TEXT(tbl_working_daily[[#This Row],[ActivityDate]],"dddd")</f>
        <v>Tuesday</v>
      </c>
      <c r="Q1205" t="str">
        <f>TEXT(tbl_working_daily[[#This Row],[ActivityDate]],"mmmm")</f>
        <v>May</v>
      </c>
      <c r="R1205">
        <f t="shared" si="36"/>
        <v>201</v>
      </c>
      <c r="S1205">
        <f t="shared" si="37"/>
        <v>1383</v>
      </c>
      <c r="T1205">
        <f>ROUND(tbl_working_daily[[#This Row],[SedentaryMinutes]]/60,2)</f>
        <v>19.7</v>
      </c>
      <c r="U1205" t="str" cm="1">
        <f t="array" ref="U120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05" t="str" cm="1">
        <f t="array" ref="V1205">_xlfn.IFS(tbl_working_daily[[#This Row],[VeryActiveMinutes]]&gt;=30,"Very Active",tbl_working_daily[[#This Row],[VeryActiveMinutes]]&gt;=15,"Moderately Active",tbl_working_daily[[#This Row],[VeryActiveMinutes]]&gt;=1,"Lightly Active",tbl_working_daily[[#This Row],[VeryActiveMinutes]]=0,"Sedentary")</f>
        <v>Very Active</v>
      </c>
      <c r="W1205" t="str">
        <f>tbl_working_daily[[#This Row],[Id]]&amp;"|"&amp;TEXT(tbl_working_daily[[#This Row],[ActivityDate]],"yyyy-mm-dd")</f>
        <v>7086361926|2016-05-10</v>
      </c>
      <c r="X1205" t="b">
        <f>ISNUMBER(MATCH(tbl_working_daily[[#This Row],[LookupKey]],tbl_working_sleep[LookupKey],0))</f>
        <v>0</v>
      </c>
    </row>
    <row r="1206" spans="1:24" x14ac:dyDescent="0.3">
      <c r="A1206">
        <v>7086361926</v>
      </c>
      <c r="B1206" s="1">
        <v>42501</v>
      </c>
      <c r="C1206">
        <v>9572</v>
      </c>
      <c r="D1206">
        <v>6.5199999809265101</v>
      </c>
      <c r="E1206">
        <v>6.5199999809265101</v>
      </c>
      <c r="F1206">
        <v>0</v>
      </c>
      <c r="G1206">
        <v>2.8900001049041699</v>
      </c>
      <c r="H1206">
        <v>1.3899999856948899</v>
      </c>
      <c r="I1206">
        <v>2.2300000190734899</v>
      </c>
      <c r="J1206">
        <v>0</v>
      </c>
      <c r="K1206">
        <v>57</v>
      </c>
      <c r="L1206">
        <v>40</v>
      </c>
      <c r="M1206">
        <v>128</v>
      </c>
      <c r="N1206">
        <v>757</v>
      </c>
      <c r="O1206">
        <v>2735</v>
      </c>
      <c r="P1206" t="str">
        <f>TEXT(tbl_working_daily[[#This Row],[ActivityDate]],"dddd")</f>
        <v>Wednesday</v>
      </c>
      <c r="Q1206" t="str">
        <f>TEXT(tbl_working_daily[[#This Row],[ActivityDate]],"mmmm")</f>
        <v>May</v>
      </c>
      <c r="R1206">
        <f t="shared" si="36"/>
        <v>225</v>
      </c>
      <c r="S1206">
        <f t="shared" si="37"/>
        <v>982</v>
      </c>
      <c r="T1206">
        <f>ROUND(tbl_working_daily[[#This Row],[SedentaryMinutes]]/60,2)</f>
        <v>12.62</v>
      </c>
      <c r="U1206" t="str" cm="1">
        <f t="array" ref="U120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06" t="str" cm="1">
        <f t="array" ref="V1206">_xlfn.IFS(tbl_working_daily[[#This Row],[VeryActiveMinutes]]&gt;=30,"Very Active",tbl_working_daily[[#This Row],[VeryActiveMinutes]]&gt;=15,"Moderately Active",tbl_working_daily[[#This Row],[VeryActiveMinutes]]&gt;=1,"Lightly Active",tbl_working_daily[[#This Row],[VeryActiveMinutes]]=0,"Sedentary")</f>
        <v>Very Active</v>
      </c>
      <c r="W1206" t="str">
        <f>tbl_working_daily[[#This Row],[Id]]&amp;"|"&amp;TEXT(tbl_working_daily[[#This Row],[ActivityDate]],"yyyy-mm-dd")</f>
        <v>7086361926|2016-05-11</v>
      </c>
      <c r="X1206" t="b">
        <f>ISNUMBER(MATCH(tbl_working_daily[[#This Row],[LookupKey]],tbl_working_sleep[LookupKey],0))</f>
        <v>1</v>
      </c>
    </row>
    <row r="1207" spans="1:24" x14ac:dyDescent="0.3">
      <c r="A1207">
        <v>7086361926</v>
      </c>
      <c r="B1207" s="1">
        <v>42502</v>
      </c>
      <c r="C1207">
        <v>3789</v>
      </c>
      <c r="D1207">
        <v>2.5599999427795401</v>
      </c>
      <c r="E1207">
        <v>2.5599999427795401</v>
      </c>
      <c r="F1207">
        <v>0</v>
      </c>
      <c r="G1207">
        <v>0.37999999523162797</v>
      </c>
      <c r="H1207">
        <v>0.270000010728836</v>
      </c>
      <c r="I1207">
        <v>1.8899999856948899</v>
      </c>
      <c r="J1207">
        <v>0</v>
      </c>
      <c r="K1207">
        <v>5</v>
      </c>
      <c r="L1207">
        <v>4</v>
      </c>
      <c r="M1207">
        <v>58</v>
      </c>
      <c r="N1207">
        <v>343</v>
      </c>
      <c r="O1207">
        <v>1199</v>
      </c>
      <c r="P1207" t="str">
        <f>TEXT(tbl_working_daily[[#This Row],[ActivityDate]],"dddd")</f>
        <v>Thursday</v>
      </c>
      <c r="Q1207" t="str">
        <f>TEXT(tbl_working_daily[[#This Row],[ActivityDate]],"mmmm")</f>
        <v>May</v>
      </c>
      <c r="R1207">
        <f t="shared" si="36"/>
        <v>67</v>
      </c>
      <c r="S1207">
        <f t="shared" si="37"/>
        <v>410</v>
      </c>
      <c r="T1207">
        <f>ROUND(tbl_working_daily[[#This Row],[SedentaryMinutes]]/60,2)</f>
        <v>5.72</v>
      </c>
      <c r="U1207" t="str" cm="1">
        <f t="array" ref="U120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07" t="str" cm="1">
        <f t="array" ref="V1207">_xlfn.IFS(tbl_working_daily[[#This Row],[VeryActiveMinutes]]&gt;=30,"Very Active",tbl_working_daily[[#This Row],[VeryActiveMinutes]]&gt;=15,"Moderately Active",tbl_working_daily[[#This Row],[VeryActiveMinutes]]&gt;=1,"Lightly Active",tbl_working_daily[[#This Row],[VeryActiveMinutes]]=0,"Sedentary")</f>
        <v>Lightly Active</v>
      </c>
      <c r="W1207" t="str">
        <f>tbl_working_daily[[#This Row],[Id]]&amp;"|"&amp;TEXT(tbl_working_daily[[#This Row],[ActivityDate]],"yyyy-mm-dd")</f>
        <v>7086361926|2016-05-12</v>
      </c>
      <c r="X1207" t="b">
        <f>ISNUMBER(MATCH(tbl_working_daily[[#This Row],[LookupKey]],tbl_working_sleep[LookupKey],0))</f>
        <v>1</v>
      </c>
    </row>
    <row r="1208" spans="1:24" x14ac:dyDescent="0.3">
      <c r="A1208">
        <v>8053475328</v>
      </c>
      <c r="B1208" s="1">
        <v>42473</v>
      </c>
      <c r="C1208">
        <v>16433</v>
      </c>
      <c r="D1208">
        <v>13.3500003814697</v>
      </c>
      <c r="E1208">
        <v>13.3500003814697</v>
      </c>
      <c r="F1208">
        <v>0</v>
      </c>
      <c r="G1208">
        <v>10.430000305175801</v>
      </c>
      <c r="H1208">
        <v>0.46999999880790699</v>
      </c>
      <c r="I1208">
        <v>2.4500000476837198</v>
      </c>
      <c r="J1208">
        <v>0</v>
      </c>
      <c r="K1208">
        <v>95</v>
      </c>
      <c r="L1208">
        <v>12</v>
      </c>
      <c r="M1208">
        <v>156</v>
      </c>
      <c r="N1208">
        <v>1177</v>
      </c>
      <c r="O1208">
        <v>3140</v>
      </c>
      <c r="P1208" t="str">
        <f>TEXT(tbl_working_daily[[#This Row],[ActivityDate]],"dddd")</f>
        <v>Wednesday</v>
      </c>
      <c r="Q1208" t="str">
        <f>TEXT(tbl_working_daily[[#This Row],[ActivityDate]],"mmmm")</f>
        <v>April</v>
      </c>
      <c r="R1208">
        <f t="shared" si="36"/>
        <v>263</v>
      </c>
      <c r="S1208">
        <f t="shared" si="37"/>
        <v>1440</v>
      </c>
      <c r="T1208">
        <f>ROUND(tbl_working_daily[[#This Row],[SedentaryMinutes]]/60,2)</f>
        <v>19.62</v>
      </c>
      <c r="U1208" t="str" cm="1">
        <f t="array" ref="U120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08" t="str" cm="1">
        <f t="array" ref="V1208">_xlfn.IFS(tbl_working_daily[[#This Row],[VeryActiveMinutes]]&gt;=30,"Very Active",tbl_working_daily[[#This Row],[VeryActiveMinutes]]&gt;=15,"Moderately Active",tbl_working_daily[[#This Row],[VeryActiveMinutes]]&gt;=1,"Lightly Active",tbl_working_daily[[#This Row],[VeryActiveMinutes]]=0,"Sedentary")</f>
        <v>Very Active</v>
      </c>
      <c r="W1208" t="str">
        <f>tbl_working_daily[[#This Row],[Id]]&amp;"|"&amp;TEXT(tbl_working_daily[[#This Row],[ActivityDate]],"yyyy-mm-dd")</f>
        <v>8053475328|2016-04-13</v>
      </c>
      <c r="X1208" t="b">
        <f>ISNUMBER(MATCH(tbl_working_daily[[#This Row],[LookupKey]],tbl_working_sleep[LookupKey],0))</f>
        <v>0</v>
      </c>
    </row>
    <row r="1209" spans="1:24" x14ac:dyDescent="0.3">
      <c r="A1209">
        <v>8053475328</v>
      </c>
      <c r="B1209" s="1">
        <v>42474</v>
      </c>
      <c r="C1209">
        <v>20159</v>
      </c>
      <c r="D1209">
        <v>15.9700002670288</v>
      </c>
      <c r="E1209">
        <v>15.9700002670288</v>
      </c>
      <c r="F1209">
        <v>0</v>
      </c>
      <c r="G1209">
        <v>12.3400001525879</v>
      </c>
      <c r="H1209">
        <v>0.20999999344348899</v>
      </c>
      <c r="I1209">
        <v>3.3599998950958301</v>
      </c>
      <c r="J1209">
        <v>0</v>
      </c>
      <c r="K1209">
        <v>119</v>
      </c>
      <c r="L1209">
        <v>5</v>
      </c>
      <c r="M1209">
        <v>193</v>
      </c>
      <c r="N1209">
        <v>1123</v>
      </c>
      <c r="O1209">
        <v>3411</v>
      </c>
      <c r="P1209" t="str">
        <f>TEXT(tbl_working_daily[[#This Row],[ActivityDate]],"dddd")</f>
        <v>Thursday</v>
      </c>
      <c r="Q1209" t="str">
        <f>TEXT(tbl_working_daily[[#This Row],[ActivityDate]],"mmmm")</f>
        <v>April</v>
      </c>
      <c r="R1209">
        <f t="shared" si="36"/>
        <v>317</v>
      </c>
      <c r="S1209">
        <f t="shared" si="37"/>
        <v>1440</v>
      </c>
      <c r="T1209">
        <f>ROUND(tbl_working_daily[[#This Row],[SedentaryMinutes]]/60,2)</f>
        <v>18.72</v>
      </c>
      <c r="U1209" t="str" cm="1">
        <f t="array" ref="U120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09" t="str" cm="1">
        <f t="array" ref="V1209">_xlfn.IFS(tbl_working_daily[[#This Row],[VeryActiveMinutes]]&gt;=30,"Very Active",tbl_working_daily[[#This Row],[VeryActiveMinutes]]&gt;=15,"Moderately Active",tbl_working_daily[[#This Row],[VeryActiveMinutes]]&gt;=1,"Lightly Active",tbl_working_daily[[#This Row],[VeryActiveMinutes]]=0,"Sedentary")</f>
        <v>Very Active</v>
      </c>
      <c r="W1209" t="str">
        <f>tbl_working_daily[[#This Row],[Id]]&amp;"|"&amp;TEXT(tbl_working_daily[[#This Row],[ActivityDate]],"yyyy-mm-dd")</f>
        <v>8053475328|2016-04-14</v>
      </c>
      <c r="X1209" t="b">
        <f>ISNUMBER(MATCH(tbl_working_daily[[#This Row],[LookupKey]],tbl_working_sleep[LookupKey],0))</f>
        <v>0</v>
      </c>
    </row>
    <row r="1210" spans="1:24" x14ac:dyDescent="0.3">
      <c r="A1210">
        <v>8053475328</v>
      </c>
      <c r="B1210" s="1">
        <v>42475</v>
      </c>
      <c r="C1210">
        <v>20669</v>
      </c>
      <c r="D1210">
        <v>16.2399997711182</v>
      </c>
      <c r="E1210">
        <v>16.2399997711182</v>
      </c>
      <c r="F1210">
        <v>0</v>
      </c>
      <c r="G1210">
        <v>13.2600002288818</v>
      </c>
      <c r="H1210">
        <v>0.38999998569488498</v>
      </c>
      <c r="I1210">
        <v>2.5899999141693102</v>
      </c>
      <c r="J1210">
        <v>0</v>
      </c>
      <c r="K1210">
        <v>132</v>
      </c>
      <c r="L1210">
        <v>8</v>
      </c>
      <c r="M1210">
        <v>158</v>
      </c>
      <c r="N1210">
        <v>1142</v>
      </c>
      <c r="O1210">
        <v>3410</v>
      </c>
      <c r="P1210" t="str">
        <f>TEXT(tbl_working_daily[[#This Row],[ActivityDate]],"dddd")</f>
        <v>Friday</v>
      </c>
      <c r="Q1210" t="str">
        <f>TEXT(tbl_working_daily[[#This Row],[ActivityDate]],"mmmm")</f>
        <v>April</v>
      </c>
      <c r="R1210">
        <f t="shared" si="36"/>
        <v>298</v>
      </c>
      <c r="S1210">
        <f t="shared" si="37"/>
        <v>1440</v>
      </c>
      <c r="T1210">
        <f>ROUND(tbl_working_daily[[#This Row],[SedentaryMinutes]]/60,2)</f>
        <v>19.03</v>
      </c>
      <c r="U1210" t="str" cm="1">
        <f t="array" ref="U121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0" t="str" cm="1">
        <f t="array" ref="V1210">_xlfn.IFS(tbl_working_daily[[#This Row],[VeryActiveMinutes]]&gt;=30,"Very Active",tbl_working_daily[[#This Row],[VeryActiveMinutes]]&gt;=15,"Moderately Active",tbl_working_daily[[#This Row],[VeryActiveMinutes]]&gt;=1,"Lightly Active",tbl_working_daily[[#This Row],[VeryActiveMinutes]]=0,"Sedentary")</f>
        <v>Very Active</v>
      </c>
      <c r="W1210" t="str">
        <f>tbl_working_daily[[#This Row],[Id]]&amp;"|"&amp;TEXT(tbl_working_daily[[#This Row],[ActivityDate]],"yyyy-mm-dd")</f>
        <v>8053475328|2016-04-15</v>
      </c>
      <c r="X1210" t="b">
        <f>ISNUMBER(MATCH(tbl_working_daily[[#This Row],[LookupKey]],tbl_working_sleep[LookupKey],0))</f>
        <v>0</v>
      </c>
    </row>
    <row r="1211" spans="1:24" x14ac:dyDescent="0.3">
      <c r="A1211">
        <v>8053475328</v>
      </c>
      <c r="B1211" s="1">
        <v>42476</v>
      </c>
      <c r="C1211">
        <v>14549</v>
      </c>
      <c r="D1211">
        <v>11.1099996566772</v>
      </c>
      <c r="E1211">
        <v>11.1099996566772</v>
      </c>
      <c r="F1211">
        <v>0</v>
      </c>
      <c r="G1211">
        <v>9.3599996566772496</v>
      </c>
      <c r="H1211">
        <v>0.270000010728836</v>
      </c>
      <c r="I1211">
        <v>1.4900000095367401</v>
      </c>
      <c r="J1211">
        <v>0</v>
      </c>
      <c r="K1211">
        <v>96</v>
      </c>
      <c r="L1211">
        <v>6</v>
      </c>
      <c r="M1211">
        <v>83</v>
      </c>
      <c r="N1211">
        <v>1255</v>
      </c>
      <c r="O1211">
        <v>2867</v>
      </c>
      <c r="P1211" t="str">
        <f>TEXT(tbl_working_daily[[#This Row],[ActivityDate]],"dddd")</f>
        <v>Saturday</v>
      </c>
      <c r="Q1211" t="str">
        <f>TEXT(tbl_working_daily[[#This Row],[ActivityDate]],"mmmm")</f>
        <v>April</v>
      </c>
      <c r="R1211">
        <f t="shared" si="36"/>
        <v>185</v>
      </c>
      <c r="S1211">
        <f t="shared" si="37"/>
        <v>1440</v>
      </c>
      <c r="T1211">
        <f>ROUND(tbl_working_daily[[#This Row],[SedentaryMinutes]]/60,2)</f>
        <v>20.92</v>
      </c>
      <c r="U1211" t="str" cm="1">
        <f t="array" ref="U121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1" t="str" cm="1">
        <f t="array" ref="V1211">_xlfn.IFS(tbl_working_daily[[#This Row],[VeryActiveMinutes]]&gt;=30,"Very Active",tbl_working_daily[[#This Row],[VeryActiveMinutes]]&gt;=15,"Moderately Active",tbl_working_daily[[#This Row],[VeryActiveMinutes]]&gt;=1,"Lightly Active",tbl_working_daily[[#This Row],[VeryActiveMinutes]]=0,"Sedentary")</f>
        <v>Very Active</v>
      </c>
      <c r="W1211" t="str">
        <f>tbl_working_daily[[#This Row],[Id]]&amp;"|"&amp;TEXT(tbl_working_daily[[#This Row],[ActivityDate]],"yyyy-mm-dd")</f>
        <v>8053475328|2016-04-16</v>
      </c>
      <c r="X1211" t="b">
        <f>ISNUMBER(MATCH(tbl_working_daily[[#This Row],[LookupKey]],tbl_working_sleep[LookupKey],0))</f>
        <v>0</v>
      </c>
    </row>
    <row r="1212" spans="1:24" x14ac:dyDescent="0.3">
      <c r="A1212">
        <v>8053475328</v>
      </c>
      <c r="B1212" s="1">
        <v>42477</v>
      </c>
      <c r="C1212">
        <v>18827</v>
      </c>
      <c r="D1212">
        <v>13.689999580383301</v>
      </c>
      <c r="E1212">
        <v>13.689999580383301</v>
      </c>
      <c r="F1212">
        <v>0</v>
      </c>
      <c r="G1212">
        <v>9.2399997711181605</v>
      </c>
      <c r="H1212">
        <v>0.80000001192092896</v>
      </c>
      <c r="I1212">
        <v>3.6400001049041699</v>
      </c>
      <c r="J1212">
        <v>0</v>
      </c>
      <c r="K1212">
        <v>111</v>
      </c>
      <c r="L1212">
        <v>21</v>
      </c>
      <c r="M1212">
        <v>195</v>
      </c>
      <c r="N1212">
        <v>1113</v>
      </c>
      <c r="O1212">
        <v>3213</v>
      </c>
      <c r="P1212" t="str">
        <f>TEXT(tbl_working_daily[[#This Row],[ActivityDate]],"dddd")</f>
        <v>Sunday</v>
      </c>
      <c r="Q1212" t="str">
        <f>TEXT(tbl_working_daily[[#This Row],[ActivityDate]],"mmmm")</f>
        <v>April</v>
      </c>
      <c r="R1212">
        <f t="shared" si="36"/>
        <v>327</v>
      </c>
      <c r="S1212">
        <f t="shared" si="37"/>
        <v>1440</v>
      </c>
      <c r="T1212">
        <f>ROUND(tbl_working_daily[[#This Row],[SedentaryMinutes]]/60,2)</f>
        <v>18.55</v>
      </c>
      <c r="U1212" t="str" cm="1">
        <f t="array" ref="U121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2" t="str" cm="1">
        <f t="array" ref="V1212">_xlfn.IFS(tbl_working_daily[[#This Row],[VeryActiveMinutes]]&gt;=30,"Very Active",tbl_working_daily[[#This Row],[VeryActiveMinutes]]&gt;=15,"Moderately Active",tbl_working_daily[[#This Row],[VeryActiveMinutes]]&gt;=1,"Lightly Active",tbl_working_daily[[#This Row],[VeryActiveMinutes]]=0,"Sedentary")</f>
        <v>Very Active</v>
      </c>
      <c r="W1212" t="str">
        <f>tbl_working_daily[[#This Row],[Id]]&amp;"|"&amp;TEXT(tbl_working_daily[[#This Row],[ActivityDate]],"yyyy-mm-dd")</f>
        <v>8053475328|2016-04-17</v>
      </c>
      <c r="X1212" t="b">
        <f>ISNUMBER(MATCH(tbl_working_daily[[#This Row],[LookupKey]],tbl_working_sleep[LookupKey],0))</f>
        <v>0</v>
      </c>
    </row>
    <row r="1213" spans="1:24" x14ac:dyDescent="0.3">
      <c r="A1213">
        <v>8053475328</v>
      </c>
      <c r="B1213" s="1">
        <v>42478</v>
      </c>
      <c r="C1213">
        <v>17076</v>
      </c>
      <c r="D1213">
        <v>12.6599998474121</v>
      </c>
      <c r="E1213">
        <v>12.6599998474121</v>
      </c>
      <c r="F1213">
        <v>0</v>
      </c>
      <c r="G1213">
        <v>9.0799999237060494</v>
      </c>
      <c r="H1213">
        <v>0.230000004172325</v>
      </c>
      <c r="I1213">
        <v>3.3499999046325701</v>
      </c>
      <c r="J1213">
        <v>0</v>
      </c>
      <c r="K1213">
        <v>102</v>
      </c>
      <c r="L1213">
        <v>6</v>
      </c>
      <c r="M1213">
        <v>195</v>
      </c>
      <c r="N1213">
        <v>1137</v>
      </c>
      <c r="O1213">
        <v>3133</v>
      </c>
      <c r="P1213" t="str">
        <f>TEXT(tbl_working_daily[[#This Row],[ActivityDate]],"dddd")</f>
        <v>Monday</v>
      </c>
      <c r="Q1213" t="str">
        <f>TEXT(tbl_working_daily[[#This Row],[ActivityDate]],"mmmm")</f>
        <v>April</v>
      </c>
      <c r="R1213">
        <f t="shared" si="36"/>
        <v>303</v>
      </c>
      <c r="S1213">
        <f t="shared" si="37"/>
        <v>1440</v>
      </c>
      <c r="T1213">
        <f>ROUND(tbl_working_daily[[#This Row],[SedentaryMinutes]]/60,2)</f>
        <v>18.95</v>
      </c>
      <c r="U1213" t="str" cm="1">
        <f t="array" ref="U121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3" t="str" cm="1">
        <f t="array" ref="V1213">_xlfn.IFS(tbl_working_daily[[#This Row],[VeryActiveMinutes]]&gt;=30,"Very Active",tbl_working_daily[[#This Row],[VeryActiveMinutes]]&gt;=15,"Moderately Active",tbl_working_daily[[#This Row],[VeryActiveMinutes]]&gt;=1,"Lightly Active",tbl_working_daily[[#This Row],[VeryActiveMinutes]]=0,"Sedentary")</f>
        <v>Very Active</v>
      </c>
      <c r="W1213" t="str">
        <f>tbl_working_daily[[#This Row],[Id]]&amp;"|"&amp;TEXT(tbl_working_daily[[#This Row],[ActivityDate]],"yyyy-mm-dd")</f>
        <v>8053475328|2016-04-18</v>
      </c>
      <c r="X1213" t="b">
        <f>ISNUMBER(MATCH(tbl_working_daily[[#This Row],[LookupKey]],tbl_working_sleep[LookupKey],0))</f>
        <v>0</v>
      </c>
    </row>
    <row r="1214" spans="1:24" x14ac:dyDescent="0.3">
      <c r="A1214">
        <v>8053475328</v>
      </c>
      <c r="B1214" s="1">
        <v>42479</v>
      </c>
      <c r="C1214">
        <v>15929</v>
      </c>
      <c r="D1214">
        <v>12.4799995422363</v>
      </c>
      <c r="E1214">
        <v>12.4799995422363</v>
      </c>
      <c r="F1214">
        <v>0</v>
      </c>
      <c r="G1214">
        <v>9.2200002670288104</v>
      </c>
      <c r="H1214">
        <v>0.31000000238418601</v>
      </c>
      <c r="I1214">
        <v>2.9500000476837198</v>
      </c>
      <c r="J1214">
        <v>0</v>
      </c>
      <c r="K1214">
        <v>90</v>
      </c>
      <c r="L1214">
        <v>7</v>
      </c>
      <c r="M1214">
        <v>191</v>
      </c>
      <c r="N1214">
        <v>1152</v>
      </c>
      <c r="O1214">
        <v>3114</v>
      </c>
      <c r="P1214" t="str">
        <f>TEXT(tbl_working_daily[[#This Row],[ActivityDate]],"dddd")</f>
        <v>Tuesday</v>
      </c>
      <c r="Q1214" t="str">
        <f>TEXT(tbl_working_daily[[#This Row],[ActivityDate]],"mmmm")</f>
        <v>April</v>
      </c>
      <c r="R1214">
        <f t="shared" si="36"/>
        <v>288</v>
      </c>
      <c r="S1214">
        <f t="shared" si="37"/>
        <v>1440</v>
      </c>
      <c r="T1214">
        <f>ROUND(tbl_working_daily[[#This Row],[SedentaryMinutes]]/60,2)</f>
        <v>19.2</v>
      </c>
      <c r="U1214" t="str" cm="1">
        <f t="array" ref="U121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4" t="str" cm="1">
        <f t="array" ref="V1214">_xlfn.IFS(tbl_working_daily[[#This Row],[VeryActiveMinutes]]&gt;=30,"Very Active",tbl_working_daily[[#This Row],[VeryActiveMinutes]]&gt;=15,"Moderately Active",tbl_working_daily[[#This Row],[VeryActiveMinutes]]&gt;=1,"Lightly Active",tbl_working_daily[[#This Row],[VeryActiveMinutes]]=0,"Sedentary")</f>
        <v>Very Active</v>
      </c>
      <c r="W1214" t="str">
        <f>tbl_working_daily[[#This Row],[Id]]&amp;"|"&amp;TEXT(tbl_working_daily[[#This Row],[ActivityDate]],"yyyy-mm-dd")</f>
        <v>8053475328|2016-04-19</v>
      </c>
      <c r="X1214" t="b">
        <f>ISNUMBER(MATCH(tbl_working_daily[[#This Row],[LookupKey]],tbl_working_sleep[LookupKey],0))</f>
        <v>0</v>
      </c>
    </row>
    <row r="1215" spans="1:24" x14ac:dyDescent="0.3">
      <c r="A1215">
        <v>8053475328</v>
      </c>
      <c r="B1215" s="1">
        <v>42480</v>
      </c>
      <c r="C1215">
        <v>15108</v>
      </c>
      <c r="D1215">
        <v>12.189999580383301</v>
      </c>
      <c r="E1215">
        <v>12.189999580383301</v>
      </c>
      <c r="F1215">
        <v>0</v>
      </c>
      <c r="G1215">
        <v>9.5799999237060494</v>
      </c>
      <c r="H1215">
        <v>0.230000004172325</v>
      </c>
      <c r="I1215">
        <v>2.3800001144409202</v>
      </c>
      <c r="J1215">
        <v>0</v>
      </c>
      <c r="K1215">
        <v>89</v>
      </c>
      <c r="L1215">
        <v>5</v>
      </c>
      <c r="M1215">
        <v>158</v>
      </c>
      <c r="N1215">
        <v>695</v>
      </c>
      <c r="O1215">
        <v>3043</v>
      </c>
      <c r="P1215" t="str">
        <f>TEXT(tbl_working_daily[[#This Row],[ActivityDate]],"dddd")</f>
        <v>Wednesday</v>
      </c>
      <c r="Q1215" t="str">
        <f>TEXT(tbl_working_daily[[#This Row],[ActivityDate]],"mmmm")</f>
        <v>April</v>
      </c>
      <c r="R1215">
        <f t="shared" si="36"/>
        <v>252</v>
      </c>
      <c r="S1215">
        <f t="shared" si="37"/>
        <v>947</v>
      </c>
      <c r="T1215">
        <f>ROUND(tbl_working_daily[[#This Row],[SedentaryMinutes]]/60,2)</f>
        <v>11.58</v>
      </c>
      <c r="U1215" t="str" cm="1">
        <f t="array" ref="U121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5" t="str" cm="1">
        <f t="array" ref="V1215">_xlfn.IFS(tbl_working_daily[[#This Row],[VeryActiveMinutes]]&gt;=30,"Very Active",tbl_working_daily[[#This Row],[VeryActiveMinutes]]&gt;=15,"Moderately Active",tbl_working_daily[[#This Row],[VeryActiveMinutes]]&gt;=1,"Lightly Active",tbl_working_daily[[#This Row],[VeryActiveMinutes]]=0,"Sedentary")</f>
        <v>Very Active</v>
      </c>
      <c r="W1215" t="str">
        <f>tbl_working_daily[[#This Row],[Id]]&amp;"|"&amp;TEXT(tbl_working_daily[[#This Row],[ActivityDate]],"yyyy-mm-dd")</f>
        <v>8053475328|2016-04-20</v>
      </c>
      <c r="X1215" t="b">
        <f>ISNUMBER(MATCH(tbl_working_daily[[#This Row],[LookupKey]],tbl_working_sleep[LookupKey],0))</f>
        <v>1</v>
      </c>
    </row>
    <row r="1216" spans="1:24" x14ac:dyDescent="0.3">
      <c r="A1216">
        <v>8053475328</v>
      </c>
      <c r="B1216" s="1">
        <v>42481</v>
      </c>
      <c r="C1216">
        <v>16057</v>
      </c>
      <c r="D1216">
        <v>12.5100002288818</v>
      </c>
      <c r="E1216">
        <v>12.5100002288818</v>
      </c>
      <c r="F1216">
        <v>0</v>
      </c>
      <c r="G1216">
        <v>9.6700000762939506</v>
      </c>
      <c r="H1216">
        <v>0.25</v>
      </c>
      <c r="I1216">
        <v>2.5799999237060498</v>
      </c>
      <c r="J1216">
        <v>0</v>
      </c>
      <c r="K1216">
        <v>100</v>
      </c>
      <c r="L1216">
        <v>6</v>
      </c>
      <c r="M1216">
        <v>170</v>
      </c>
      <c r="N1216">
        <v>1164</v>
      </c>
      <c r="O1216">
        <v>3103</v>
      </c>
      <c r="P1216" t="str">
        <f>TEXT(tbl_working_daily[[#This Row],[ActivityDate]],"dddd")</f>
        <v>Thursday</v>
      </c>
      <c r="Q1216" t="str">
        <f>TEXT(tbl_working_daily[[#This Row],[ActivityDate]],"mmmm")</f>
        <v>April</v>
      </c>
      <c r="R1216">
        <f t="shared" si="36"/>
        <v>276</v>
      </c>
      <c r="S1216">
        <f t="shared" si="37"/>
        <v>1440</v>
      </c>
      <c r="T1216">
        <f>ROUND(tbl_working_daily[[#This Row],[SedentaryMinutes]]/60,2)</f>
        <v>19.399999999999999</v>
      </c>
      <c r="U1216" t="str" cm="1">
        <f t="array" ref="U121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6" t="str" cm="1">
        <f t="array" ref="V1216">_xlfn.IFS(tbl_working_daily[[#This Row],[VeryActiveMinutes]]&gt;=30,"Very Active",tbl_working_daily[[#This Row],[VeryActiveMinutes]]&gt;=15,"Moderately Active",tbl_working_daily[[#This Row],[VeryActiveMinutes]]&gt;=1,"Lightly Active",tbl_working_daily[[#This Row],[VeryActiveMinutes]]=0,"Sedentary")</f>
        <v>Very Active</v>
      </c>
      <c r="W1216" t="str">
        <f>tbl_working_daily[[#This Row],[Id]]&amp;"|"&amp;TEXT(tbl_working_daily[[#This Row],[ActivityDate]],"yyyy-mm-dd")</f>
        <v>8053475328|2016-04-21</v>
      </c>
      <c r="X1216" t="b">
        <f>ISNUMBER(MATCH(tbl_working_daily[[#This Row],[LookupKey]],tbl_working_sleep[LookupKey],0))</f>
        <v>0</v>
      </c>
    </row>
    <row r="1217" spans="1:24" x14ac:dyDescent="0.3">
      <c r="A1217">
        <v>8053475328</v>
      </c>
      <c r="B1217" s="1">
        <v>42482</v>
      </c>
      <c r="C1217">
        <v>10520</v>
      </c>
      <c r="D1217">
        <v>8.2899999618530291</v>
      </c>
      <c r="E1217">
        <v>8.2899999618530291</v>
      </c>
      <c r="F1217">
        <v>0</v>
      </c>
      <c r="G1217">
        <v>6.2600002288818404</v>
      </c>
      <c r="H1217">
        <v>0.15000000596046401</v>
      </c>
      <c r="I1217">
        <v>1.87999999523163</v>
      </c>
      <c r="J1217">
        <v>0</v>
      </c>
      <c r="K1217">
        <v>60</v>
      </c>
      <c r="L1217">
        <v>3</v>
      </c>
      <c r="M1217">
        <v>117</v>
      </c>
      <c r="N1217">
        <v>1260</v>
      </c>
      <c r="O1217">
        <v>2655</v>
      </c>
      <c r="P1217" t="str">
        <f>TEXT(tbl_working_daily[[#This Row],[ActivityDate]],"dddd")</f>
        <v>Friday</v>
      </c>
      <c r="Q1217" t="str">
        <f>TEXT(tbl_working_daily[[#This Row],[ActivityDate]],"mmmm")</f>
        <v>April</v>
      </c>
      <c r="R1217">
        <f t="shared" si="36"/>
        <v>180</v>
      </c>
      <c r="S1217">
        <f t="shared" si="37"/>
        <v>1440</v>
      </c>
      <c r="T1217">
        <f>ROUND(tbl_working_daily[[#This Row],[SedentaryMinutes]]/60,2)</f>
        <v>21</v>
      </c>
      <c r="U1217" t="str" cm="1">
        <f t="array" ref="U121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17" t="str" cm="1">
        <f t="array" ref="V1217">_xlfn.IFS(tbl_working_daily[[#This Row],[VeryActiveMinutes]]&gt;=30,"Very Active",tbl_working_daily[[#This Row],[VeryActiveMinutes]]&gt;=15,"Moderately Active",tbl_working_daily[[#This Row],[VeryActiveMinutes]]&gt;=1,"Lightly Active",tbl_working_daily[[#This Row],[VeryActiveMinutes]]=0,"Sedentary")</f>
        <v>Very Active</v>
      </c>
      <c r="W1217" t="str">
        <f>tbl_working_daily[[#This Row],[Id]]&amp;"|"&amp;TEXT(tbl_working_daily[[#This Row],[ActivityDate]],"yyyy-mm-dd")</f>
        <v>8053475328|2016-04-22</v>
      </c>
      <c r="X1217" t="b">
        <f>ISNUMBER(MATCH(tbl_working_daily[[#This Row],[LookupKey]],tbl_working_sleep[LookupKey],0))</f>
        <v>0</v>
      </c>
    </row>
    <row r="1218" spans="1:24" x14ac:dyDescent="0.3">
      <c r="A1218">
        <v>8053475328</v>
      </c>
      <c r="B1218" s="1">
        <v>42483</v>
      </c>
      <c r="C1218">
        <v>22359</v>
      </c>
      <c r="D1218">
        <v>17.190000534057599</v>
      </c>
      <c r="E1218">
        <v>17.190000534057599</v>
      </c>
      <c r="F1218">
        <v>0</v>
      </c>
      <c r="G1218">
        <v>12.539999961853001</v>
      </c>
      <c r="H1218">
        <v>0.62999999523162797</v>
      </c>
      <c r="I1218">
        <v>4.0199999809265101</v>
      </c>
      <c r="J1218">
        <v>0</v>
      </c>
      <c r="K1218">
        <v>125</v>
      </c>
      <c r="L1218">
        <v>14</v>
      </c>
      <c r="M1218">
        <v>223</v>
      </c>
      <c r="N1218">
        <v>741</v>
      </c>
      <c r="O1218">
        <v>3554</v>
      </c>
      <c r="P1218" t="str">
        <f>TEXT(tbl_working_daily[[#This Row],[ActivityDate]],"dddd")</f>
        <v>Saturday</v>
      </c>
      <c r="Q1218" t="str">
        <f>TEXT(tbl_working_daily[[#This Row],[ActivityDate]],"mmmm")</f>
        <v>April</v>
      </c>
      <c r="R1218">
        <f t="shared" ref="R1218:R1281" si="38">K1218+L1218+M1218</f>
        <v>362</v>
      </c>
      <c r="S1218">
        <f t="shared" ref="S1218:S1281" si="39">R1218+N1218</f>
        <v>1103</v>
      </c>
      <c r="T1218">
        <f>ROUND(tbl_working_daily[[#This Row],[SedentaryMinutes]]/60,2)</f>
        <v>12.35</v>
      </c>
      <c r="U1218" t="str" cm="1">
        <f t="array" ref="U121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8" t="str" cm="1">
        <f t="array" ref="V1218">_xlfn.IFS(tbl_working_daily[[#This Row],[VeryActiveMinutes]]&gt;=30,"Very Active",tbl_working_daily[[#This Row],[VeryActiveMinutes]]&gt;=15,"Moderately Active",tbl_working_daily[[#This Row],[VeryActiveMinutes]]&gt;=1,"Lightly Active",tbl_working_daily[[#This Row],[VeryActiveMinutes]]=0,"Sedentary")</f>
        <v>Very Active</v>
      </c>
      <c r="W1218" t="str">
        <f>tbl_working_daily[[#This Row],[Id]]&amp;"|"&amp;TEXT(tbl_working_daily[[#This Row],[ActivityDate]],"yyyy-mm-dd")</f>
        <v>8053475328|2016-04-23</v>
      </c>
      <c r="X1218" t="b">
        <f>ISNUMBER(MATCH(tbl_working_daily[[#This Row],[LookupKey]],tbl_working_sleep[LookupKey],0))</f>
        <v>1</v>
      </c>
    </row>
    <row r="1219" spans="1:24" x14ac:dyDescent="0.3">
      <c r="A1219">
        <v>8053475328</v>
      </c>
      <c r="B1219" s="1">
        <v>42484</v>
      </c>
      <c r="C1219">
        <v>22988</v>
      </c>
      <c r="D1219">
        <v>17.950000762939499</v>
      </c>
      <c r="E1219">
        <v>17.950000762939499</v>
      </c>
      <c r="F1219">
        <v>0</v>
      </c>
      <c r="G1219">
        <v>13.1300001144409</v>
      </c>
      <c r="H1219">
        <v>1.54999995231628</v>
      </c>
      <c r="I1219">
        <v>3.2599999904632599</v>
      </c>
      <c r="J1219">
        <v>0</v>
      </c>
      <c r="K1219">
        <v>129</v>
      </c>
      <c r="L1219">
        <v>33</v>
      </c>
      <c r="M1219">
        <v>182</v>
      </c>
      <c r="N1219">
        <v>1096</v>
      </c>
      <c r="O1219">
        <v>3577</v>
      </c>
      <c r="P1219" t="str">
        <f>TEXT(tbl_working_daily[[#This Row],[ActivityDate]],"dddd")</f>
        <v>Sunday</v>
      </c>
      <c r="Q1219" t="str">
        <f>TEXT(tbl_working_daily[[#This Row],[ActivityDate]],"mmmm")</f>
        <v>April</v>
      </c>
      <c r="R1219">
        <f t="shared" si="38"/>
        <v>344</v>
      </c>
      <c r="S1219">
        <f t="shared" si="39"/>
        <v>1440</v>
      </c>
      <c r="T1219">
        <f>ROUND(tbl_working_daily[[#This Row],[SedentaryMinutes]]/60,2)</f>
        <v>18.27</v>
      </c>
      <c r="U1219" t="str" cm="1">
        <f t="array" ref="U121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19" t="str" cm="1">
        <f t="array" ref="V1219">_xlfn.IFS(tbl_working_daily[[#This Row],[VeryActiveMinutes]]&gt;=30,"Very Active",tbl_working_daily[[#This Row],[VeryActiveMinutes]]&gt;=15,"Moderately Active",tbl_working_daily[[#This Row],[VeryActiveMinutes]]&gt;=1,"Lightly Active",tbl_working_daily[[#This Row],[VeryActiveMinutes]]=0,"Sedentary")</f>
        <v>Very Active</v>
      </c>
      <c r="W1219" t="str">
        <f>tbl_working_daily[[#This Row],[Id]]&amp;"|"&amp;TEXT(tbl_working_daily[[#This Row],[ActivityDate]],"yyyy-mm-dd")</f>
        <v>8053475328|2016-04-24</v>
      </c>
      <c r="X1219" t="b">
        <f>ISNUMBER(MATCH(tbl_working_daily[[#This Row],[LookupKey]],tbl_working_sleep[LookupKey],0))</f>
        <v>0</v>
      </c>
    </row>
    <row r="1220" spans="1:24" x14ac:dyDescent="0.3">
      <c r="A1220">
        <v>8053475328</v>
      </c>
      <c r="B1220" s="1">
        <v>42485</v>
      </c>
      <c r="C1220">
        <v>20500</v>
      </c>
      <c r="D1220">
        <v>15.689999580383301</v>
      </c>
      <c r="E1220">
        <v>15.689999580383301</v>
      </c>
      <c r="F1220">
        <v>0</v>
      </c>
      <c r="G1220">
        <v>11.3699998855591</v>
      </c>
      <c r="H1220">
        <v>0.46000000834464999</v>
      </c>
      <c r="I1220">
        <v>3.8599998950958301</v>
      </c>
      <c r="J1220">
        <v>0</v>
      </c>
      <c r="K1220">
        <v>118</v>
      </c>
      <c r="L1220">
        <v>9</v>
      </c>
      <c r="M1220">
        <v>209</v>
      </c>
      <c r="N1220">
        <v>1104</v>
      </c>
      <c r="O1220">
        <v>3403</v>
      </c>
      <c r="P1220" t="str">
        <f>TEXT(tbl_working_daily[[#This Row],[ActivityDate]],"dddd")</f>
        <v>Monday</v>
      </c>
      <c r="Q1220" t="str">
        <f>TEXT(tbl_working_daily[[#This Row],[ActivityDate]],"mmmm")</f>
        <v>April</v>
      </c>
      <c r="R1220">
        <f t="shared" si="38"/>
        <v>336</v>
      </c>
      <c r="S1220">
        <f t="shared" si="39"/>
        <v>1440</v>
      </c>
      <c r="T1220">
        <f>ROUND(tbl_working_daily[[#This Row],[SedentaryMinutes]]/60,2)</f>
        <v>18.399999999999999</v>
      </c>
      <c r="U1220" t="str" cm="1">
        <f t="array" ref="U122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20" t="str" cm="1">
        <f t="array" ref="V1220">_xlfn.IFS(tbl_working_daily[[#This Row],[VeryActiveMinutes]]&gt;=30,"Very Active",tbl_working_daily[[#This Row],[VeryActiveMinutes]]&gt;=15,"Moderately Active",tbl_working_daily[[#This Row],[VeryActiveMinutes]]&gt;=1,"Lightly Active",tbl_working_daily[[#This Row],[VeryActiveMinutes]]=0,"Sedentary")</f>
        <v>Very Active</v>
      </c>
      <c r="W1220" t="str">
        <f>tbl_working_daily[[#This Row],[Id]]&amp;"|"&amp;TEXT(tbl_working_daily[[#This Row],[ActivityDate]],"yyyy-mm-dd")</f>
        <v>8053475328|2016-04-25</v>
      </c>
      <c r="X1220" t="b">
        <f>ISNUMBER(MATCH(tbl_working_daily[[#This Row],[LookupKey]],tbl_working_sleep[LookupKey],0))</f>
        <v>0</v>
      </c>
    </row>
    <row r="1221" spans="1:24" x14ac:dyDescent="0.3">
      <c r="A1221">
        <v>8053475328</v>
      </c>
      <c r="B1221" s="1">
        <v>42486</v>
      </c>
      <c r="C1221">
        <v>12685</v>
      </c>
      <c r="D1221">
        <v>9.6199998855590803</v>
      </c>
      <c r="E1221">
        <v>9.6199998855590803</v>
      </c>
      <c r="F1221">
        <v>0</v>
      </c>
      <c r="G1221">
        <v>6.3099999427795401</v>
      </c>
      <c r="H1221">
        <v>0.20000000298023199</v>
      </c>
      <c r="I1221">
        <v>3.0999999046325701</v>
      </c>
      <c r="J1221">
        <v>0</v>
      </c>
      <c r="K1221">
        <v>68</v>
      </c>
      <c r="L1221">
        <v>5</v>
      </c>
      <c r="M1221">
        <v>185</v>
      </c>
      <c r="N1221">
        <v>1182</v>
      </c>
      <c r="O1221">
        <v>2846</v>
      </c>
      <c r="P1221" t="str">
        <f>TEXT(tbl_working_daily[[#This Row],[ActivityDate]],"dddd")</f>
        <v>Tuesday</v>
      </c>
      <c r="Q1221" t="str">
        <f>TEXT(tbl_working_daily[[#This Row],[ActivityDate]],"mmmm")</f>
        <v>April</v>
      </c>
      <c r="R1221">
        <f t="shared" si="38"/>
        <v>258</v>
      </c>
      <c r="S1221">
        <f t="shared" si="39"/>
        <v>1440</v>
      </c>
      <c r="T1221">
        <f>ROUND(tbl_working_daily[[#This Row],[SedentaryMinutes]]/60,2)</f>
        <v>19.7</v>
      </c>
      <c r="U1221" t="str" cm="1">
        <f t="array" ref="U122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21" t="str" cm="1">
        <f t="array" ref="V1221">_xlfn.IFS(tbl_working_daily[[#This Row],[VeryActiveMinutes]]&gt;=30,"Very Active",tbl_working_daily[[#This Row],[VeryActiveMinutes]]&gt;=15,"Moderately Active",tbl_working_daily[[#This Row],[VeryActiveMinutes]]&gt;=1,"Lightly Active",tbl_working_daily[[#This Row],[VeryActiveMinutes]]=0,"Sedentary")</f>
        <v>Very Active</v>
      </c>
      <c r="W1221" t="str">
        <f>tbl_working_daily[[#This Row],[Id]]&amp;"|"&amp;TEXT(tbl_working_daily[[#This Row],[ActivityDate]],"yyyy-mm-dd")</f>
        <v>8053475328|2016-04-26</v>
      </c>
      <c r="X1221" t="b">
        <f>ISNUMBER(MATCH(tbl_working_daily[[#This Row],[LookupKey]],tbl_working_sleep[LookupKey],0))</f>
        <v>0</v>
      </c>
    </row>
    <row r="1222" spans="1:24" x14ac:dyDescent="0.3">
      <c r="A1222">
        <v>8053475328</v>
      </c>
      <c r="B1222" s="1">
        <v>42487</v>
      </c>
      <c r="C1222">
        <v>12422</v>
      </c>
      <c r="D1222">
        <v>9.8199996948242205</v>
      </c>
      <c r="E1222">
        <v>9.8199996948242205</v>
      </c>
      <c r="F1222">
        <v>0</v>
      </c>
      <c r="G1222">
        <v>6.46000003814697</v>
      </c>
      <c r="H1222">
        <v>0.43000000715255698</v>
      </c>
      <c r="I1222">
        <v>2.9300000667571999</v>
      </c>
      <c r="J1222">
        <v>0</v>
      </c>
      <c r="K1222">
        <v>60</v>
      </c>
      <c r="L1222">
        <v>10</v>
      </c>
      <c r="M1222">
        <v>183</v>
      </c>
      <c r="N1222">
        <v>1187</v>
      </c>
      <c r="O1222">
        <v>2852</v>
      </c>
      <c r="P1222" t="str">
        <f>TEXT(tbl_working_daily[[#This Row],[ActivityDate]],"dddd")</f>
        <v>Wednesday</v>
      </c>
      <c r="Q1222" t="str">
        <f>TEXT(tbl_working_daily[[#This Row],[ActivityDate]],"mmmm")</f>
        <v>April</v>
      </c>
      <c r="R1222">
        <f t="shared" si="38"/>
        <v>253</v>
      </c>
      <c r="S1222">
        <f t="shared" si="39"/>
        <v>1440</v>
      </c>
      <c r="T1222">
        <f>ROUND(tbl_working_daily[[#This Row],[SedentaryMinutes]]/60,2)</f>
        <v>19.78</v>
      </c>
      <c r="U1222" t="str" cm="1">
        <f t="array" ref="U122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22" t="str" cm="1">
        <f t="array" ref="V1222">_xlfn.IFS(tbl_working_daily[[#This Row],[VeryActiveMinutes]]&gt;=30,"Very Active",tbl_working_daily[[#This Row],[VeryActiveMinutes]]&gt;=15,"Moderately Active",tbl_working_daily[[#This Row],[VeryActiveMinutes]]&gt;=1,"Lightly Active",tbl_working_daily[[#This Row],[VeryActiveMinutes]]=0,"Sedentary")</f>
        <v>Very Active</v>
      </c>
      <c r="W1222" t="str">
        <f>tbl_working_daily[[#This Row],[Id]]&amp;"|"&amp;TEXT(tbl_working_daily[[#This Row],[ActivityDate]],"yyyy-mm-dd")</f>
        <v>8053475328|2016-04-27</v>
      </c>
      <c r="X1222" t="b">
        <f>ISNUMBER(MATCH(tbl_working_daily[[#This Row],[LookupKey]],tbl_working_sleep[LookupKey],0))</f>
        <v>0</v>
      </c>
    </row>
    <row r="1223" spans="1:24" x14ac:dyDescent="0.3">
      <c r="A1223">
        <v>8053475328</v>
      </c>
      <c r="B1223" s="1">
        <v>42488</v>
      </c>
      <c r="C1223">
        <v>15447</v>
      </c>
      <c r="D1223">
        <v>12.3999996185303</v>
      </c>
      <c r="E1223">
        <v>12.3999996185303</v>
      </c>
      <c r="F1223">
        <v>0</v>
      </c>
      <c r="G1223">
        <v>9.6700000762939506</v>
      </c>
      <c r="H1223">
        <v>0.38999998569488498</v>
      </c>
      <c r="I1223">
        <v>2.3499999046325701</v>
      </c>
      <c r="J1223">
        <v>0</v>
      </c>
      <c r="K1223">
        <v>90</v>
      </c>
      <c r="L1223">
        <v>9</v>
      </c>
      <c r="M1223">
        <v>153</v>
      </c>
      <c r="N1223">
        <v>1188</v>
      </c>
      <c r="O1223">
        <v>3062</v>
      </c>
      <c r="P1223" t="str">
        <f>TEXT(tbl_working_daily[[#This Row],[ActivityDate]],"dddd")</f>
        <v>Thursday</v>
      </c>
      <c r="Q1223" t="str">
        <f>TEXT(tbl_working_daily[[#This Row],[ActivityDate]],"mmmm")</f>
        <v>April</v>
      </c>
      <c r="R1223">
        <f t="shared" si="38"/>
        <v>252</v>
      </c>
      <c r="S1223">
        <f t="shared" si="39"/>
        <v>1440</v>
      </c>
      <c r="T1223">
        <f>ROUND(tbl_working_daily[[#This Row],[SedentaryMinutes]]/60,2)</f>
        <v>19.8</v>
      </c>
      <c r="U1223" t="str" cm="1">
        <f t="array" ref="U122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23" t="str" cm="1">
        <f t="array" ref="V1223">_xlfn.IFS(tbl_working_daily[[#This Row],[VeryActiveMinutes]]&gt;=30,"Very Active",tbl_working_daily[[#This Row],[VeryActiveMinutes]]&gt;=15,"Moderately Active",tbl_working_daily[[#This Row],[VeryActiveMinutes]]&gt;=1,"Lightly Active",tbl_working_daily[[#This Row],[VeryActiveMinutes]]=0,"Sedentary")</f>
        <v>Very Active</v>
      </c>
      <c r="W1223" t="str">
        <f>tbl_working_daily[[#This Row],[Id]]&amp;"|"&amp;TEXT(tbl_working_daily[[#This Row],[ActivityDate]],"yyyy-mm-dd")</f>
        <v>8053475328|2016-04-28</v>
      </c>
      <c r="X1223" t="b">
        <f>ISNUMBER(MATCH(tbl_working_daily[[#This Row],[LookupKey]],tbl_working_sleep[LookupKey],0))</f>
        <v>0</v>
      </c>
    </row>
    <row r="1224" spans="1:24" x14ac:dyDescent="0.3">
      <c r="A1224">
        <v>8053475328</v>
      </c>
      <c r="B1224" s="1">
        <v>42489</v>
      </c>
      <c r="C1224">
        <v>12315</v>
      </c>
      <c r="D1224">
        <v>9.6499996185302699</v>
      </c>
      <c r="E1224">
        <v>9.6499996185302699</v>
      </c>
      <c r="F1224">
        <v>0</v>
      </c>
      <c r="G1224">
        <v>6.1700000762939498</v>
      </c>
      <c r="H1224">
        <v>0.31000000238418601</v>
      </c>
      <c r="I1224">
        <v>3.1700000762939502</v>
      </c>
      <c r="J1224">
        <v>0</v>
      </c>
      <c r="K1224">
        <v>58</v>
      </c>
      <c r="L1224">
        <v>8</v>
      </c>
      <c r="M1224">
        <v>159</v>
      </c>
      <c r="N1224">
        <v>1215</v>
      </c>
      <c r="O1224">
        <v>2794</v>
      </c>
      <c r="P1224" t="str">
        <f>TEXT(tbl_working_daily[[#This Row],[ActivityDate]],"dddd")</f>
        <v>Friday</v>
      </c>
      <c r="Q1224" t="str">
        <f>TEXT(tbl_working_daily[[#This Row],[ActivityDate]],"mmmm")</f>
        <v>April</v>
      </c>
      <c r="R1224">
        <f t="shared" si="38"/>
        <v>225</v>
      </c>
      <c r="S1224">
        <f t="shared" si="39"/>
        <v>1440</v>
      </c>
      <c r="T1224">
        <f>ROUND(tbl_working_daily[[#This Row],[SedentaryMinutes]]/60,2)</f>
        <v>20.25</v>
      </c>
      <c r="U1224" t="str" cm="1">
        <f t="array" ref="U122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24" t="str" cm="1">
        <f t="array" ref="V1224">_xlfn.IFS(tbl_working_daily[[#This Row],[VeryActiveMinutes]]&gt;=30,"Very Active",tbl_working_daily[[#This Row],[VeryActiveMinutes]]&gt;=15,"Moderately Active",tbl_working_daily[[#This Row],[VeryActiveMinutes]]&gt;=1,"Lightly Active",tbl_working_daily[[#This Row],[VeryActiveMinutes]]=0,"Sedentary")</f>
        <v>Very Active</v>
      </c>
      <c r="W1224" t="str">
        <f>tbl_working_daily[[#This Row],[Id]]&amp;"|"&amp;TEXT(tbl_working_daily[[#This Row],[ActivityDate]],"yyyy-mm-dd")</f>
        <v>8053475328|2016-04-29</v>
      </c>
      <c r="X1224" t="b">
        <f>ISNUMBER(MATCH(tbl_working_daily[[#This Row],[LookupKey]],tbl_working_sleep[LookupKey],0))</f>
        <v>0</v>
      </c>
    </row>
    <row r="1225" spans="1:24" x14ac:dyDescent="0.3">
      <c r="A1225">
        <v>8053475328</v>
      </c>
      <c r="B1225" s="1">
        <v>42490</v>
      </c>
      <c r="C1225">
        <v>7135</v>
      </c>
      <c r="D1225">
        <v>5.5900001525878897</v>
      </c>
      <c r="E1225">
        <v>5.5900001525878897</v>
      </c>
      <c r="F1225">
        <v>0</v>
      </c>
      <c r="G1225">
        <v>2.9900000095367401</v>
      </c>
      <c r="H1225">
        <v>5.9999998658895499E-2</v>
      </c>
      <c r="I1225">
        <v>2.53999996185303</v>
      </c>
      <c r="J1225">
        <v>0</v>
      </c>
      <c r="K1225">
        <v>27</v>
      </c>
      <c r="L1225">
        <v>1</v>
      </c>
      <c r="M1225">
        <v>131</v>
      </c>
      <c r="N1225">
        <v>1281</v>
      </c>
      <c r="O1225">
        <v>2408</v>
      </c>
      <c r="P1225" t="str">
        <f>TEXT(tbl_working_daily[[#This Row],[ActivityDate]],"dddd")</f>
        <v>Saturday</v>
      </c>
      <c r="Q1225" t="str">
        <f>TEXT(tbl_working_daily[[#This Row],[ActivityDate]],"mmmm")</f>
        <v>April</v>
      </c>
      <c r="R1225">
        <f t="shared" si="38"/>
        <v>159</v>
      </c>
      <c r="S1225">
        <f t="shared" si="39"/>
        <v>1440</v>
      </c>
      <c r="T1225">
        <f>ROUND(tbl_working_daily[[#This Row],[SedentaryMinutes]]/60,2)</f>
        <v>21.35</v>
      </c>
      <c r="U1225" t="str" cm="1">
        <f t="array" ref="U122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25" t="str" cm="1">
        <f t="array" ref="V1225">_xlfn.IFS(tbl_working_daily[[#This Row],[VeryActiveMinutes]]&gt;=30,"Very Active",tbl_working_daily[[#This Row],[VeryActiveMinutes]]&gt;=15,"Moderately Active",tbl_working_daily[[#This Row],[VeryActiveMinutes]]&gt;=1,"Lightly Active",tbl_working_daily[[#This Row],[VeryActiveMinutes]]=0,"Sedentary")</f>
        <v>Moderately Active</v>
      </c>
      <c r="W1225" t="str">
        <f>tbl_working_daily[[#This Row],[Id]]&amp;"|"&amp;TEXT(tbl_working_daily[[#This Row],[ActivityDate]],"yyyy-mm-dd")</f>
        <v>8053475328|2016-04-30</v>
      </c>
      <c r="X1225" t="b">
        <f>ISNUMBER(MATCH(tbl_working_daily[[#This Row],[LookupKey]],tbl_working_sleep[LookupKey],0))</f>
        <v>0</v>
      </c>
    </row>
    <row r="1226" spans="1:24" x14ac:dyDescent="0.3">
      <c r="A1226">
        <v>8053475328</v>
      </c>
      <c r="B1226" s="1">
        <v>42491</v>
      </c>
      <c r="C1226">
        <v>1170</v>
      </c>
      <c r="D1226">
        <v>0.85000002384185802</v>
      </c>
      <c r="E1226">
        <v>0.85000002384185802</v>
      </c>
      <c r="F1226">
        <v>0</v>
      </c>
      <c r="G1226">
        <v>0</v>
      </c>
      <c r="H1226">
        <v>0</v>
      </c>
      <c r="I1226">
        <v>0.85000002384185802</v>
      </c>
      <c r="J1226">
        <v>0</v>
      </c>
      <c r="K1226">
        <v>0</v>
      </c>
      <c r="L1226">
        <v>0</v>
      </c>
      <c r="M1226">
        <v>51</v>
      </c>
      <c r="N1226">
        <v>1389</v>
      </c>
      <c r="O1226">
        <v>1886</v>
      </c>
      <c r="P1226" t="str">
        <f>TEXT(tbl_working_daily[[#This Row],[ActivityDate]],"dddd")</f>
        <v>Sunday</v>
      </c>
      <c r="Q1226" t="str">
        <f>TEXT(tbl_working_daily[[#This Row],[ActivityDate]],"mmmm")</f>
        <v>May</v>
      </c>
      <c r="R1226">
        <f t="shared" si="38"/>
        <v>51</v>
      </c>
      <c r="S1226">
        <f t="shared" si="39"/>
        <v>1440</v>
      </c>
      <c r="T1226">
        <f>ROUND(tbl_working_daily[[#This Row],[SedentaryMinutes]]/60,2)</f>
        <v>23.15</v>
      </c>
      <c r="U1226" t="str" cm="1">
        <f t="array" ref="U122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26" t="str" cm="1">
        <f t="array" ref="V1226">_xlfn.IFS(tbl_working_daily[[#This Row],[VeryActiveMinutes]]&gt;=30,"Very Active",tbl_working_daily[[#This Row],[VeryActiveMinutes]]&gt;=15,"Moderately Active",tbl_working_daily[[#This Row],[VeryActiveMinutes]]&gt;=1,"Lightly Active",tbl_working_daily[[#This Row],[VeryActiveMinutes]]=0,"Sedentary")</f>
        <v>Sedentary</v>
      </c>
      <c r="W1226" t="str">
        <f>tbl_working_daily[[#This Row],[Id]]&amp;"|"&amp;TEXT(tbl_working_daily[[#This Row],[ActivityDate]],"yyyy-mm-dd")</f>
        <v>8053475328|2016-05-01</v>
      </c>
      <c r="X1226" t="b">
        <f>ISNUMBER(MATCH(tbl_working_daily[[#This Row],[LookupKey]],tbl_working_sleep[LookupKey],0))</f>
        <v>0</v>
      </c>
    </row>
    <row r="1227" spans="1:24" x14ac:dyDescent="0.3">
      <c r="A1227">
        <v>8053475328</v>
      </c>
      <c r="B1227" s="1">
        <v>42492</v>
      </c>
      <c r="C1227">
        <v>1969</v>
      </c>
      <c r="D1227">
        <v>1.4299999475479099</v>
      </c>
      <c r="E1227">
        <v>1.4299999475479099</v>
      </c>
      <c r="F1227">
        <v>0</v>
      </c>
      <c r="G1227">
        <v>0</v>
      </c>
      <c r="H1227">
        <v>0</v>
      </c>
      <c r="I1227">
        <v>1.4299999475479099</v>
      </c>
      <c r="J1227">
        <v>0</v>
      </c>
      <c r="K1227">
        <v>0</v>
      </c>
      <c r="L1227">
        <v>0</v>
      </c>
      <c r="M1227">
        <v>95</v>
      </c>
      <c r="N1227">
        <v>1345</v>
      </c>
      <c r="O1227">
        <v>1988</v>
      </c>
      <c r="P1227" t="str">
        <f>TEXT(tbl_working_daily[[#This Row],[ActivityDate]],"dddd")</f>
        <v>Monday</v>
      </c>
      <c r="Q1227" t="str">
        <f>TEXT(tbl_working_daily[[#This Row],[ActivityDate]],"mmmm")</f>
        <v>May</v>
      </c>
      <c r="R1227">
        <f t="shared" si="38"/>
        <v>95</v>
      </c>
      <c r="S1227">
        <f t="shared" si="39"/>
        <v>1440</v>
      </c>
      <c r="T1227">
        <f>ROUND(tbl_working_daily[[#This Row],[SedentaryMinutes]]/60,2)</f>
        <v>22.42</v>
      </c>
      <c r="U1227" t="str" cm="1">
        <f t="array" ref="U122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27" t="str" cm="1">
        <f t="array" ref="V1227">_xlfn.IFS(tbl_working_daily[[#This Row],[VeryActiveMinutes]]&gt;=30,"Very Active",tbl_working_daily[[#This Row],[VeryActiveMinutes]]&gt;=15,"Moderately Active",tbl_working_daily[[#This Row],[VeryActiveMinutes]]&gt;=1,"Lightly Active",tbl_working_daily[[#This Row],[VeryActiveMinutes]]=0,"Sedentary")</f>
        <v>Sedentary</v>
      </c>
      <c r="W1227" t="str">
        <f>tbl_working_daily[[#This Row],[Id]]&amp;"|"&amp;TEXT(tbl_working_daily[[#This Row],[ActivityDate]],"yyyy-mm-dd")</f>
        <v>8053475328|2016-05-02</v>
      </c>
      <c r="X1227" t="b">
        <f>ISNUMBER(MATCH(tbl_working_daily[[#This Row],[LookupKey]],tbl_working_sleep[LookupKey],0))</f>
        <v>0</v>
      </c>
    </row>
    <row r="1228" spans="1:24" x14ac:dyDescent="0.3">
      <c r="A1228">
        <v>8053475328</v>
      </c>
      <c r="B1228" s="1">
        <v>42493</v>
      </c>
      <c r="C1228">
        <v>15484</v>
      </c>
      <c r="D1228">
        <v>11.8999996185303</v>
      </c>
      <c r="E1228">
        <v>11.8999996185303</v>
      </c>
      <c r="F1228">
        <v>0</v>
      </c>
      <c r="G1228">
        <v>8.3900003433227504</v>
      </c>
      <c r="H1228">
        <v>0.93000000715255704</v>
      </c>
      <c r="I1228">
        <v>2.5899999141693102</v>
      </c>
      <c r="J1228">
        <v>0</v>
      </c>
      <c r="K1228">
        <v>87</v>
      </c>
      <c r="L1228">
        <v>22</v>
      </c>
      <c r="M1228">
        <v>165</v>
      </c>
      <c r="N1228">
        <v>1166</v>
      </c>
      <c r="O1228">
        <v>3023</v>
      </c>
      <c r="P1228" t="str">
        <f>TEXT(tbl_working_daily[[#This Row],[ActivityDate]],"dddd")</f>
        <v>Tuesday</v>
      </c>
      <c r="Q1228" t="str">
        <f>TEXT(tbl_working_daily[[#This Row],[ActivityDate]],"mmmm")</f>
        <v>May</v>
      </c>
      <c r="R1228">
        <f t="shared" si="38"/>
        <v>274</v>
      </c>
      <c r="S1228">
        <f t="shared" si="39"/>
        <v>1440</v>
      </c>
      <c r="T1228">
        <f>ROUND(tbl_working_daily[[#This Row],[SedentaryMinutes]]/60,2)</f>
        <v>19.43</v>
      </c>
      <c r="U1228" t="str" cm="1">
        <f t="array" ref="U122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28" t="str" cm="1">
        <f t="array" ref="V1228">_xlfn.IFS(tbl_working_daily[[#This Row],[VeryActiveMinutes]]&gt;=30,"Very Active",tbl_working_daily[[#This Row],[VeryActiveMinutes]]&gt;=15,"Moderately Active",tbl_working_daily[[#This Row],[VeryActiveMinutes]]&gt;=1,"Lightly Active",tbl_working_daily[[#This Row],[VeryActiveMinutes]]=0,"Sedentary")</f>
        <v>Very Active</v>
      </c>
      <c r="W1228" t="str">
        <f>tbl_working_daily[[#This Row],[Id]]&amp;"|"&amp;TEXT(tbl_working_daily[[#This Row],[ActivityDate]],"yyyy-mm-dd")</f>
        <v>8053475328|2016-05-03</v>
      </c>
      <c r="X1228" t="b">
        <f>ISNUMBER(MATCH(tbl_working_daily[[#This Row],[LookupKey]],tbl_working_sleep[LookupKey],0))</f>
        <v>0</v>
      </c>
    </row>
    <row r="1229" spans="1:24" x14ac:dyDescent="0.3">
      <c r="A1229">
        <v>8053475328</v>
      </c>
      <c r="B1229" s="1">
        <v>42494</v>
      </c>
      <c r="C1229">
        <v>14581</v>
      </c>
      <c r="D1229">
        <v>11.1499996185303</v>
      </c>
      <c r="E1229">
        <v>11.1499996185303</v>
      </c>
      <c r="F1229">
        <v>0</v>
      </c>
      <c r="G1229">
        <v>8.8199996948242205</v>
      </c>
      <c r="H1229">
        <v>0.40000000596046398</v>
      </c>
      <c r="I1229">
        <v>1.9099999666214</v>
      </c>
      <c r="J1229">
        <v>0</v>
      </c>
      <c r="K1229">
        <v>89</v>
      </c>
      <c r="L1229">
        <v>8</v>
      </c>
      <c r="M1229">
        <v>123</v>
      </c>
      <c r="N1229">
        <v>1220</v>
      </c>
      <c r="O1229">
        <v>2918</v>
      </c>
      <c r="P1229" t="str">
        <f>TEXT(tbl_working_daily[[#This Row],[ActivityDate]],"dddd")</f>
        <v>Wednesday</v>
      </c>
      <c r="Q1229" t="str">
        <f>TEXT(tbl_working_daily[[#This Row],[ActivityDate]],"mmmm")</f>
        <v>May</v>
      </c>
      <c r="R1229">
        <f t="shared" si="38"/>
        <v>220</v>
      </c>
      <c r="S1229">
        <f t="shared" si="39"/>
        <v>1440</v>
      </c>
      <c r="T1229">
        <f>ROUND(tbl_working_daily[[#This Row],[SedentaryMinutes]]/60,2)</f>
        <v>20.329999999999998</v>
      </c>
      <c r="U1229" t="str" cm="1">
        <f t="array" ref="U122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29" t="str" cm="1">
        <f t="array" ref="V1229">_xlfn.IFS(tbl_working_daily[[#This Row],[VeryActiveMinutes]]&gt;=30,"Very Active",tbl_working_daily[[#This Row],[VeryActiveMinutes]]&gt;=15,"Moderately Active",tbl_working_daily[[#This Row],[VeryActiveMinutes]]&gt;=1,"Lightly Active",tbl_working_daily[[#This Row],[VeryActiveMinutes]]=0,"Sedentary")</f>
        <v>Very Active</v>
      </c>
      <c r="W1229" t="str">
        <f>tbl_working_daily[[#This Row],[Id]]&amp;"|"&amp;TEXT(tbl_working_daily[[#This Row],[ActivityDate]],"yyyy-mm-dd")</f>
        <v>8053475328|2016-05-04</v>
      </c>
      <c r="X1229" t="b">
        <f>ISNUMBER(MATCH(tbl_working_daily[[#This Row],[LookupKey]],tbl_working_sleep[LookupKey],0))</f>
        <v>0</v>
      </c>
    </row>
    <row r="1230" spans="1:24" x14ac:dyDescent="0.3">
      <c r="A1230">
        <v>8053475328</v>
      </c>
      <c r="B1230" s="1">
        <v>42495</v>
      </c>
      <c r="C1230">
        <v>14990</v>
      </c>
      <c r="D1230">
        <v>11.5100002288818</v>
      </c>
      <c r="E1230">
        <v>11.5100002288818</v>
      </c>
      <c r="F1230">
        <v>0</v>
      </c>
      <c r="G1230">
        <v>8.8500003814697301</v>
      </c>
      <c r="H1230">
        <v>0.44999998807907099</v>
      </c>
      <c r="I1230">
        <v>2.21000003814697</v>
      </c>
      <c r="J1230">
        <v>0</v>
      </c>
      <c r="K1230">
        <v>93</v>
      </c>
      <c r="L1230">
        <v>9</v>
      </c>
      <c r="M1230">
        <v>130</v>
      </c>
      <c r="N1230">
        <v>1208</v>
      </c>
      <c r="O1230">
        <v>2950</v>
      </c>
      <c r="P1230" t="str">
        <f>TEXT(tbl_working_daily[[#This Row],[ActivityDate]],"dddd")</f>
        <v>Thursday</v>
      </c>
      <c r="Q1230" t="str">
        <f>TEXT(tbl_working_daily[[#This Row],[ActivityDate]],"mmmm")</f>
        <v>May</v>
      </c>
      <c r="R1230">
        <f t="shared" si="38"/>
        <v>232</v>
      </c>
      <c r="S1230">
        <f t="shared" si="39"/>
        <v>1440</v>
      </c>
      <c r="T1230">
        <f>ROUND(tbl_working_daily[[#This Row],[SedentaryMinutes]]/60,2)</f>
        <v>20.13</v>
      </c>
      <c r="U1230" t="str" cm="1">
        <f t="array" ref="U123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30" t="str" cm="1">
        <f t="array" ref="V1230">_xlfn.IFS(tbl_working_daily[[#This Row],[VeryActiveMinutes]]&gt;=30,"Very Active",tbl_working_daily[[#This Row],[VeryActiveMinutes]]&gt;=15,"Moderately Active",tbl_working_daily[[#This Row],[VeryActiveMinutes]]&gt;=1,"Lightly Active",tbl_working_daily[[#This Row],[VeryActiveMinutes]]=0,"Sedentary")</f>
        <v>Very Active</v>
      </c>
      <c r="W1230" t="str">
        <f>tbl_working_daily[[#This Row],[Id]]&amp;"|"&amp;TEXT(tbl_working_daily[[#This Row],[ActivityDate]],"yyyy-mm-dd")</f>
        <v>8053475328|2016-05-05</v>
      </c>
      <c r="X1230" t="b">
        <f>ISNUMBER(MATCH(tbl_working_daily[[#This Row],[LookupKey]],tbl_working_sleep[LookupKey],0))</f>
        <v>0</v>
      </c>
    </row>
    <row r="1231" spans="1:24" x14ac:dyDescent="0.3">
      <c r="A1231">
        <v>8053475328</v>
      </c>
      <c r="B1231" s="1">
        <v>42496</v>
      </c>
      <c r="C1231">
        <v>13953</v>
      </c>
      <c r="D1231">
        <v>11</v>
      </c>
      <c r="E1231">
        <v>11</v>
      </c>
      <c r="F1231">
        <v>0</v>
      </c>
      <c r="G1231">
        <v>9.1000003814697301</v>
      </c>
      <c r="H1231">
        <v>0.68999999761581399</v>
      </c>
      <c r="I1231">
        <v>1.21000003814697</v>
      </c>
      <c r="J1231">
        <v>0</v>
      </c>
      <c r="K1231">
        <v>90</v>
      </c>
      <c r="L1231">
        <v>15</v>
      </c>
      <c r="M1231">
        <v>90</v>
      </c>
      <c r="N1231">
        <v>1245</v>
      </c>
      <c r="O1231">
        <v>2859</v>
      </c>
      <c r="P1231" t="str">
        <f>TEXT(tbl_working_daily[[#This Row],[ActivityDate]],"dddd")</f>
        <v>Friday</v>
      </c>
      <c r="Q1231" t="str">
        <f>TEXT(tbl_working_daily[[#This Row],[ActivityDate]],"mmmm")</f>
        <v>May</v>
      </c>
      <c r="R1231">
        <f t="shared" si="38"/>
        <v>195</v>
      </c>
      <c r="S1231">
        <f t="shared" si="39"/>
        <v>1440</v>
      </c>
      <c r="T1231">
        <f>ROUND(tbl_working_daily[[#This Row],[SedentaryMinutes]]/60,2)</f>
        <v>20.75</v>
      </c>
      <c r="U1231" t="str" cm="1">
        <f t="array" ref="U123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31" t="str" cm="1">
        <f t="array" ref="V1231">_xlfn.IFS(tbl_working_daily[[#This Row],[VeryActiveMinutes]]&gt;=30,"Very Active",tbl_working_daily[[#This Row],[VeryActiveMinutes]]&gt;=15,"Moderately Active",tbl_working_daily[[#This Row],[VeryActiveMinutes]]&gt;=1,"Lightly Active",tbl_working_daily[[#This Row],[VeryActiveMinutes]]=0,"Sedentary")</f>
        <v>Very Active</v>
      </c>
      <c r="W1231" t="str">
        <f>tbl_working_daily[[#This Row],[Id]]&amp;"|"&amp;TEXT(tbl_working_daily[[#This Row],[ActivityDate]],"yyyy-mm-dd")</f>
        <v>8053475328|2016-05-06</v>
      </c>
      <c r="X1231" t="b">
        <f>ISNUMBER(MATCH(tbl_working_daily[[#This Row],[LookupKey]],tbl_working_sleep[LookupKey],0))</f>
        <v>0</v>
      </c>
    </row>
    <row r="1232" spans="1:24" x14ac:dyDescent="0.3">
      <c r="A1232">
        <v>8053475328</v>
      </c>
      <c r="B1232" s="1">
        <v>42497</v>
      </c>
      <c r="C1232">
        <v>19769</v>
      </c>
      <c r="D1232">
        <v>15.670000076293899</v>
      </c>
      <c r="E1232">
        <v>15.670000076293899</v>
      </c>
      <c r="F1232">
        <v>0</v>
      </c>
      <c r="G1232">
        <v>12.439999580383301</v>
      </c>
      <c r="H1232">
        <v>0.87999999523162797</v>
      </c>
      <c r="I1232">
        <v>2.3499999046325701</v>
      </c>
      <c r="J1232">
        <v>0</v>
      </c>
      <c r="K1232">
        <v>121</v>
      </c>
      <c r="L1232">
        <v>20</v>
      </c>
      <c r="M1232">
        <v>148</v>
      </c>
      <c r="N1232">
        <v>1076</v>
      </c>
      <c r="O1232">
        <v>3331</v>
      </c>
      <c r="P1232" t="str">
        <f>TEXT(tbl_working_daily[[#This Row],[ActivityDate]],"dddd")</f>
        <v>Saturday</v>
      </c>
      <c r="Q1232" t="str">
        <f>TEXT(tbl_working_daily[[#This Row],[ActivityDate]],"mmmm")</f>
        <v>May</v>
      </c>
      <c r="R1232">
        <f t="shared" si="38"/>
        <v>289</v>
      </c>
      <c r="S1232">
        <f t="shared" si="39"/>
        <v>1365</v>
      </c>
      <c r="T1232">
        <f>ROUND(tbl_working_daily[[#This Row],[SedentaryMinutes]]/60,2)</f>
        <v>17.93</v>
      </c>
      <c r="U1232" t="str" cm="1">
        <f t="array" ref="U123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32" t="str" cm="1">
        <f t="array" ref="V1232">_xlfn.IFS(tbl_working_daily[[#This Row],[VeryActiveMinutes]]&gt;=30,"Very Active",tbl_working_daily[[#This Row],[VeryActiveMinutes]]&gt;=15,"Moderately Active",tbl_working_daily[[#This Row],[VeryActiveMinutes]]&gt;=1,"Lightly Active",tbl_working_daily[[#This Row],[VeryActiveMinutes]]=0,"Sedentary")</f>
        <v>Very Active</v>
      </c>
      <c r="W1232" t="str">
        <f>tbl_working_daily[[#This Row],[Id]]&amp;"|"&amp;TEXT(tbl_working_daily[[#This Row],[ActivityDate]],"yyyy-mm-dd")</f>
        <v>8053475328|2016-05-07</v>
      </c>
      <c r="X1232" t="b">
        <f>ISNUMBER(MATCH(tbl_working_daily[[#This Row],[LookupKey]],tbl_working_sleep[LookupKey],0))</f>
        <v>1</v>
      </c>
    </row>
    <row r="1233" spans="1:24" x14ac:dyDescent="0.3">
      <c r="A1233">
        <v>8053475328</v>
      </c>
      <c r="B1233" s="1">
        <v>42498</v>
      </c>
      <c r="C1233">
        <v>22026</v>
      </c>
      <c r="D1233">
        <v>17.649999618530298</v>
      </c>
      <c r="E1233">
        <v>17.649999618530298</v>
      </c>
      <c r="F1233">
        <v>0</v>
      </c>
      <c r="G1233">
        <v>13.3999996185303</v>
      </c>
      <c r="H1233">
        <v>0.58999997377395597</v>
      </c>
      <c r="I1233">
        <v>3.6600000858306898</v>
      </c>
      <c r="J1233">
        <v>0</v>
      </c>
      <c r="K1233">
        <v>125</v>
      </c>
      <c r="L1233">
        <v>14</v>
      </c>
      <c r="M1233">
        <v>228</v>
      </c>
      <c r="N1233">
        <v>1073</v>
      </c>
      <c r="O1233">
        <v>3589</v>
      </c>
      <c r="P1233" t="str">
        <f>TEXT(tbl_working_daily[[#This Row],[ActivityDate]],"dddd")</f>
        <v>Sunday</v>
      </c>
      <c r="Q1233" t="str">
        <f>TEXT(tbl_working_daily[[#This Row],[ActivityDate]],"mmmm")</f>
        <v>May</v>
      </c>
      <c r="R1233">
        <f t="shared" si="38"/>
        <v>367</v>
      </c>
      <c r="S1233">
        <f t="shared" si="39"/>
        <v>1440</v>
      </c>
      <c r="T1233">
        <f>ROUND(tbl_working_daily[[#This Row],[SedentaryMinutes]]/60,2)</f>
        <v>17.88</v>
      </c>
      <c r="U1233" t="str" cm="1">
        <f t="array" ref="U123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33" t="str" cm="1">
        <f t="array" ref="V1233">_xlfn.IFS(tbl_working_daily[[#This Row],[VeryActiveMinutes]]&gt;=30,"Very Active",tbl_working_daily[[#This Row],[VeryActiveMinutes]]&gt;=15,"Moderately Active",tbl_working_daily[[#This Row],[VeryActiveMinutes]]&gt;=1,"Lightly Active",tbl_working_daily[[#This Row],[VeryActiveMinutes]]=0,"Sedentary")</f>
        <v>Very Active</v>
      </c>
      <c r="W1233" t="str">
        <f>tbl_working_daily[[#This Row],[Id]]&amp;"|"&amp;TEXT(tbl_working_daily[[#This Row],[ActivityDate]],"yyyy-mm-dd")</f>
        <v>8053475328|2016-05-08</v>
      </c>
      <c r="X1233" t="b">
        <f>ISNUMBER(MATCH(tbl_working_daily[[#This Row],[LookupKey]],tbl_working_sleep[LookupKey],0))</f>
        <v>0</v>
      </c>
    </row>
    <row r="1234" spans="1:24" x14ac:dyDescent="0.3">
      <c r="A1234">
        <v>8053475328</v>
      </c>
      <c r="B1234" s="1">
        <v>42499</v>
      </c>
      <c r="C1234">
        <v>12465</v>
      </c>
      <c r="D1234">
        <v>9.3800001144409197</v>
      </c>
      <c r="E1234">
        <v>9.3800001144409197</v>
      </c>
      <c r="F1234">
        <v>0</v>
      </c>
      <c r="G1234">
        <v>6.1199998855590803</v>
      </c>
      <c r="H1234">
        <v>0.56999999284744296</v>
      </c>
      <c r="I1234">
        <v>2.6900000572204599</v>
      </c>
      <c r="J1234">
        <v>0</v>
      </c>
      <c r="K1234">
        <v>66</v>
      </c>
      <c r="L1234">
        <v>12</v>
      </c>
      <c r="M1234">
        <v>148</v>
      </c>
      <c r="N1234">
        <v>1214</v>
      </c>
      <c r="O1234">
        <v>2765</v>
      </c>
      <c r="P1234" t="str">
        <f>TEXT(tbl_working_daily[[#This Row],[ActivityDate]],"dddd")</f>
        <v>Monday</v>
      </c>
      <c r="Q1234" t="str">
        <f>TEXT(tbl_working_daily[[#This Row],[ActivityDate]],"mmmm")</f>
        <v>May</v>
      </c>
      <c r="R1234">
        <f t="shared" si="38"/>
        <v>226</v>
      </c>
      <c r="S1234">
        <f t="shared" si="39"/>
        <v>1440</v>
      </c>
      <c r="T1234">
        <f>ROUND(tbl_working_daily[[#This Row],[SedentaryMinutes]]/60,2)</f>
        <v>20.23</v>
      </c>
      <c r="U1234" t="str" cm="1">
        <f t="array" ref="U123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34" t="str" cm="1">
        <f t="array" ref="V1234">_xlfn.IFS(tbl_working_daily[[#This Row],[VeryActiveMinutes]]&gt;=30,"Very Active",tbl_working_daily[[#This Row],[VeryActiveMinutes]]&gt;=15,"Moderately Active",tbl_working_daily[[#This Row],[VeryActiveMinutes]]&gt;=1,"Lightly Active",tbl_working_daily[[#This Row],[VeryActiveMinutes]]=0,"Sedentary")</f>
        <v>Very Active</v>
      </c>
      <c r="W1234" t="str">
        <f>tbl_working_daily[[#This Row],[Id]]&amp;"|"&amp;TEXT(tbl_working_daily[[#This Row],[ActivityDate]],"yyyy-mm-dd")</f>
        <v>8053475328|2016-05-09</v>
      </c>
      <c r="X1234" t="b">
        <f>ISNUMBER(MATCH(tbl_working_daily[[#This Row],[LookupKey]],tbl_working_sleep[LookupKey],0))</f>
        <v>0</v>
      </c>
    </row>
    <row r="1235" spans="1:24" x14ac:dyDescent="0.3">
      <c r="A1235">
        <v>8053475328</v>
      </c>
      <c r="B1235" s="1">
        <v>42500</v>
      </c>
      <c r="C1235">
        <v>14810</v>
      </c>
      <c r="D1235">
        <v>11.3599996566772</v>
      </c>
      <c r="E1235">
        <v>11.3599996566772</v>
      </c>
      <c r="F1235">
        <v>0</v>
      </c>
      <c r="G1235">
        <v>9.0900001525878906</v>
      </c>
      <c r="H1235">
        <v>0.41999998688697798</v>
      </c>
      <c r="I1235">
        <v>1.8500000238418599</v>
      </c>
      <c r="J1235">
        <v>0</v>
      </c>
      <c r="K1235">
        <v>96</v>
      </c>
      <c r="L1235">
        <v>10</v>
      </c>
      <c r="M1235">
        <v>115</v>
      </c>
      <c r="N1235">
        <v>1219</v>
      </c>
      <c r="O1235">
        <v>2926</v>
      </c>
      <c r="P1235" t="str">
        <f>TEXT(tbl_working_daily[[#This Row],[ActivityDate]],"dddd")</f>
        <v>Tuesday</v>
      </c>
      <c r="Q1235" t="str">
        <f>TEXT(tbl_working_daily[[#This Row],[ActivityDate]],"mmmm")</f>
        <v>May</v>
      </c>
      <c r="R1235">
        <f t="shared" si="38"/>
        <v>221</v>
      </c>
      <c r="S1235">
        <f t="shared" si="39"/>
        <v>1440</v>
      </c>
      <c r="T1235">
        <f>ROUND(tbl_working_daily[[#This Row],[SedentaryMinutes]]/60,2)</f>
        <v>20.32</v>
      </c>
      <c r="U1235" t="str" cm="1">
        <f t="array" ref="U123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35" t="str" cm="1">
        <f t="array" ref="V1235">_xlfn.IFS(tbl_working_daily[[#This Row],[VeryActiveMinutes]]&gt;=30,"Very Active",tbl_working_daily[[#This Row],[VeryActiveMinutes]]&gt;=15,"Moderately Active",tbl_working_daily[[#This Row],[VeryActiveMinutes]]&gt;=1,"Lightly Active",tbl_working_daily[[#This Row],[VeryActiveMinutes]]=0,"Sedentary")</f>
        <v>Very Active</v>
      </c>
      <c r="W1235" t="str">
        <f>tbl_working_daily[[#This Row],[Id]]&amp;"|"&amp;TEXT(tbl_working_daily[[#This Row],[ActivityDate]],"yyyy-mm-dd")</f>
        <v>8053475328|2016-05-10</v>
      </c>
      <c r="X1235" t="b">
        <f>ISNUMBER(MATCH(tbl_working_daily[[#This Row],[LookupKey]],tbl_working_sleep[LookupKey],0))</f>
        <v>0</v>
      </c>
    </row>
    <row r="1236" spans="1:24" x14ac:dyDescent="0.3">
      <c r="A1236">
        <v>8053475328</v>
      </c>
      <c r="B1236" s="1">
        <v>42501</v>
      </c>
      <c r="C1236">
        <v>12209</v>
      </c>
      <c r="D1236">
        <v>9.3999996185302699</v>
      </c>
      <c r="E1236">
        <v>9.3999996185302699</v>
      </c>
      <c r="F1236">
        <v>0</v>
      </c>
      <c r="G1236">
        <v>6.0799999237060502</v>
      </c>
      <c r="H1236">
        <v>0.28000000119209301</v>
      </c>
      <c r="I1236">
        <v>3.03999996185303</v>
      </c>
      <c r="J1236">
        <v>0</v>
      </c>
      <c r="K1236">
        <v>60</v>
      </c>
      <c r="L1236">
        <v>7</v>
      </c>
      <c r="M1236">
        <v>184</v>
      </c>
      <c r="N1236">
        <v>1189</v>
      </c>
      <c r="O1236">
        <v>2809</v>
      </c>
      <c r="P1236" t="str">
        <f>TEXT(tbl_working_daily[[#This Row],[ActivityDate]],"dddd")</f>
        <v>Wednesday</v>
      </c>
      <c r="Q1236" t="str">
        <f>TEXT(tbl_working_daily[[#This Row],[ActivityDate]],"mmmm")</f>
        <v>May</v>
      </c>
      <c r="R1236">
        <f t="shared" si="38"/>
        <v>251</v>
      </c>
      <c r="S1236">
        <f t="shared" si="39"/>
        <v>1440</v>
      </c>
      <c r="T1236">
        <f>ROUND(tbl_working_daily[[#This Row],[SedentaryMinutes]]/60,2)</f>
        <v>19.82</v>
      </c>
      <c r="U1236" t="str" cm="1">
        <f t="array" ref="U123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36" t="str" cm="1">
        <f t="array" ref="V1236">_xlfn.IFS(tbl_working_daily[[#This Row],[VeryActiveMinutes]]&gt;=30,"Very Active",tbl_working_daily[[#This Row],[VeryActiveMinutes]]&gt;=15,"Moderately Active",tbl_working_daily[[#This Row],[VeryActiveMinutes]]&gt;=1,"Lightly Active",tbl_working_daily[[#This Row],[VeryActiveMinutes]]=0,"Sedentary")</f>
        <v>Very Active</v>
      </c>
      <c r="W1236" t="str">
        <f>tbl_working_daily[[#This Row],[Id]]&amp;"|"&amp;TEXT(tbl_working_daily[[#This Row],[ActivityDate]],"yyyy-mm-dd")</f>
        <v>8053475328|2016-05-11</v>
      </c>
      <c r="X1236" t="b">
        <f>ISNUMBER(MATCH(tbl_working_daily[[#This Row],[LookupKey]],tbl_working_sleep[LookupKey],0))</f>
        <v>0</v>
      </c>
    </row>
    <row r="1237" spans="1:24" x14ac:dyDescent="0.3">
      <c r="A1237">
        <v>8053475328</v>
      </c>
      <c r="B1237" s="1">
        <v>42502</v>
      </c>
      <c r="C1237">
        <v>4998</v>
      </c>
      <c r="D1237">
        <v>3.9100000858306898</v>
      </c>
      <c r="E1237">
        <v>3.9100000858306898</v>
      </c>
      <c r="F1237">
        <v>0</v>
      </c>
      <c r="G1237">
        <v>2.9500000476837198</v>
      </c>
      <c r="H1237">
        <v>0.20000000298023199</v>
      </c>
      <c r="I1237">
        <v>0.75999999046325695</v>
      </c>
      <c r="J1237">
        <v>0</v>
      </c>
      <c r="K1237">
        <v>28</v>
      </c>
      <c r="L1237">
        <v>4</v>
      </c>
      <c r="M1237">
        <v>39</v>
      </c>
      <c r="N1237">
        <v>839</v>
      </c>
      <c r="O1237">
        <v>1505</v>
      </c>
      <c r="P1237" t="str">
        <f>TEXT(tbl_working_daily[[#This Row],[ActivityDate]],"dddd")</f>
        <v>Thursday</v>
      </c>
      <c r="Q1237" t="str">
        <f>TEXT(tbl_working_daily[[#This Row],[ActivityDate]],"mmmm")</f>
        <v>May</v>
      </c>
      <c r="R1237">
        <f t="shared" si="38"/>
        <v>71</v>
      </c>
      <c r="S1237">
        <f t="shared" si="39"/>
        <v>910</v>
      </c>
      <c r="T1237">
        <f>ROUND(tbl_working_daily[[#This Row],[SedentaryMinutes]]/60,2)</f>
        <v>13.98</v>
      </c>
      <c r="U1237" t="str" cm="1">
        <f t="array" ref="U12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37" t="str" cm="1">
        <f t="array" ref="V1237">_xlfn.IFS(tbl_working_daily[[#This Row],[VeryActiveMinutes]]&gt;=30,"Very Active",tbl_working_daily[[#This Row],[VeryActiveMinutes]]&gt;=15,"Moderately Active",tbl_working_daily[[#This Row],[VeryActiveMinutes]]&gt;=1,"Lightly Active",tbl_working_daily[[#This Row],[VeryActiveMinutes]]=0,"Sedentary")</f>
        <v>Moderately Active</v>
      </c>
      <c r="W1237" t="str">
        <f>tbl_working_daily[[#This Row],[Id]]&amp;"|"&amp;TEXT(tbl_working_daily[[#This Row],[ActivityDate]],"yyyy-mm-dd")</f>
        <v>8053475328|2016-05-12</v>
      </c>
      <c r="X1237" t="b">
        <f>ISNUMBER(MATCH(tbl_working_daily[[#This Row],[LookupKey]],tbl_working_sleep[LookupKey],0))</f>
        <v>0</v>
      </c>
    </row>
    <row r="1238" spans="1:24" x14ac:dyDescent="0.3">
      <c r="A1238">
        <v>8253242879</v>
      </c>
      <c r="B1238" s="1">
        <v>42473</v>
      </c>
      <c r="C1238">
        <v>8053</v>
      </c>
      <c r="D1238">
        <v>6.0999999046325701</v>
      </c>
      <c r="E1238">
        <v>6.0999999046325701</v>
      </c>
      <c r="F1238">
        <v>0</v>
      </c>
      <c r="G1238">
        <v>4.1700000762939498</v>
      </c>
      <c r="H1238">
        <v>0.62999999523162797</v>
      </c>
      <c r="I1238">
        <v>1.3099999427795399</v>
      </c>
      <c r="J1238">
        <v>0</v>
      </c>
      <c r="K1238">
        <v>35</v>
      </c>
      <c r="L1238">
        <v>11</v>
      </c>
      <c r="M1238">
        <v>96</v>
      </c>
      <c r="N1238">
        <v>1298</v>
      </c>
      <c r="O1238">
        <v>1935</v>
      </c>
      <c r="P1238" t="str">
        <f>TEXT(tbl_working_daily[[#This Row],[ActivityDate]],"dddd")</f>
        <v>Wednesday</v>
      </c>
      <c r="Q1238" t="str">
        <f>TEXT(tbl_working_daily[[#This Row],[ActivityDate]],"mmmm")</f>
        <v>April</v>
      </c>
      <c r="R1238">
        <f t="shared" si="38"/>
        <v>142</v>
      </c>
      <c r="S1238">
        <f t="shared" si="39"/>
        <v>1440</v>
      </c>
      <c r="T1238">
        <f>ROUND(tbl_working_daily[[#This Row],[SedentaryMinutes]]/60,2)</f>
        <v>21.63</v>
      </c>
      <c r="U1238" t="str" cm="1">
        <f t="array" ref="U123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38" t="str" cm="1">
        <f t="array" ref="V1238">_xlfn.IFS(tbl_working_daily[[#This Row],[VeryActiveMinutes]]&gt;=30,"Very Active",tbl_working_daily[[#This Row],[VeryActiveMinutes]]&gt;=15,"Moderately Active",tbl_working_daily[[#This Row],[VeryActiveMinutes]]&gt;=1,"Lightly Active",tbl_working_daily[[#This Row],[VeryActiveMinutes]]=0,"Sedentary")</f>
        <v>Very Active</v>
      </c>
      <c r="W1238" t="str">
        <f>tbl_working_daily[[#This Row],[Id]]&amp;"|"&amp;TEXT(tbl_working_daily[[#This Row],[ActivityDate]],"yyyy-mm-dd")</f>
        <v>8253242879|2016-04-13</v>
      </c>
      <c r="X1238" t="b">
        <f>ISNUMBER(MATCH(tbl_working_daily[[#This Row],[LookupKey]],tbl_working_sleep[LookupKey],0))</f>
        <v>0</v>
      </c>
    </row>
    <row r="1239" spans="1:24" x14ac:dyDescent="0.3">
      <c r="A1239">
        <v>8253242879</v>
      </c>
      <c r="B1239" s="1">
        <v>42474</v>
      </c>
      <c r="C1239">
        <v>5234</v>
      </c>
      <c r="D1239">
        <v>3.46000003814697</v>
      </c>
      <c r="E1239">
        <v>3.46000003814697</v>
      </c>
      <c r="F1239">
        <v>0</v>
      </c>
      <c r="G1239">
        <v>1.9299999475479099</v>
      </c>
      <c r="H1239">
        <v>0.99000000953674305</v>
      </c>
      <c r="I1239">
        <v>0.54000002145767201</v>
      </c>
      <c r="J1239">
        <v>0</v>
      </c>
      <c r="K1239">
        <v>29</v>
      </c>
      <c r="L1239">
        <v>16</v>
      </c>
      <c r="M1239">
        <v>33</v>
      </c>
      <c r="N1239">
        <v>1362</v>
      </c>
      <c r="O1239">
        <v>1705</v>
      </c>
      <c r="P1239" t="str">
        <f>TEXT(tbl_working_daily[[#This Row],[ActivityDate]],"dddd")</f>
        <v>Thursday</v>
      </c>
      <c r="Q1239" t="str">
        <f>TEXT(tbl_working_daily[[#This Row],[ActivityDate]],"mmmm")</f>
        <v>April</v>
      </c>
      <c r="R1239">
        <f t="shared" si="38"/>
        <v>78</v>
      </c>
      <c r="S1239">
        <f t="shared" si="39"/>
        <v>1440</v>
      </c>
      <c r="T1239">
        <f>ROUND(tbl_working_daily[[#This Row],[SedentaryMinutes]]/60,2)</f>
        <v>22.7</v>
      </c>
      <c r="U1239" t="str" cm="1">
        <f t="array" ref="U123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39" t="str" cm="1">
        <f t="array" ref="V1239">_xlfn.IFS(tbl_working_daily[[#This Row],[VeryActiveMinutes]]&gt;=30,"Very Active",tbl_working_daily[[#This Row],[VeryActiveMinutes]]&gt;=15,"Moderately Active",tbl_working_daily[[#This Row],[VeryActiveMinutes]]&gt;=1,"Lightly Active",tbl_working_daily[[#This Row],[VeryActiveMinutes]]=0,"Sedentary")</f>
        <v>Moderately Active</v>
      </c>
      <c r="W1239" t="str">
        <f>tbl_working_daily[[#This Row],[Id]]&amp;"|"&amp;TEXT(tbl_working_daily[[#This Row],[ActivityDate]],"yyyy-mm-dd")</f>
        <v>8253242879|2016-04-14</v>
      </c>
      <c r="X1239" t="b">
        <f>ISNUMBER(MATCH(tbl_working_daily[[#This Row],[LookupKey]],tbl_working_sleep[LookupKey],0))</f>
        <v>0</v>
      </c>
    </row>
    <row r="1240" spans="1:24" x14ac:dyDescent="0.3">
      <c r="A1240">
        <v>8253242879</v>
      </c>
      <c r="B1240" s="1">
        <v>42475</v>
      </c>
      <c r="C1240">
        <v>2672</v>
      </c>
      <c r="D1240">
        <v>1.7699999809265099</v>
      </c>
      <c r="E1240">
        <v>1.7699999809265099</v>
      </c>
      <c r="F1240">
        <v>0</v>
      </c>
      <c r="G1240">
        <v>0</v>
      </c>
      <c r="H1240">
        <v>0</v>
      </c>
      <c r="I1240">
        <v>1.7599999904632599</v>
      </c>
      <c r="J1240">
        <v>0</v>
      </c>
      <c r="K1240">
        <v>0</v>
      </c>
      <c r="L1240">
        <v>0</v>
      </c>
      <c r="M1240">
        <v>105</v>
      </c>
      <c r="N1240">
        <v>1335</v>
      </c>
      <c r="O1240">
        <v>1632</v>
      </c>
      <c r="P1240" t="str">
        <f>TEXT(tbl_working_daily[[#This Row],[ActivityDate]],"dddd")</f>
        <v>Friday</v>
      </c>
      <c r="Q1240" t="str">
        <f>TEXT(tbl_working_daily[[#This Row],[ActivityDate]],"mmmm")</f>
        <v>April</v>
      </c>
      <c r="R1240">
        <f t="shared" si="38"/>
        <v>105</v>
      </c>
      <c r="S1240">
        <f t="shared" si="39"/>
        <v>1440</v>
      </c>
      <c r="T1240">
        <f>ROUND(tbl_working_daily[[#This Row],[SedentaryMinutes]]/60,2)</f>
        <v>22.25</v>
      </c>
      <c r="U1240" t="str" cm="1">
        <f t="array" ref="U12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40" t="str" cm="1">
        <f t="array" ref="V1240">_xlfn.IFS(tbl_working_daily[[#This Row],[VeryActiveMinutes]]&gt;=30,"Very Active",tbl_working_daily[[#This Row],[VeryActiveMinutes]]&gt;=15,"Moderately Active",tbl_working_daily[[#This Row],[VeryActiveMinutes]]&gt;=1,"Lightly Active",tbl_working_daily[[#This Row],[VeryActiveMinutes]]=0,"Sedentary")</f>
        <v>Sedentary</v>
      </c>
      <c r="W1240" t="str">
        <f>tbl_working_daily[[#This Row],[Id]]&amp;"|"&amp;TEXT(tbl_working_daily[[#This Row],[ActivityDate]],"yyyy-mm-dd")</f>
        <v>8253242879|2016-04-15</v>
      </c>
      <c r="X1240" t="b">
        <f>ISNUMBER(MATCH(tbl_working_daily[[#This Row],[LookupKey]],tbl_working_sleep[LookupKey],0))</f>
        <v>0</v>
      </c>
    </row>
    <row r="1241" spans="1:24" x14ac:dyDescent="0.3">
      <c r="A1241">
        <v>8253242879</v>
      </c>
      <c r="B1241" s="1">
        <v>42476</v>
      </c>
      <c r="C1241">
        <v>9256</v>
      </c>
      <c r="D1241">
        <v>6.1399998664856001</v>
      </c>
      <c r="E1241">
        <v>6.1399998664856001</v>
      </c>
      <c r="F1241">
        <v>0</v>
      </c>
      <c r="G1241">
        <v>0.43000000715255698</v>
      </c>
      <c r="H1241">
        <v>3.2699999809265101</v>
      </c>
      <c r="I1241">
        <v>2.4500000476837198</v>
      </c>
      <c r="J1241">
        <v>0</v>
      </c>
      <c r="K1241">
        <v>6</v>
      </c>
      <c r="L1241">
        <v>51</v>
      </c>
      <c r="M1241">
        <v>115</v>
      </c>
      <c r="N1241">
        <v>1268</v>
      </c>
      <c r="O1241">
        <v>1880</v>
      </c>
      <c r="P1241" t="str">
        <f>TEXT(tbl_working_daily[[#This Row],[ActivityDate]],"dddd")</f>
        <v>Saturday</v>
      </c>
      <c r="Q1241" t="str">
        <f>TEXT(tbl_working_daily[[#This Row],[ActivityDate]],"mmmm")</f>
        <v>April</v>
      </c>
      <c r="R1241">
        <f t="shared" si="38"/>
        <v>172</v>
      </c>
      <c r="S1241">
        <f t="shared" si="39"/>
        <v>1440</v>
      </c>
      <c r="T1241">
        <f>ROUND(tbl_working_daily[[#This Row],[SedentaryMinutes]]/60,2)</f>
        <v>21.13</v>
      </c>
      <c r="U1241" t="str" cm="1">
        <f t="array" ref="U124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41" t="str" cm="1">
        <f t="array" ref="V1241">_xlfn.IFS(tbl_working_daily[[#This Row],[VeryActiveMinutes]]&gt;=30,"Very Active",tbl_working_daily[[#This Row],[VeryActiveMinutes]]&gt;=15,"Moderately Active",tbl_working_daily[[#This Row],[VeryActiveMinutes]]&gt;=1,"Lightly Active",tbl_working_daily[[#This Row],[VeryActiveMinutes]]=0,"Sedentary")</f>
        <v>Lightly Active</v>
      </c>
      <c r="W1241" t="str">
        <f>tbl_working_daily[[#This Row],[Id]]&amp;"|"&amp;TEXT(tbl_working_daily[[#This Row],[ActivityDate]],"yyyy-mm-dd")</f>
        <v>8253242879|2016-04-16</v>
      </c>
      <c r="X1241" t="b">
        <f>ISNUMBER(MATCH(tbl_working_daily[[#This Row],[LookupKey]],tbl_working_sleep[LookupKey],0))</f>
        <v>0</v>
      </c>
    </row>
    <row r="1242" spans="1:24" x14ac:dyDescent="0.3">
      <c r="A1242">
        <v>8253242879</v>
      </c>
      <c r="B1242" s="1">
        <v>42477</v>
      </c>
      <c r="C1242">
        <v>10204</v>
      </c>
      <c r="D1242">
        <v>7.9099998474121103</v>
      </c>
      <c r="E1242">
        <v>7.9099998474121103</v>
      </c>
      <c r="F1242">
        <v>0</v>
      </c>
      <c r="G1242">
        <v>5.4299998283386204</v>
      </c>
      <c r="H1242">
        <v>0.15000000596046401</v>
      </c>
      <c r="I1242">
        <v>2.3299999237060498</v>
      </c>
      <c r="J1242">
        <v>0</v>
      </c>
      <c r="K1242">
        <v>41</v>
      </c>
      <c r="L1242">
        <v>5</v>
      </c>
      <c r="M1242">
        <v>157</v>
      </c>
      <c r="N1242">
        <v>1237</v>
      </c>
      <c r="O1242">
        <v>2112</v>
      </c>
      <c r="P1242" t="str">
        <f>TEXT(tbl_working_daily[[#This Row],[ActivityDate]],"dddd")</f>
        <v>Sunday</v>
      </c>
      <c r="Q1242" t="str">
        <f>TEXT(tbl_working_daily[[#This Row],[ActivityDate]],"mmmm")</f>
        <v>April</v>
      </c>
      <c r="R1242">
        <f t="shared" si="38"/>
        <v>203</v>
      </c>
      <c r="S1242">
        <f t="shared" si="39"/>
        <v>1440</v>
      </c>
      <c r="T1242">
        <f>ROUND(tbl_working_daily[[#This Row],[SedentaryMinutes]]/60,2)</f>
        <v>20.62</v>
      </c>
      <c r="U1242" t="str" cm="1">
        <f t="array" ref="U124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42" t="str" cm="1">
        <f t="array" ref="V1242">_xlfn.IFS(tbl_working_daily[[#This Row],[VeryActiveMinutes]]&gt;=30,"Very Active",tbl_working_daily[[#This Row],[VeryActiveMinutes]]&gt;=15,"Moderately Active",tbl_working_daily[[#This Row],[VeryActiveMinutes]]&gt;=1,"Lightly Active",tbl_working_daily[[#This Row],[VeryActiveMinutes]]=0,"Sedentary")</f>
        <v>Very Active</v>
      </c>
      <c r="W1242" t="str">
        <f>tbl_working_daily[[#This Row],[Id]]&amp;"|"&amp;TEXT(tbl_working_daily[[#This Row],[ActivityDate]],"yyyy-mm-dd")</f>
        <v>8253242879|2016-04-17</v>
      </c>
      <c r="X1242" t="b">
        <f>ISNUMBER(MATCH(tbl_working_daily[[#This Row],[LookupKey]],tbl_working_sleep[LookupKey],0))</f>
        <v>0</v>
      </c>
    </row>
    <row r="1243" spans="1:24" x14ac:dyDescent="0.3">
      <c r="A1243">
        <v>8253242879</v>
      </c>
      <c r="B1243" s="1">
        <v>42478</v>
      </c>
      <c r="C1243">
        <v>5151</v>
      </c>
      <c r="D1243">
        <v>3.4800000190734899</v>
      </c>
      <c r="E1243">
        <v>3.4800000190734899</v>
      </c>
      <c r="F1243">
        <v>0</v>
      </c>
      <c r="G1243">
        <v>1.03999996185303</v>
      </c>
      <c r="H1243">
        <v>0.62999999523162797</v>
      </c>
      <c r="I1243">
        <v>1.79999995231628</v>
      </c>
      <c r="J1243">
        <v>0</v>
      </c>
      <c r="K1243">
        <v>16</v>
      </c>
      <c r="L1243">
        <v>16</v>
      </c>
      <c r="M1243">
        <v>130</v>
      </c>
      <c r="N1243">
        <v>1278</v>
      </c>
      <c r="O1243">
        <v>1829</v>
      </c>
      <c r="P1243" t="str">
        <f>TEXT(tbl_working_daily[[#This Row],[ActivityDate]],"dddd")</f>
        <v>Monday</v>
      </c>
      <c r="Q1243" t="str">
        <f>TEXT(tbl_working_daily[[#This Row],[ActivityDate]],"mmmm")</f>
        <v>April</v>
      </c>
      <c r="R1243">
        <f t="shared" si="38"/>
        <v>162</v>
      </c>
      <c r="S1243">
        <f t="shared" si="39"/>
        <v>1440</v>
      </c>
      <c r="T1243">
        <f>ROUND(tbl_working_daily[[#This Row],[SedentaryMinutes]]/60,2)</f>
        <v>21.3</v>
      </c>
      <c r="U1243" t="str" cm="1">
        <f t="array" ref="U124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43" t="str" cm="1">
        <f t="array" ref="V1243">_xlfn.IFS(tbl_working_daily[[#This Row],[VeryActiveMinutes]]&gt;=30,"Very Active",tbl_working_daily[[#This Row],[VeryActiveMinutes]]&gt;=15,"Moderately Active",tbl_working_daily[[#This Row],[VeryActiveMinutes]]&gt;=1,"Lightly Active",tbl_working_daily[[#This Row],[VeryActiveMinutes]]=0,"Sedentary")</f>
        <v>Moderately Active</v>
      </c>
      <c r="W1243" t="str">
        <f>tbl_working_daily[[#This Row],[Id]]&amp;"|"&amp;TEXT(tbl_working_daily[[#This Row],[ActivityDate]],"yyyy-mm-dd")</f>
        <v>8253242879|2016-04-18</v>
      </c>
      <c r="X1243" t="b">
        <f>ISNUMBER(MATCH(tbl_working_daily[[#This Row],[LookupKey]],tbl_working_sleep[LookupKey],0))</f>
        <v>0</v>
      </c>
    </row>
    <row r="1244" spans="1:24" x14ac:dyDescent="0.3">
      <c r="A1244">
        <v>8253242879</v>
      </c>
      <c r="B1244" s="1">
        <v>42479</v>
      </c>
      <c r="C1244">
        <v>4212</v>
      </c>
      <c r="D1244">
        <v>2.7799999713897701</v>
      </c>
      <c r="E1244">
        <v>2.7799999713897701</v>
      </c>
      <c r="F1244">
        <v>0</v>
      </c>
      <c r="G1244">
        <v>0</v>
      </c>
      <c r="H1244">
        <v>0</v>
      </c>
      <c r="I1244">
        <v>2.7799999713897701</v>
      </c>
      <c r="J1244">
        <v>0</v>
      </c>
      <c r="K1244">
        <v>0</v>
      </c>
      <c r="L1244">
        <v>0</v>
      </c>
      <c r="M1244">
        <v>164</v>
      </c>
      <c r="N1244">
        <v>1276</v>
      </c>
      <c r="O1244">
        <v>1763</v>
      </c>
      <c r="P1244" t="str">
        <f>TEXT(tbl_working_daily[[#This Row],[ActivityDate]],"dddd")</f>
        <v>Tuesday</v>
      </c>
      <c r="Q1244" t="str">
        <f>TEXT(tbl_working_daily[[#This Row],[ActivityDate]],"mmmm")</f>
        <v>April</v>
      </c>
      <c r="R1244">
        <f t="shared" si="38"/>
        <v>164</v>
      </c>
      <c r="S1244">
        <f t="shared" si="39"/>
        <v>1440</v>
      </c>
      <c r="T1244">
        <f>ROUND(tbl_working_daily[[#This Row],[SedentaryMinutes]]/60,2)</f>
        <v>21.27</v>
      </c>
      <c r="U1244" t="str" cm="1">
        <f t="array" ref="U12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44" t="str" cm="1">
        <f t="array" ref="V1244">_xlfn.IFS(tbl_working_daily[[#This Row],[VeryActiveMinutes]]&gt;=30,"Very Active",tbl_working_daily[[#This Row],[VeryActiveMinutes]]&gt;=15,"Moderately Active",tbl_working_daily[[#This Row],[VeryActiveMinutes]]&gt;=1,"Lightly Active",tbl_working_daily[[#This Row],[VeryActiveMinutes]]=0,"Sedentary")</f>
        <v>Sedentary</v>
      </c>
      <c r="W1244" t="str">
        <f>tbl_working_daily[[#This Row],[Id]]&amp;"|"&amp;TEXT(tbl_working_daily[[#This Row],[ActivityDate]],"yyyy-mm-dd")</f>
        <v>8253242879|2016-04-19</v>
      </c>
      <c r="X1244" t="b">
        <f>ISNUMBER(MATCH(tbl_working_daily[[#This Row],[LookupKey]],tbl_working_sleep[LookupKey],0))</f>
        <v>0</v>
      </c>
    </row>
    <row r="1245" spans="1:24" x14ac:dyDescent="0.3">
      <c r="A1245">
        <v>8253242879</v>
      </c>
      <c r="B1245" s="1">
        <v>42480</v>
      </c>
      <c r="C1245">
        <v>6466</v>
      </c>
      <c r="D1245">
        <v>4.2699999809265101</v>
      </c>
      <c r="E1245">
        <v>4.2699999809265101</v>
      </c>
      <c r="F1245">
        <v>0</v>
      </c>
      <c r="G1245">
        <v>0.33000001311302202</v>
      </c>
      <c r="H1245">
        <v>0.81999999284744296</v>
      </c>
      <c r="I1245">
        <v>3.1099998950958301</v>
      </c>
      <c r="J1245">
        <v>9.9999997764825804E-3</v>
      </c>
      <c r="K1245">
        <v>5</v>
      </c>
      <c r="L1245">
        <v>18</v>
      </c>
      <c r="M1245">
        <v>216</v>
      </c>
      <c r="N1245">
        <v>1201</v>
      </c>
      <c r="O1245">
        <v>1931</v>
      </c>
      <c r="P1245" t="str">
        <f>TEXT(tbl_working_daily[[#This Row],[ActivityDate]],"dddd")</f>
        <v>Wednesday</v>
      </c>
      <c r="Q1245" t="str">
        <f>TEXT(tbl_working_daily[[#This Row],[ActivityDate]],"mmmm")</f>
        <v>April</v>
      </c>
      <c r="R1245">
        <f t="shared" si="38"/>
        <v>239</v>
      </c>
      <c r="S1245">
        <f t="shared" si="39"/>
        <v>1440</v>
      </c>
      <c r="T1245">
        <f>ROUND(tbl_working_daily[[#This Row],[SedentaryMinutes]]/60,2)</f>
        <v>20.02</v>
      </c>
      <c r="U1245" t="str" cm="1">
        <f t="array" ref="U124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45" t="str" cm="1">
        <f t="array" ref="V1245">_xlfn.IFS(tbl_working_daily[[#This Row],[VeryActiveMinutes]]&gt;=30,"Very Active",tbl_working_daily[[#This Row],[VeryActiveMinutes]]&gt;=15,"Moderately Active",tbl_working_daily[[#This Row],[VeryActiveMinutes]]&gt;=1,"Lightly Active",tbl_working_daily[[#This Row],[VeryActiveMinutes]]=0,"Sedentary")</f>
        <v>Lightly Active</v>
      </c>
      <c r="W1245" t="str">
        <f>tbl_working_daily[[#This Row],[Id]]&amp;"|"&amp;TEXT(tbl_working_daily[[#This Row],[ActivityDate]],"yyyy-mm-dd")</f>
        <v>8253242879|2016-04-20</v>
      </c>
      <c r="X1245" t="b">
        <f>ISNUMBER(MATCH(tbl_working_daily[[#This Row],[LookupKey]],tbl_working_sleep[LookupKey],0))</f>
        <v>0</v>
      </c>
    </row>
    <row r="1246" spans="1:24" x14ac:dyDescent="0.3">
      <c r="A1246">
        <v>8253242879</v>
      </c>
      <c r="B1246" s="1">
        <v>42481</v>
      </c>
      <c r="C1246">
        <v>11268</v>
      </c>
      <c r="D1246">
        <v>8.5600004196166992</v>
      </c>
      <c r="E1246">
        <v>8.5600004196166992</v>
      </c>
      <c r="F1246">
        <v>0</v>
      </c>
      <c r="G1246">
        <v>5.8800001144409197</v>
      </c>
      <c r="H1246">
        <v>0.93000000715255704</v>
      </c>
      <c r="I1246">
        <v>1.75</v>
      </c>
      <c r="J1246">
        <v>0</v>
      </c>
      <c r="K1246">
        <v>49</v>
      </c>
      <c r="L1246">
        <v>20</v>
      </c>
      <c r="M1246">
        <v>172</v>
      </c>
      <c r="N1246">
        <v>1199</v>
      </c>
      <c r="O1246">
        <v>2218</v>
      </c>
      <c r="P1246" t="str">
        <f>TEXT(tbl_working_daily[[#This Row],[ActivityDate]],"dddd")</f>
        <v>Thursday</v>
      </c>
      <c r="Q1246" t="str">
        <f>TEXT(tbl_working_daily[[#This Row],[ActivityDate]],"mmmm")</f>
        <v>April</v>
      </c>
      <c r="R1246">
        <f t="shared" si="38"/>
        <v>241</v>
      </c>
      <c r="S1246">
        <f t="shared" si="39"/>
        <v>1440</v>
      </c>
      <c r="T1246">
        <f>ROUND(tbl_working_daily[[#This Row],[SedentaryMinutes]]/60,2)</f>
        <v>19.98</v>
      </c>
      <c r="U1246" t="str" cm="1">
        <f t="array" ref="U124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46" t="str" cm="1">
        <f t="array" ref="V1246">_xlfn.IFS(tbl_working_daily[[#This Row],[VeryActiveMinutes]]&gt;=30,"Very Active",tbl_working_daily[[#This Row],[VeryActiveMinutes]]&gt;=15,"Moderately Active",tbl_working_daily[[#This Row],[VeryActiveMinutes]]&gt;=1,"Lightly Active",tbl_working_daily[[#This Row],[VeryActiveMinutes]]=0,"Sedentary")</f>
        <v>Very Active</v>
      </c>
      <c r="W1246" t="str">
        <f>tbl_working_daily[[#This Row],[Id]]&amp;"|"&amp;TEXT(tbl_working_daily[[#This Row],[ActivityDate]],"yyyy-mm-dd")</f>
        <v>8253242879|2016-04-21</v>
      </c>
      <c r="X1246" t="b">
        <f>ISNUMBER(MATCH(tbl_working_daily[[#This Row],[LookupKey]],tbl_working_sleep[LookupKey],0))</f>
        <v>0</v>
      </c>
    </row>
    <row r="1247" spans="1:24" x14ac:dyDescent="0.3">
      <c r="A1247">
        <v>8253242879</v>
      </c>
      <c r="B1247" s="1">
        <v>42482</v>
      </c>
      <c r="C1247">
        <v>2824</v>
      </c>
      <c r="D1247">
        <v>1.87000000476837</v>
      </c>
      <c r="E1247">
        <v>1.87000000476837</v>
      </c>
      <c r="F1247">
        <v>0</v>
      </c>
      <c r="G1247">
        <v>0</v>
      </c>
      <c r="H1247">
        <v>0</v>
      </c>
      <c r="I1247">
        <v>1.87000000476837</v>
      </c>
      <c r="J1247">
        <v>0</v>
      </c>
      <c r="K1247">
        <v>0</v>
      </c>
      <c r="L1247">
        <v>0</v>
      </c>
      <c r="M1247">
        <v>120</v>
      </c>
      <c r="N1247">
        <v>1320</v>
      </c>
      <c r="O1247">
        <v>1651</v>
      </c>
      <c r="P1247" t="str">
        <f>TEXT(tbl_working_daily[[#This Row],[ActivityDate]],"dddd")</f>
        <v>Friday</v>
      </c>
      <c r="Q1247" t="str">
        <f>TEXT(tbl_working_daily[[#This Row],[ActivityDate]],"mmmm")</f>
        <v>April</v>
      </c>
      <c r="R1247">
        <f t="shared" si="38"/>
        <v>120</v>
      </c>
      <c r="S1247">
        <f t="shared" si="39"/>
        <v>1440</v>
      </c>
      <c r="T1247">
        <f>ROUND(tbl_working_daily[[#This Row],[SedentaryMinutes]]/60,2)</f>
        <v>22</v>
      </c>
      <c r="U1247" t="str" cm="1">
        <f t="array" ref="U124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47" t="str" cm="1">
        <f t="array" ref="V1247">_xlfn.IFS(tbl_working_daily[[#This Row],[VeryActiveMinutes]]&gt;=30,"Very Active",tbl_working_daily[[#This Row],[VeryActiveMinutes]]&gt;=15,"Moderately Active",tbl_working_daily[[#This Row],[VeryActiveMinutes]]&gt;=1,"Lightly Active",tbl_working_daily[[#This Row],[VeryActiveMinutes]]=0,"Sedentary")</f>
        <v>Sedentary</v>
      </c>
      <c r="W1247" t="str">
        <f>tbl_working_daily[[#This Row],[Id]]&amp;"|"&amp;TEXT(tbl_working_daily[[#This Row],[ActivityDate]],"yyyy-mm-dd")</f>
        <v>8253242879|2016-04-22</v>
      </c>
      <c r="X1247" t="b">
        <f>ISNUMBER(MATCH(tbl_working_daily[[#This Row],[LookupKey]],tbl_working_sleep[LookupKey],0))</f>
        <v>0</v>
      </c>
    </row>
    <row r="1248" spans="1:24" x14ac:dyDescent="0.3">
      <c r="A1248">
        <v>8253242879</v>
      </c>
      <c r="B1248" s="1">
        <v>42483</v>
      </c>
      <c r="C1248">
        <v>9282</v>
      </c>
      <c r="D1248">
        <v>6.2600002288818404</v>
      </c>
      <c r="E1248">
        <v>6.2600002288818404</v>
      </c>
      <c r="F1248">
        <v>0</v>
      </c>
      <c r="G1248">
        <v>2.0899999141693102</v>
      </c>
      <c r="H1248">
        <v>1.03999996185303</v>
      </c>
      <c r="I1248">
        <v>3.1300001144409202</v>
      </c>
      <c r="J1248">
        <v>0</v>
      </c>
      <c r="K1248">
        <v>30</v>
      </c>
      <c r="L1248">
        <v>26</v>
      </c>
      <c r="M1248">
        <v>191</v>
      </c>
      <c r="N1248">
        <v>1193</v>
      </c>
      <c r="O1248">
        <v>2132</v>
      </c>
      <c r="P1248" t="str">
        <f>TEXT(tbl_working_daily[[#This Row],[ActivityDate]],"dddd")</f>
        <v>Saturday</v>
      </c>
      <c r="Q1248" t="str">
        <f>TEXT(tbl_working_daily[[#This Row],[ActivityDate]],"mmmm")</f>
        <v>April</v>
      </c>
      <c r="R1248">
        <f t="shared" si="38"/>
        <v>247</v>
      </c>
      <c r="S1248">
        <f t="shared" si="39"/>
        <v>1440</v>
      </c>
      <c r="T1248">
        <f>ROUND(tbl_working_daily[[#This Row],[SedentaryMinutes]]/60,2)</f>
        <v>19.88</v>
      </c>
      <c r="U1248" t="str" cm="1">
        <f t="array" ref="U124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48" t="str" cm="1">
        <f t="array" ref="V1248">_xlfn.IFS(tbl_working_daily[[#This Row],[VeryActiveMinutes]]&gt;=30,"Very Active",tbl_working_daily[[#This Row],[VeryActiveMinutes]]&gt;=15,"Moderately Active",tbl_working_daily[[#This Row],[VeryActiveMinutes]]&gt;=1,"Lightly Active",tbl_working_daily[[#This Row],[VeryActiveMinutes]]=0,"Sedentary")</f>
        <v>Very Active</v>
      </c>
      <c r="W1248" t="str">
        <f>tbl_working_daily[[#This Row],[Id]]&amp;"|"&amp;TEXT(tbl_working_daily[[#This Row],[ActivityDate]],"yyyy-mm-dd")</f>
        <v>8253242879|2016-04-23</v>
      </c>
      <c r="X1248" t="b">
        <f>ISNUMBER(MATCH(tbl_working_daily[[#This Row],[LookupKey]],tbl_working_sleep[LookupKey],0))</f>
        <v>0</v>
      </c>
    </row>
    <row r="1249" spans="1:24" x14ac:dyDescent="0.3">
      <c r="A1249">
        <v>8253242879</v>
      </c>
      <c r="B1249" s="1">
        <v>42484</v>
      </c>
      <c r="C1249">
        <v>8905</v>
      </c>
      <c r="D1249">
        <v>7.1300001144409197</v>
      </c>
      <c r="E1249">
        <v>7.1300001144409197</v>
      </c>
      <c r="F1249">
        <v>0</v>
      </c>
      <c r="G1249">
        <v>5.5999999046325701</v>
      </c>
      <c r="H1249">
        <v>0.18999999761581399</v>
      </c>
      <c r="I1249">
        <v>1.3400000333786</v>
      </c>
      <c r="J1249">
        <v>0</v>
      </c>
      <c r="K1249">
        <v>41</v>
      </c>
      <c r="L1249">
        <v>4</v>
      </c>
      <c r="M1249">
        <v>82</v>
      </c>
      <c r="N1249">
        <v>1313</v>
      </c>
      <c r="O1249">
        <v>1976</v>
      </c>
      <c r="P1249" t="str">
        <f>TEXT(tbl_working_daily[[#This Row],[ActivityDate]],"dddd")</f>
        <v>Sunday</v>
      </c>
      <c r="Q1249" t="str">
        <f>TEXT(tbl_working_daily[[#This Row],[ActivityDate]],"mmmm")</f>
        <v>April</v>
      </c>
      <c r="R1249">
        <f t="shared" si="38"/>
        <v>127</v>
      </c>
      <c r="S1249">
        <f t="shared" si="39"/>
        <v>1440</v>
      </c>
      <c r="T1249">
        <f>ROUND(tbl_working_daily[[#This Row],[SedentaryMinutes]]/60,2)</f>
        <v>21.88</v>
      </c>
      <c r="U1249" t="str" cm="1">
        <f t="array" ref="U1249">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49" t="str" cm="1">
        <f t="array" ref="V1249">_xlfn.IFS(tbl_working_daily[[#This Row],[VeryActiveMinutes]]&gt;=30,"Very Active",tbl_working_daily[[#This Row],[VeryActiveMinutes]]&gt;=15,"Moderately Active",tbl_working_daily[[#This Row],[VeryActiveMinutes]]&gt;=1,"Lightly Active",tbl_working_daily[[#This Row],[VeryActiveMinutes]]=0,"Sedentary")</f>
        <v>Very Active</v>
      </c>
      <c r="W1249" t="str">
        <f>tbl_working_daily[[#This Row],[Id]]&amp;"|"&amp;TEXT(tbl_working_daily[[#This Row],[ActivityDate]],"yyyy-mm-dd")</f>
        <v>8253242879|2016-04-24</v>
      </c>
      <c r="X1249" t="b">
        <f>ISNUMBER(MATCH(tbl_working_daily[[#This Row],[LookupKey]],tbl_working_sleep[LookupKey],0))</f>
        <v>0</v>
      </c>
    </row>
    <row r="1250" spans="1:24" x14ac:dyDescent="0.3">
      <c r="A1250">
        <v>8253242879</v>
      </c>
      <c r="B1250" s="1">
        <v>42485</v>
      </c>
      <c r="C1250">
        <v>6829</v>
      </c>
      <c r="D1250">
        <v>4.5100002288818404</v>
      </c>
      <c r="E1250">
        <v>4.5100002288818404</v>
      </c>
      <c r="F1250">
        <v>0</v>
      </c>
      <c r="G1250">
        <v>0.36000001430511502</v>
      </c>
      <c r="H1250">
        <v>2.3900001049041699</v>
      </c>
      <c r="I1250">
        <v>1.7699999809265099</v>
      </c>
      <c r="J1250">
        <v>0</v>
      </c>
      <c r="K1250">
        <v>7</v>
      </c>
      <c r="L1250">
        <v>54</v>
      </c>
      <c r="M1250">
        <v>118</v>
      </c>
      <c r="N1250">
        <v>1261</v>
      </c>
      <c r="O1250">
        <v>1909</v>
      </c>
      <c r="P1250" t="str">
        <f>TEXT(tbl_working_daily[[#This Row],[ActivityDate]],"dddd")</f>
        <v>Monday</v>
      </c>
      <c r="Q1250" t="str">
        <f>TEXT(tbl_working_daily[[#This Row],[ActivityDate]],"mmmm")</f>
        <v>April</v>
      </c>
      <c r="R1250">
        <f t="shared" si="38"/>
        <v>179</v>
      </c>
      <c r="S1250">
        <f t="shared" si="39"/>
        <v>1440</v>
      </c>
      <c r="T1250">
        <f>ROUND(tbl_working_daily[[#This Row],[SedentaryMinutes]]/60,2)</f>
        <v>21.02</v>
      </c>
      <c r="U1250" t="str" cm="1">
        <f t="array" ref="U125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50" t="str" cm="1">
        <f t="array" ref="V1250">_xlfn.IFS(tbl_working_daily[[#This Row],[VeryActiveMinutes]]&gt;=30,"Very Active",tbl_working_daily[[#This Row],[VeryActiveMinutes]]&gt;=15,"Moderately Active",tbl_working_daily[[#This Row],[VeryActiveMinutes]]&gt;=1,"Lightly Active",tbl_working_daily[[#This Row],[VeryActiveMinutes]]=0,"Sedentary")</f>
        <v>Lightly Active</v>
      </c>
      <c r="W1250" t="str">
        <f>tbl_working_daily[[#This Row],[Id]]&amp;"|"&amp;TEXT(tbl_working_daily[[#This Row],[ActivityDate]],"yyyy-mm-dd")</f>
        <v>8253242879|2016-04-25</v>
      </c>
      <c r="X1250" t="b">
        <f>ISNUMBER(MATCH(tbl_working_daily[[#This Row],[LookupKey]],tbl_working_sleep[LookupKey],0))</f>
        <v>0</v>
      </c>
    </row>
    <row r="1251" spans="1:24" x14ac:dyDescent="0.3">
      <c r="A1251">
        <v>8253242879</v>
      </c>
      <c r="B1251" s="1">
        <v>42486</v>
      </c>
      <c r="C1251">
        <v>4562</v>
      </c>
      <c r="D1251">
        <v>3.03999996185303</v>
      </c>
      <c r="E1251">
        <v>3.03999996185303</v>
      </c>
      <c r="F1251">
        <v>0</v>
      </c>
      <c r="G1251">
        <v>1.1799999475479099</v>
      </c>
      <c r="H1251">
        <v>0.490000009536743</v>
      </c>
      <c r="I1251">
        <v>1.37000000476837</v>
      </c>
      <c r="J1251">
        <v>0</v>
      </c>
      <c r="K1251">
        <v>19</v>
      </c>
      <c r="L1251">
        <v>14</v>
      </c>
      <c r="M1251">
        <v>108</v>
      </c>
      <c r="N1251">
        <v>1299</v>
      </c>
      <c r="O1251">
        <v>1813</v>
      </c>
      <c r="P1251" t="str">
        <f>TEXT(tbl_working_daily[[#This Row],[ActivityDate]],"dddd")</f>
        <v>Tuesday</v>
      </c>
      <c r="Q1251" t="str">
        <f>TEXT(tbl_working_daily[[#This Row],[ActivityDate]],"mmmm")</f>
        <v>April</v>
      </c>
      <c r="R1251">
        <f t="shared" si="38"/>
        <v>141</v>
      </c>
      <c r="S1251">
        <f t="shared" si="39"/>
        <v>1440</v>
      </c>
      <c r="T1251">
        <f>ROUND(tbl_working_daily[[#This Row],[SedentaryMinutes]]/60,2)</f>
        <v>21.65</v>
      </c>
      <c r="U1251" t="str" cm="1">
        <f t="array" ref="U125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51" t="str" cm="1">
        <f t="array" ref="V1251">_xlfn.IFS(tbl_working_daily[[#This Row],[VeryActiveMinutes]]&gt;=30,"Very Active",tbl_working_daily[[#This Row],[VeryActiveMinutes]]&gt;=15,"Moderately Active",tbl_working_daily[[#This Row],[VeryActiveMinutes]]&gt;=1,"Lightly Active",tbl_working_daily[[#This Row],[VeryActiveMinutes]]=0,"Sedentary")</f>
        <v>Moderately Active</v>
      </c>
      <c r="W1251" t="str">
        <f>tbl_working_daily[[#This Row],[Id]]&amp;"|"&amp;TEXT(tbl_working_daily[[#This Row],[ActivityDate]],"yyyy-mm-dd")</f>
        <v>8253242879|2016-04-26</v>
      </c>
      <c r="X1251" t="b">
        <f>ISNUMBER(MATCH(tbl_working_daily[[#This Row],[LookupKey]],tbl_working_sleep[LookupKey],0))</f>
        <v>0</v>
      </c>
    </row>
    <row r="1252" spans="1:24" x14ac:dyDescent="0.3">
      <c r="A1252">
        <v>8253242879</v>
      </c>
      <c r="B1252" s="1">
        <v>42487</v>
      </c>
      <c r="C1252">
        <v>10232</v>
      </c>
      <c r="D1252">
        <v>8.1800003051757795</v>
      </c>
      <c r="E1252">
        <v>8.1800003051757795</v>
      </c>
      <c r="F1252">
        <v>0</v>
      </c>
      <c r="G1252">
        <v>6.2399997711181596</v>
      </c>
      <c r="H1252">
        <v>0.230000004172325</v>
      </c>
      <c r="I1252">
        <v>1.70000004768372</v>
      </c>
      <c r="J1252">
        <v>0</v>
      </c>
      <c r="K1252">
        <v>45</v>
      </c>
      <c r="L1252">
        <v>5</v>
      </c>
      <c r="M1252">
        <v>104</v>
      </c>
      <c r="N1252">
        <v>1286</v>
      </c>
      <c r="O1252">
        <v>2008</v>
      </c>
      <c r="P1252" t="str">
        <f>TEXT(tbl_working_daily[[#This Row],[ActivityDate]],"dddd")</f>
        <v>Wednesday</v>
      </c>
      <c r="Q1252" t="str">
        <f>TEXT(tbl_working_daily[[#This Row],[ActivityDate]],"mmmm")</f>
        <v>April</v>
      </c>
      <c r="R1252">
        <f t="shared" si="38"/>
        <v>154</v>
      </c>
      <c r="S1252">
        <f t="shared" si="39"/>
        <v>1440</v>
      </c>
      <c r="T1252">
        <f>ROUND(tbl_working_daily[[#This Row],[SedentaryMinutes]]/60,2)</f>
        <v>21.43</v>
      </c>
      <c r="U1252" t="str" cm="1">
        <f t="array" ref="U125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52" t="str" cm="1">
        <f t="array" ref="V1252">_xlfn.IFS(tbl_working_daily[[#This Row],[VeryActiveMinutes]]&gt;=30,"Very Active",tbl_working_daily[[#This Row],[VeryActiveMinutes]]&gt;=15,"Moderately Active",tbl_working_daily[[#This Row],[VeryActiveMinutes]]&gt;=1,"Lightly Active",tbl_working_daily[[#This Row],[VeryActiveMinutes]]=0,"Sedentary")</f>
        <v>Very Active</v>
      </c>
      <c r="W1252" t="str">
        <f>tbl_working_daily[[#This Row],[Id]]&amp;"|"&amp;TEXT(tbl_working_daily[[#This Row],[ActivityDate]],"yyyy-mm-dd")</f>
        <v>8253242879|2016-04-27</v>
      </c>
      <c r="X1252" t="b">
        <f>ISNUMBER(MATCH(tbl_working_daily[[#This Row],[LookupKey]],tbl_working_sleep[LookupKey],0))</f>
        <v>0</v>
      </c>
    </row>
    <row r="1253" spans="1:24" x14ac:dyDescent="0.3">
      <c r="A1253">
        <v>8253242879</v>
      </c>
      <c r="B1253" s="1">
        <v>42488</v>
      </c>
      <c r="C1253">
        <v>2718</v>
      </c>
      <c r="D1253">
        <v>1.79999995231628</v>
      </c>
      <c r="E1253">
        <v>1.79999995231628</v>
      </c>
      <c r="F1253">
        <v>0</v>
      </c>
      <c r="G1253">
        <v>0.67000001668930098</v>
      </c>
      <c r="H1253">
        <v>0.77999997138977095</v>
      </c>
      <c r="I1253">
        <v>0.34000000357627902</v>
      </c>
      <c r="J1253">
        <v>0</v>
      </c>
      <c r="K1253">
        <v>11</v>
      </c>
      <c r="L1253">
        <v>16</v>
      </c>
      <c r="M1253">
        <v>20</v>
      </c>
      <c r="N1253">
        <v>1393</v>
      </c>
      <c r="O1253">
        <v>1580</v>
      </c>
      <c r="P1253" t="str">
        <f>TEXT(tbl_working_daily[[#This Row],[ActivityDate]],"dddd")</f>
        <v>Thursday</v>
      </c>
      <c r="Q1253" t="str">
        <f>TEXT(tbl_working_daily[[#This Row],[ActivityDate]],"mmmm")</f>
        <v>April</v>
      </c>
      <c r="R1253">
        <f t="shared" si="38"/>
        <v>47</v>
      </c>
      <c r="S1253">
        <f t="shared" si="39"/>
        <v>1440</v>
      </c>
      <c r="T1253">
        <f>ROUND(tbl_working_daily[[#This Row],[SedentaryMinutes]]/60,2)</f>
        <v>23.22</v>
      </c>
      <c r="U1253" t="str" cm="1">
        <f t="array" ref="U125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53" t="str" cm="1">
        <f t="array" ref="V1253">_xlfn.IFS(tbl_working_daily[[#This Row],[VeryActiveMinutes]]&gt;=30,"Very Active",tbl_working_daily[[#This Row],[VeryActiveMinutes]]&gt;=15,"Moderately Active",tbl_working_daily[[#This Row],[VeryActiveMinutes]]&gt;=1,"Lightly Active",tbl_working_daily[[#This Row],[VeryActiveMinutes]]=0,"Sedentary")</f>
        <v>Lightly Active</v>
      </c>
      <c r="W1253" t="str">
        <f>tbl_working_daily[[#This Row],[Id]]&amp;"|"&amp;TEXT(tbl_working_daily[[#This Row],[ActivityDate]],"yyyy-mm-dd")</f>
        <v>8253242879|2016-04-28</v>
      </c>
      <c r="X1253" t="b">
        <f>ISNUMBER(MATCH(tbl_working_daily[[#This Row],[LookupKey]],tbl_working_sleep[LookupKey],0))</f>
        <v>0</v>
      </c>
    </row>
    <row r="1254" spans="1:24" x14ac:dyDescent="0.3">
      <c r="A1254">
        <v>8253242879</v>
      </c>
      <c r="B1254" s="1">
        <v>42489</v>
      </c>
      <c r="C1254">
        <v>6260</v>
      </c>
      <c r="D1254">
        <v>4.2600002288818404</v>
      </c>
      <c r="E1254">
        <v>4.2600002288818404</v>
      </c>
      <c r="F1254">
        <v>0</v>
      </c>
      <c r="G1254">
        <v>1.28999996185303</v>
      </c>
      <c r="H1254">
        <v>0.54000002145767201</v>
      </c>
      <c r="I1254">
        <v>2.4000000953674299</v>
      </c>
      <c r="J1254">
        <v>0</v>
      </c>
      <c r="K1254">
        <v>16</v>
      </c>
      <c r="L1254">
        <v>14</v>
      </c>
      <c r="M1254">
        <v>136</v>
      </c>
      <c r="N1254">
        <v>1257</v>
      </c>
      <c r="O1254">
        <v>1854</v>
      </c>
      <c r="P1254" t="str">
        <f>TEXT(tbl_working_daily[[#This Row],[ActivityDate]],"dddd")</f>
        <v>Friday</v>
      </c>
      <c r="Q1254" t="str">
        <f>TEXT(tbl_working_daily[[#This Row],[ActivityDate]],"mmmm")</f>
        <v>April</v>
      </c>
      <c r="R1254">
        <f t="shared" si="38"/>
        <v>166</v>
      </c>
      <c r="S1254">
        <f t="shared" si="39"/>
        <v>1423</v>
      </c>
      <c r="T1254">
        <f>ROUND(tbl_working_daily[[#This Row],[SedentaryMinutes]]/60,2)</f>
        <v>20.95</v>
      </c>
      <c r="U1254" t="str" cm="1">
        <f t="array" ref="U125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54" t="str" cm="1">
        <f t="array" ref="V1254">_xlfn.IFS(tbl_working_daily[[#This Row],[VeryActiveMinutes]]&gt;=30,"Very Active",tbl_working_daily[[#This Row],[VeryActiveMinutes]]&gt;=15,"Moderately Active",tbl_working_daily[[#This Row],[VeryActiveMinutes]]&gt;=1,"Lightly Active",tbl_working_daily[[#This Row],[VeryActiveMinutes]]=0,"Sedentary")</f>
        <v>Moderately Active</v>
      </c>
      <c r="W1254" t="str">
        <f>tbl_working_daily[[#This Row],[Id]]&amp;"|"&amp;TEXT(tbl_working_daily[[#This Row],[ActivityDate]],"yyyy-mm-dd")</f>
        <v>8253242879|2016-04-29</v>
      </c>
      <c r="X1254" t="b">
        <f>ISNUMBER(MATCH(tbl_working_daily[[#This Row],[LookupKey]],tbl_working_sleep[LookupKey],0))</f>
        <v>0</v>
      </c>
    </row>
    <row r="1255" spans="1:24" x14ac:dyDescent="0.3">
      <c r="A1255">
        <v>8253242879</v>
      </c>
      <c r="B1255" s="1">
        <v>42490</v>
      </c>
      <c r="C1255">
        <v>0</v>
      </c>
      <c r="D1255">
        <v>0</v>
      </c>
      <c r="E1255">
        <v>0</v>
      </c>
      <c r="F1255">
        <v>0</v>
      </c>
      <c r="G1255">
        <v>0</v>
      </c>
      <c r="H1255">
        <v>0</v>
      </c>
      <c r="I1255">
        <v>0</v>
      </c>
      <c r="J1255">
        <v>0</v>
      </c>
      <c r="K1255">
        <v>0</v>
      </c>
      <c r="L1255">
        <v>0</v>
      </c>
      <c r="M1255">
        <v>0</v>
      </c>
      <c r="N1255">
        <v>1440</v>
      </c>
      <c r="O1255">
        <v>0</v>
      </c>
      <c r="P1255" t="str">
        <f>TEXT(tbl_working_daily[[#This Row],[ActivityDate]],"dddd")</f>
        <v>Saturday</v>
      </c>
      <c r="Q1255" t="str">
        <f>TEXT(tbl_working_daily[[#This Row],[ActivityDate]],"mmmm")</f>
        <v>April</v>
      </c>
      <c r="R1255">
        <f t="shared" si="38"/>
        <v>0</v>
      </c>
      <c r="S1255">
        <f t="shared" si="39"/>
        <v>1440</v>
      </c>
      <c r="T1255">
        <f>ROUND(tbl_working_daily[[#This Row],[SedentaryMinutes]]/60,2)</f>
        <v>24</v>
      </c>
      <c r="U1255" t="str" cm="1">
        <f t="array" ref="U125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55" t="str" cm="1">
        <f t="array" ref="V1255">_xlfn.IFS(tbl_working_daily[[#This Row],[VeryActiveMinutes]]&gt;=30,"Very Active",tbl_working_daily[[#This Row],[VeryActiveMinutes]]&gt;=15,"Moderately Active",tbl_working_daily[[#This Row],[VeryActiveMinutes]]&gt;=1,"Lightly Active",tbl_working_daily[[#This Row],[VeryActiveMinutes]]=0,"Sedentary")</f>
        <v>Sedentary</v>
      </c>
      <c r="W1255" t="str">
        <f>tbl_working_daily[[#This Row],[Id]]&amp;"|"&amp;TEXT(tbl_working_daily[[#This Row],[ActivityDate]],"yyyy-mm-dd")</f>
        <v>8253242879|2016-04-30</v>
      </c>
      <c r="X1255" t="b">
        <f>ISNUMBER(MATCH(tbl_working_daily[[#This Row],[LookupKey]],tbl_working_sleep[LookupKey],0))</f>
        <v>0</v>
      </c>
    </row>
    <row r="1256" spans="1:24" x14ac:dyDescent="0.3">
      <c r="A1256">
        <v>8378563200</v>
      </c>
      <c r="B1256" s="1">
        <v>42473</v>
      </c>
      <c r="C1256">
        <v>12386</v>
      </c>
      <c r="D1256">
        <v>9.8199996948242205</v>
      </c>
      <c r="E1256">
        <v>9.8199996948242205</v>
      </c>
      <c r="F1256">
        <v>2.0921471118927002</v>
      </c>
      <c r="G1256">
        <v>4.96000003814697</v>
      </c>
      <c r="H1256">
        <v>0.64999997615814198</v>
      </c>
      <c r="I1256">
        <v>4.21000003814697</v>
      </c>
      <c r="J1256">
        <v>0</v>
      </c>
      <c r="K1256">
        <v>116</v>
      </c>
      <c r="L1256">
        <v>14</v>
      </c>
      <c r="M1256">
        <v>169</v>
      </c>
      <c r="N1256">
        <v>680</v>
      </c>
      <c r="O1256">
        <v>4079</v>
      </c>
      <c r="P1256" t="str">
        <f>TEXT(tbl_working_daily[[#This Row],[ActivityDate]],"dddd")</f>
        <v>Wednesday</v>
      </c>
      <c r="Q1256" t="str">
        <f>TEXT(tbl_working_daily[[#This Row],[ActivityDate]],"mmmm")</f>
        <v>April</v>
      </c>
      <c r="R1256">
        <f t="shared" si="38"/>
        <v>299</v>
      </c>
      <c r="S1256">
        <f t="shared" si="39"/>
        <v>979</v>
      </c>
      <c r="T1256">
        <f>ROUND(tbl_working_daily[[#This Row],[SedentaryMinutes]]/60,2)</f>
        <v>11.33</v>
      </c>
      <c r="U1256" t="str" cm="1">
        <f t="array" ref="U1256">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56" t="str" cm="1">
        <f t="array" ref="V1256">_xlfn.IFS(tbl_working_daily[[#This Row],[VeryActiveMinutes]]&gt;=30,"Very Active",tbl_working_daily[[#This Row],[VeryActiveMinutes]]&gt;=15,"Moderately Active",tbl_working_daily[[#This Row],[VeryActiveMinutes]]&gt;=1,"Lightly Active",tbl_working_daily[[#This Row],[VeryActiveMinutes]]=0,"Sedentary")</f>
        <v>Very Active</v>
      </c>
      <c r="W1256" t="str">
        <f>tbl_working_daily[[#This Row],[Id]]&amp;"|"&amp;TEXT(tbl_working_daily[[#This Row],[ActivityDate]],"yyyy-mm-dd")</f>
        <v>8378563200|2016-04-13</v>
      </c>
      <c r="X1256" t="b">
        <f>ISNUMBER(MATCH(tbl_working_daily[[#This Row],[LookupKey]],tbl_working_sleep[LookupKey],0))</f>
        <v>1</v>
      </c>
    </row>
    <row r="1257" spans="1:24" x14ac:dyDescent="0.3">
      <c r="A1257">
        <v>8378563200</v>
      </c>
      <c r="B1257" s="1">
        <v>42474</v>
      </c>
      <c r="C1257">
        <v>13318</v>
      </c>
      <c r="D1257">
        <v>10.560000419616699</v>
      </c>
      <c r="E1257">
        <v>10.560000419616699</v>
      </c>
      <c r="F1257">
        <v>2.2530810832977299</v>
      </c>
      <c r="G1257">
        <v>5.6199998855590803</v>
      </c>
      <c r="H1257">
        <v>1.0299999713897701</v>
      </c>
      <c r="I1257">
        <v>3.9100000858306898</v>
      </c>
      <c r="J1257">
        <v>0</v>
      </c>
      <c r="K1257">
        <v>123</v>
      </c>
      <c r="L1257">
        <v>21</v>
      </c>
      <c r="M1257">
        <v>174</v>
      </c>
      <c r="N1257">
        <v>699</v>
      </c>
      <c r="O1257">
        <v>4163</v>
      </c>
      <c r="P1257" t="str">
        <f>TEXT(tbl_working_daily[[#This Row],[ActivityDate]],"dddd")</f>
        <v>Thursday</v>
      </c>
      <c r="Q1257" t="str">
        <f>TEXT(tbl_working_daily[[#This Row],[ActivityDate]],"mmmm")</f>
        <v>April</v>
      </c>
      <c r="R1257">
        <f t="shared" si="38"/>
        <v>318</v>
      </c>
      <c r="S1257">
        <f t="shared" si="39"/>
        <v>1017</v>
      </c>
      <c r="T1257">
        <f>ROUND(tbl_working_daily[[#This Row],[SedentaryMinutes]]/60,2)</f>
        <v>11.65</v>
      </c>
      <c r="U1257" t="str" cm="1">
        <f t="array" ref="U125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57" t="str" cm="1">
        <f t="array" ref="V1257">_xlfn.IFS(tbl_working_daily[[#This Row],[VeryActiveMinutes]]&gt;=30,"Very Active",tbl_working_daily[[#This Row],[VeryActiveMinutes]]&gt;=15,"Moderately Active",tbl_working_daily[[#This Row],[VeryActiveMinutes]]&gt;=1,"Lightly Active",tbl_working_daily[[#This Row],[VeryActiveMinutes]]=0,"Sedentary")</f>
        <v>Very Active</v>
      </c>
      <c r="W1257" t="str">
        <f>tbl_working_daily[[#This Row],[Id]]&amp;"|"&amp;TEXT(tbl_working_daily[[#This Row],[ActivityDate]],"yyyy-mm-dd")</f>
        <v>8378563200|2016-04-14</v>
      </c>
      <c r="X1257" t="b">
        <f>ISNUMBER(MATCH(tbl_working_daily[[#This Row],[LookupKey]],tbl_working_sleep[LookupKey],0))</f>
        <v>1</v>
      </c>
    </row>
    <row r="1258" spans="1:24" x14ac:dyDescent="0.3">
      <c r="A1258">
        <v>8378563200</v>
      </c>
      <c r="B1258" s="1">
        <v>42475</v>
      </c>
      <c r="C1258">
        <v>14461</v>
      </c>
      <c r="D1258">
        <v>11.4700002670288</v>
      </c>
      <c r="E1258">
        <v>11.4700002670288</v>
      </c>
      <c r="F1258">
        <v>0</v>
      </c>
      <c r="G1258">
        <v>4.9099998474121103</v>
      </c>
      <c r="H1258">
        <v>1.1499999761581401</v>
      </c>
      <c r="I1258">
        <v>5.4099998474121103</v>
      </c>
      <c r="J1258">
        <v>0</v>
      </c>
      <c r="K1258">
        <v>60</v>
      </c>
      <c r="L1258">
        <v>23</v>
      </c>
      <c r="M1258">
        <v>190</v>
      </c>
      <c r="N1258">
        <v>729</v>
      </c>
      <c r="O1258">
        <v>3666</v>
      </c>
      <c r="P1258" t="str">
        <f>TEXT(tbl_working_daily[[#This Row],[ActivityDate]],"dddd")</f>
        <v>Friday</v>
      </c>
      <c r="Q1258" t="str">
        <f>TEXT(tbl_working_daily[[#This Row],[ActivityDate]],"mmmm")</f>
        <v>April</v>
      </c>
      <c r="R1258">
        <f t="shared" si="38"/>
        <v>273</v>
      </c>
      <c r="S1258">
        <f t="shared" si="39"/>
        <v>1002</v>
      </c>
      <c r="T1258">
        <f>ROUND(tbl_working_daily[[#This Row],[SedentaryMinutes]]/60,2)</f>
        <v>12.15</v>
      </c>
      <c r="U1258" t="str" cm="1">
        <f t="array" ref="U125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58" t="str" cm="1">
        <f t="array" ref="V1258">_xlfn.IFS(tbl_working_daily[[#This Row],[VeryActiveMinutes]]&gt;=30,"Very Active",tbl_working_daily[[#This Row],[VeryActiveMinutes]]&gt;=15,"Moderately Active",tbl_working_daily[[#This Row],[VeryActiveMinutes]]&gt;=1,"Lightly Active",tbl_working_daily[[#This Row],[VeryActiveMinutes]]=0,"Sedentary")</f>
        <v>Very Active</v>
      </c>
      <c r="W1258" t="str">
        <f>tbl_working_daily[[#This Row],[Id]]&amp;"|"&amp;TEXT(tbl_working_daily[[#This Row],[ActivityDate]],"yyyy-mm-dd")</f>
        <v>8378563200|2016-04-15</v>
      </c>
      <c r="X1258" t="b">
        <f>ISNUMBER(MATCH(tbl_working_daily[[#This Row],[LookupKey]],tbl_working_sleep[LookupKey],0))</f>
        <v>1</v>
      </c>
    </row>
    <row r="1259" spans="1:24" x14ac:dyDescent="0.3">
      <c r="A1259">
        <v>8378563200</v>
      </c>
      <c r="B1259" s="1">
        <v>42476</v>
      </c>
      <c r="C1259">
        <v>11207</v>
      </c>
      <c r="D1259">
        <v>8.8900003433227504</v>
      </c>
      <c r="E1259">
        <v>8.8900003433227504</v>
      </c>
      <c r="F1259">
        <v>0</v>
      </c>
      <c r="G1259">
        <v>5.3699998855590803</v>
      </c>
      <c r="H1259">
        <v>1.0700000524520901</v>
      </c>
      <c r="I1259">
        <v>2.4400000572204599</v>
      </c>
      <c r="J1259">
        <v>0</v>
      </c>
      <c r="K1259">
        <v>64</v>
      </c>
      <c r="L1259">
        <v>21</v>
      </c>
      <c r="M1259">
        <v>142</v>
      </c>
      <c r="N1259">
        <v>563</v>
      </c>
      <c r="O1259">
        <v>3363</v>
      </c>
      <c r="P1259" t="str">
        <f>TEXT(tbl_working_daily[[#This Row],[ActivityDate]],"dddd")</f>
        <v>Saturday</v>
      </c>
      <c r="Q1259" t="str">
        <f>TEXT(tbl_working_daily[[#This Row],[ActivityDate]],"mmmm")</f>
        <v>April</v>
      </c>
      <c r="R1259">
        <f t="shared" si="38"/>
        <v>227</v>
      </c>
      <c r="S1259">
        <f t="shared" si="39"/>
        <v>790</v>
      </c>
      <c r="T1259">
        <f>ROUND(tbl_working_daily[[#This Row],[SedentaryMinutes]]/60,2)</f>
        <v>9.3800000000000008</v>
      </c>
      <c r="U1259" t="str" cm="1">
        <f t="array" ref="U125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59" t="str" cm="1">
        <f t="array" ref="V1259">_xlfn.IFS(tbl_working_daily[[#This Row],[VeryActiveMinutes]]&gt;=30,"Very Active",tbl_working_daily[[#This Row],[VeryActiveMinutes]]&gt;=15,"Moderately Active",tbl_working_daily[[#This Row],[VeryActiveMinutes]]&gt;=1,"Lightly Active",tbl_working_daily[[#This Row],[VeryActiveMinutes]]=0,"Sedentary")</f>
        <v>Very Active</v>
      </c>
      <c r="W1259" t="str">
        <f>tbl_working_daily[[#This Row],[Id]]&amp;"|"&amp;TEXT(tbl_working_daily[[#This Row],[ActivityDate]],"yyyy-mm-dd")</f>
        <v>8378563200|2016-04-16</v>
      </c>
      <c r="X1259" t="b">
        <f>ISNUMBER(MATCH(tbl_working_daily[[#This Row],[LookupKey]],tbl_working_sleep[LookupKey],0))</f>
        <v>1</v>
      </c>
    </row>
    <row r="1260" spans="1:24" x14ac:dyDescent="0.3">
      <c r="A1260">
        <v>8378563200</v>
      </c>
      <c r="B1260" s="1">
        <v>42477</v>
      </c>
      <c r="C1260">
        <v>2132</v>
      </c>
      <c r="D1260">
        <v>1.6900000572204601</v>
      </c>
      <c r="E1260">
        <v>1.6900000572204601</v>
      </c>
      <c r="F1260">
        <v>0</v>
      </c>
      <c r="G1260">
        <v>0</v>
      </c>
      <c r="H1260">
        <v>0</v>
      </c>
      <c r="I1260">
        <v>1.6900000572204601</v>
      </c>
      <c r="J1260">
        <v>0</v>
      </c>
      <c r="K1260">
        <v>0</v>
      </c>
      <c r="L1260">
        <v>0</v>
      </c>
      <c r="M1260">
        <v>93</v>
      </c>
      <c r="N1260">
        <v>599</v>
      </c>
      <c r="O1260">
        <v>2572</v>
      </c>
      <c r="P1260" t="str">
        <f>TEXT(tbl_working_daily[[#This Row],[ActivityDate]],"dddd")</f>
        <v>Sunday</v>
      </c>
      <c r="Q1260" t="str">
        <f>TEXT(tbl_working_daily[[#This Row],[ActivityDate]],"mmmm")</f>
        <v>April</v>
      </c>
      <c r="R1260">
        <f t="shared" si="38"/>
        <v>93</v>
      </c>
      <c r="S1260">
        <f t="shared" si="39"/>
        <v>692</v>
      </c>
      <c r="T1260">
        <f>ROUND(tbl_working_daily[[#This Row],[SedentaryMinutes]]/60,2)</f>
        <v>9.98</v>
      </c>
      <c r="U1260" t="str" cm="1">
        <f t="array" ref="U126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60" t="str" cm="1">
        <f t="array" ref="V1260">_xlfn.IFS(tbl_working_daily[[#This Row],[VeryActiveMinutes]]&gt;=30,"Very Active",tbl_working_daily[[#This Row],[VeryActiveMinutes]]&gt;=15,"Moderately Active",tbl_working_daily[[#This Row],[VeryActiveMinutes]]&gt;=1,"Lightly Active",tbl_working_daily[[#This Row],[VeryActiveMinutes]]=0,"Sedentary")</f>
        <v>Sedentary</v>
      </c>
      <c r="W1260" t="str">
        <f>tbl_working_daily[[#This Row],[Id]]&amp;"|"&amp;TEXT(tbl_working_daily[[#This Row],[ActivityDate]],"yyyy-mm-dd")</f>
        <v>8378563200|2016-04-17</v>
      </c>
      <c r="X1260" t="b">
        <f>ISNUMBER(MATCH(tbl_working_daily[[#This Row],[LookupKey]],tbl_working_sleep[LookupKey],0))</f>
        <v>1</v>
      </c>
    </row>
    <row r="1261" spans="1:24" x14ac:dyDescent="0.3">
      <c r="A1261">
        <v>8378563200</v>
      </c>
      <c r="B1261" s="1">
        <v>42478</v>
      </c>
      <c r="C1261">
        <v>13630</v>
      </c>
      <c r="D1261">
        <v>10.810000419616699</v>
      </c>
      <c r="E1261">
        <v>10.810000419616699</v>
      </c>
      <c r="F1261">
        <v>2.0921471118927002</v>
      </c>
      <c r="G1261">
        <v>5.0500001907348597</v>
      </c>
      <c r="H1261">
        <v>0.56000000238418601</v>
      </c>
      <c r="I1261">
        <v>5.1999998092651403</v>
      </c>
      <c r="J1261">
        <v>0</v>
      </c>
      <c r="K1261">
        <v>117</v>
      </c>
      <c r="L1261">
        <v>10</v>
      </c>
      <c r="M1261">
        <v>174</v>
      </c>
      <c r="N1261">
        <v>720</v>
      </c>
      <c r="O1261">
        <v>4157</v>
      </c>
      <c r="P1261" t="str">
        <f>TEXT(tbl_working_daily[[#This Row],[ActivityDate]],"dddd")</f>
        <v>Monday</v>
      </c>
      <c r="Q1261" t="str">
        <f>TEXT(tbl_working_daily[[#This Row],[ActivityDate]],"mmmm")</f>
        <v>April</v>
      </c>
      <c r="R1261">
        <f t="shared" si="38"/>
        <v>301</v>
      </c>
      <c r="S1261">
        <f t="shared" si="39"/>
        <v>1021</v>
      </c>
      <c r="T1261">
        <f>ROUND(tbl_working_daily[[#This Row],[SedentaryMinutes]]/60,2)</f>
        <v>12</v>
      </c>
      <c r="U1261" t="str" cm="1">
        <f t="array" ref="U126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61" t="str" cm="1">
        <f t="array" ref="V1261">_xlfn.IFS(tbl_working_daily[[#This Row],[VeryActiveMinutes]]&gt;=30,"Very Active",tbl_working_daily[[#This Row],[VeryActiveMinutes]]&gt;=15,"Moderately Active",tbl_working_daily[[#This Row],[VeryActiveMinutes]]&gt;=1,"Lightly Active",tbl_working_daily[[#This Row],[VeryActiveMinutes]]=0,"Sedentary")</f>
        <v>Very Active</v>
      </c>
      <c r="W1261" t="str">
        <f>tbl_working_daily[[#This Row],[Id]]&amp;"|"&amp;TEXT(tbl_working_daily[[#This Row],[ActivityDate]],"yyyy-mm-dd")</f>
        <v>8378563200|2016-04-18</v>
      </c>
      <c r="X1261" t="b">
        <f>ISNUMBER(MATCH(tbl_working_daily[[#This Row],[LookupKey]],tbl_working_sleep[LookupKey],0))</f>
        <v>1</v>
      </c>
    </row>
    <row r="1262" spans="1:24" x14ac:dyDescent="0.3">
      <c r="A1262">
        <v>8378563200</v>
      </c>
      <c r="B1262" s="1">
        <v>42479</v>
      </c>
      <c r="C1262">
        <v>13070</v>
      </c>
      <c r="D1262">
        <v>10.3599996566772</v>
      </c>
      <c r="E1262">
        <v>10.3599996566772</v>
      </c>
      <c r="F1262">
        <v>2.2530810832977299</v>
      </c>
      <c r="G1262">
        <v>5.3000001907348597</v>
      </c>
      <c r="H1262">
        <v>0.87999999523162797</v>
      </c>
      <c r="I1262">
        <v>4.1799998283386204</v>
      </c>
      <c r="J1262">
        <v>0</v>
      </c>
      <c r="K1262">
        <v>120</v>
      </c>
      <c r="L1262">
        <v>19</v>
      </c>
      <c r="M1262">
        <v>154</v>
      </c>
      <c r="N1262">
        <v>737</v>
      </c>
      <c r="O1262">
        <v>4092</v>
      </c>
      <c r="P1262" t="str">
        <f>TEXT(tbl_working_daily[[#This Row],[ActivityDate]],"dddd")</f>
        <v>Tuesday</v>
      </c>
      <c r="Q1262" t="str">
        <f>TEXT(tbl_working_daily[[#This Row],[ActivityDate]],"mmmm")</f>
        <v>April</v>
      </c>
      <c r="R1262">
        <f t="shared" si="38"/>
        <v>293</v>
      </c>
      <c r="S1262">
        <f t="shared" si="39"/>
        <v>1030</v>
      </c>
      <c r="T1262">
        <f>ROUND(tbl_working_daily[[#This Row],[SedentaryMinutes]]/60,2)</f>
        <v>12.28</v>
      </c>
      <c r="U1262" t="str" cm="1">
        <f t="array" ref="U126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62" t="str" cm="1">
        <f t="array" ref="V1262">_xlfn.IFS(tbl_working_daily[[#This Row],[VeryActiveMinutes]]&gt;=30,"Very Active",tbl_working_daily[[#This Row],[VeryActiveMinutes]]&gt;=15,"Moderately Active",tbl_working_daily[[#This Row],[VeryActiveMinutes]]&gt;=1,"Lightly Active",tbl_working_daily[[#This Row],[VeryActiveMinutes]]=0,"Sedentary")</f>
        <v>Very Active</v>
      </c>
      <c r="W1262" t="str">
        <f>tbl_working_daily[[#This Row],[Id]]&amp;"|"&amp;TEXT(tbl_working_daily[[#This Row],[ActivityDate]],"yyyy-mm-dd")</f>
        <v>8378563200|2016-04-19</v>
      </c>
      <c r="X1262" t="b">
        <f>ISNUMBER(MATCH(tbl_working_daily[[#This Row],[LookupKey]],tbl_working_sleep[LookupKey],0))</f>
        <v>1</v>
      </c>
    </row>
    <row r="1263" spans="1:24" x14ac:dyDescent="0.3">
      <c r="A1263">
        <v>8378563200</v>
      </c>
      <c r="B1263" s="1">
        <v>42480</v>
      </c>
      <c r="C1263">
        <v>9388</v>
      </c>
      <c r="D1263">
        <v>7.4400000572204599</v>
      </c>
      <c r="E1263">
        <v>7.4400000572204599</v>
      </c>
      <c r="F1263">
        <v>2.0921471118927002</v>
      </c>
      <c r="G1263">
        <v>2.2300000190734899</v>
      </c>
      <c r="H1263">
        <v>0.43999999761581399</v>
      </c>
      <c r="I1263">
        <v>4.7800002098083496</v>
      </c>
      <c r="J1263">
        <v>0</v>
      </c>
      <c r="K1263">
        <v>82</v>
      </c>
      <c r="L1263">
        <v>8</v>
      </c>
      <c r="M1263">
        <v>169</v>
      </c>
      <c r="N1263">
        <v>763</v>
      </c>
      <c r="O1263">
        <v>3787</v>
      </c>
      <c r="P1263" t="str">
        <f>TEXT(tbl_working_daily[[#This Row],[ActivityDate]],"dddd")</f>
        <v>Wednesday</v>
      </c>
      <c r="Q1263" t="str">
        <f>TEXT(tbl_working_daily[[#This Row],[ActivityDate]],"mmmm")</f>
        <v>April</v>
      </c>
      <c r="R1263">
        <f t="shared" si="38"/>
        <v>259</v>
      </c>
      <c r="S1263">
        <f t="shared" si="39"/>
        <v>1022</v>
      </c>
      <c r="T1263">
        <f>ROUND(tbl_working_daily[[#This Row],[SedentaryMinutes]]/60,2)</f>
        <v>12.72</v>
      </c>
      <c r="U1263" t="str" cm="1">
        <f t="array" ref="U126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63" t="str" cm="1">
        <f t="array" ref="V1263">_xlfn.IFS(tbl_working_daily[[#This Row],[VeryActiveMinutes]]&gt;=30,"Very Active",tbl_working_daily[[#This Row],[VeryActiveMinutes]]&gt;=15,"Moderately Active",tbl_working_daily[[#This Row],[VeryActiveMinutes]]&gt;=1,"Lightly Active",tbl_working_daily[[#This Row],[VeryActiveMinutes]]=0,"Sedentary")</f>
        <v>Very Active</v>
      </c>
      <c r="W1263" t="str">
        <f>tbl_working_daily[[#This Row],[Id]]&amp;"|"&amp;TEXT(tbl_working_daily[[#This Row],[ActivityDate]],"yyyy-mm-dd")</f>
        <v>8378563200|2016-04-20</v>
      </c>
      <c r="X1263" t="b">
        <f>ISNUMBER(MATCH(tbl_working_daily[[#This Row],[LookupKey]],tbl_working_sleep[LookupKey],0))</f>
        <v>1</v>
      </c>
    </row>
    <row r="1264" spans="1:24" x14ac:dyDescent="0.3">
      <c r="A1264">
        <v>8378563200</v>
      </c>
      <c r="B1264" s="1">
        <v>42481</v>
      </c>
      <c r="C1264">
        <v>15148</v>
      </c>
      <c r="D1264">
        <v>12.0100002288818</v>
      </c>
      <c r="E1264">
        <v>12.0100002288818</v>
      </c>
      <c r="F1264">
        <v>2.2530810832977299</v>
      </c>
      <c r="G1264">
        <v>6.9000000953674299</v>
      </c>
      <c r="H1264">
        <v>0.81999999284744296</v>
      </c>
      <c r="I1264">
        <v>4.28999996185303</v>
      </c>
      <c r="J1264">
        <v>0</v>
      </c>
      <c r="K1264">
        <v>137</v>
      </c>
      <c r="L1264">
        <v>16</v>
      </c>
      <c r="M1264">
        <v>145</v>
      </c>
      <c r="N1264">
        <v>677</v>
      </c>
      <c r="O1264">
        <v>4236</v>
      </c>
      <c r="P1264" t="str">
        <f>TEXT(tbl_working_daily[[#This Row],[ActivityDate]],"dddd")</f>
        <v>Thursday</v>
      </c>
      <c r="Q1264" t="str">
        <f>TEXT(tbl_working_daily[[#This Row],[ActivityDate]],"mmmm")</f>
        <v>April</v>
      </c>
      <c r="R1264">
        <f t="shared" si="38"/>
        <v>298</v>
      </c>
      <c r="S1264">
        <f t="shared" si="39"/>
        <v>975</v>
      </c>
      <c r="T1264">
        <f>ROUND(tbl_working_daily[[#This Row],[SedentaryMinutes]]/60,2)</f>
        <v>11.28</v>
      </c>
      <c r="U1264" t="str" cm="1">
        <f t="array" ref="U126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64" t="str" cm="1">
        <f t="array" ref="V1264">_xlfn.IFS(tbl_working_daily[[#This Row],[VeryActiveMinutes]]&gt;=30,"Very Active",tbl_working_daily[[#This Row],[VeryActiveMinutes]]&gt;=15,"Moderately Active",tbl_working_daily[[#This Row],[VeryActiveMinutes]]&gt;=1,"Lightly Active",tbl_working_daily[[#This Row],[VeryActiveMinutes]]=0,"Sedentary")</f>
        <v>Very Active</v>
      </c>
      <c r="W1264" t="str">
        <f>tbl_working_daily[[#This Row],[Id]]&amp;"|"&amp;TEXT(tbl_working_daily[[#This Row],[ActivityDate]],"yyyy-mm-dd")</f>
        <v>8378563200|2016-04-21</v>
      </c>
      <c r="X1264" t="b">
        <f>ISNUMBER(MATCH(tbl_working_daily[[#This Row],[LookupKey]],tbl_working_sleep[LookupKey],0))</f>
        <v>1</v>
      </c>
    </row>
    <row r="1265" spans="1:24" x14ac:dyDescent="0.3">
      <c r="A1265">
        <v>8378563200</v>
      </c>
      <c r="B1265" s="1">
        <v>42482</v>
      </c>
      <c r="C1265">
        <v>12200</v>
      </c>
      <c r="D1265">
        <v>9.6700000762939506</v>
      </c>
      <c r="E1265">
        <v>9.6700000762939506</v>
      </c>
      <c r="F1265">
        <v>2.0921471118927002</v>
      </c>
      <c r="G1265">
        <v>4.9099998474121103</v>
      </c>
      <c r="H1265">
        <v>0.58999997377395597</v>
      </c>
      <c r="I1265">
        <v>4.1799998283386204</v>
      </c>
      <c r="J1265">
        <v>0</v>
      </c>
      <c r="K1265">
        <v>113</v>
      </c>
      <c r="L1265">
        <v>12</v>
      </c>
      <c r="M1265">
        <v>159</v>
      </c>
      <c r="N1265">
        <v>769</v>
      </c>
      <c r="O1265">
        <v>4044</v>
      </c>
      <c r="P1265" t="str">
        <f>TEXT(tbl_working_daily[[#This Row],[ActivityDate]],"dddd")</f>
        <v>Friday</v>
      </c>
      <c r="Q1265" t="str">
        <f>TEXT(tbl_working_daily[[#This Row],[ActivityDate]],"mmmm")</f>
        <v>April</v>
      </c>
      <c r="R1265">
        <f t="shared" si="38"/>
        <v>284</v>
      </c>
      <c r="S1265">
        <f t="shared" si="39"/>
        <v>1053</v>
      </c>
      <c r="T1265">
        <f>ROUND(tbl_working_daily[[#This Row],[SedentaryMinutes]]/60,2)</f>
        <v>12.82</v>
      </c>
      <c r="U1265" t="str" cm="1">
        <f t="array" ref="U126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65" t="str" cm="1">
        <f t="array" ref="V1265">_xlfn.IFS(tbl_working_daily[[#This Row],[VeryActiveMinutes]]&gt;=30,"Very Active",tbl_working_daily[[#This Row],[VeryActiveMinutes]]&gt;=15,"Moderately Active",tbl_working_daily[[#This Row],[VeryActiveMinutes]]&gt;=1,"Lightly Active",tbl_working_daily[[#This Row],[VeryActiveMinutes]]=0,"Sedentary")</f>
        <v>Very Active</v>
      </c>
      <c r="W1265" t="str">
        <f>tbl_working_daily[[#This Row],[Id]]&amp;"|"&amp;TEXT(tbl_working_daily[[#This Row],[ActivityDate]],"yyyy-mm-dd")</f>
        <v>8378563200|2016-04-22</v>
      </c>
      <c r="X1265" t="b">
        <f>ISNUMBER(MATCH(tbl_working_daily[[#This Row],[LookupKey]],tbl_working_sleep[LookupKey],0))</f>
        <v>1</v>
      </c>
    </row>
    <row r="1266" spans="1:24" x14ac:dyDescent="0.3">
      <c r="A1266">
        <v>8378563200</v>
      </c>
      <c r="B1266" s="1">
        <v>42483</v>
      </c>
      <c r="C1266">
        <v>5709</v>
      </c>
      <c r="D1266">
        <v>4.5300002098083496</v>
      </c>
      <c r="E1266">
        <v>4.5300002098083496</v>
      </c>
      <c r="F1266">
        <v>0</v>
      </c>
      <c r="G1266">
        <v>1.5199999809265099</v>
      </c>
      <c r="H1266">
        <v>0.519999980926514</v>
      </c>
      <c r="I1266">
        <v>2.4800000190734899</v>
      </c>
      <c r="J1266">
        <v>0</v>
      </c>
      <c r="K1266">
        <v>19</v>
      </c>
      <c r="L1266">
        <v>10</v>
      </c>
      <c r="M1266">
        <v>136</v>
      </c>
      <c r="N1266">
        <v>740</v>
      </c>
      <c r="O1266">
        <v>2908</v>
      </c>
      <c r="P1266" t="str">
        <f>TEXT(tbl_working_daily[[#This Row],[ActivityDate]],"dddd")</f>
        <v>Saturday</v>
      </c>
      <c r="Q1266" t="str">
        <f>TEXT(tbl_working_daily[[#This Row],[ActivityDate]],"mmmm")</f>
        <v>April</v>
      </c>
      <c r="R1266">
        <f t="shared" si="38"/>
        <v>165</v>
      </c>
      <c r="S1266">
        <f t="shared" si="39"/>
        <v>905</v>
      </c>
      <c r="T1266">
        <f>ROUND(tbl_working_daily[[#This Row],[SedentaryMinutes]]/60,2)</f>
        <v>12.33</v>
      </c>
      <c r="U1266" t="str" cm="1">
        <f t="array" ref="U126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66" t="str" cm="1">
        <f t="array" ref="V1266">_xlfn.IFS(tbl_working_daily[[#This Row],[VeryActiveMinutes]]&gt;=30,"Very Active",tbl_working_daily[[#This Row],[VeryActiveMinutes]]&gt;=15,"Moderately Active",tbl_working_daily[[#This Row],[VeryActiveMinutes]]&gt;=1,"Lightly Active",tbl_working_daily[[#This Row],[VeryActiveMinutes]]=0,"Sedentary")</f>
        <v>Moderately Active</v>
      </c>
      <c r="W1266" t="str">
        <f>tbl_working_daily[[#This Row],[Id]]&amp;"|"&amp;TEXT(tbl_working_daily[[#This Row],[ActivityDate]],"yyyy-mm-dd")</f>
        <v>8378563200|2016-04-23</v>
      </c>
      <c r="X1266" t="b">
        <f>ISNUMBER(MATCH(tbl_working_daily[[#This Row],[LookupKey]],tbl_working_sleep[LookupKey],0))</f>
        <v>1</v>
      </c>
    </row>
    <row r="1267" spans="1:24" x14ac:dyDescent="0.3">
      <c r="A1267">
        <v>8378563200</v>
      </c>
      <c r="B1267" s="1">
        <v>42484</v>
      </c>
      <c r="C1267">
        <v>3703</v>
      </c>
      <c r="D1267">
        <v>2.9400000572204599</v>
      </c>
      <c r="E1267">
        <v>2.9400000572204599</v>
      </c>
      <c r="F1267">
        <v>0</v>
      </c>
      <c r="G1267">
        <v>0</v>
      </c>
      <c r="H1267">
        <v>0</v>
      </c>
      <c r="I1267">
        <v>2.9400000572204599</v>
      </c>
      <c r="J1267">
        <v>0</v>
      </c>
      <c r="K1267">
        <v>0</v>
      </c>
      <c r="L1267">
        <v>0</v>
      </c>
      <c r="M1267">
        <v>135</v>
      </c>
      <c r="N1267">
        <v>734</v>
      </c>
      <c r="O1267">
        <v>2741</v>
      </c>
      <c r="P1267" t="str">
        <f>TEXT(tbl_working_daily[[#This Row],[ActivityDate]],"dddd")</f>
        <v>Sunday</v>
      </c>
      <c r="Q1267" t="str">
        <f>TEXT(tbl_working_daily[[#This Row],[ActivityDate]],"mmmm")</f>
        <v>April</v>
      </c>
      <c r="R1267">
        <f t="shared" si="38"/>
        <v>135</v>
      </c>
      <c r="S1267">
        <f t="shared" si="39"/>
        <v>869</v>
      </c>
      <c r="T1267">
        <f>ROUND(tbl_working_daily[[#This Row],[SedentaryMinutes]]/60,2)</f>
        <v>12.23</v>
      </c>
      <c r="U1267" t="str" cm="1">
        <f t="array" ref="U126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67" t="str" cm="1">
        <f t="array" ref="V1267">_xlfn.IFS(tbl_working_daily[[#This Row],[VeryActiveMinutes]]&gt;=30,"Very Active",tbl_working_daily[[#This Row],[VeryActiveMinutes]]&gt;=15,"Moderately Active",tbl_working_daily[[#This Row],[VeryActiveMinutes]]&gt;=1,"Lightly Active",tbl_working_daily[[#This Row],[VeryActiveMinutes]]=0,"Sedentary")</f>
        <v>Sedentary</v>
      </c>
      <c r="W1267" t="str">
        <f>tbl_working_daily[[#This Row],[Id]]&amp;"|"&amp;TEXT(tbl_working_daily[[#This Row],[ActivityDate]],"yyyy-mm-dd")</f>
        <v>8378563200|2016-04-24</v>
      </c>
      <c r="X1267" t="b">
        <f>ISNUMBER(MATCH(tbl_working_daily[[#This Row],[LookupKey]],tbl_working_sleep[LookupKey],0))</f>
        <v>1</v>
      </c>
    </row>
    <row r="1268" spans="1:24" x14ac:dyDescent="0.3">
      <c r="A1268">
        <v>8378563200</v>
      </c>
      <c r="B1268" s="1">
        <v>42485</v>
      </c>
      <c r="C1268">
        <v>12405</v>
      </c>
      <c r="D1268">
        <v>9.8400001525878906</v>
      </c>
      <c r="E1268">
        <v>9.8400001525878906</v>
      </c>
      <c r="F1268">
        <v>2.0921471118927002</v>
      </c>
      <c r="G1268">
        <v>5.0500001907348597</v>
      </c>
      <c r="H1268">
        <v>0.87000000476837203</v>
      </c>
      <c r="I1268">
        <v>3.9200000762939502</v>
      </c>
      <c r="J1268">
        <v>0</v>
      </c>
      <c r="K1268">
        <v>117</v>
      </c>
      <c r="L1268">
        <v>16</v>
      </c>
      <c r="M1268">
        <v>141</v>
      </c>
      <c r="N1268">
        <v>692</v>
      </c>
      <c r="O1268">
        <v>4005</v>
      </c>
      <c r="P1268" t="str">
        <f>TEXT(tbl_working_daily[[#This Row],[ActivityDate]],"dddd")</f>
        <v>Monday</v>
      </c>
      <c r="Q1268" t="str">
        <f>TEXT(tbl_working_daily[[#This Row],[ActivityDate]],"mmmm")</f>
        <v>April</v>
      </c>
      <c r="R1268">
        <f t="shared" si="38"/>
        <v>274</v>
      </c>
      <c r="S1268">
        <f t="shared" si="39"/>
        <v>966</v>
      </c>
      <c r="T1268">
        <f>ROUND(tbl_working_daily[[#This Row],[SedentaryMinutes]]/60,2)</f>
        <v>11.53</v>
      </c>
      <c r="U1268" t="str" cm="1">
        <f t="array" ref="U126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68" t="str" cm="1">
        <f t="array" ref="V1268">_xlfn.IFS(tbl_working_daily[[#This Row],[VeryActiveMinutes]]&gt;=30,"Very Active",tbl_working_daily[[#This Row],[VeryActiveMinutes]]&gt;=15,"Moderately Active",tbl_working_daily[[#This Row],[VeryActiveMinutes]]&gt;=1,"Lightly Active",tbl_working_daily[[#This Row],[VeryActiveMinutes]]=0,"Sedentary")</f>
        <v>Very Active</v>
      </c>
      <c r="W1268" t="str">
        <f>tbl_working_daily[[#This Row],[Id]]&amp;"|"&amp;TEXT(tbl_working_daily[[#This Row],[ActivityDate]],"yyyy-mm-dd")</f>
        <v>8378563200|2016-04-25</v>
      </c>
      <c r="X1268" t="b">
        <f>ISNUMBER(MATCH(tbl_working_daily[[#This Row],[LookupKey]],tbl_working_sleep[LookupKey],0))</f>
        <v>1</v>
      </c>
    </row>
    <row r="1269" spans="1:24" x14ac:dyDescent="0.3">
      <c r="A1269">
        <v>8378563200</v>
      </c>
      <c r="B1269" s="1">
        <v>42486</v>
      </c>
      <c r="C1269">
        <v>16208</v>
      </c>
      <c r="D1269">
        <v>12.8500003814697</v>
      </c>
      <c r="E1269">
        <v>12.8500003814697</v>
      </c>
      <c r="F1269">
        <v>0</v>
      </c>
      <c r="G1269">
        <v>7.5100002288818404</v>
      </c>
      <c r="H1269">
        <v>0.92000001668930098</v>
      </c>
      <c r="I1269">
        <v>4.4200000762939498</v>
      </c>
      <c r="J1269">
        <v>0</v>
      </c>
      <c r="K1269">
        <v>90</v>
      </c>
      <c r="L1269">
        <v>18</v>
      </c>
      <c r="M1269">
        <v>161</v>
      </c>
      <c r="N1269">
        <v>593</v>
      </c>
      <c r="O1269">
        <v>3763</v>
      </c>
      <c r="P1269" t="str">
        <f>TEXT(tbl_working_daily[[#This Row],[ActivityDate]],"dddd")</f>
        <v>Tuesday</v>
      </c>
      <c r="Q1269" t="str">
        <f>TEXT(tbl_working_daily[[#This Row],[ActivityDate]],"mmmm")</f>
        <v>April</v>
      </c>
      <c r="R1269">
        <f t="shared" si="38"/>
        <v>269</v>
      </c>
      <c r="S1269">
        <f t="shared" si="39"/>
        <v>862</v>
      </c>
      <c r="T1269">
        <f>ROUND(tbl_working_daily[[#This Row],[SedentaryMinutes]]/60,2)</f>
        <v>9.8800000000000008</v>
      </c>
      <c r="U1269" t="str" cm="1">
        <f t="array" ref="U126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269" t="str" cm="1">
        <f t="array" ref="V1269">_xlfn.IFS(tbl_working_daily[[#This Row],[VeryActiveMinutes]]&gt;=30,"Very Active",tbl_working_daily[[#This Row],[VeryActiveMinutes]]&gt;=15,"Moderately Active",tbl_working_daily[[#This Row],[VeryActiveMinutes]]&gt;=1,"Lightly Active",tbl_working_daily[[#This Row],[VeryActiveMinutes]]=0,"Sedentary")</f>
        <v>Very Active</v>
      </c>
      <c r="W1269" t="str">
        <f>tbl_working_daily[[#This Row],[Id]]&amp;"|"&amp;TEXT(tbl_working_daily[[#This Row],[ActivityDate]],"yyyy-mm-dd")</f>
        <v>8378563200|2016-04-26</v>
      </c>
      <c r="X1269" t="b">
        <f>ISNUMBER(MATCH(tbl_working_daily[[#This Row],[LookupKey]],tbl_working_sleep[LookupKey],0))</f>
        <v>1</v>
      </c>
    </row>
    <row r="1270" spans="1:24" x14ac:dyDescent="0.3">
      <c r="A1270">
        <v>8378563200</v>
      </c>
      <c r="B1270" s="1">
        <v>42487</v>
      </c>
      <c r="C1270">
        <v>7359</v>
      </c>
      <c r="D1270">
        <v>5.8400001525878897</v>
      </c>
      <c r="E1270">
        <v>5.8400001525878897</v>
      </c>
      <c r="F1270">
        <v>0</v>
      </c>
      <c r="G1270">
        <v>0.33000001311302202</v>
      </c>
      <c r="H1270">
        <v>0.18000000715255701</v>
      </c>
      <c r="I1270">
        <v>5.3299999237060502</v>
      </c>
      <c r="J1270">
        <v>0</v>
      </c>
      <c r="K1270">
        <v>4</v>
      </c>
      <c r="L1270">
        <v>4</v>
      </c>
      <c r="M1270">
        <v>192</v>
      </c>
      <c r="N1270">
        <v>676</v>
      </c>
      <c r="O1270">
        <v>3061</v>
      </c>
      <c r="P1270" t="str">
        <f>TEXT(tbl_working_daily[[#This Row],[ActivityDate]],"dddd")</f>
        <v>Wednesday</v>
      </c>
      <c r="Q1270" t="str">
        <f>TEXT(tbl_working_daily[[#This Row],[ActivityDate]],"mmmm")</f>
        <v>April</v>
      </c>
      <c r="R1270">
        <f t="shared" si="38"/>
        <v>200</v>
      </c>
      <c r="S1270">
        <f t="shared" si="39"/>
        <v>876</v>
      </c>
      <c r="T1270">
        <f>ROUND(tbl_working_daily[[#This Row],[SedentaryMinutes]]/60,2)</f>
        <v>11.27</v>
      </c>
      <c r="U1270" t="str" cm="1">
        <f t="array" ref="U127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70" t="str" cm="1">
        <f t="array" ref="V1270">_xlfn.IFS(tbl_working_daily[[#This Row],[VeryActiveMinutes]]&gt;=30,"Very Active",tbl_working_daily[[#This Row],[VeryActiveMinutes]]&gt;=15,"Moderately Active",tbl_working_daily[[#This Row],[VeryActiveMinutes]]&gt;=1,"Lightly Active",tbl_working_daily[[#This Row],[VeryActiveMinutes]]=0,"Sedentary")</f>
        <v>Lightly Active</v>
      </c>
      <c r="W1270" t="str">
        <f>tbl_working_daily[[#This Row],[Id]]&amp;"|"&amp;TEXT(tbl_working_daily[[#This Row],[ActivityDate]],"yyyy-mm-dd")</f>
        <v>8378563200|2016-04-27</v>
      </c>
      <c r="X1270" t="b">
        <f>ISNUMBER(MATCH(tbl_working_daily[[#This Row],[LookupKey]],tbl_working_sleep[LookupKey],0))</f>
        <v>1</v>
      </c>
    </row>
    <row r="1271" spans="1:24" x14ac:dyDescent="0.3">
      <c r="A1271">
        <v>8378563200</v>
      </c>
      <c r="B1271" s="1">
        <v>42488</v>
      </c>
      <c r="C1271">
        <v>5417</v>
      </c>
      <c r="D1271">
        <v>4.3000001907348597</v>
      </c>
      <c r="E1271">
        <v>4.3000001907348597</v>
      </c>
      <c r="F1271">
        <v>0</v>
      </c>
      <c r="G1271">
        <v>0.89999997615814198</v>
      </c>
      <c r="H1271">
        <v>0.490000009536743</v>
      </c>
      <c r="I1271">
        <v>2.9100000858306898</v>
      </c>
      <c r="J1271">
        <v>0</v>
      </c>
      <c r="K1271">
        <v>11</v>
      </c>
      <c r="L1271">
        <v>10</v>
      </c>
      <c r="M1271">
        <v>139</v>
      </c>
      <c r="N1271">
        <v>711</v>
      </c>
      <c r="O1271">
        <v>2884</v>
      </c>
      <c r="P1271" t="str">
        <f>TEXT(tbl_working_daily[[#This Row],[ActivityDate]],"dddd")</f>
        <v>Thursday</v>
      </c>
      <c r="Q1271" t="str">
        <f>TEXT(tbl_working_daily[[#This Row],[ActivityDate]],"mmmm")</f>
        <v>April</v>
      </c>
      <c r="R1271">
        <f t="shared" si="38"/>
        <v>160</v>
      </c>
      <c r="S1271">
        <f t="shared" si="39"/>
        <v>871</v>
      </c>
      <c r="T1271">
        <f>ROUND(tbl_working_daily[[#This Row],[SedentaryMinutes]]/60,2)</f>
        <v>11.85</v>
      </c>
      <c r="U1271" t="str" cm="1">
        <f t="array" ref="U127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71" t="str" cm="1">
        <f t="array" ref="V1271">_xlfn.IFS(tbl_working_daily[[#This Row],[VeryActiveMinutes]]&gt;=30,"Very Active",tbl_working_daily[[#This Row],[VeryActiveMinutes]]&gt;=15,"Moderately Active",tbl_working_daily[[#This Row],[VeryActiveMinutes]]&gt;=1,"Lightly Active",tbl_working_daily[[#This Row],[VeryActiveMinutes]]=0,"Sedentary")</f>
        <v>Lightly Active</v>
      </c>
      <c r="W1271" t="str">
        <f>tbl_working_daily[[#This Row],[Id]]&amp;"|"&amp;TEXT(tbl_working_daily[[#This Row],[ActivityDate]],"yyyy-mm-dd")</f>
        <v>8378563200|2016-04-28</v>
      </c>
      <c r="X1271" t="b">
        <f>ISNUMBER(MATCH(tbl_working_daily[[#This Row],[LookupKey]],tbl_working_sleep[LookupKey],0))</f>
        <v>1</v>
      </c>
    </row>
    <row r="1272" spans="1:24" x14ac:dyDescent="0.3">
      <c r="A1272">
        <v>8378563200</v>
      </c>
      <c r="B1272" s="1">
        <v>42489</v>
      </c>
      <c r="C1272">
        <v>6175</v>
      </c>
      <c r="D1272">
        <v>4.9000000953674299</v>
      </c>
      <c r="E1272">
        <v>4.9000000953674299</v>
      </c>
      <c r="F1272">
        <v>0</v>
      </c>
      <c r="G1272">
        <v>0.25</v>
      </c>
      <c r="H1272">
        <v>0.36000001430511502</v>
      </c>
      <c r="I1272">
        <v>4.2699999809265101</v>
      </c>
      <c r="J1272">
        <v>0</v>
      </c>
      <c r="K1272">
        <v>3</v>
      </c>
      <c r="L1272">
        <v>7</v>
      </c>
      <c r="M1272">
        <v>172</v>
      </c>
      <c r="N1272">
        <v>767</v>
      </c>
      <c r="O1272">
        <v>2982</v>
      </c>
      <c r="P1272" t="str">
        <f>TEXT(tbl_working_daily[[#This Row],[ActivityDate]],"dddd")</f>
        <v>Friday</v>
      </c>
      <c r="Q1272" t="str">
        <f>TEXT(tbl_working_daily[[#This Row],[ActivityDate]],"mmmm")</f>
        <v>April</v>
      </c>
      <c r="R1272">
        <f t="shared" si="38"/>
        <v>182</v>
      </c>
      <c r="S1272">
        <f t="shared" si="39"/>
        <v>949</v>
      </c>
      <c r="T1272">
        <f>ROUND(tbl_working_daily[[#This Row],[SedentaryMinutes]]/60,2)</f>
        <v>12.78</v>
      </c>
      <c r="U1272" t="str" cm="1">
        <f t="array" ref="U127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72" t="str" cm="1">
        <f t="array" ref="V1272">_xlfn.IFS(tbl_working_daily[[#This Row],[VeryActiveMinutes]]&gt;=30,"Very Active",tbl_working_daily[[#This Row],[VeryActiveMinutes]]&gt;=15,"Moderately Active",tbl_working_daily[[#This Row],[VeryActiveMinutes]]&gt;=1,"Lightly Active",tbl_working_daily[[#This Row],[VeryActiveMinutes]]=0,"Sedentary")</f>
        <v>Lightly Active</v>
      </c>
      <c r="W1272" t="str">
        <f>tbl_working_daily[[#This Row],[Id]]&amp;"|"&amp;TEXT(tbl_working_daily[[#This Row],[ActivityDate]],"yyyy-mm-dd")</f>
        <v>8378563200|2016-04-29</v>
      </c>
      <c r="X1272" t="b">
        <f>ISNUMBER(MATCH(tbl_working_daily[[#This Row],[LookupKey]],tbl_working_sleep[LookupKey],0))</f>
        <v>1</v>
      </c>
    </row>
    <row r="1273" spans="1:24" x14ac:dyDescent="0.3">
      <c r="A1273">
        <v>8378563200</v>
      </c>
      <c r="B1273" s="1">
        <v>42490</v>
      </c>
      <c r="C1273">
        <v>2946</v>
      </c>
      <c r="D1273">
        <v>2.3399999141693102</v>
      </c>
      <c r="E1273">
        <v>2.3399999141693102</v>
      </c>
      <c r="F1273">
        <v>0</v>
      </c>
      <c r="G1273">
        <v>0</v>
      </c>
      <c r="H1273">
        <v>0</v>
      </c>
      <c r="I1273">
        <v>2.3399999141693102</v>
      </c>
      <c r="J1273">
        <v>0</v>
      </c>
      <c r="K1273">
        <v>0</v>
      </c>
      <c r="L1273">
        <v>0</v>
      </c>
      <c r="M1273">
        <v>121</v>
      </c>
      <c r="N1273">
        <v>780</v>
      </c>
      <c r="O1273">
        <v>2660</v>
      </c>
      <c r="P1273" t="str">
        <f>TEXT(tbl_working_daily[[#This Row],[ActivityDate]],"dddd")</f>
        <v>Saturday</v>
      </c>
      <c r="Q1273" t="str">
        <f>TEXT(tbl_working_daily[[#This Row],[ActivityDate]],"mmmm")</f>
        <v>April</v>
      </c>
      <c r="R1273">
        <f t="shared" si="38"/>
        <v>121</v>
      </c>
      <c r="S1273">
        <f t="shared" si="39"/>
        <v>901</v>
      </c>
      <c r="T1273">
        <f>ROUND(tbl_working_daily[[#This Row],[SedentaryMinutes]]/60,2)</f>
        <v>13</v>
      </c>
      <c r="U1273" t="str" cm="1">
        <f t="array" ref="U127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73" t="str" cm="1">
        <f t="array" ref="V1273">_xlfn.IFS(tbl_working_daily[[#This Row],[VeryActiveMinutes]]&gt;=30,"Very Active",tbl_working_daily[[#This Row],[VeryActiveMinutes]]&gt;=15,"Moderately Active",tbl_working_daily[[#This Row],[VeryActiveMinutes]]&gt;=1,"Lightly Active",tbl_working_daily[[#This Row],[VeryActiveMinutes]]=0,"Sedentary")</f>
        <v>Sedentary</v>
      </c>
      <c r="W1273" t="str">
        <f>tbl_working_daily[[#This Row],[Id]]&amp;"|"&amp;TEXT(tbl_working_daily[[#This Row],[ActivityDate]],"yyyy-mm-dd")</f>
        <v>8378563200|2016-04-30</v>
      </c>
      <c r="X1273" t="b">
        <f>ISNUMBER(MATCH(tbl_working_daily[[#This Row],[LookupKey]],tbl_working_sleep[LookupKey],0))</f>
        <v>1</v>
      </c>
    </row>
    <row r="1274" spans="1:24" x14ac:dyDescent="0.3">
      <c r="A1274">
        <v>8378563200</v>
      </c>
      <c r="B1274" s="1">
        <v>42491</v>
      </c>
      <c r="C1274">
        <v>11419</v>
      </c>
      <c r="D1274">
        <v>9.0600004196166992</v>
      </c>
      <c r="E1274">
        <v>9.0600004196166992</v>
      </c>
      <c r="F1274">
        <v>0</v>
      </c>
      <c r="G1274">
        <v>6.0300002098083496</v>
      </c>
      <c r="H1274">
        <v>0.56000000238418601</v>
      </c>
      <c r="I1274">
        <v>2.4700000286102299</v>
      </c>
      <c r="J1274">
        <v>0</v>
      </c>
      <c r="K1274">
        <v>71</v>
      </c>
      <c r="L1274">
        <v>10</v>
      </c>
      <c r="M1274">
        <v>127</v>
      </c>
      <c r="N1274">
        <v>669</v>
      </c>
      <c r="O1274">
        <v>3369</v>
      </c>
      <c r="P1274" t="str">
        <f>TEXT(tbl_working_daily[[#This Row],[ActivityDate]],"dddd")</f>
        <v>Sunday</v>
      </c>
      <c r="Q1274" t="str">
        <f>TEXT(tbl_working_daily[[#This Row],[ActivityDate]],"mmmm")</f>
        <v>May</v>
      </c>
      <c r="R1274">
        <f t="shared" si="38"/>
        <v>208</v>
      </c>
      <c r="S1274">
        <f t="shared" si="39"/>
        <v>877</v>
      </c>
      <c r="T1274">
        <f>ROUND(tbl_working_daily[[#This Row],[SedentaryMinutes]]/60,2)</f>
        <v>11.15</v>
      </c>
      <c r="U1274" t="str" cm="1">
        <f t="array" ref="U127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274" t="str" cm="1">
        <f t="array" ref="V1274">_xlfn.IFS(tbl_working_daily[[#This Row],[VeryActiveMinutes]]&gt;=30,"Very Active",tbl_working_daily[[#This Row],[VeryActiveMinutes]]&gt;=15,"Moderately Active",tbl_working_daily[[#This Row],[VeryActiveMinutes]]&gt;=1,"Lightly Active",tbl_working_daily[[#This Row],[VeryActiveMinutes]]=0,"Sedentary")</f>
        <v>Very Active</v>
      </c>
      <c r="W1274" t="str">
        <f>tbl_working_daily[[#This Row],[Id]]&amp;"|"&amp;TEXT(tbl_working_daily[[#This Row],[ActivityDate]],"yyyy-mm-dd")</f>
        <v>8378563200|2016-05-01</v>
      </c>
      <c r="X1274" t="b">
        <f>ISNUMBER(MATCH(tbl_working_daily[[#This Row],[LookupKey]],tbl_working_sleep[LookupKey],0))</f>
        <v>1</v>
      </c>
    </row>
    <row r="1275" spans="1:24" x14ac:dyDescent="0.3">
      <c r="A1275">
        <v>8378563200</v>
      </c>
      <c r="B1275" s="1">
        <v>42492</v>
      </c>
      <c r="C1275">
        <v>6064</v>
      </c>
      <c r="D1275">
        <v>4.8099999427795401</v>
      </c>
      <c r="E1275">
        <v>4.8099999427795401</v>
      </c>
      <c r="F1275">
        <v>2.0921471118927002</v>
      </c>
      <c r="G1275">
        <v>0.62999999523162797</v>
      </c>
      <c r="H1275">
        <v>0.17000000178813901</v>
      </c>
      <c r="I1275">
        <v>4.0100002288818404</v>
      </c>
      <c r="J1275">
        <v>0</v>
      </c>
      <c r="K1275">
        <v>63</v>
      </c>
      <c r="L1275">
        <v>4</v>
      </c>
      <c r="M1275">
        <v>142</v>
      </c>
      <c r="N1275">
        <v>802</v>
      </c>
      <c r="O1275">
        <v>3491</v>
      </c>
      <c r="P1275" t="str">
        <f>TEXT(tbl_working_daily[[#This Row],[ActivityDate]],"dddd")</f>
        <v>Monday</v>
      </c>
      <c r="Q1275" t="str">
        <f>TEXT(tbl_working_daily[[#This Row],[ActivityDate]],"mmmm")</f>
        <v>May</v>
      </c>
      <c r="R1275">
        <f t="shared" si="38"/>
        <v>209</v>
      </c>
      <c r="S1275">
        <f t="shared" si="39"/>
        <v>1011</v>
      </c>
      <c r="T1275">
        <f>ROUND(tbl_working_daily[[#This Row],[SedentaryMinutes]]/60,2)</f>
        <v>13.37</v>
      </c>
      <c r="U1275" t="str" cm="1">
        <f t="array" ref="U1275">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75" t="str" cm="1">
        <f t="array" ref="V1275">_xlfn.IFS(tbl_working_daily[[#This Row],[VeryActiveMinutes]]&gt;=30,"Very Active",tbl_working_daily[[#This Row],[VeryActiveMinutes]]&gt;=15,"Moderately Active",tbl_working_daily[[#This Row],[VeryActiveMinutes]]&gt;=1,"Lightly Active",tbl_working_daily[[#This Row],[VeryActiveMinutes]]=0,"Sedentary")</f>
        <v>Very Active</v>
      </c>
      <c r="W1275" t="str">
        <f>tbl_working_daily[[#This Row],[Id]]&amp;"|"&amp;TEXT(tbl_working_daily[[#This Row],[ActivityDate]],"yyyy-mm-dd")</f>
        <v>8378563200|2016-05-02</v>
      </c>
      <c r="X1275" t="b">
        <f>ISNUMBER(MATCH(tbl_working_daily[[#This Row],[LookupKey]],tbl_working_sleep[LookupKey],0))</f>
        <v>1</v>
      </c>
    </row>
    <row r="1276" spans="1:24" x14ac:dyDescent="0.3">
      <c r="A1276">
        <v>8378563200</v>
      </c>
      <c r="B1276" s="1">
        <v>42493</v>
      </c>
      <c r="C1276">
        <v>8712</v>
      </c>
      <c r="D1276">
        <v>6.9099998474121103</v>
      </c>
      <c r="E1276">
        <v>6.9099998474121103</v>
      </c>
      <c r="F1276">
        <v>2.2530810832977299</v>
      </c>
      <c r="G1276">
        <v>1.3400000333786</v>
      </c>
      <c r="H1276">
        <v>1.0599999427795399</v>
      </c>
      <c r="I1276">
        <v>4.5</v>
      </c>
      <c r="J1276">
        <v>0</v>
      </c>
      <c r="K1276">
        <v>71</v>
      </c>
      <c r="L1276">
        <v>20</v>
      </c>
      <c r="M1276">
        <v>195</v>
      </c>
      <c r="N1276">
        <v>822</v>
      </c>
      <c r="O1276">
        <v>3784</v>
      </c>
      <c r="P1276" t="str">
        <f>TEXT(tbl_working_daily[[#This Row],[ActivityDate]],"dddd")</f>
        <v>Tuesday</v>
      </c>
      <c r="Q1276" t="str">
        <f>TEXT(tbl_working_daily[[#This Row],[ActivityDate]],"mmmm")</f>
        <v>May</v>
      </c>
      <c r="R1276">
        <f t="shared" si="38"/>
        <v>286</v>
      </c>
      <c r="S1276">
        <f t="shared" si="39"/>
        <v>1108</v>
      </c>
      <c r="T1276">
        <f>ROUND(tbl_working_daily[[#This Row],[SedentaryMinutes]]/60,2)</f>
        <v>13.7</v>
      </c>
      <c r="U1276" t="str" cm="1">
        <f t="array" ref="U127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76" t="str" cm="1">
        <f t="array" ref="V1276">_xlfn.IFS(tbl_working_daily[[#This Row],[VeryActiveMinutes]]&gt;=30,"Very Active",tbl_working_daily[[#This Row],[VeryActiveMinutes]]&gt;=15,"Moderately Active",tbl_working_daily[[#This Row],[VeryActiveMinutes]]&gt;=1,"Lightly Active",tbl_working_daily[[#This Row],[VeryActiveMinutes]]=0,"Sedentary")</f>
        <v>Very Active</v>
      </c>
      <c r="W1276" t="str">
        <f>tbl_working_daily[[#This Row],[Id]]&amp;"|"&amp;TEXT(tbl_working_daily[[#This Row],[ActivityDate]],"yyyy-mm-dd")</f>
        <v>8378563200|2016-05-03</v>
      </c>
      <c r="X1276" t="b">
        <f>ISNUMBER(MATCH(tbl_working_daily[[#This Row],[LookupKey]],tbl_working_sleep[LookupKey],0))</f>
        <v>1</v>
      </c>
    </row>
    <row r="1277" spans="1:24" x14ac:dyDescent="0.3">
      <c r="A1277">
        <v>8378563200</v>
      </c>
      <c r="B1277" s="1">
        <v>42494</v>
      </c>
      <c r="C1277">
        <v>7875</v>
      </c>
      <c r="D1277">
        <v>6.2399997711181596</v>
      </c>
      <c r="E1277">
        <v>6.2399997711181596</v>
      </c>
      <c r="F1277">
        <v>0</v>
      </c>
      <c r="G1277">
        <v>1.5599999427795399</v>
      </c>
      <c r="H1277">
        <v>0.490000009536743</v>
      </c>
      <c r="I1277">
        <v>4.1999998092651403</v>
      </c>
      <c r="J1277">
        <v>0</v>
      </c>
      <c r="K1277">
        <v>19</v>
      </c>
      <c r="L1277">
        <v>10</v>
      </c>
      <c r="M1277">
        <v>167</v>
      </c>
      <c r="N1277">
        <v>680</v>
      </c>
      <c r="O1277">
        <v>3110</v>
      </c>
      <c r="P1277" t="str">
        <f>TEXT(tbl_working_daily[[#This Row],[ActivityDate]],"dddd")</f>
        <v>Wednesday</v>
      </c>
      <c r="Q1277" t="str">
        <f>TEXT(tbl_working_daily[[#This Row],[ActivityDate]],"mmmm")</f>
        <v>May</v>
      </c>
      <c r="R1277">
        <f t="shared" si="38"/>
        <v>196</v>
      </c>
      <c r="S1277">
        <f t="shared" si="39"/>
        <v>876</v>
      </c>
      <c r="T1277">
        <f>ROUND(tbl_working_daily[[#This Row],[SedentaryMinutes]]/60,2)</f>
        <v>11.33</v>
      </c>
      <c r="U1277" t="str" cm="1">
        <f t="array" ref="U127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77" t="str" cm="1">
        <f t="array" ref="V1277">_xlfn.IFS(tbl_working_daily[[#This Row],[VeryActiveMinutes]]&gt;=30,"Very Active",tbl_working_daily[[#This Row],[VeryActiveMinutes]]&gt;=15,"Moderately Active",tbl_working_daily[[#This Row],[VeryActiveMinutes]]&gt;=1,"Lightly Active",tbl_working_daily[[#This Row],[VeryActiveMinutes]]=0,"Sedentary")</f>
        <v>Moderately Active</v>
      </c>
      <c r="W1277" t="str">
        <f>tbl_working_daily[[#This Row],[Id]]&amp;"|"&amp;TEXT(tbl_working_daily[[#This Row],[ActivityDate]],"yyyy-mm-dd")</f>
        <v>8378563200|2016-05-04</v>
      </c>
      <c r="X1277" t="b">
        <f>ISNUMBER(MATCH(tbl_working_daily[[#This Row],[LookupKey]],tbl_working_sleep[LookupKey],0))</f>
        <v>1</v>
      </c>
    </row>
    <row r="1278" spans="1:24" x14ac:dyDescent="0.3">
      <c r="A1278">
        <v>8378563200</v>
      </c>
      <c r="B1278" s="1">
        <v>42495</v>
      </c>
      <c r="C1278">
        <v>8567</v>
      </c>
      <c r="D1278">
        <v>6.78999996185303</v>
      </c>
      <c r="E1278">
        <v>6.78999996185303</v>
      </c>
      <c r="F1278">
        <v>2.2530810832977299</v>
      </c>
      <c r="G1278">
        <v>0.88999998569488503</v>
      </c>
      <c r="H1278">
        <v>0.15999999642372101</v>
      </c>
      <c r="I1278">
        <v>5.7399997711181596</v>
      </c>
      <c r="J1278">
        <v>0</v>
      </c>
      <c r="K1278">
        <v>66</v>
      </c>
      <c r="L1278">
        <v>3</v>
      </c>
      <c r="M1278">
        <v>214</v>
      </c>
      <c r="N1278">
        <v>764</v>
      </c>
      <c r="O1278">
        <v>3783</v>
      </c>
      <c r="P1278" t="str">
        <f>TEXT(tbl_working_daily[[#This Row],[ActivityDate]],"dddd")</f>
        <v>Thursday</v>
      </c>
      <c r="Q1278" t="str">
        <f>TEXT(tbl_working_daily[[#This Row],[ActivityDate]],"mmmm")</f>
        <v>May</v>
      </c>
      <c r="R1278">
        <f t="shared" si="38"/>
        <v>283</v>
      </c>
      <c r="S1278">
        <f t="shared" si="39"/>
        <v>1047</v>
      </c>
      <c r="T1278">
        <f>ROUND(tbl_working_daily[[#This Row],[SedentaryMinutes]]/60,2)</f>
        <v>12.73</v>
      </c>
      <c r="U1278" t="str" cm="1">
        <f t="array" ref="U127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78" t="str" cm="1">
        <f t="array" ref="V1278">_xlfn.IFS(tbl_working_daily[[#This Row],[VeryActiveMinutes]]&gt;=30,"Very Active",tbl_working_daily[[#This Row],[VeryActiveMinutes]]&gt;=15,"Moderately Active",tbl_working_daily[[#This Row],[VeryActiveMinutes]]&gt;=1,"Lightly Active",tbl_working_daily[[#This Row],[VeryActiveMinutes]]=0,"Sedentary")</f>
        <v>Very Active</v>
      </c>
      <c r="W1278" t="str">
        <f>tbl_working_daily[[#This Row],[Id]]&amp;"|"&amp;TEXT(tbl_working_daily[[#This Row],[ActivityDate]],"yyyy-mm-dd")</f>
        <v>8378563200|2016-05-05</v>
      </c>
      <c r="X1278" t="b">
        <f>ISNUMBER(MATCH(tbl_working_daily[[#This Row],[LookupKey]],tbl_working_sleep[LookupKey],0))</f>
        <v>1</v>
      </c>
    </row>
    <row r="1279" spans="1:24" x14ac:dyDescent="0.3">
      <c r="A1279">
        <v>8378563200</v>
      </c>
      <c r="B1279" s="1">
        <v>42496</v>
      </c>
      <c r="C1279">
        <v>7045</v>
      </c>
      <c r="D1279">
        <v>5.5900001525878897</v>
      </c>
      <c r="E1279">
        <v>5.5900001525878897</v>
      </c>
      <c r="F1279">
        <v>2.0921471118927002</v>
      </c>
      <c r="G1279">
        <v>1.54999995231628</v>
      </c>
      <c r="H1279">
        <v>0.25</v>
      </c>
      <c r="I1279">
        <v>3.7799999713897701</v>
      </c>
      <c r="J1279">
        <v>0</v>
      </c>
      <c r="K1279">
        <v>74</v>
      </c>
      <c r="L1279">
        <v>5</v>
      </c>
      <c r="M1279">
        <v>166</v>
      </c>
      <c r="N1279">
        <v>831</v>
      </c>
      <c r="O1279">
        <v>3644</v>
      </c>
      <c r="P1279" t="str">
        <f>TEXT(tbl_working_daily[[#This Row],[ActivityDate]],"dddd")</f>
        <v>Friday</v>
      </c>
      <c r="Q1279" t="str">
        <f>TEXT(tbl_working_daily[[#This Row],[ActivityDate]],"mmmm")</f>
        <v>May</v>
      </c>
      <c r="R1279">
        <f t="shared" si="38"/>
        <v>245</v>
      </c>
      <c r="S1279">
        <f t="shared" si="39"/>
        <v>1076</v>
      </c>
      <c r="T1279">
        <f>ROUND(tbl_working_daily[[#This Row],[SedentaryMinutes]]/60,2)</f>
        <v>13.85</v>
      </c>
      <c r="U1279" t="str" cm="1">
        <f t="array" ref="U1279">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79" t="str" cm="1">
        <f t="array" ref="V1279">_xlfn.IFS(tbl_working_daily[[#This Row],[VeryActiveMinutes]]&gt;=30,"Very Active",tbl_working_daily[[#This Row],[VeryActiveMinutes]]&gt;=15,"Moderately Active",tbl_working_daily[[#This Row],[VeryActiveMinutes]]&gt;=1,"Lightly Active",tbl_working_daily[[#This Row],[VeryActiveMinutes]]=0,"Sedentary")</f>
        <v>Very Active</v>
      </c>
      <c r="W1279" t="str">
        <f>tbl_working_daily[[#This Row],[Id]]&amp;"|"&amp;TEXT(tbl_working_daily[[#This Row],[ActivityDate]],"yyyy-mm-dd")</f>
        <v>8378563200|2016-05-06</v>
      </c>
      <c r="X1279" t="b">
        <f>ISNUMBER(MATCH(tbl_working_daily[[#This Row],[LookupKey]],tbl_working_sleep[LookupKey],0))</f>
        <v>1</v>
      </c>
    </row>
    <row r="1280" spans="1:24" x14ac:dyDescent="0.3">
      <c r="A1280">
        <v>8378563200</v>
      </c>
      <c r="B1280" s="1">
        <v>42497</v>
      </c>
      <c r="C1280">
        <v>4468</v>
      </c>
      <c r="D1280">
        <v>3.53999996185303</v>
      </c>
      <c r="E1280">
        <v>3.53999996185303</v>
      </c>
      <c r="F1280">
        <v>0</v>
      </c>
      <c r="G1280">
        <v>0</v>
      </c>
      <c r="H1280">
        <v>0</v>
      </c>
      <c r="I1280">
        <v>3.53999996185303</v>
      </c>
      <c r="J1280">
        <v>0</v>
      </c>
      <c r="K1280">
        <v>0</v>
      </c>
      <c r="L1280">
        <v>0</v>
      </c>
      <c r="M1280">
        <v>158</v>
      </c>
      <c r="N1280">
        <v>851</v>
      </c>
      <c r="O1280">
        <v>2799</v>
      </c>
      <c r="P1280" t="str">
        <f>TEXT(tbl_working_daily[[#This Row],[ActivityDate]],"dddd")</f>
        <v>Saturday</v>
      </c>
      <c r="Q1280" t="str">
        <f>TEXT(tbl_working_daily[[#This Row],[ActivityDate]],"mmmm")</f>
        <v>May</v>
      </c>
      <c r="R1280">
        <f t="shared" si="38"/>
        <v>158</v>
      </c>
      <c r="S1280">
        <f t="shared" si="39"/>
        <v>1009</v>
      </c>
      <c r="T1280">
        <f>ROUND(tbl_working_daily[[#This Row],[SedentaryMinutes]]/60,2)</f>
        <v>14.18</v>
      </c>
      <c r="U1280" t="str" cm="1">
        <f t="array" ref="U128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80" t="str" cm="1">
        <f t="array" ref="V1280">_xlfn.IFS(tbl_working_daily[[#This Row],[VeryActiveMinutes]]&gt;=30,"Very Active",tbl_working_daily[[#This Row],[VeryActiveMinutes]]&gt;=15,"Moderately Active",tbl_working_daily[[#This Row],[VeryActiveMinutes]]&gt;=1,"Lightly Active",tbl_working_daily[[#This Row],[VeryActiveMinutes]]=0,"Sedentary")</f>
        <v>Sedentary</v>
      </c>
      <c r="W1280" t="str">
        <f>tbl_working_daily[[#This Row],[Id]]&amp;"|"&amp;TEXT(tbl_working_daily[[#This Row],[ActivityDate]],"yyyy-mm-dd")</f>
        <v>8378563200|2016-05-07</v>
      </c>
      <c r="X1280" t="b">
        <f>ISNUMBER(MATCH(tbl_working_daily[[#This Row],[LookupKey]],tbl_working_sleep[LookupKey],0))</f>
        <v>1</v>
      </c>
    </row>
    <row r="1281" spans="1:24" x14ac:dyDescent="0.3">
      <c r="A1281">
        <v>8378563200</v>
      </c>
      <c r="B1281" s="1">
        <v>42498</v>
      </c>
      <c r="C1281">
        <v>2943</v>
      </c>
      <c r="D1281">
        <v>2.3299999237060498</v>
      </c>
      <c r="E1281">
        <v>2.3299999237060498</v>
      </c>
      <c r="F1281">
        <v>0</v>
      </c>
      <c r="G1281">
        <v>0</v>
      </c>
      <c r="H1281">
        <v>0</v>
      </c>
      <c r="I1281">
        <v>2.3299999237060498</v>
      </c>
      <c r="J1281">
        <v>0</v>
      </c>
      <c r="K1281">
        <v>0</v>
      </c>
      <c r="L1281">
        <v>0</v>
      </c>
      <c r="M1281">
        <v>139</v>
      </c>
      <c r="N1281">
        <v>621</v>
      </c>
      <c r="O1281">
        <v>2685</v>
      </c>
      <c r="P1281" t="str">
        <f>TEXT(tbl_working_daily[[#This Row],[ActivityDate]],"dddd")</f>
        <v>Sunday</v>
      </c>
      <c r="Q1281" t="str">
        <f>TEXT(tbl_working_daily[[#This Row],[ActivityDate]],"mmmm")</f>
        <v>May</v>
      </c>
      <c r="R1281">
        <f t="shared" si="38"/>
        <v>139</v>
      </c>
      <c r="S1281">
        <f t="shared" si="39"/>
        <v>760</v>
      </c>
      <c r="T1281">
        <f>ROUND(tbl_working_daily[[#This Row],[SedentaryMinutes]]/60,2)</f>
        <v>10.35</v>
      </c>
      <c r="U1281" t="str" cm="1">
        <f t="array" ref="U128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81" t="str" cm="1">
        <f t="array" ref="V1281">_xlfn.IFS(tbl_working_daily[[#This Row],[VeryActiveMinutes]]&gt;=30,"Very Active",tbl_working_daily[[#This Row],[VeryActiveMinutes]]&gt;=15,"Moderately Active",tbl_working_daily[[#This Row],[VeryActiveMinutes]]&gt;=1,"Lightly Active",tbl_working_daily[[#This Row],[VeryActiveMinutes]]=0,"Sedentary")</f>
        <v>Sedentary</v>
      </c>
      <c r="W1281" t="str">
        <f>tbl_working_daily[[#This Row],[Id]]&amp;"|"&amp;TEXT(tbl_working_daily[[#This Row],[ActivityDate]],"yyyy-mm-dd")</f>
        <v>8378563200|2016-05-08</v>
      </c>
      <c r="X1281" t="b">
        <f>ISNUMBER(MATCH(tbl_working_daily[[#This Row],[LookupKey]],tbl_working_sleep[LookupKey],0))</f>
        <v>1</v>
      </c>
    </row>
    <row r="1282" spans="1:24" x14ac:dyDescent="0.3">
      <c r="A1282">
        <v>8378563200</v>
      </c>
      <c r="B1282" s="1">
        <v>42499</v>
      </c>
      <c r="C1282">
        <v>8382</v>
      </c>
      <c r="D1282">
        <v>6.6500000953674299</v>
      </c>
      <c r="E1282">
        <v>6.6500000953674299</v>
      </c>
      <c r="F1282">
        <v>2.0921471118927002</v>
      </c>
      <c r="G1282">
        <v>1.2699999809265099</v>
      </c>
      <c r="H1282">
        <v>0.66000002622604403</v>
      </c>
      <c r="I1282">
        <v>4.7199997901916504</v>
      </c>
      <c r="J1282">
        <v>0</v>
      </c>
      <c r="K1282">
        <v>71</v>
      </c>
      <c r="L1282">
        <v>13</v>
      </c>
      <c r="M1282">
        <v>171</v>
      </c>
      <c r="N1282">
        <v>772</v>
      </c>
      <c r="O1282">
        <v>3721</v>
      </c>
      <c r="P1282" t="str">
        <f>TEXT(tbl_working_daily[[#This Row],[ActivityDate]],"dddd")</f>
        <v>Monday</v>
      </c>
      <c r="Q1282" t="str">
        <f>TEXT(tbl_working_daily[[#This Row],[ActivityDate]],"mmmm")</f>
        <v>May</v>
      </c>
      <c r="R1282">
        <f t="shared" ref="R1282:R1345" si="40">K1282+L1282+M1282</f>
        <v>255</v>
      </c>
      <c r="S1282">
        <f t="shared" ref="S1282:S1345" si="41">R1282+N1282</f>
        <v>1027</v>
      </c>
      <c r="T1282">
        <f>ROUND(tbl_working_daily[[#This Row],[SedentaryMinutes]]/60,2)</f>
        <v>12.87</v>
      </c>
      <c r="U1282" t="str" cm="1">
        <f t="array" ref="U128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82" t="str" cm="1">
        <f t="array" ref="V1282">_xlfn.IFS(tbl_working_daily[[#This Row],[VeryActiveMinutes]]&gt;=30,"Very Active",tbl_working_daily[[#This Row],[VeryActiveMinutes]]&gt;=15,"Moderately Active",tbl_working_daily[[#This Row],[VeryActiveMinutes]]&gt;=1,"Lightly Active",tbl_working_daily[[#This Row],[VeryActiveMinutes]]=0,"Sedentary")</f>
        <v>Very Active</v>
      </c>
      <c r="W1282" t="str">
        <f>tbl_working_daily[[#This Row],[Id]]&amp;"|"&amp;TEXT(tbl_working_daily[[#This Row],[ActivityDate]],"yyyy-mm-dd")</f>
        <v>8378563200|2016-05-09</v>
      </c>
      <c r="X1282" t="b">
        <f>ISNUMBER(MATCH(tbl_working_daily[[#This Row],[LookupKey]],tbl_working_sleep[LookupKey],0))</f>
        <v>1</v>
      </c>
    </row>
    <row r="1283" spans="1:24" x14ac:dyDescent="0.3">
      <c r="A1283">
        <v>8378563200</v>
      </c>
      <c r="B1283" s="1">
        <v>42500</v>
      </c>
      <c r="C1283">
        <v>6582</v>
      </c>
      <c r="D1283">
        <v>5.2199997901916504</v>
      </c>
      <c r="E1283">
        <v>5.2199997901916504</v>
      </c>
      <c r="F1283">
        <v>2.2530810832977299</v>
      </c>
      <c r="G1283">
        <v>0.66000002622604403</v>
      </c>
      <c r="H1283">
        <v>0.63999998569488503</v>
      </c>
      <c r="I1283">
        <v>3.9200000762939502</v>
      </c>
      <c r="J1283">
        <v>0</v>
      </c>
      <c r="K1283">
        <v>63</v>
      </c>
      <c r="L1283">
        <v>13</v>
      </c>
      <c r="M1283">
        <v>152</v>
      </c>
      <c r="N1283">
        <v>840</v>
      </c>
      <c r="O1283">
        <v>3586</v>
      </c>
      <c r="P1283" t="str">
        <f>TEXT(tbl_working_daily[[#This Row],[ActivityDate]],"dddd")</f>
        <v>Tuesday</v>
      </c>
      <c r="Q1283" t="str">
        <f>TEXT(tbl_working_daily[[#This Row],[ActivityDate]],"mmmm")</f>
        <v>May</v>
      </c>
      <c r="R1283">
        <f t="shared" si="40"/>
        <v>228</v>
      </c>
      <c r="S1283">
        <f t="shared" si="41"/>
        <v>1068</v>
      </c>
      <c r="T1283">
        <f>ROUND(tbl_working_daily[[#This Row],[SedentaryMinutes]]/60,2)</f>
        <v>14</v>
      </c>
      <c r="U1283" t="str" cm="1">
        <f t="array" ref="U128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83" t="str" cm="1">
        <f t="array" ref="V1283">_xlfn.IFS(tbl_working_daily[[#This Row],[VeryActiveMinutes]]&gt;=30,"Very Active",tbl_working_daily[[#This Row],[VeryActiveMinutes]]&gt;=15,"Moderately Active",tbl_working_daily[[#This Row],[VeryActiveMinutes]]&gt;=1,"Lightly Active",tbl_working_daily[[#This Row],[VeryActiveMinutes]]=0,"Sedentary")</f>
        <v>Very Active</v>
      </c>
      <c r="W1283" t="str">
        <f>tbl_working_daily[[#This Row],[Id]]&amp;"|"&amp;TEXT(tbl_working_daily[[#This Row],[ActivityDate]],"yyyy-mm-dd")</f>
        <v>8378563200|2016-05-10</v>
      </c>
      <c r="X1283" t="b">
        <f>ISNUMBER(MATCH(tbl_working_daily[[#This Row],[LookupKey]],tbl_working_sleep[LookupKey],0))</f>
        <v>1</v>
      </c>
    </row>
    <row r="1284" spans="1:24" x14ac:dyDescent="0.3">
      <c r="A1284">
        <v>8378563200</v>
      </c>
      <c r="B1284" s="1">
        <v>42501</v>
      </c>
      <c r="C1284">
        <v>9143</v>
      </c>
      <c r="D1284">
        <v>7.25</v>
      </c>
      <c r="E1284">
        <v>7.25</v>
      </c>
      <c r="F1284">
        <v>2.0921471118927002</v>
      </c>
      <c r="G1284">
        <v>1.3899999856948899</v>
      </c>
      <c r="H1284">
        <v>0.58999997377395597</v>
      </c>
      <c r="I1284">
        <v>5.2699999809265101</v>
      </c>
      <c r="J1284">
        <v>0</v>
      </c>
      <c r="K1284">
        <v>72</v>
      </c>
      <c r="L1284">
        <v>10</v>
      </c>
      <c r="M1284">
        <v>184</v>
      </c>
      <c r="N1284">
        <v>763</v>
      </c>
      <c r="O1284">
        <v>3788</v>
      </c>
      <c r="P1284" t="str">
        <f>TEXT(tbl_working_daily[[#This Row],[ActivityDate]],"dddd")</f>
        <v>Wednesday</v>
      </c>
      <c r="Q1284" t="str">
        <f>TEXT(tbl_working_daily[[#This Row],[ActivityDate]],"mmmm")</f>
        <v>May</v>
      </c>
      <c r="R1284">
        <f t="shared" si="40"/>
        <v>266</v>
      </c>
      <c r="S1284">
        <f t="shared" si="41"/>
        <v>1029</v>
      </c>
      <c r="T1284">
        <f>ROUND(tbl_working_daily[[#This Row],[SedentaryMinutes]]/60,2)</f>
        <v>12.72</v>
      </c>
      <c r="U1284" t="str" cm="1">
        <f t="array" ref="U128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84" t="str" cm="1">
        <f t="array" ref="V1284">_xlfn.IFS(tbl_working_daily[[#This Row],[VeryActiveMinutes]]&gt;=30,"Very Active",tbl_working_daily[[#This Row],[VeryActiveMinutes]]&gt;=15,"Moderately Active",tbl_working_daily[[#This Row],[VeryActiveMinutes]]&gt;=1,"Lightly Active",tbl_working_daily[[#This Row],[VeryActiveMinutes]]=0,"Sedentary")</f>
        <v>Very Active</v>
      </c>
      <c r="W1284" t="str">
        <f>tbl_working_daily[[#This Row],[Id]]&amp;"|"&amp;TEXT(tbl_working_daily[[#This Row],[ActivityDate]],"yyyy-mm-dd")</f>
        <v>8378563200|2016-05-11</v>
      </c>
      <c r="X1284" t="b">
        <f>ISNUMBER(MATCH(tbl_working_daily[[#This Row],[LookupKey]],tbl_working_sleep[LookupKey],0))</f>
        <v>1</v>
      </c>
    </row>
    <row r="1285" spans="1:24" x14ac:dyDescent="0.3">
      <c r="A1285">
        <v>8378563200</v>
      </c>
      <c r="B1285" s="1">
        <v>42502</v>
      </c>
      <c r="C1285">
        <v>4561</v>
      </c>
      <c r="D1285">
        <v>3.6199998855590798</v>
      </c>
      <c r="E1285">
        <v>3.6199998855590798</v>
      </c>
      <c r="F1285">
        <v>0</v>
      </c>
      <c r="G1285">
        <v>0.64999997615814198</v>
      </c>
      <c r="H1285">
        <v>0.270000010728836</v>
      </c>
      <c r="I1285">
        <v>2.6900000572204599</v>
      </c>
      <c r="J1285">
        <v>0</v>
      </c>
      <c r="K1285">
        <v>8</v>
      </c>
      <c r="L1285">
        <v>6</v>
      </c>
      <c r="M1285">
        <v>102</v>
      </c>
      <c r="N1285">
        <v>433</v>
      </c>
      <c r="O1285">
        <v>1976</v>
      </c>
      <c r="P1285" t="str">
        <f>TEXT(tbl_working_daily[[#This Row],[ActivityDate]],"dddd")</f>
        <v>Thursday</v>
      </c>
      <c r="Q1285" t="str">
        <f>TEXT(tbl_working_daily[[#This Row],[ActivityDate]],"mmmm")</f>
        <v>May</v>
      </c>
      <c r="R1285">
        <f t="shared" si="40"/>
        <v>116</v>
      </c>
      <c r="S1285">
        <f t="shared" si="41"/>
        <v>549</v>
      </c>
      <c r="T1285">
        <f>ROUND(tbl_working_daily[[#This Row],[SedentaryMinutes]]/60,2)</f>
        <v>7.22</v>
      </c>
      <c r="U1285" t="str" cm="1">
        <f t="array" ref="U128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85" t="str" cm="1">
        <f t="array" ref="V1285">_xlfn.IFS(tbl_working_daily[[#This Row],[VeryActiveMinutes]]&gt;=30,"Very Active",tbl_working_daily[[#This Row],[VeryActiveMinutes]]&gt;=15,"Moderately Active",tbl_working_daily[[#This Row],[VeryActiveMinutes]]&gt;=1,"Lightly Active",tbl_working_daily[[#This Row],[VeryActiveMinutes]]=0,"Sedentary")</f>
        <v>Lightly Active</v>
      </c>
      <c r="W1285" t="str">
        <f>tbl_working_daily[[#This Row],[Id]]&amp;"|"&amp;TEXT(tbl_working_daily[[#This Row],[ActivityDate]],"yyyy-mm-dd")</f>
        <v>8378563200|2016-05-12</v>
      </c>
      <c r="X1285" t="b">
        <f>ISNUMBER(MATCH(tbl_working_daily[[#This Row],[LookupKey]],tbl_working_sleep[LookupKey],0))</f>
        <v>1</v>
      </c>
    </row>
    <row r="1286" spans="1:24" x14ac:dyDescent="0.3">
      <c r="A1286">
        <v>8583815059</v>
      </c>
      <c r="B1286" s="1">
        <v>42472</v>
      </c>
      <c r="C1286">
        <v>5014</v>
      </c>
      <c r="D1286">
        <v>3.9100000858306898</v>
      </c>
      <c r="E1286">
        <v>3.9100000858306898</v>
      </c>
      <c r="F1286">
        <v>0</v>
      </c>
      <c r="G1286">
        <v>0</v>
      </c>
      <c r="H1286">
        <v>0.33000001311302202</v>
      </c>
      <c r="I1286">
        <v>3.5799999237060498</v>
      </c>
      <c r="J1286">
        <v>0</v>
      </c>
      <c r="K1286">
        <v>0</v>
      </c>
      <c r="L1286">
        <v>7</v>
      </c>
      <c r="M1286">
        <v>196</v>
      </c>
      <c r="N1286">
        <v>1237</v>
      </c>
      <c r="O1286">
        <v>2650</v>
      </c>
      <c r="P1286" t="str">
        <f>TEXT(tbl_working_daily[[#This Row],[ActivityDate]],"dddd")</f>
        <v>Tuesday</v>
      </c>
      <c r="Q1286" t="str">
        <f>TEXT(tbl_working_daily[[#This Row],[ActivityDate]],"mmmm")</f>
        <v>April</v>
      </c>
      <c r="R1286">
        <f t="shared" si="40"/>
        <v>203</v>
      </c>
      <c r="S1286">
        <f t="shared" si="41"/>
        <v>1440</v>
      </c>
      <c r="T1286">
        <f>ROUND(tbl_working_daily[[#This Row],[SedentaryMinutes]]/60,2)</f>
        <v>20.62</v>
      </c>
      <c r="U1286" t="str" cm="1">
        <f t="array" ref="U1286">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86" t="str" cm="1">
        <f t="array" ref="V1286">_xlfn.IFS(tbl_working_daily[[#This Row],[VeryActiveMinutes]]&gt;=30,"Very Active",tbl_working_daily[[#This Row],[VeryActiveMinutes]]&gt;=15,"Moderately Active",tbl_working_daily[[#This Row],[VeryActiveMinutes]]&gt;=1,"Lightly Active",tbl_working_daily[[#This Row],[VeryActiveMinutes]]=0,"Sedentary")</f>
        <v>Sedentary</v>
      </c>
      <c r="W1286" t="str">
        <f>tbl_working_daily[[#This Row],[Id]]&amp;"|"&amp;TEXT(tbl_working_daily[[#This Row],[ActivityDate]],"yyyy-mm-dd")</f>
        <v>8583815059|2016-04-12</v>
      </c>
      <c r="X1286" t="b">
        <f>ISNUMBER(MATCH(tbl_working_daily[[#This Row],[LookupKey]],tbl_working_sleep[LookupKey],0))</f>
        <v>0</v>
      </c>
    </row>
    <row r="1287" spans="1:24" x14ac:dyDescent="0.3">
      <c r="A1287">
        <v>8583815059</v>
      </c>
      <c r="B1287" s="1">
        <v>42473</v>
      </c>
      <c r="C1287">
        <v>5571</v>
      </c>
      <c r="D1287">
        <v>4.3499999046325701</v>
      </c>
      <c r="E1287">
        <v>4.3499999046325701</v>
      </c>
      <c r="F1287">
        <v>0</v>
      </c>
      <c r="G1287">
        <v>0.15000000596046401</v>
      </c>
      <c r="H1287">
        <v>0.97000002861022905</v>
      </c>
      <c r="I1287">
        <v>3.2300000190734899</v>
      </c>
      <c r="J1287">
        <v>0</v>
      </c>
      <c r="K1287">
        <v>2</v>
      </c>
      <c r="L1287">
        <v>23</v>
      </c>
      <c r="M1287">
        <v>163</v>
      </c>
      <c r="N1287">
        <v>1252</v>
      </c>
      <c r="O1287">
        <v>2654</v>
      </c>
      <c r="P1287" t="str">
        <f>TEXT(tbl_working_daily[[#This Row],[ActivityDate]],"dddd")</f>
        <v>Wednesday</v>
      </c>
      <c r="Q1287" t="str">
        <f>TEXT(tbl_working_daily[[#This Row],[ActivityDate]],"mmmm")</f>
        <v>April</v>
      </c>
      <c r="R1287">
        <f t="shared" si="40"/>
        <v>188</v>
      </c>
      <c r="S1287">
        <f t="shared" si="41"/>
        <v>1440</v>
      </c>
      <c r="T1287">
        <f>ROUND(tbl_working_daily[[#This Row],[SedentaryMinutes]]/60,2)</f>
        <v>20.87</v>
      </c>
      <c r="U1287" t="str" cm="1">
        <f t="array" ref="U128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87" t="str" cm="1">
        <f t="array" ref="V1287">_xlfn.IFS(tbl_working_daily[[#This Row],[VeryActiveMinutes]]&gt;=30,"Very Active",tbl_working_daily[[#This Row],[VeryActiveMinutes]]&gt;=15,"Moderately Active",tbl_working_daily[[#This Row],[VeryActiveMinutes]]&gt;=1,"Lightly Active",tbl_working_daily[[#This Row],[VeryActiveMinutes]]=0,"Sedentary")</f>
        <v>Lightly Active</v>
      </c>
      <c r="W1287" t="str">
        <f>tbl_working_daily[[#This Row],[Id]]&amp;"|"&amp;TEXT(tbl_working_daily[[#This Row],[ActivityDate]],"yyyy-mm-dd")</f>
        <v>8583815059|2016-04-13</v>
      </c>
      <c r="X1287" t="b">
        <f>ISNUMBER(MATCH(tbl_working_daily[[#This Row],[LookupKey]],tbl_working_sleep[LookupKey],0))</f>
        <v>0</v>
      </c>
    </row>
    <row r="1288" spans="1:24" x14ac:dyDescent="0.3">
      <c r="A1288">
        <v>8583815059</v>
      </c>
      <c r="B1288" s="1">
        <v>42474</v>
      </c>
      <c r="C1288">
        <v>3135</v>
      </c>
      <c r="D1288">
        <v>2.4500000476837198</v>
      </c>
      <c r="E1288">
        <v>2.4500000476837198</v>
      </c>
      <c r="F1288">
        <v>0</v>
      </c>
      <c r="G1288">
        <v>0</v>
      </c>
      <c r="H1288">
        <v>0</v>
      </c>
      <c r="I1288">
        <v>2.4300000667571999</v>
      </c>
      <c r="J1288">
        <v>0</v>
      </c>
      <c r="K1288">
        <v>0</v>
      </c>
      <c r="L1288">
        <v>0</v>
      </c>
      <c r="M1288">
        <v>134</v>
      </c>
      <c r="N1288">
        <v>1306</v>
      </c>
      <c r="O1288">
        <v>2443</v>
      </c>
      <c r="P1288" t="str">
        <f>TEXT(tbl_working_daily[[#This Row],[ActivityDate]],"dddd")</f>
        <v>Thursday</v>
      </c>
      <c r="Q1288" t="str">
        <f>TEXT(tbl_working_daily[[#This Row],[ActivityDate]],"mmmm")</f>
        <v>April</v>
      </c>
      <c r="R1288">
        <f t="shared" si="40"/>
        <v>134</v>
      </c>
      <c r="S1288">
        <f t="shared" si="41"/>
        <v>1440</v>
      </c>
      <c r="T1288">
        <f>ROUND(tbl_working_daily[[#This Row],[SedentaryMinutes]]/60,2)</f>
        <v>21.77</v>
      </c>
      <c r="U1288" t="str" cm="1">
        <f t="array" ref="U128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88" t="str" cm="1">
        <f t="array" ref="V1288">_xlfn.IFS(tbl_working_daily[[#This Row],[VeryActiveMinutes]]&gt;=30,"Very Active",tbl_working_daily[[#This Row],[VeryActiveMinutes]]&gt;=15,"Moderately Active",tbl_working_daily[[#This Row],[VeryActiveMinutes]]&gt;=1,"Lightly Active",tbl_working_daily[[#This Row],[VeryActiveMinutes]]=0,"Sedentary")</f>
        <v>Sedentary</v>
      </c>
      <c r="W1288" t="str">
        <f>tbl_working_daily[[#This Row],[Id]]&amp;"|"&amp;TEXT(tbl_working_daily[[#This Row],[ActivityDate]],"yyyy-mm-dd")</f>
        <v>8583815059|2016-04-14</v>
      </c>
      <c r="X1288" t="b">
        <f>ISNUMBER(MATCH(tbl_working_daily[[#This Row],[LookupKey]],tbl_working_sleep[LookupKey],0))</f>
        <v>0</v>
      </c>
    </row>
    <row r="1289" spans="1:24" x14ac:dyDescent="0.3">
      <c r="A1289">
        <v>8583815059</v>
      </c>
      <c r="B1289" s="1">
        <v>42475</v>
      </c>
      <c r="C1289">
        <v>3430</v>
      </c>
      <c r="D1289">
        <v>2.6800000667571999</v>
      </c>
      <c r="E1289">
        <v>2.6800000667571999</v>
      </c>
      <c r="F1289">
        <v>0</v>
      </c>
      <c r="G1289">
        <v>0</v>
      </c>
      <c r="H1289">
        <v>0</v>
      </c>
      <c r="I1289">
        <v>0.89999997615814198</v>
      </c>
      <c r="J1289">
        <v>0</v>
      </c>
      <c r="K1289">
        <v>0</v>
      </c>
      <c r="L1289">
        <v>0</v>
      </c>
      <c r="M1289">
        <v>65</v>
      </c>
      <c r="N1289">
        <v>1375</v>
      </c>
      <c r="O1289">
        <v>2505</v>
      </c>
      <c r="P1289" t="str">
        <f>TEXT(tbl_working_daily[[#This Row],[ActivityDate]],"dddd")</f>
        <v>Friday</v>
      </c>
      <c r="Q1289" t="str">
        <f>TEXT(tbl_working_daily[[#This Row],[ActivityDate]],"mmmm")</f>
        <v>April</v>
      </c>
      <c r="R1289">
        <f t="shared" si="40"/>
        <v>65</v>
      </c>
      <c r="S1289">
        <f t="shared" si="41"/>
        <v>1440</v>
      </c>
      <c r="T1289">
        <f>ROUND(tbl_working_daily[[#This Row],[SedentaryMinutes]]/60,2)</f>
        <v>22.92</v>
      </c>
      <c r="U1289" t="str" cm="1">
        <f t="array" ref="U128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89" t="str" cm="1">
        <f t="array" ref="V1289">_xlfn.IFS(tbl_working_daily[[#This Row],[VeryActiveMinutes]]&gt;=30,"Very Active",tbl_working_daily[[#This Row],[VeryActiveMinutes]]&gt;=15,"Moderately Active",tbl_working_daily[[#This Row],[VeryActiveMinutes]]&gt;=1,"Lightly Active",tbl_working_daily[[#This Row],[VeryActiveMinutes]]=0,"Sedentary")</f>
        <v>Sedentary</v>
      </c>
      <c r="W1289" t="str">
        <f>tbl_working_daily[[#This Row],[Id]]&amp;"|"&amp;TEXT(tbl_working_daily[[#This Row],[ActivityDate]],"yyyy-mm-dd")</f>
        <v>8583815059|2016-04-15</v>
      </c>
      <c r="X1289" t="b">
        <f>ISNUMBER(MATCH(tbl_working_daily[[#This Row],[LookupKey]],tbl_working_sleep[LookupKey],0))</f>
        <v>0</v>
      </c>
    </row>
    <row r="1290" spans="1:24" x14ac:dyDescent="0.3">
      <c r="A1290">
        <v>8583815059</v>
      </c>
      <c r="B1290" s="1">
        <v>42476</v>
      </c>
      <c r="C1290">
        <v>5319</v>
      </c>
      <c r="D1290">
        <v>4.1500000953674299</v>
      </c>
      <c r="E1290">
        <v>4.1500000953674299</v>
      </c>
      <c r="F1290">
        <v>0</v>
      </c>
      <c r="G1290">
        <v>0</v>
      </c>
      <c r="H1290">
        <v>0</v>
      </c>
      <c r="I1290">
        <v>0</v>
      </c>
      <c r="J1290">
        <v>0</v>
      </c>
      <c r="K1290">
        <v>0</v>
      </c>
      <c r="L1290">
        <v>0</v>
      </c>
      <c r="M1290">
        <v>0</v>
      </c>
      <c r="N1290">
        <v>1440</v>
      </c>
      <c r="O1290">
        <v>2693</v>
      </c>
      <c r="P1290" t="str">
        <f>TEXT(tbl_working_daily[[#This Row],[ActivityDate]],"dddd")</f>
        <v>Saturday</v>
      </c>
      <c r="Q1290" t="str">
        <f>TEXT(tbl_working_daily[[#This Row],[ActivityDate]],"mmmm")</f>
        <v>April</v>
      </c>
      <c r="R1290">
        <f t="shared" si="40"/>
        <v>0</v>
      </c>
      <c r="S1290">
        <f t="shared" si="41"/>
        <v>1440</v>
      </c>
      <c r="T1290">
        <f>ROUND(tbl_working_daily[[#This Row],[SedentaryMinutes]]/60,2)</f>
        <v>24</v>
      </c>
      <c r="U1290" t="str" cm="1">
        <f t="array" ref="U129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90" t="str" cm="1">
        <f t="array" ref="V1290">_xlfn.IFS(tbl_working_daily[[#This Row],[VeryActiveMinutes]]&gt;=30,"Very Active",tbl_working_daily[[#This Row],[VeryActiveMinutes]]&gt;=15,"Moderately Active",tbl_working_daily[[#This Row],[VeryActiveMinutes]]&gt;=1,"Lightly Active",tbl_working_daily[[#This Row],[VeryActiveMinutes]]=0,"Sedentary")</f>
        <v>Sedentary</v>
      </c>
      <c r="W1290" t="str">
        <f>tbl_working_daily[[#This Row],[Id]]&amp;"|"&amp;TEXT(tbl_working_daily[[#This Row],[ActivityDate]],"yyyy-mm-dd")</f>
        <v>8583815059|2016-04-16</v>
      </c>
      <c r="X1290" t="b">
        <f>ISNUMBER(MATCH(tbl_working_daily[[#This Row],[LookupKey]],tbl_working_sleep[LookupKey],0))</f>
        <v>0</v>
      </c>
    </row>
    <row r="1291" spans="1:24" x14ac:dyDescent="0.3">
      <c r="A1291">
        <v>8583815059</v>
      </c>
      <c r="B1291" s="1">
        <v>42477</v>
      </c>
      <c r="C1291">
        <v>3008</v>
      </c>
      <c r="D1291">
        <v>2.3499999046325701</v>
      </c>
      <c r="E1291">
        <v>2.3499999046325701</v>
      </c>
      <c r="F1291">
        <v>0</v>
      </c>
      <c r="G1291">
        <v>0</v>
      </c>
      <c r="H1291">
        <v>0</v>
      </c>
      <c r="I1291">
        <v>0</v>
      </c>
      <c r="J1291">
        <v>0</v>
      </c>
      <c r="K1291">
        <v>0</v>
      </c>
      <c r="L1291">
        <v>0</v>
      </c>
      <c r="M1291">
        <v>0</v>
      </c>
      <c r="N1291">
        <v>1440</v>
      </c>
      <c r="O1291">
        <v>2439</v>
      </c>
      <c r="P1291" t="str">
        <f>TEXT(tbl_working_daily[[#This Row],[ActivityDate]],"dddd")</f>
        <v>Sunday</v>
      </c>
      <c r="Q1291" t="str">
        <f>TEXT(tbl_working_daily[[#This Row],[ActivityDate]],"mmmm")</f>
        <v>April</v>
      </c>
      <c r="R1291">
        <f t="shared" si="40"/>
        <v>0</v>
      </c>
      <c r="S1291">
        <f t="shared" si="41"/>
        <v>1440</v>
      </c>
      <c r="T1291">
        <f>ROUND(tbl_working_daily[[#This Row],[SedentaryMinutes]]/60,2)</f>
        <v>24</v>
      </c>
      <c r="U1291" t="str" cm="1">
        <f t="array" ref="U129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91" t="str" cm="1">
        <f t="array" ref="V1291">_xlfn.IFS(tbl_working_daily[[#This Row],[VeryActiveMinutes]]&gt;=30,"Very Active",tbl_working_daily[[#This Row],[VeryActiveMinutes]]&gt;=15,"Moderately Active",tbl_working_daily[[#This Row],[VeryActiveMinutes]]&gt;=1,"Lightly Active",tbl_working_daily[[#This Row],[VeryActiveMinutes]]=0,"Sedentary")</f>
        <v>Sedentary</v>
      </c>
      <c r="W1291" t="str">
        <f>tbl_working_daily[[#This Row],[Id]]&amp;"|"&amp;TEXT(tbl_working_daily[[#This Row],[ActivityDate]],"yyyy-mm-dd")</f>
        <v>8583815059|2016-04-17</v>
      </c>
      <c r="X1291" t="b">
        <f>ISNUMBER(MATCH(tbl_working_daily[[#This Row],[LookupKey]],tbl_working_sleep[LookupKey],0))</f>
        <v>0</v>
      </c>
    </row>
    <row r="1292" spans="1:24" x14ac:dyDescent="0.3">
      <c r="A1292">
        <v>8583815059</v>
      </c>
      <c r="B1292" s="1">
        <v>42478</v>
      </c>
      <c r="C1292">
        <v>3864</v>
      </c>
      <c r="D1292">
        <v>3.0099999904632599</v>
      </c>
      <c r="E1292">
        <v>3.0099999904632599</v>
      </c>
      <c r="F1292">
        <v>0</v>
      </c>
      <c r="G1292">
        <v>0.31000000238418601</v>
      </c>
      <c r="H1292">
        <v>1.0599999427795399</v>
      </c>
      <c r="I1292">
        <v>1.3500000238418599</v>
      </c>
      <c r="J1292">
        <v>0</v>
      </c>
      <c r="K1292">
        <v>4</v>
      </c>
      <c r="L1292">
        <v>22</v>
      </c>
      <c r="M1292">
        <v>105</v>
      </c>
      <c r="N1292">
        <v>1309</v>
      </c>
      <c r="O1292">
        <v>2536</v>
      </c>
      <c r="P1292" t="str">
        <f>TEXT(tbl_working_daily[[#This Row],[ActivityDate]],"dddd")</f>
        <v>Monday</v>
      </c>
      <c r="Q1292" t="str">
        <f>TEXT(tbl_working_daily[[#This Row],[ActivityDate]],"mmmm")</f>
        <v>April</v>
      </c>
      <c r="R1292">
        <f t="shared" si="40"/>
        <v>131</v>
      </c>
      <c r="S1292">
        <f t="shared" si="41"/>
        <v>1440</v>
      </c>
      <c r="T1292">
        <f>ROUND(tbl_working_daily[[#This Row],[SedentaryMinutes]]/60,2)</f>
        <v>21.82</v>
      </c>
      <c r="U1292" t="str" cm="1">
        <f t="array" ref="U129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92" t="str" cm="1">
        <f t="array" ref="V1292">_xlfn.IFS(tbl_working_daily[[#This Row],[VeryActiveMinutes]]&gt;=30,"Very Active",tbl_working_daily[[#This Row],[VeryActiveMinutes]]&gt;=15,"Moderately Active",tbl_working_daily[[#This Row],[VeryActiveMinutes]]&gt;=1,"Lightly Active",tbl_working_daily[[#This Row],[VeryActiveMinutes]]=0,"Sedentary")</f>
        <v>Lightly Active</v>
      </c>
      <c r="W1292" t="str">
        <f>tbl_working_daily[[#This Row],[Id]]&amp;"|"&amp;TEXT(tbl_working_daily[[#This Row],[ActivityDate]],"yyyy-mm-dd")</f>
        <v>8583815059|2016-04-18</v>
      </c>
      <c r="X1292" t="b">
        <f>ISNUMBER(MATCH(tbl_working_daily[[#This Row],[LookupKey]],tbl_working_sleep[LookupKey],0))</f>
        <v>0</v>
      </c>
    </row>
    <row r="1293" spans="1:24" x14ac:dyDescent="0.3">
      <c r="A1293">
        <v>8583815059</v>
      </c>
      <c r="B1293" s="1">
        <v>42479</v>
      </c>
      <c r="C1293">
        <v>5697</v>
      </c>
      <c r="D1293">
        <v>4.4400000572204599</v>
      </c>
      <c r="E1293">
        <v>4.4400000572204599</v>
      </c>
      <c r="F1293">
        <v>0</v>
      </c>
      <c r="G1293">
        <v>0.52999997138977095</v>
      </c>
      <c r="H1293">
        <v>0.479999989271164</v>
      </c>
      <c r="I1293">
        <v>3.4400000572204599</v>
      </c>
      <c r="J1293">
        <v>0</v>
      </c>
      <c r="K1293">
        <v>7</v>
      </c>
      <c r="L1293">
        <v>10</v>
      </c>
      <c r="M1293">
        <v>166</v>
      </c>
      <c r="N1293">
        <v>1257</v>
      </c>
      <c r="O1293">
        <v>2668</v>
      </c>
      <c r="P1293" t="str">
        <f>TEXT(tbl_working_daily[[#This Row],[ActivityDate]],"dddd")</f>
        <v>Tuesday</v>
      </c>
      <c r="Q1293" t="str">
        <f>TEXT(tbl_working_daily[[#This Row],[ActivityDate]],"mmmm")</f>
        <v>April</v>
      </c>
      <c r="R1293">
        <f t="shared" si="40"/>
        <v>183</v>
      </c>
      <c r="S1293">
        <f t="shared" si="41"/>
        <v>1440</v>
      </c>
      <c r="T1293">
        <f>ROUND(tbl_working_daily[[#This Row],[SedentaryMinutes]]/60,2)</f>
        <v>20.95</v>
      </c>
      <c r="U1293" t="str" cm="1">
        <f t="array" ref="U1293">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93" t="str" cm="1">
        <f t="array" ref="V1293">_xlfn.IFS(tbl_working_daily[[#This Row],[VeryActiveMinutes]]&gt;=30,"Very Active",tbl_working_daily[[#This Row],[VeryActiveMinutes]]&gt;=15,"Moderately Active",tbl_working_daily[[#This Row],[VeryActiveMinutes]]&gt;=1,"Lightly Active",tbl_working_daily[[#This Row],[VeryActiveMinutes]]=0,"Sedentary")</f>
        <v>Lightly Active</v>
      </c>
      <c r="W1293" t="str">
        <f>tbl_working_daily[[#This Row],[Id]]&amp;"|"&amp;TEXT(tbl_working_daily[[#This Row],[ActivityDate]],"yyyy-mm-dd")</f>
        <v>8583815059|2016-04-19</v>
      </c>
      <c r="X1293" t="b">
        <f>ISNUMBER(MATCH(tbl_working_daily[[#This Row],[LookupKey]],tbl_working_sleep[LookupKey],0))</f>
        <v>0</v>
      </c>
    </row>
    <row r="1294" spans="1:24" x14ac:dyDescent="0.3">
      <c r="A1294">
        <v>8583815059</v>
      </c>
      <c r="B1294" s="1">
        <v>42480</v>
      </c>
      <c r="C1294">
        <v>5273</v>
      </c>
      <c r="D1294">
        <v>4.1100001335143999</v>
      </c>
      <c r="E1294">
        <v>4.1100001335143999</v>
      </c>
      <c r="F1294">
        <v>0</v>
      </c>
      <c r="G1294">
        <v>0</v>
      </c>
      <c r="H1294">
        <v>1.03999996185303</v>
      </c>
      <c r="I1294">
        <v>3.0699999332428001</v>
      </c>
      <c r="J1294">
        <v>0</v>
      </c>
      <c r="K1294">
        <v>0</v>
      </c>
      <c r="L1294">
        <v>27</v>
      </c>
      <c r="M1294">
        <v>167</v>
      </c>
      <c r="N1294">
        <v>1246</v>
      </c>
      <c r="O1294">
        <v>2647</v>
      </c>
      <c r="P1294" t="str">
        <f>TEXT(tbl_working_daily[[#This Row],[ActivityDate]],"dddd")</f>
        <v>Wednesday</v>
      </c>
      <c r="Q1294" t="str">
        <f>TEXT(tbl_working_daily[[#This Row],[ActivityDate]],"mmmm")</f>
        <v>April</v>
      </c>
      <c r="R1294">
        <f t="shared" si="40"/>
        <v>194</v>
      </c>
      <c r="S1294">
        <f t="shared" si="41"/>
        <v>1440</v>
      </c>
      <c r="T1294">
        <f>ROUND(tbl_working_daily[[#This Row],[SedentaryMinutes]]/60,2)</f>
        <v>20.77</v>
      </c>
      <c r="U1294" t="str" cm="1">
        <f t="array" ref="U129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294" t="str" cm="1">
        <f t="array" ref="V1294">_xlfn.IFS(tbl_working_daily[[#This Row],[VeryActiveMinutes]]&gt;=30,"Very Active",tbl_working_daily[[#This Row],[VeryActiveMinutes]]&gt;=15,"Moderately Active",tbl_working_daily[[#This Row],[VeryActiveMinutes]]&gt;=1,"Lightly Active",tbl_working_daily[[#This Row],[VeryActiveMinutes]]=0,"Sedentary")</f>
        <v>Sedentary</v>
      </c>
      <c r="W1294" t="str">
        <f>tbl_working_daily[[#This Row],[Id]]&amp;"|"&amp;TEXT(tbl_working_daily[[#This Row],[ActivityDate]],"yyyy-mm-dd")</f>
        <v>8583815059|2016-04-20</v>
      </c>
      <c r="X1294" t="b">
        <f>ISNUMBER(MATCH(tbl_working_daily[[#This Row],[LookupKey]],tbl_working_sleep[LookupKey],0))</f>
        <v>0</v>
      </c>
    </row>
    <row r="1295" spans="1:24" x14ac:dyDescent="0.3">
      <c r="A1295">
        <v>8583815059</v>
      </c>
      <c r="B1295" s="1">
        <v>42481</v>
      </c>
      <c r="C1295">
        <v>8538</v>
      </c>
      <c r="D1295">
        <v>6.6599998474121103</v>
      </c>
      <c r="E1295">
        <v>6.6599998474121103</v>
      </c>
      <c r="F1295">
        <v>0</v>
      </c>
      <c r="G1295">
        <v>2.6300001144409202</v>
      </c>
      <c r="H1295">
        <v>1.0199999809265099</v>
      </c>
      <c r="I1295">
        <v>3.0099999904632599</v>
      </c>
      <c r="J1295">
        <v>0</v>
      </c>
      <c r="K1295">
        <v>35</v>
      </c>
      <c r="L1295">
        <v>18</v>
      </c>
      <c r="M1295">
        <v>158</v>
      </c>
      <c r="N1295">
        <v>1229</v>
      </c>
      <c r="O1295">
        <v>2883</v>
      </c>
      <c r="P1295" t="str">
        <f>TEXT(tbl_working_daily[[#This Row],[ActivityDate]],"dddd")</f>
        <v>Thursday</v>
      </c>
      <c r="Q1295" t="str">
        <f>TEXT(tbl_working_daily[[#This Row],[ActivityDate]],"mmmm")</f>
        <v>April</v>
      </c>
      <c r="R1295">
        <f t="shared" si="40"/>
        <v>211</v>
      </c>
      <c r="S1295">
        <f t="shared" si="41"/>
        <v>1440</v>
      </c>
      <c r="T1295">
        <f>ROUND(tbl_working_daily[[#This Row],[SedentaryMinutes]]/60,2)</f>
        <v>20.48</v>
      </c>
      <c r="U1295" t="str" cm="1">
        <f t="array" ref="U129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95" t="str" cm="1">
        <f t="array" ref="V1295">_xlfn.IFS(tbl_working_daily[[#This Row],[VeryActiveMinutes]]&gt;=30,"Very Active",tbl_working_daily[[#This Row],[VeryActiveMinutes]]&gt;=15,"Moderately Active",tbl_working_daily[[#This Row],[VeryActiveMinutes]]&gt;=1,"Lightly Active",tbl_working_daily[[#This Row],[VeryActiveMinutes]]=0,"Sedentary")</f>
        <v>Very Active</v>
      </c>
      <c r="W1295" t="str">
        <f>tbl_working_daily[[#This Row],[Id]]&amp;"|"&amp;TEXT(tbl_working_daily[[#This Row],[ActivityDate]],"yyyy-mm-dd")</f>
        <v>8583815059|2016-04-21</v>
      </c>
      <c r="X1295" t="b">
        <f>ISNUMBER(MATCH(tbl_working_daily[[#This Row],[LookupKey]],tbl_working_sleep[LookupKey],0))</f>
        <v>0</v>
      </c>
    </row>
    <row r="1296" spans="1:24" x14ac:dyDescent="0.3">
      <c r="A1296">
        <v>8583815059</v>
      </c>
      <c r="B1296" s="1">
        <v>42482</v>
      </c>
      <c r="C1296">
        <v>8687</v>
      </c>
      <c r="D1296">
        <v>6.7800002098083496</v>
      </c>
      <c r="E1296">
        <v>6.7800002098083496</v>
      </c>
      <c r="F1296">
        <v>0</v>
      </c>
      <c r="G1296">
        <v>0.28999999165535001</v>
      </c>
      <c r="H1296">
        <v>2.4100000858306898</v>
      </c>
      <c r="I1296">
        <v>4.0799999237060502</v>
      </c>
      <c r="J1296">
        <v>0</v>
      </c>
      <c r="K1296">
        <v>4</v>
      </c>
      <c r="L1296">
        <v>54</v>
      </c>
      <c r="M1296">
        <v>212</v>
      </c>
      <c r="N1296">
        <v>1170</v>
      </c>
      <c r="O1296">
        <v>2944</v>
      </c>
      <c r="P1296" t="str">
        <f>TEXT(tbl_working_daily[[#This Row],[ActivityDate]],"dddd")</f>
        <v>Friday</v>
      </c>
      <c r="Q1296" t="str">
        <f>TEXT(tbl_working_daily[[#This Row],[ActivityDate]],"mmmm")</f>
        <v>April</v>
      </c>
      <c r="R1296">
        <f t="shared" si="40"/>
        <v>270</v>
      </c>
      <c r="S1296">
        <f t="shared" si="41"/>
        <v>1440</v>
      </c>
      <c r="T1296">
        <f>ROUND(tbl_working_daily[[#This Row],[SedentaryMinutes]]/60,2)</f>
        <v>19.5</v>
      </c>
      <c r="U1296" t="str" cm="1">
        <f t="array" ref="U129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96" t="str" cm="1">
        <f t="array" ref="V1296">_xlfn.IFS(tbl_working_daily[[#This Row],[VeryActiveMinutes]]&gt;=30,"Very Active",tbl_working_daily[[#This Row],[VeryActiveMinutes]]&gt;=15,"Moderately Active",tbl_working_daily[[#This Row],[VeryActiveMinutes]]&gt;=1,"Lightly Active",tbl_working_daily[[#This Row],[VeryActiveMinutes]]=0,"Sedentary")</f>
        <v>Lightly Active</v>
      </c>
      <c r="W1296" t="str">
        <f>tbl_working_daily[[#This Row],[Id]]&amp;"|"&amp;TEXT(tbl_working_daily[[#This Row],[ActivityDate]],"yyyy-mm-dd")</f>
        <v>8583815059|2016-04-22</v>
      </c>
      <c r="X1296" t="b">
        <f>ISNUMBER(MATCH(tbl_working_daily[[#This Row],[LookupKey]],tbl_working_sleep[LookupKey],0))</f>
        <v>0</v>
      </c>
    </row>
    <row r="1297" spans="1:24" x14ac:dyDescent="0.3">
      <c r="A1297">
        <v>8583815059</v>
      </c>
      <c r="B1297" s="1">
        <v>42483</v>
      </c>
      <c r="C1297">
        <v>9423</v>
      </c>
      <c r="D1297">
        <v>7.3499999046325701</v>
      </c>
      <c r="E1297">
        <v>7.3499999046325701</v>
      </c>
      <c r="F1297">
        <v>0</v>
      </c>
      <c r="G1297">
        <v>0.52999997138977095</v>
      </c>
      <c r="H1297">
        <v>2.0299999713897701</v>
      </c>
      <c r="I1297">
        <v>4.75</v>
      </c>
      <c r="J1297">
        <v>0</v>
      </c>
      <c r="K1297">
        <v>7</v>
      </c>
      <c r="L1297">
        <v>44</v>
      </c>
      <c r="M1297">
        <v>238</v>
      </c>
      <c r="N1297">
        <v>1151</v>
      </c>
      <c r="O1297">
        <v>3012</v>
      </c>
      <c r="P1297" t="str">
        <f>TEXT(tbl_working_daily[[#This Row],[ActivityDate]],"dddd")</f>
        <v>Saturday</v>
      </c>
      <c r="Q1297" t="str">
        <f>TEXT(tbl_working_daily[[#This Row],[ActivityDate]],"mmmm")</f>
        <v>April</v>
      </c>
      <c r="R1297">
        <f t="shared" si="40"/>
        <v>289</v>
      </c>
      <c r="S1297">
        <f t="shared" si="41"/>
        <v>1440</v>
      </c>
      <c r="T1297">
        <f>ROUND(tbl_working_daily[[#This Row],[SedentaryMinutes]]/60,2)</f>
        <v>19.18</v>
      </c>
      <c r="U1297" t="str" cm="1">
        <f t="array" ref="U1297">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97" t="str" cm="1">
        <f t="array" ref="V1297">_xlfn.IFS(tbl_working_daily[[#This Row],[VeryActiveMinutes]]&gt;=30,"Very Active",tbl_working_daily[[#This Row],[VeryActiveMinutes]]&gt;=15,"Moderately Active",tbl_working_daily[[#This Row],[VeryActiveMinutes]]&gt;=1,"Lightly Active",tbl_working_daily[[#This Row],[VeryActiveMinutes]]=0,"Sedentary")</f>
        <v>Lightly Active</v>
      </c>
      <c r="W1297" t="str">
        <f>tbl_working_daily[[#This Row],[Id]]&amp;"|"&amp;TEXT(tbl_working_daily[[#This Row],[ActivityDate]],"yyyy-mm-dd")</f>
        <v>8583815059|2016-04-23</v>
      </c>
      <c r="X1297" t="b">
        <f>ISNUMBER(MATCH(tbl_working_daily[[#This Row],[LookupKey]],tbl_working_sleep[LookupKey],0))</f>
        <v>0</v>
      </c>
    </row>
    <row r="1298" spans="1:24" x14ac:dyDescent="0.3">
      <c r="A1298">
        <v>8583815059</v>
      </c>
      <c r="B1298" s="1">
        <v>42484</v>
      </c>
      <c r="C1298">
        <v>8286</v>
      </c>
      <c r="D1298">
        <v>6.46000003814697</v>
      </c>
      <c r="E1298">
        <v>6.46000003814697</v>
      </c>
      <c r="F1298">
        <v>0</v>
      </c>
      <c r="G1298">
        <v>0.15000000596046401</v>
      </c>
      <c r="H1298">
        <v>2.0499999523162802</v>
      </c>
      <c r="I1298">
        <v>4.2699999809265101</v>
      </c>
      <c r="J1298">
        <v>0</v>
      </c>
      <c r="K1298">
        <v>2</v>
      </c>
      <c r="L1298">
        <v>44</v>
      </c>
      <c r="M1298">
        <v>206</v>
      </c>
      <c r="N1298">
        <v>1188</v>
      </c>
      <c r="O1298">
        <v>2889</v>
      </c>
      <c r="P1298" t="str">
        <f>TEXT(tbl_working_daily[[#This Row],[ActivityDate]],"dddd")</f>
        <v>Sunday</v>
      </c>
      <c r="Q1298" t="str">
        <f>TEXT(tbl_working_daily[[#This Row],[ActivityDate]],"mmmm")</f>
        <v>April</v>
      </c>
      <c r="R1298">
        <f t="shared" si="40"/>
        <v>252</v>
      </c>
      <c r="S1298">
        <f t="shared" si="41"/>
        <v>1440</v>
      </c>
      <c r="T1298">
        <f>ROUND(tbl_working_daily[[#This Row],[SedentaryMinutes]]/60,2)</f>
        <v>19.8</v>
      </c>
      <c r="U1298" t="str" cm="1">
        <f t="array" ref="U1298">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298" t="str" cm="1">
        <f t="array" ref="V1298">_xlfn.IFS(tbl_working_daily[[#This Row],[VeryActiveMinutes]]&gt;=30,"Very Active",tbl_working_daily[[#This Row],[VeryActiveMinutes]]&gt;=15,"Moderately Active",tbl_working_daily[[#This Row],[VeryActiveMinutes]]&gt;=1,"Lightly Active",tbl_working_daily[[#This Row],[VeryActiveMinutes]]=0,"Sedentary")</f>
        <v>Lightly Active</v>
      </c>
      <c r="W1298" t="str">
        <f>tbl_working_daily[[#This Row],[Id]]&amp;"|"&amp;TEXT(tbl_working_daily[[#This Row],[ActivityDate]],"yyyy-mm-dd")</f>
        <v>8583815059|2016-04-24</v>
      </c>
      <c r="X1298" t="b">
        <f>ISNUMBER(MATCH(tbl_working_daily[[#This Row],[LookupKey]],tbl_working_sleep[LookupKey],0))</f>
        <v>0</v>
      </c>
    </row>
    <row r="1299" spans="1:24" x14ac:dyDescent="0.3">
      <c r="A1299">
        <v>8583815059</v>
      </c>
      <c r="B1299" s="1">
        <v>42485</v>
      </c>
      <c r="C1299">
        <v>4503</v>
      </c>
      <c r="D1299">
        <v>3.5099999904632599</v>
      </c>
      <c r="E1299">
        <v>3.5099999904632599</v>
      </c>
      <c r="F1299">
        <v>0</v>
      </c>
      <c r="G1299">
        <v>1.4700000286102299</v>
      </c>
      <c r="H1299">
        <v>0.239999994635582</v>
      </c>
      <c r="I1299">
        <v>1.8099999427795399</v>
      </c>
      <c r="J1299">
        <v>0</v>
      </c>
      <c r="K1299">
        <v>18</v>
      </c>
      <c r="L1299">
        <v>6</v>
      </c>
      <c r="M1299">
        <v>122</v>
      </c>
      <c r="N1299">
        <v>1294</v>
      </c>
      <c r="O1299">
        <v>2547</v>
      </c>
      <c r="P1299" t="str">
        <f>TEXT(tbl_working_daily[[#This Row],[ActivityDate]],"dddd")</f>
        <v>Monday</v>
      </c>
      <c r="Q1299" t="str">
        <f>TEXT(tbl_working_daily[[#This Row],[ActivityDate]],"mmmm")</f>
        <v>April</v>
      </c>
      <c r="R1299">
        <f t="shared" si="40"/>
        <v>146</v>
      </c>
      <c r="S1299">
        <f t="shared" si="41"/>
        <v>1440</v>
      </c>
      <c r="T1299">
        <f>ROUND(tbl_working_daily[[#This Row],[SedentaryMinutes]]/60,2)</f>
        <v>21.57</v>
      </c>
      <c r="U1299" t="str" cm="1">
        <f t="array" ref="U129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299" t="str" cm="1">
        <f t="array" ref="V1299">_xlfn.IFS(tbl_working_daily[[#This Row],[VeryActiveMinutes]]&gt;=30,"Very Active",tbl_working_daily[[#This Row],[VeryActiveMinutes]]&gt;=15,"Moderately Active",tbl_working_daily[[#This Row],[VeryActiveMinutes]]&gt;=1,"Lightly Active",tbl_working_daily[[#This Row],[VeryActiveMinutes]]=0,"Sedentary")</f>
        <v>Moderately Active</v>
      </c>
      <c r="W1299" t="str">
        <f>tbl_working_daily[[#This Row],[Id]]&amp;"|"&amp;TEXT(tbl_working_daily[[#This Row],[ActivityDate]],"yyyy-mm-dd")</f>
        <v>8583815059|2016-04-25</v>
      </c>
      <c r="X1299" t="b">
        <f>ISNUMBER(MATCH(tbl_working_daily[[#This Row],[LookupKey]],tbl_working_sleep[LookupKey],0))</f>
        <v>0</v>
      </c>
    </row>
    <row r="1300" spans="1:24" x14ac:dyDescent="0.3">
      <c r="A1300">
        <v>8583815059</v>
      </c>
      <c r="B1300" s="1">
        <v>42486</v>
      </c>
      <c r="C1300">
        <v>10499</v>
      </c>
      <c r="D1300">
        <v>8.1899995803833008</v>
      </c>
      <c r="E1300">
        <v>8.1899995803833008</v>
      </c>
      <c r="F1300">
        <v>0</v>
      </c>
      <c r="G1300">
        <v>7.0000000298023196E-2</v>
      </c>
      <c r="H1300">
        <v>4.2199997901916504</v>
      </c>
      <c r="I1300">
        <v>3.8900001049041699</v>
      </c>
      <c r="J1300">
        <v>0</v>
      </c>
      <c r="K1300">
        <v>1</v>
      </c>
      <c r="L1300">
        <v>91</v>
      </c>
      <c r="M1300">
        <v>214</v>
      </c>
      <c r="N1300">
        <v>1134</v>
      </c>
      <c r="O1300">
        <v>3093</v>
      </c>
      <c r="P1300" t="str">
        <f>TEXT(tbl_working_daily[[#This Row],[ActivityDate]],"dddd")</f>
        <v>Tuesday</v>
      </c>
      <c r="Q1300" t="str">
        <f>TEXT(tbl_working_daily[[#This Row],[ActivityDate]],"mmmm")</f>
        <v>April</v>
      </c>
      <c r="R1300">
        <f t="shared" si="40"/>
        <v>306</v>
      </c>
      <c r="S1300">
        <f t="shared" si="41"/>
        <v>1440</v>
      </c>
      <c r="T1300">
        <f>ROUND(tbl_working_daily[[#This Row],[SedentaryMinutes]]/60,2)</f>
        <v>18.899999999999999</v>
      </c>
      <c r="U1300" t="str" cm="1">
        <f t="array" ref="U130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00" t="str" cm="1">
        <f t="array" ref="V1300">_xlfn.IFS(tbl_working_daily[[#This Row],[VeryActiveMinutes]]&gt;=30,"Very Active",tbl_working_daily[[#This Row],[VeryActiveMinutes]]&gt;=15,"Moderately Active",tbl_working_daily[[#This Row],[VeryActiveMinutes]]&gt;=1,"Lightly Active",tbl_working_daily[[#This Row],[VeryActiveMinutes]]=0,"Sedentary")</f>
        <v>Lightly Active</v>
      </c>
      <c r="W1300" t="str">
        <f>tbl_working_daily[[#This Row],[Id]]&amp;"|"&amp;TEXT(tbl_working_daily[[#This Row],[ActivityDate]],"yyyy-mm-dd")</f>
        <v>8583815059|2016-04-26</v>
      </c>
      <c r="X1300" t="b">
        <f>ISNUMBER(MATCH(tbl_working_daily[[#This Row],[LookupKey]],tbl_working_sleep[LookupKey],0))</f>
        <v>0</v>
      </c>
    </row>
    <row r="1301" spans="1:24" x14ac:dyDescent="0.3">
      <c r="A1301">
        <v>8583815059</v>
      </c>
      <c r="B1301" s="1">
        <v>42487</v>
      </c>
      <c r="C1301">
        <v>12474</v>
      </c>
      <c r="D1301">
        <v>9.7299995422363299</v>
      </c>
      <c r="E1301">
        <v>9.7299995422363299</v>
      </c>
      <c r="F1301">
        <v>0</v>
      </c>
      <c r="G1301">
        <v>6.5999999046325701</v>
      </c>
      <c r="H1301">
        <v>0.270000010728836</v>
      </c>
      <c r="I1301">
        <v>2.8699998855590798</v>
      </c>
      <c r="J1301">
        <v>0</v>
      </c>
      <c r="K1301">
        <v>77</v>
      </c>
      <c r="L1301">
        <v>5</v>
      </c>
      <c r="M1301">
        <v>129</v>
      </c>
      <c r="N1301">
        <v>1229</v>
      </c>
      <c r="O1301">
        <v>3142</v>
      </c>
      <c r="P1301" t="str">
        <f>TEXT(tbl_working_daily[[#This Row],[ActivityDate]],"dddd")</f>
        <v>Wednesday</v>
      </c>
      <c r="Q1301" t="str">
        <f>TEXT(tbl_working_daily[[#This Row],[ActivityDate]],"mmmm")</f>
        <v>April</v>
      </c>
      <c r="R1301">
        <f t="shared" si="40"/>
        <v>211</v>
      </c>
      <c r="S1301">
        <f t="shared" si="41"/>
        <v>1440</v>
      </c>
      <c r="T1301">
        <f>ROUND(tbl_working_daily[[#This Row],[SedentaryMinutes]]/60,2)</f>
        <v>20.48</v>
      </c>
      <c r="U1301" t="str" cm="1">
        <f t="array" ref="U1301">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01" t="str" cm="1">
        <f t="array" ref="V1301">_xlfn.IFS(tbl_working_daily[[#This Row],[VeryActiveMinutes]]&gt;=30,"Very Active",tbl_working_daily[[#This Row],[VeryActiveMinutes]]&gt;=15,"Moderately Active",tbl_working_daily[[#This Row],[VeryActiveMinutes]]&gt;=1,"Lightly Active",tbl_working_daily[[#This Row],[VeryActiveMinutes]]=0,"Sedentary")</f>
        <v>Very Active</v>
      </c>
      <c r="W1301" t="str">
        <f>tbl_working_daily[[#This Row],[Id]]&amp;"|"&amp;TEXT(tbl_working_daily[[#This Row],[ActivityDate]],"yyyy-mm-dd")</f>
        <v>8583815059|2016-04-27</v>
      </c>
      <c r="X1301" t="b">
        <f>ISNUMBER(MATCH(tbl_working_daily[[#This Row],[LookupKey]],tbl_working_sleep[LookupKey],0))</f>
        <v>0</v>
      </c>
    </row>
    <row r="1302" spans="1:24" x14ac:dyDescent="0.3">
      <c r="A1302">
        <v>8583815059</v>
      </c>
      <c r="B1302" s="1">
        <v>42488</v>
      </c>
      <c r="C1302">
        <v>6174</v>
      </c>
      <c r="D1302">
        <v>4.8200001716613796</v>
      </c>
      <c r="E1302">
        <v>4.8200001716613796</v>
      </c>
      <c r="F1302">
        <v>0</v>
      </c>
      <c r="G1302">
        <v>0</v>
      </c>
      <c r="H1302">
        <v>1.20000004768372</v>
      </c>
      <c r="I1302">
        <v>3.6099998950958301</v>
      </c>
      <c r="J1302">
        <v>0</v>
      </c>
      <c r="K1302">
        <v>0</v>
      </c>
      <c r="L1302">
        <v>28</v>
      </c>
      <c r="M1302">
        <v>203</v>
      </c>
      <c r="N1302">
        <v>1209</v>
      </c>
      <c r="O1302">
        <v>2757</v>
      </c>
      <c r="P1302" t="str">
        <f>TEXT(tbl_working_daily[[#This Row],[ActivityDate]],"dddd")</f>
        <v>Thursday</v>
      </c>
      <c r="Q1302" t="str">
        <f>TEXT(tbl_working_daily[[#This Row],[ActivityDate]],"mmmm")</f>
        <v>April</v>
      </c>
      <c r="R1302">
        <f t="shared" si="40"/>
        <v>231</v>
      </c>
      <c r="S1302">
        <f t="shared" si="41"/>
        <v>1440</v>
      </c>
      <c r="T1302">
        <f>ROUND(tbl_working_daily[[#This Row],[SedentaryMinutes]]/60,2)</f>
        <v>20.149999999999999</v>
      </c>
      <c r="U1302" t="str" cm="1">
        <f t="array" ref="U130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02" t="str" cm="1">
        <f t="array" ref="V1302">_xlfn.IFS(tbl_working_daily[[#This Row],[VeryActiveMinutes]]&gt;=30,"Very Active",tbl_working_daily[[#This Row],[VeryActiveMinutes]]&gt;=15,"Moderately Active",tbl_working_daily[[#This Row],[VeryActiveMinutes]]&gt;=1,"Lightly Active",tbl_working_daily[[#This Row],[VeryActiveMinutes]]=0,"Sedentary")</f>
        <v>Sedentary</v>
      </c>
      <c r="W1302" t="str">
        <f>tbl_working_daily[[#This Row],[Id]]&amp;"|"&amp;TEXT(tbl_working_daily[[#This Row],[ActivityDate]],"yyyy-mm-dd")</f>
        <v>8583815059|2016-04-28</v>
      </c>
      <c r="X1302" t="b">
        <f>ISNUMBER(MATCH(tbl_working_daily[[#This Row],[LookupKey]],tbl_working_sleep[LookupKey],0))</f>
        <v>0</v>
      </c>
    </row>
    <row r="1303" spans="1:24" x14ac:dyDescent="0.3">
      <c r="A1303">
        <v>8583815059</v>
      </c>
      <c r="B1303" s="1">
        <v>42489</v>
      </c>
      <c r="C1303">
        <v>15168</v>
      </c>
      <c r="D1303">
        <v>11.829999923706101</v>
      </c>
      <c r="E1303">
        <v>11.829999923706101</v>
      </c>
      <c r="F1303">
        <v>0</v>
      </c>
      <c r="G1303">
        <v>3.9000000953674299</v>
      </c>
      <c r="H1303">
        <v>3</v>
      </c>
      <c r="I1303">
        <v>4.9200000762939498</v>
      </c>
      <c r="J1303">
        <v>0</v>
      </c>
      <c r="K1303">
        <v>46</v>
      </c>
      <c r="L1303">
        <v>67</v>
      </c>
      <c r="M1303">
        <v>258</v>
      </c>
      <c r="N1303">
        <v>1069</v>
      </c>
      <c r="O1303">
        <v>3513</v>
      </c>
      <c r="P1303" t="str">
        <f>TEXT(tbl_working_daily[[#This Row],[ActivityDate]],"dddd")</f>
        <v>Friday</v>
      </c>
      <c r="Q1303" t="str">
        <f>TEXT(tbl_working_daily[[#This Row],[ActivityDate]],"mmmm")</f>
        <v>April</v>
      </c>
      <c r="R1303">
        <f t="shared" si="40"/>
        <v>371</v>
      </c>
      <c r="S1303">
        <f t="shared" si="41"/>
        <v>1440</v>
      </c>
      <c r="T1303">
        <f>ROUND(tbl_working_daily[[#This Row],[SedentaryMinutes]]/60,2)</f>
        <v>17.82</v>
      </c>
      <c r="U1303" t="str" cm="1">
        <f t="array" ref="U130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03" t="str" cm="1">
        <f t="array" ref="V1303">_xlfn.IFS(tbl_working_daily[[#This Row],[VeryActiveMinutes]]&gt;=30,"Very Active",tbl_working_daily[[#This Row],[VeryActiveMinutes]]&gt;=15,"Moderately Active",tbl_working_daily[[#This Row],[VeryActiveMinutes]]&gt;=1,"Lightly Active",tbl_working_daily[[#This Row],[VeryActiveMinutes]]=0,"Sedentary")</f>
        <v>Very Active</v>
      </c>
      <c r="W1303" t="str">
        <f>tbl_working_daily[[#This Row],[Id]]&amp;"|"&amp;TEXT(tbl_working_daily[[#This Row],[ActivityDate]],"yyyy-mm-dd")</f>
        <v>8583815059|2016-04-29</v>
      </c>
      <c r="X1303" t="b">
        <f>ISNUMBER(MATCH(tbl_working_daily[[#This Row],[LookupKey]],tbl_working_sleep[LookupKey],0))</f>
        <v>0</v>
      </c>
    </row>
    <row r="1304" spans="1:24" x14ac:dyDescent="0.3">
      <c r="A1304">
        <v>8583815059</v>
      </c>
      <c r="B1304" s="1">
        <v>42490</v>
      </c>
      <c r="C1304">
        <v>10085</v>
      </c>
      <c r="D1304">
        <v>7.8699998855590803</v>
      </c>
      <c r="E1304">
        <v>7.8699998855590803</v>
      </c>
      <c r="F1304">
        <v>0</v>
      </c>
      <c r="G1304">
        <v>0.15000000596046401</v>
      </c>
      <c r="H1304">
        <v>1.2799999713897701</v>
      </c>
      <c r="I1304">
        <v>6.4299998283386204</v>
      </c>
      <c r="J1304">
        <v>0</v>
      </c>
      <c r="K1304">
        <v>2</v>
      </c>
      <c r="L1304">
        <v>28</v>
      </c>
      <c r="M1304">
        <v>317</v>
      </c>
      <c r="N1304">
        <v>1093</v>
      </c>
      <c r="O1304">
        <v>3164</v>
      </c>
      <c r="P1304" t="str">
        <f>TEXT(tbl_working_daily[[#This Row],[ActivityDate]],"dddd")</f>
        <v>Saturday</v>
      </c>
      <c r="Q1304" t="str">
        <f>TEXT(tbl_working_daily[[#This Row],[ActivityDate]],"mmmm")</f>
        <v>April</v>
      </c>
      <c r="R1304">
        <f t="shared" si="40"/>
        <v>347</v>
      </c>
      <c r="S1304">
        <f t="shared" si="41"/>
        <v>1440</v>
      </c>
      <c r="T1304">
        <f>ROUND(tbl_working_daily[[#This Row],[SedentaryMinutes]]/60,2)</f>
        <v>18.22</v>
      </c>
      <c r="U1304" t="str" cm="1">
        <f t="array" ref="U1304">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04" t="str" cm="1">
        <f t="array" ref="V1304">_xlfn.IFS(tbl_working_daily[[#This Row],[VeryActiveMinutes]]&gt;=30,"Very Active",tbl_working_daily[[#This Row],[VeryActiveMinutes]]&gt;=15,"Moderately Active",tbl_working_daily[[#This Row],[VeryActiveMinutes]]&gt;=1,"Lightly Active",tbl_working_daily[[#This Row],[VeryActiveMinutes]]=0,"Sedentary")</f>
        <v>Lightly Active</v>
      </c>
      <c r="W1304" t="str">
        <f>tbl_working_daily[[#This Row],[Id]]&amp;"|"&amp;TEXT(tbl_working_daily[[#This Row],[ActivityDate]],"yyyy-mm-dd")</f>
        <v>8583815059|2016-04-30</v>
      </c>
      <c r="X1304" t="b">
        <f>ISNUMBER(MATCH(tbl_working_daily[[#This Row],[LookupKey]],tbl_working_sleep[LookupKey],0))</f>
        <v>0</v>
      </c>
    </row>
    <row r="1305" spans="1:24" x14ac:dyDescent="0.3">
      <c r="A1305">
        <v>8583815059</v>
      </c>
      <c r="B1305" s="1">
        <v>42491</v>
      </c>
      <c r="C1305">
        <v>4512</v>
      </c>
      <c r="D1305">
        <v>3.5199999809265101</v>
      </c>
      <c r="E1305">
        <v>3.5199999809265101</v>
      </c>
      <c r="F1305">
        <v>0</v>
      </c>
      <c r="G1305">
        <v>0.77999997138977095</v>
      </c>
      <c r="H1305">
        <v>0.119999997317791</v>
      </c>
      <c r="I1305">
        <v>2.03999996185303</v>
      </c>
      <c r="J1305">
        <v>0</v>
      </c>
      <c r="K1305">
        <v>10</v>
      </c>
      <c r="L1305">
        <v>2</v>
      </c>
      <c r="M1305">
        <v>117</v>
      </c>
      <c r="N1305">
        <v>1311</v>
      </c>
      <c r="O1305">
        <v>2596</v>
      </c>
      <c r="P1305" t="str">
        <f>TEXT(tbl_working_daily[[#This Row],[ActivityDate]],"dddd")</f>
        <v>Sunday</v>
      </c>
      <c r="Q1305" t="str">
        <f>TEXT(tbl_working_daily[[#This Row],[ActivityDate]],"mmmm")</f>
        <v>May</v>
      </c>
      <c r="R1305">
        <f t="shared" si="40"/>
        <v>129</v>
      </c>
      <c r="S1305">
        <f t="shared" si="41"/>
        <v>1440</v>
      </c>
      <c r="T1305">
        <f>ROUND(tbl_working_daily[[#This Row],[SedentaryMinutes]]/60,2)</f>
        <v>21.85</v>
      </c>
      <c r="U1305" t="str" cm="1">
        <f t="array" ref="U130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05" t="str" cm="1">
        <f t="array" ref="V1305">_xlfn.IFS(tbl_working_daily[[#This Row],[VeryActiveMinutes]]&gt;=30,"Very Active",tbl_working_daily[[#This Row],[VeryActiveMinutes]]&gt;=15,"Moderately Active",tbl_working_daily[[#This Row],[VeryActiveMinutes]]&gt;=1,"Lightly Active",tbl_working_daily[[#This Row],[VeryActiveMinutes]]=0,"Sedentary")</f>
        <v>Lightly Active</v>
      </c>
      <c r="W1305" t="str">
        <f>tbl_working_daily[[#This Row],[Id]]&amp;"|"&amp;TEXT(tbl_working_daily[[#This Row],[ActivityDate]],"yyyy-mm-dd")</f>
        <v>8583815059|2016-05-01</v>
      </c>
      <c r="X1305" t="b">
        <f>ISNUMBER(MATCH(tbl_working_daily[[#This Row],[LookupKey]],tbl_working_sleep[LookupKey],0))</f>
        <v>0</v>
      </c>
    </row>
    <row r="1306" spans="1:24" x14ac:dyDescent="0.3">
      <c r="A1306">
        <v>8583815059</v>
      </c>
      <c r="B1306" s="1">
        <v>42492</v>
      </c>
      <c r="C1306">
        <v>8469</v>
      </c>
      <c r="D1306">
        <v>6.6100001335143999</v>
      </c>
      <c r="E1306">
        <v>6.6100001335143999</v>
      </c>
      <c r="F1306">
        <v>0</v>
      </c>
      <c r="G1306">
        <v>0</v>
      </c>
      <c r="H1306">
        <v>0</v>
      </c>
      <c r="I1306">
        <v>0</v>
      </c>
      <c r="J1306">
        <v>0</v>
      </c>
      <c r="K1306">
        <v>0</v>
      </c>
      <c r="L1306">
        <v>0</v>
      </c>
      <c r="M1306">
        <v>0</v>
      </c>
      <c r="N1306">
        <v>1440</v>
      </c>
      <c r="O1306">
        <v>2894</v>
      </c>
      <c r="P1306" t="str">
        <f>TEXT(tbl_working_daily[[#This Row],[ActivityDate]],"dddd")</f>
        <v>Monday</v>
      </c>
      <c r="Q1306" t="str">
        <f>TEXT(tbl_working_daily[[#This Row],[ActivityDate]],"mmmm")</f>
        <v>May</v>
      </c>
      <c r="R1306">
        <f t="shared" si="40"/>
        <v>0</v>
      </c>
      <c r="S1306">
        <f t="shared" si="41"/>
        <v>1440</v>
      </c>
      <c r="T1306">
        <f>ROUND(tbl_working_daily[[#This Row],[SedentaryMinutes]]/60,2)</f>
        <v>24</v>
      </c>
      <c r="U1306" t="str" cm="1">
        <f t="array" ref="U1306">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06" t="str" cm="1">
        <f t="array" ref="V1306">_xlfn.IFS(tbl_working_daily[[#This Row],[VeryActiveMinutes]]&gt;=30,"Very Active",tbl_working_daily[[#This Row],[VeryActiveMinutes]]&gt;=15,"Moderately Active",tbl_working_daily[[#This Row],[VeryActiveMinutes]]&gt;=1,"Lightly Active",tbl_working_daily[[#This Row],[VeryActiveMinutes]]=0,"Sedentary")</f>
        <v>Sedentary</v>
      </c>
      <c r="W1306" t="str">
        <f>tbl_working_daily[[#This Row],[Id]]&amp;"|"&amp;TEXT(tbl_working_daily[[#This Row],[ActivityDate]],"yyyy-mm-dd")</f>
        <v>8583815059|2016-05-02</v>
      </c>
      <c r="X1306" t="b">
        <f>ISNUMBER(MATCH(tbl_working_daily[[#This Row],[LookupKey]],tbl_working_sleep[LookupKey],0))</f>
        <v>0</v>
      </c>
    </row>
    <row r="1307" spans="1:24" x14ac:dyDescent="0.3">
      <c r="A1307">
        <v>8583815059</v>
      </c>
      <c r="B1307" s="1">
        <v>42493</v>
      </c>
      <c r="C1307">
        <v>12015</v>
      </c>
      <c r="D1307">
        <v>9.3699998855590803</v>
      </c>
      <c r="E1307">
        <v>9.3699998855590803</v>
      </c>
      <c r="F1307">
        <v>0</v>
      </c>
      <c r="G1307">
        <v>0</v>
      </c>
      <c r="H1307">
        <v>0</v>
      </c>
      <c r="I1307">
        <v>0</v>
      </c>
      <c r="J1307">
        <v>0</v>
      </c>
      <c r="K1307">
        <v>0</v>
      </c>
      <c r="L1307">
        <v>0</v>
      </c>
      <c r="M1307">
        <v>0</v>
      </c>
      <c r="N1307">
        <v>1440</v>
      </c>
      <c r="O1307">
        <v>3212</v>
      </c>
      <c r="P1307" t="str">
        <f>TEXT(tbl_working_daily[[#This Row],[ActivityDate]],"dddd")</f>
        <v>Tuesday</v>
      </c>
      <c r="Q1307" t="str">
        <f>TEXT(tbl_working_daily[[#This Row],[ActivityDate]],"mmmm")</f>
        <v>May</v>
      </c>
      <c r="R1307">
        <f t="shared" si="40"/>
        <v>0</v>
      </c>
      <c r="S1307">
        <f t="shared" si="41"/>
        <v>1440</v>
      </c>
      <c r="T1307">
        <f>ROUND(tbl_working_daily[[#This Row],[SedentaryMinutes]]/60,2)</f>
        <v>24</v>
      </c>
      <c r="U1307" t="str" cm="1">
        <f t="array" ref="U1307">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07" t="str" cm="1">
        <f t="array" ref="V1307">_xlfn.IFS(tbl_working_daily[[#This Row],[VeryActiveMinutes]]&gt;=30,"Very Active",tbl_working_daily[[#This Row],[VeryActiveMinutes]]&gt;=15,"Moderately Active",tbl_working_daily[[#This Row],[VeryActiveMinutes]]&gt;=1,"Lightly Active",tbl_working_daily[[#This Row],[VeryActiveMinutes]]=0,"Sedentary")</f>
        <v>Sedentary</v>
      </c>
      <c r="W1307" t="str">
        <f>tbl_working_daily[[#This Row],[Id]]&amp;"|"&amp;TEXT(tbl_working_daily[[#This Row],[ActivityDate]],"yyyy-mm-dd")</f>
        <v>8583815059|2016-05-03</v>
      </c>
      <c r="X1307" t="b">
        <f>ISNUMBER(MATCH(tbl_working_daily[[#This Row],[LookupKey]],tbl_working_sleep[LookupKey],0))</f>
        <v>0</v>
      </c>
    </row>
    <row r="1308" spans="1:24" x14ac:dyDescent="0.3">
      <c r="A1308">
        <v>8583815059</v>
      </c>
      <c r="B1308" s="1">
        <v>42494</v>
      </c>
      <c r="C1308">
        <v>3588</v>
      </c>
      <c r="D1308">
        <v>2.7999999523162802</v>
      </c>
      <c r="E1308">
        <v>2.7999999523162802</v>
      </c>
      <c r="F1308">
        <v>0</v>
      </c>
      <c r="G1308">
        <v>0</v>
      </c>
      <c r="H1308">
        <v>0</v>
      </c>
      <c r="I1308">
        <v>0</v>
      </c>
      <c r="J1308">
        <v>0</v>
      </c>
      <c r="K1308">
        <v>0</v>
      </c>
      <c r="L1308">
        <v>0</v>
      </c>
      <c r="M1308">
        <v>0</v>
      </c>
      <c r="N1308">
        <v>1440</v>
      </c>
      <c r="O1308">
        <v>2516</v>
      </c>
      <c r="P1308" t="str">
        <f>TEXT(tbl_working_daily[[#This Row],[ActivityDate]],"dddd")</f>
        <v>Wednesday</v>
      </c>
      <c r="Q1308" t="str">
        <f>TEXT(tbl_working_daily[[#This Row],[ActivityDate]],"mmmm")</f>
        <v>May</v>
      </c>
      <c r="R1308">
        <f t="shared" si="40"/>
        <v>0</v>
      </c>
      <c r="S1308">
        <f t="shared" si="41"/>
        <v>1440</v>
      </c>
      <c r="T1308">
        <f>ROUND(tbl_working_daily[[#This Row],[SedentaryMinutes]]/60,2)</f>
        <v>24</v>
      </c>
      <c r="U1308" t="str" cm="1">
        <f t="array" ref="U130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08" t="str" cm="1">
        <f t="array" ref="V1308">_xlfn.IFS(tbl_working_daily[[#This Row],[VeryActiveMinutes]]&gt;=30,"Very Active",tbl_working_daily[[#This Row],[VeryActiveMinutes]]&gt;=15,"Moderately Active",tbl_working_daily[[#This Row],[VeryActiveMinutes]]&gt;=1,"Lightly Active",tbl_working_daily[[#This Row],[VeryActiveMinutes]]=0,"Sedentary")</f>
        <v>Sedentary</v>
      </c>
      <c r="W1308" t="str">
        <f>tbl_working_daily[[#This Row],[Id]]&amp;"|"&amp;TEXT(tbl_working_daily[[#This Row],[ActivityDate]],"yyyy-mm-dd")</f>
        <v>8583815059|2016-05-04</v>
      </c>
      <c r="X1308" t="b">
        <f>ISNUMBER(MATCH(tbl_working_daily[[#This Row],[LookupKey]],tbl_working_sleep[LookupKey],0))</f>
        <v>0</v>
      </c>
    </row>
    <row r="1309" spans="1:24" x14ac:dyDescent="0.3">
      <c r="A1309">
        <v>8583815059</v>
      </c>
      <c r="B1309" s="1">
        <v>42495</v>
      </c>
      <c r="C1309">
        <v>12427</v>
      </c>
      <c r="D1309">
        <v>9.6899995803833008</v>
      </c>
      <c r="E1309">
        <v>9.6899995803833008</v>
      </c>
      <c r="F1309">
        <v>0</v>
      </c>
      <c r="G1309">
        <v>0</v>
      </c>
      <c r="H1309">
        <v>0</v>
      </c>
      <c r="I1309">
        <v>1.1799999475479099</v>
      </c>
      <c r="J1309">
        <v>0</v>
      </c>
      <c r="K1309">
        <v>0</v>
      </c>
      <c r="L1309">
        <v>0</v>
      </c>
      <c r="M1309">
        <v>70</v>
      </c>
      <c r="N1309">
        <v>1370</v>
      </c>
      <c r="O1309">
        <v>3266</v>
      </c>
      <c r="P1309" t="str">
        <f>TEXT(tbl_working_daily[[#This Row],[ActivityDate]],"dddd")</f>
        <v>Thursday</v>
      </c>
      <c r="Q1309" t="str">
        <f>TEXT(tbl_working_daily[[#This Row],[ActivityDate]],"mmmm")</f>
        <v>May</v>
      </c>
      <c r="R1309">
        <f t="shared" si="40"/>
        <v>70</v>
      </c>
      <c r="S1309">
        <f t="shared" si="41"/>
        <v>1440</v>
      </c>
      <c r="T1309">
        <f>ROUND(tbl_working_daily[[#This Row],[SedentaryMinutes]]/60,2)</f>
        <v>22.83</v>
      </c>
      <c r="U1309" t="str" cm="1">
        <f t="array" ref="U130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09" t="str" cm="1">
        <f t="array" ref="V1309">_xlfn.IFS(tbl_working_daily[[#This Row],[VeryActiveMinutes]]&gt;=30,"Very Active",tbl_working_daily[[#This Row],[VeryActiveMinutes]]&gt;=15,"Moderately Active",tbl_working_daily[[#This Row],[VeryActiveMinutes]]&gt;=1,"Lightly Active",tbl_working_daily[[#This Row],[VeryActiveMinutes]]=0,"Sedentary")</f>
        <v>Sedentary</v>
      </c>
      <c r="W1309" t="str">
        <f>tbl_working_daily[[#This Row],[Id]]&amp;"|"&amp;TEXT(tbl_working_daily[[#This Row],[ActivityDate]],"yyyy-mm-dd")</f>
        <v>8583815059|2016-05-05</v>
      </c>
      <c r="X1309" t="b">
        <f>ISNUMBER(MATCH(tbl_working_daily[[#This Row],[LookupKey]],tbl_working_sleep[LookupKey],0))</f>
        <v>0</v>
      </c>
    </row>
    <row r="1310" spans="1:24" x14ac:dyDescent="0.3">
      <c r="A1310">
        <v>8583815059</v>
      </c>
      <c r="B1310" s="1">
        <v>42496</v>
      </c>
      <c r="C1310">
        <v>5843</v>
      </c>
      <c r="D1310">
        <v>4.5599999427795401</v>
      </c>
      <c r="E1310">
        <v>4.5599999427795401</v>
      </c>
      <c r="F1310">
        <v>0</v>
      </c>
      <c r="G1310">
        <v>0.140000000596046</v>
      </c>
      <c r="H1310">
        <v>1.1900000572204601</v>
      </c>
      <c r="I1310">
        <v>3.2300000190734899</v>
      </c>
      <c r="J1310">
        <v>0</v>
      </c>
      <c r="K1310">
        <v>2</v>
      </c>
      <c r="L1310">
        <v>22</v>
      </c>
      <c r="M1310">
        <v>166</v>
      </c>
      <c r="N1310">
        <v>1250</v>
      </c>
      <c r="O1310">
        <v>2683</v>
      </c>
      <c r="P1310" t="str">
        <f>TEXT(tbl_working_daily[[#This Row],[ActivityDate]],"dddd")</f>
        <v>Friday</v>
      </c>
      <c r="Q1310" t="str">
        <f>TEXT(tbl_working_daily[[#This Row],[ActivityDate]],"mmmm")</f>
        <v>May</v>
      </c>
      <c r="R1310">
        <f t="shared" si="40"/>
        <v>190</v>
      </c>
      <c r="S1310">
        <f t="shared" si="41"/>
        <v>1440</v>
      </c>
      <c r="T1310">
        <f>ROUND(tbl_working_daily[[#This Row],[SedentaryMinutes]]/60,2)</f>
        <v>20.83</v>
      </c>
      <c r="U1310" t="str" cm="1">
        <f t="array" ref="U1310">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10" t="str" cm="1">
        <f t="array" ref="V1310">_xlfn.IFS(tbl_working_daily[[#This Row],[VeryActiveMinutes]]&gt;=30,"Very Active",tbl_working_daily[[#This Row],[VeryActiveMinutes]]&gt;=15,"Moderately Active",tbl_working_daily[[#This Row],[VeryActiveMinutes]]&gt;=1,"Lightly Active",tbl_working_daily[[#This Row],[VeryActiveMinutes]]=0,"Sedentary")</f>
        <v>Lightly Active</v>
      </c>
      <c r="W1310" t="str">
        <f>tbl_working_daily[[#This Row],[Id]]&amp;"|"&amp;TEXT(tbl_working_daily[[#This Row],[ActivityDate]],"yyyy-mm-dd")</f>
        <v>8583815059|2016-05-06</v>
      </c>
      <c r="X1310" t="b">
        <f>ISNUMBER(MATCH(tbl_working_daily[[#This Row],[LookupKey]],tbl_working_sleep[LookupKey],0))</f>
        <v>0</v>
      </c>
    </row>
    <row r="1311" spans="1:24" x14ac:dyDescent="0.3">
      <c r="A1311">
        <v>8583815059</v>
      </c>
      <c r="B1311" s="1">
        <v>42497</v>
      </c>
      <c r="C1311">
        <v>6117</v>
      </c>
      <c r="D1311">
        <v>4.7699999809265101</v>
      </c>
      <c r="E1311">
        <v>4.7699999809265101</v>
      </c>
      <c r="F1311">
        <v>0</v>
      </c>
      <c r="G1311">
        <v>0</v>
      </c>
      <c r="H1311">
        <v>0</v>
      </c>
      <c r="I1311">
        <v>4.7699999809265101</v>
      </c>
      <c r="J1311">
        <v>0</v>
      </c>
      <c r="K1311">
        <v>0</v>
      </c>
      <c r="L1311">
        <v>0</v>
      </c>
      <c r="M1311">
        <v>250</v>
      </c>
      <c r="N1311">
        <v>1190</v>
      </c>
      <c r="O1311">
        <v>2810</v>
      </c>
      <c r="P1311" t="str">
        <f>TEXT(tbl_working_daily[[#This Row],[ActivityDate]],"dddd")</f>
        <v>Saturday</v>
      </c>
      <c r="Q1311" t="str">
        <f>TEXT(tbl_working_daily[[#This Row],[ActivityDate]],"mmmm")</f>
        <v>May</v>
      </c>
      <c r="R1311">
        <f t="shared" si="40"/>
        <v>250</v>
      </c>
      <c r="S1311">
        <f t="shared" si="41"/>
        <v>1440</v>
      </c>
      <c r="T1311">
        <f>ROUND(tbl_working_daily[[#This Row],[SedentaryMinutes]]/60,2)</f>
        <v>19.829999999999998</v>
      </c>
      <c r="U1311" t="str" cm="1">
        <f t="array" ref="U1311">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11" t="str" cm="1">
        <f t="array" ref="V1311">_xlfn.IFS(tbl_working_daily[[#This Row],[VeryActiveMinutes]]&gt;=30,"Very Active",tbl_working_daily[[#This Row],[VeryActiveMinutes]]&gt;=15,"Moderately Active",tbl_working_daily[[#This Row],[VeryActiveMinutes]]&gt;=1,"Lightly Active",tbl_working_daily[[#This Row],[VeryActiveMinutes]]=0,"Sedentary")</f>
        <v>Sedentary</v>
      </c>
      <c r="W1311" t="str">
        <f>tbl_working_daily[[#This Row],[Id]]&amp;"|"&amp;TEXT(tbl_working_daily[[#This Row],[ActivityDate]],"yyyy-mm-dd")</f>
        <v>8583815059|2016-05-07</v>
      </c>
      <c r="X1311" t="b">
        <f>ISNUMBER(MATCH(tbl_working_daily[[#This Row],[LookupKey]],tbl_working_sleep[LookupKey],0))</f>
        <v>0</v>
      </c>
    </row>
    <row r="1312" spans="1:24" x14ac:dyDescent="0.3">
      <c r="A1312">
        <v>8583815059</v>
      </c>
      <c r="B1312" s="1">
        <v>42498</v>
      </c>
      <c r="C1312">
        <v>9217</v>
      </c>
      <c r="D1312">
        <v>7.1900000572204599</v>
      </c>
      <c r="E1312">
        <v>7.1900000572204599</v>
      </c>
      <c r="F1312">
        <v>0</v>
      </c>
      <c r="G1312">
        <v>0.21999999880790699</v>
      </c>
      <c r="H1312">
        <v>3.3099999427795401</v>
      </c>
      <c r="I1312">
        <v>3.6600000858306898</v>
      </c>
      <c r="J1312">
        <v>0</v>
      </c>
      <c r="K1312">
        <v>3</v>
      </c>
      <c r="L1312">
        <v>72</v>
      </c>
      <c r="M1312">
        <v>182</v>
      </c>
      <c r="N1312">
        <v>1183</v>
      </c>
      <c r="O1312">
        <v>2940</v>
      </c>
      <c r="P1312" t="str">
        <f>TEXT(tbl_working_daily[[#This Row],[ActivityDate]],"dddd")</f>
        <v>Sunday</v>
      </c>
      <c r="Q1312" t="str">
        <f>TEXT(tbl_working_daily[[#This Row],[ActivityDate]],"mmmm")</f>
        <v>May</v>
      </c>
      <c r="R1312">
        <f t="shared" si="40"/>
        <v>257</v>
      </c>
      <c r="S1312">
        <f t="shared" si="41"/>
        <v>1440</v>
      </c>
      <c r="T1312">
        <f>ROUND(tbl_working_daily[[#This Row],[SedentaryMinutes]]/60,2)</f>
        <v>19.72</v>
      </c>
      <c r="U1312" t="str" cm="1">
        <f t="array" ref="U1312">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12" t="str" cm="1">
        <f t="array" ref="V1312">_xlfn.IFS(tbl_working_daily[[#This Row],[VeryActiveMinutes]]&gt;=30,"Very Active",tbl_working_daily[[#This Row],[VeryActiveMinutes]]&gt;=15,"Moderately Active",tbl_working_daily[[#This Row],[VeryActiveMinutes]]&gt;=1,"Lightly Active",tbl_working_daily[[#This Row],[VeryActiveMinutes]]=0,"Sedentary")</f>
        <v>Lightly Active</v>
      </c>
      <c r="W1312" t="str">
        <f>tbl_working_daily[[#This Row],[Id]]&amp;"|"&amp;TEXT(tbl_working_daily[[#This Row],[ActivityDate]],"yyyy-mm-dd")</f>
        <v>8583815059|2016-05-08</v>
      </c>
      <c r="X1312" t="b">
        <f>ISNUMBER(MATCH(tbl_working_daily[[#This Row],[LookupKey]],tbl_working_sleep[LookupKey],0))</f>
        <v>0</v>
      </c>
    </row>
    <row r="1313" spans="1:24" x14ac:dyDescent="0.3">
      <c r="A1313">
        <v>8583815059</v>
      </c>
      <c r="B1313" s="1">
        <v>42499</v>
      </c>
      <c r="C1313">
        <v>9877</v>
      </c>
      <c r="D1313">
        <v>7.6999998092651403</v>
      </c>
      <c r="E1313">
        <v>7.6999998092651403</v>
      </c>
      <c r="F1313">
        <v>0</v>
      </c>
      <c r="G1313">
        <v>5.7600002288818404</v>
      </c>
      <c r="H1313">
        <v>0.17000000178813901</v>
      </c>
      <c r="I1313">
        <v>1.7300000190734901</v>
      </c>
      <c r="J1313">
        <v>0</v>
      </c>
      <c r="K1313">
        <v>66</v>
      </c>
      <c r="L1313">
        <v>4</v>
      </c>
      <c r="M1313">
        <v>110</v>
      </c>
      <c r="N1313">
        <v>1260</v>
      </c>
      <c r="O1313">
        <v>2947</v>
      </c>
      <c r="P1313" t="str">
        <f>TEXT(tbl_working_daily[[#This Row],[ActivityDate]],"dddd")</f>
        <v>Monday</v>
      </c>
      <c r="Q1313" t="str">
        <f>TEXT(tbl_working_daily[[#This Row],[ActivityDate]],"mmmm")</f>
        <v>May</v>
      </c>
      <c r="R1313">
        <f t="shared" si="40"/>
        <v>180</v>
      </c>
      <c r="S1313">
        <f t="shared" si="41"/>
        <v>1440</v>
      </c>
      <c r="T1313">
        <f>ROUND(tbl_working_daily[[#This Row],[SedentaryMinutes]]/60,2)</f>
        <v>21</v>
      </c>
      <c r="U1313" t="str" cm="1">
        <f t="array" ref="U131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13" t="str" cm="1">
        <f t="array" ref="V1313">_xlfn.IFS(tbl_working_daily[[#This Row],[VeryActiveMinutes]]&gt;=30,"Very Active",tbl_working_daily[[#This Row],[VeryActiveMinutes]]&gt;=15,"Moderately Active",tbl_working_daily[[#This Row],[VeryActiveMinutes]]&gt;=1,"Lightly Active",tbl_working_daily[[#This Row],[VeryActiveMinutes]]=0,"Sedentary")</f>
        <v>Very Active</v>
      </c>
      <c r="W1313" t="str">
        <f>tbl_working_daily[[#This Row],[Id]]&amp;"|"&amp;TEXT(tbl_working_daily[[#This Row],[ActivityDate]],"yyyy-mm-dd")</f>
        <v>8583815059|2016-05-09</v>
      </c>
      <c r="X1313" t="b">
        <f>ISNUMBER(MATCH(tbl_working_daily[[#This Row],[LookupKey]],tbl_working_sleep[LookupKey],0))</f>
        <v>0</v>
      </c>
    </row>
    <row r="1314" spans="1:24" x14ac:dyDescent="0.3">
      <c r="A1314">
        <v>8583815059</v>
      </c>
      <c r="B1314" s="1">
        <v>42500</v>
      </c>
      <c r="C1314">
        <v>8240</v>
      </c>
      <c r="D1314">
        <v>6.4299998283386204</v>
      </c>
      <c r="E1314">
        <v>6.4299998283386204</v>
      </c>
      <c r="F1314">
        <v>0</v>
      </c>
      <c r="G1314">
        <v>0.68999999761581399</v>
      </c>
      <c r="H1314">
        <v>2.0099999904632599</v>
      </c>
      <c r="I1314">
        <v>3.7200000286102299</v>
      </c>
      <c r="J1314">
        <v>0</v>
      </c>
      <c r="K1314">
        <v>9</v>
      </c>
      <c r="L1314">
        <v>43</v>
      </c>
      <c r="M1314">
        <v>162</v>
      </c>
      <c r="N1314">
        <v>1226</v>
      </c>
      <c r="O1314">
        <v>2846</v>
      </c>
      <c r="P1314" t="str">
        <f>TEXT(tbl_working_daily[[#This Row],[ActivityDate]],"dddd")</f>
        <v>Tuesday</v>
      </c>
      <c r="Q1314" t="str">
        <f>TEXT(tbl_working_daily[[#This Row],[ActivityDate]],"mmmm")</f>
        <v>May</v>
      </c>
      <c r="R1314">
        <f t="shared" si="40"/>
        <v>214</v>
      </c>
      <c r="S1314">
        <f t="shared" si="41"/>
        <v>1440</v>
      </c>
      <c r="T1314">
        <f>ROUND(tbl_working_daily[[#This Row],[SedentaryMinutes]]/60,2)</f>
        <v>20.43</v>
      </c>
      <c r="U1314" t="str" cm="1">
        <f t="array" ref="U131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14" t="str" cm="1">
        <f t="array" ref="V1314">_xlfn.IFS(tbl_working_daily[[#This Row],[VeryActiveMinutes]]&gt;=30,"Very Active",tbl_working_daily[[#This Row],[VeryActiveMinutes]]&gt;=15,"Moderately Active",tbl_working_daily[[#This Row],[VeryActiveMinutes]]&gt;=1,"Lightly Active",tbl_working_daily[[#This Row],[VeryActiveMinutes]]=0,"Sedentary")</f>
        <v>Lightly Active</v>
      </c>
      <c r="W1314" t="str">
        <f>tbl_working_daily[[#This Row],[Id]]&amp;"|"&amp;TEXT(tbl_working_daily[[#This Row],[ActivityDate]],"yyyy-mm-dd")</f>
        <v>8583815059|2016-05-10</v>
      </c>
      <c r="X1314" t="b">
        <f>ISNUMBER(MATCH(tbl_working_daily[[#This Row],[LookupKey]],tbl_working_sleep[LookupKey],0))</f>
        <v>0</v>
      </c>
    </row>
    <row r="1315" spans="1:24" x14ac:dyDescent="0.3">
      <c r="A1315">
        <v>8583815059</v>
      </c>
      <c r="B1315" s="1">
        <v>42501</v>
      </c>
      <c r="C1315">
        <v>8701</v>
      </c>
      <c r="D1315">
        <v>6.78999996185303</v>
      </c>
      <c r="E1315">
        <v>6.78999996185303</v>
      </c>
      <c r="F1315">
        <v>0</v>
      </c>
      <c r="G1315">
        <v>0.37000000476837203</v>
      </c>
      <c r="H1315">
        <v>3.2400000095367401</v>
      </c>
      <c r="I1315">
        <v>3.1700000762939502</v>
      </c>
      <c r="J1315">
        <v>0</v>
      </c>
      <c r="K1315">
        <v>5</v>
      </c>
      <c r="L1315">
        <v>71</v>
      </c>
      <c r="M1315">
        <v>177</v>
      </c>
      <c r="N1315">
        <v>1106</v>
      </c>
      <c r="O1315">
        <v>2804</v>
      </c>
      <c r="P1315" t="str">
        <f>TEXT(tbl_working_daily[[#This Row],[ActivityDate]],"dddd")</f>
        <v>Wednesday</v>
      </c>
      <c r="Q1315" t="str">
        <f>TEXT(tbl_working_daily[[#This Row],[ActivityDate]],"mmmm")</f>
        <v>May</v>
      </c>
      <c r="R1315">
        <f t="shared" si="40"/>
        <v>253</v>
      </c>
      <c r="S1315">
        <f t="shared" si="41"/>
        <v>1359</v>
      </c>
      <c r="T1315">
        <f>ROUND(tbl_working_daily[[#This Row],[SedentaryMinutes]]/60,2)</f>
        <v>18.43</v>
      </c>
      <c r="U1315" t="str" cm="1">
        <f t="array" ref="U1315">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15" t="str" cm="1">
        <f t="array" ref="V1315">_xlfn.IFS(tbl_working_daily[[#This Row],[VeryActiveMinutes]]&gt;=30,"Very Active",tbl_working_daily[[#This Row],[VeryActiveMinutes]]&gt;=15,"Moderately Active",tbl_working_daily[[#This Row],[VeryActiveMinutes]]&gt;=1,"Lightly Active",tbl_working_daily[[#This Row],[VeryActiveMinutes]]=0,"Sedentary")</f>
        <v>Lightly Active</v>
      </c>
      <c r="W1315" t="str">
        <f>tbl_working_daily[[#This Row],[Id]]&amp;"|"&amp;TEXT(tbl_working_daily[[#This Row],[ActivityDate]],"yyyy-mm-dd")</f>
        <v>8583815059|2016-05-11</v>
      </c>
      <c r="X1315" t="b">
        <f>ISNUMBER(MATCH(tbl_working_daily[[#This Row],[LookupKey]],tbl_working_sleep[LookupKey],0))</f>
        <v>0</v>
      </c>
    </row>
    <row r="1316" spans="1:24" x14ac:dyDescent="0.3">
      <c r="A1316">
        <v>8583815059</v>
      </c>
      <c r="B1316" s="1">
        <v>42502</v>
      </c>
      <c r="C1316">
        <v>0</v>
      </c>
      <c r="D1316">
        <v>0</v>
      </c>
      <c r="E1316">
        <v>0</v>
      </c>
      <c r="F1316">
        <v>0</v>
      </c>
      <c r="G1316">
        <v>0</v>
      </c>
      <c r="H1316">
        <v>0</v>
      </c>
      <c r="I1316">
        <v>0</v>
      </c>
      <c r="J1316">
        <v>0</v>
      </c>
      <c r="K1316">
        <v>0</v>
      </c>
      <c r="L1316">
        <v>0</v>
      </c>
      <c r="M1316">
        <v>0</v>
      </c>
      <c r="N1316">
        <v>1440</v>
      </c>
      <c r="O1316">
        <v>0</v>
      </c>
      <c r="P1316" t="str">
        <f>TEXT(tbl_working_daily[[#This Row],[ActivityDate]],"dddd")</f>
        <v>Thursday</v>
      </c>
      <c r="Q1316" t="str">
        <f>TEXT(tbl_working_daily[[#This Row],[ActivityDate]],"mmmm")</f>
        <v>May</v>
      </c>
      <c r="R1316">
        <f t="shared" si="40"/>
        <v>0</v>
      </c>
      <c r="S1316">
        <f t="shared" si="41"/>
        <v>1440</v>
      </c>
      <c r="T1316">
        <f>ROUND(tbl_working_daily[[#This Row],[SedentaryMinutes]]/60,2)</f>
        <v>24</v>
      </c>
      <c r="U1316" t="str" cm="1">
        <f t="array" ref="U131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16" t="str" cm="1">
        <f t="array" ref="V1316">_xlfn.IFS(tbl_working_daily[[#This Row],[VeryActiveMinutes]]&gt;=30,"Very Active",tbl_working_daily[[#This Row],[VeryActiveMinutes]]&gt;=15,"Moderately Active",tbl_working_daily[[#This Row],[VeryActiveMinutes]]&gt;=1,"Lightly Active",tbl_working_daily[[#This Row],[VeryActiveMinutes]]=0,"Sedentary")</f>
        <v>Sedentary</v>
      </c>
      <c r="W1316" t="str">
        <f>tbl_working_daily[[#This Row],[Id]]&amp;"|"&amp;TEXT(tbl_working_daily[[#This Row],[ActivityDate]],"yyyy-mm-dd")</f>
        <v>8583815059|2016-05-12</v>
      </c>
      <c r="X1316" t="b">
        <f>ISNUMBER(MATCH(tbl_working_daily[[#This Row],[LookupKey]],tbl_working_sleep[LookupKey],0))</f>
        <v>0</v>
      </c>
    </row>
    <row r="1317" spans="1:24" x14ac:dyDescent="0.3">
      <c r="A1317">
        <v>8792009665</v>
      </c>
      <c r="B1317" s="1">
        <v>42473</v>
      </c>
      <c r="C1317">
        <v>1320</v>
      </c>
      <c r="D1317">
        <v>0.83999997377395597</v>
      </c>
      <c r="E1317">
        <v>0.83999997377395597</v>
      </c>
      <c r="F1317">
        <v>0</v>
      </c>
      <c r="G1317">
        <v>0</v>
      </c>
      <c r="H1317">
        <v>0</v>
      </c>
      <c r="I1317">
        <v>0.83999997377395597</v>
      </c>
      <c r="J1317">
        <v>0</v>
      </c>
      <c r="K1317">
        <v>0</v>
      </c>
      <c r="L1317">
        <v>0</v>
      </c>
      <c r="M1317">
        <v>82</v>
      </c>
      <c r="N1317">
        <v>806</v>
      </c>
      <c r="O1317">
        <v>1934</v>
      </c>
      <c r="P1317" t="str">
        <f>TEXT(tbl_working_daily[[#This Row],[ActivityDate]],"dddd")</f>
        <v>Wednesday</v>
      </c>
      <c r="Q1317" t="str">
        <f>TEXT(tbl_working_daily[[#This Row],[ActivityDate]],"mmmm")</f>
        <v>April</v>
      </c>
      <c r="R1317">
        <f t="shared" si="40"/>
        <v>82</v>
      </c>
      <c r="S1317">
        <f t="shared" si="41"/>
        <v>888</v>
      </c>
      <c r="T1317">
        <f>ROUND(tbl_working_daily[[#This Row],[SedentaryMinutes]]/60,2)</f>
        <v>13.43</v>
      </c>
      <c r="U1317" t="str" cm="1">
        <f t="array" ref="U131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17" t="str" cm="1">
        <f t="array" ref="V1317">_xlfn.IFS(tbl_working_daily[[#This Row],[VeryActiveMinutes]]&gt;=30,"Very Active",tbl_working_daily[[#This Row],[VeryActiveMinutes]]&gt;=15,"Moderately Active",tbl_working_daily[[#This Row],[VeryActiveMinutes]]&gt;=1,"Lightly Active",tbl_working_daily[[#This Row],[VeryActiveMinutes]]=0,"Sedentary")</f>
        <v>Sedentary</v>
      </c>
      <c r="W1317" t="str">
        <f>tbl_working_daily[[#This Row],[Id]]&amp;"|"&amp;TEXT(tbl_working_daily[[#This Row],[ActivityDate]],"yyyy-mm-dd")</f>
        <v>8792009665|2016-04-13</v>
      </c>
      <c r="X1317" t="b">
        <f>ISNUMBER(MATCH(tbl_working_daily[[#This Row],[LookupKey]],tbl_working_sleep[LookupKey],0))</f>
        <v>1</v>
      </c>
    </row>
    <row r="1318" spans="1:24" x14ac:dyDescent="0.3">
      <c r="A1318">
        <v>8792009665</v>
      </c>
      <c r="B1318" s="1">
        <v>42474</v>
      </c>
      <c r="C1318">
        <v>1219</v>
      </c>
      <c r="D1318">
        <v>0.77999997138977095</v>
      </c>
      <c r="E1318">
        <v>0.77999997138977095</v>
      </c>
      <c r="F1318">
        <v>0</v>
      </c>
      <c r="G1318">
        <v>0</v>
      </c>
      <c r="H1318">
        <v>0</v>
      </c>
      <c r="I1318">
        <v>0.77999997138977095</v>
      </c>
      <c r="J1318">
        <v>0</v>
      </c>
      <c r="K1318">
        <v>0</v>
      </c>
      <c r="L1318">
        <v>0</v>
      </c>
      <c r="M1318">
        <v>84</v>
      </c>
      <c r="N1318">
        <v>853</v>
      </c>
      <c r="O1318">
        <v>1963</v>
      </c>
      <c r="P1318" t="str">
        <f>TEXT(tbl_working_daily[[#This Row],[ActivityDate]],"dddd")</f>
        <v>Thursday</v>
      </c>
      <c r="Q1318" t="str">
        <f>TEXT(tbl_working_daily[[#This Row],[ActivityDate]],"mmmm")</f>
        <v>April</v>
      </c>
      <c r="R1318">
        <f t="shared" si="40"/>
        <v>84</v>
      </c>
      <c r="S1318">
        <f t="shared" si="41"/>
        <v>937</v>
      </c>
      <c r="T1318">
        <f>ROUND(tbl_working_daily[[#This Row],[SedentaryMinutes]]/60,2)</f>
        <v>14.22</v>
      </c>
      <c r="U1318" t="str" cm="1">
        <f t="array" ref="U131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18" t="str" cm="1">
        <f t="array" ref="V1318">_xlfn.IFS(tbl_working_daily[[#This Row],[VeryActiveMinutes]]&gt;=30,"Very Active",tbl_working_daily[[#This Row],[VeryActiveMinutes]]&gt;=15,"Moderately Active",tbl_working_daily[[#This Row],[VeryActiveMinutes]]&gt;=1,"Lightly Active",tbl_working_daily[[#This Row],[VeryActiveMinutes]]=0,"Sedentary")</f>
        <v>Sedentary</v>
      </c>
      <c r="W1318" t="str">
        <f>tbl_working_daily[[#This Row],[Id]]&amp;"|"&amp;TEXT(tbl_working_daily[[#This Row],[ActivityDate]],"yyyy-mm-dd")</f>
        <v>8792009665|2016-04-14</v>
      </c>
      <c r="X1318" t="b">
        <f>ISNUMBER(MATCH(tbl_working_daily[[#This Row],[LookupKey]],tbl_working_sleep[LookupKey],0))</f>
        <v>1</v>
      </c>
    </row>
    <row r="1319" spans="1:24" x14ac:dyDescent="0.3">
      <c r="A1319">
        <v>8792009665</v>
      </c>
      <c r="B1319" s="1">
        <v>42475</v>
      </c>
      <c r="C1319">
        <v>2483</v>
      </c>
      <c r="D1319">
        <v>1.5900000333786</v>
      </c>
      <c r="E1319">
        <v>1.5900000333786</v>
      </c>
      <c r="F1319">
        <v>0</v>
      </c>
      <c r="G1319">
        <v>0</v>
      </c>
      <c r="H1319">
        <v>0</v>
      </c>
      <c r="I1319">
        <v>1.5900000333786</v>
      </c>
      <c r="J1319">
        <v>0</v>
      </c>
      <c r="K1319">
        <v>0</v>
      </c>
      <c r="L1319">
        <v>0</v>
      </c>
      <c r="M1319">
        <v>126</v>
      </c>
      <c r="N1319">
        <v>937</v>
      </c>
      <c r="O1319">
        <v>2009</v>
      </c>
      <c r="P1319" t="str">
        <f>TEXT(tbl_working_daily[[#This Row],[ActivityDate]],"dddd")</f>
        <v>Friday</v>
      </c>
      <c r="Q1319" t="str">
        <f>TEXT(tbl_working_daily[[#This Row],[ActivityDate]],"mmmm")</f>
        <v>April</v>
      </c>
      <c r="R1319">
        <f t="shared" si="40"/>
        <v>126</v>
      </c>
      <c r="S1319">
        <f t="shared" si="41"/>
        <v>1063</v>
      </c>
      <c r="T1319">
        <f>ROUND(tbl_working_daily[[#This Row],[SedentaryMinutes]]/60,2)</f>
        <v>15.62</v>
      </c>
      <c r="U1319" t="str" cm="1">
        <f t="array" ref="U131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19" t="str" cm="1">
        <f t="array" ref="V1319">_xlfn.IFS(tbl_working_daily[[#This Row],[VeryActiveMinutes]]&gt;=30,"Very Active",tbl_working_daily[[#This Row],[VeryActiveMinutes]]&gt;=15,"Moderately Active",tbl_working_daily[[#This Row],[VeryActiveMinutes]]&gt;=1,"Lightly Active",tbl_working_daily[[#This Row],[VeryActiveMinutes]]=0,"Sedentary")</f>
        <v>Sedentary</v>
      </c>
      <c r="W1319" t="str">
        <f>tbl_working_daily[[#This Row],[Id]]&amp;"|"&amp;TEXT(tbl_working_daily[[#This Row],[ActivityDate]],"yyyy-mm-dd")</f>
        <v>8792009665|2016-04-15</v>
      </c>
      <c r="X1319" t="b">
        <f>ISNUMBER(MATCH(tbl_working_daily[[#This Row],[LookupKey]],tbl_working_sleep[LookupKey],0))</f>
        <v>1</v>
      </c>
    </row>
    <row r="1320" spans="1:24" x14ac:dyDescent="0.3">
      <c r="A1320">
        <v>8792009665</v>
      </c>
      <c r="B1320" s="1">
        <v>42476</v>
      </c>
      <c r="C1320">
        <v>244</v>
      </c>
      <c r="D1320">
        <v>0.15999999642372101</v>
      </c>
      <c r="E1320">
        <v>0.15999999642372101</v>
      </c>
      <c r="F1320">
        <v>0</v>
      </c>
      <c r="G1320">
        <v>0</v>
      </c>
      <c r="H1320">
        <v>0</v>
      </c>
      <c r="I1320">
        <v>0.15999999642372101</v>
      </c>
      <c r="J1320">
        <v>0</v>
      </c>
      <c r="K1320">
        <v>0</v>
      </c>
      <c r="L1320">
        <v>0</v>
      </c>
      <c r="M1320">
        <v>12</v>
      </c>
      <c r="N1320">
        <v>1428</v>
      </c>
      <c r="O1320">
        <v>1721</v>
      </c>
      <c r="P1320" t="str">
        <f>TEXT(tbl_working_daily[[#This Row],[ActivityDate]],"dddd")</f>
        <v>Saturday</v>
      </c>
      <c r="Q1320" t="str">
        <f>TEXT(tbl_working_daily[[#This Row],[ActivityDate]],"mmmm")</f>
        <v>April</v>
      </c>
      <c r="R1320">
        <f t="shared" si="40"/>
        <v>12</v>
      </c>
      <c r="S1320">
        <f t="shared" si="41"/>
        <v>1440</v>
      </c>
      <c r="T1320">
        <f>ROUND(tbl_working_daily[[#This Row],[SedentaryMinutes]]/60,2)</f>
        <v>23.8</v>
      </c>
      <c r="U1320" t="str" cm="1">
        <f t="array" ref="U132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0" t="str" cm="1">
        <f t="array" ref="V1320">_xlfn.IFS(tbl_working_daily[[#This Row],[VeryActiveMinutes]]&gt;=30,"Very Active",tbl_working_daily[[#This Row],[VeryActiveMinutes]]&gt;=15,"Moderately Active",tbl_working_daily[[#This Row],[VeryActiveMinutes]]&gt;=1,"Lightly Active",tbl_working_daily[[#This Row],[VeryActiveMinutes]]=0,"Sedentary")</f>
        <v>Sedentary</v>
      </c>
      <c r="W1320" t="str">
        <f>tbl_working_daily[[#This Row],[Id]]&amp;"|"&amp;TEXT(tbl_working_daily[[#This Row],[ActivityDate]],"yyyy-mm-dd")</f>
        <v>8792009665|2016-04-16</v>
      </c>
      <c r="X1320" t="b">
        <f>ISNUMBER(MATCH(tbl_working_daily[[#This Row],[LookupKey]],tbl_working_sleep[LookupKey],0))</f>
        <v>0</v>
      </c>
    </row>
    <row r="1321" spans="1:24" x14ac:dyDescent="0.3">
      <c r="A1321">
        <v>8792009665</v>
      </c>
      <c r="B1321" s="1">
        <v>42477</v>
      </c>
      <c r="C1321">
        <v>0</v>
      </c>
      <c r="D1321">
        <v>0</v>
      </c>
      <c r="E1321">
        <v>0</v>
      </c>
      <c r="F1321">
        <v>0</v>
      </c>
      <c r="G1321">
        <v>0</v>
      </c>
      <c r="H1321">
        <v>0</v>
      </c>
      <c r="I1321">
        <v>0</v>
      </c>
      <c r="J1321">
        <v>0</v>
      </c>
      <c r="K1321">
        <v>0</v>
      </c>
      <c r="L1321">
        <v>0</v>
      </c>
      <c r="M1321">
        <v>0</v>
      </c>
      <c r="N1321">
        <v>1440</v>
      </c>
      <c r="O1321">
        <v>1688</v>
      </c>
      <c r="P1321" t="str">
        <f>TEXT(tbl_working_daily[[#This Row],[ActivityDate]],"dddd")</f>
        <v>Sunday</v>
      </c>
      <c r="Q1321" t="str">
        <f>TEXT(tbl_working_daily[[#This Row],[ActivityDate]],"mmmm")</f>
        <v>April</v>
      </c>
      <c r="R1321">
        <f t="shared" si="40"/>
        <v>0</v>
      </c>
      <c r="S1321">
        <f t="shared" si="41"/>
        <v>1440</v>
      </c>
      <c r="T1321">
        <f>ROUND(tbl_working_daily[[#This Row],[SedentaryMinutes]]/60,2)</f>
        <v>24</v>
      </c>
      <c r="U1321" t="str" cm="1">
        <f t="array" ref="U132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1" t="str" cm="1">
        <f t="array" ref="V1321">_xlfn.IFS(tbl_working_daily[[#This Row],[VeryActiveMinutes]]&gt;=30,"Very Active",tbl_working_daily[[#This Row],[VeryActiveMinutes]]&gt;=15,"Moderately Active",tbl_working_daily[[#This Row],[VeryActiveMinutes]]&gt;=1,"Lightly Active",tbl_working_daily[[#This Row],[VeryActiveMinutes]]=0,"Sedentary")</f>
        <v>Sedentary</v>
      </c>
      <c r="W1321" t="str">
        <f>tbl_working_daily[[#This Row],[Id]]&amp;"|"&amp;TEXT(tbl_working_daily[[#This Row],[ActivityDate]],"yyyy-mm-dd")</f>
        <v>8792009665|2016-04-17</v>
      </c>
      <c r="X1321" t="b">
        <f>ISNUMBER(MATCH(tbl_working_daily[[#This Row],[LookupKey]],tbl_working_sleep[LookupKey],0))</f>
        <v>0</v>
      </c>
    </row>
    <row r="1322" spans="1:24" x14ac:dyDescent="0.3">
      <c r="A1322">
        <v>8792009665</v>
      </c>
      <c r="B1322" s="1">
        <v>42478</v>
      </c>
      <c r="C1322">
        <v>0</v>
      </c>
      <c r="D1322">
        <v>0</v>
      </c>
      <c r="E1322">
        <v>0</v>
      </c>
      <c r="F1322">
        <v>0</v>
      </c>
      <c r="G1322">
        <v>0</v>
      </c>
      <c r="H1322">
        <v>0</v>
      </c>
      <c r="I1322">
        <v>0</v>
      </c>
      <c r="J1322">
        <v>0</v>
      </c>
      <c r="K1322">
        <v>0</v>
      </c>
      <c r="L1322">
        <v>0</v>
      </c>
      <c r="M1322">
        <v>0</v>
      </c>
      <c r="N1322">
        <v>1440</v>
      </c>
      <c r="O1322">
        <v>1688</v>
      </c>
      <c r="P1322" t="str">
        <f>TEXT(tbl_working_daily[[#This Row],[ActivityDate]],"dddd")</f>
        <v>Monday</v>
      </c>
      <c r="Q1322" t="str">
        <f>TEXT(tbl_working_daily[[#This Row],[ActivityDate]],"mmmm")</f>
        <v>April</v>
      </c>
      <c r="R1322">
        <f t="shared" si="40"/>
        <v>0</v>
      </c>
      <c r="S1322">
        <f t="shared" si="41"/>
        <v>1440</v>
      </c>
      <c r="T1322">
        <f>ROUND(tbl_working_daily[[#This Row],[SedentaryMinutes]]/60,2)</f>
        <v>24</v>
      </c>
      <c r="U1322" t="str" cm="1">
        <f t="array" ref="U132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2" t="str" cm="1">
        <f t="array" ref="V1322">_xlfn.IFS(tbl_working_daily[[#This Row],[VeryActiveMinutes]]&gt;=30,"Very Active",tbl_working_daily[[#This Row],[VeryActiveMinutes]]&gt;=15,"Moderately Active",tbl_working_daily[[#This Row],[VeryActiveMinutes]]&gt;=1,"Lightly Active",tbl_working_daily[[#This Row],[VeryActiveMinutes]]=0,"Sedentary")</f>
        <v>Sedentary</v>
      </c>
      <c r="W1322" t="str">
        <f>tbl_working_daily[[#This Row],[Id]]&amp;"|"&amp;TEXT(tbl_working_daily[[#This Row],[ActivityDate]],"yyyy-mm-dd")</f>
        <v>8792009665|2016-04-18</v>
      </c>
      <c r="X1322" t="b">
        <f>ISNUMBER(MATCH(tbl_working_daily[[#This Row],[LookupKey]],tbl_working_sleep[LookupKey],0))</f>
        <v>0</v>
      </c>
    </row>
    <row r="1323" spans="1:24" x14ac:dyDescent="0.3">
      <c r="A1323">
        <v>8792009665</v>
      </c>
      <c r="B1323" s="1">
        <v>42479</v>
      </c>
      <c r="C1323">
        <v>0</v>
      </c>
      <c r="D1323">
        <v>0</v>
      </c>
      <c r="E1323">
        <v>0</v>
      </c>
      <c r="F1323">
        <v>0</v>
      </c>
      <c r="G1323">
        <v>0</v>
      </c>
      <c r="H1323">
        <v>0</v>
      </c>
      <c r="I1323">
        <v>0</v>
      </c>
      <c r="J1323">
        <v>0</v>
      </c>
      <c r="K1323">
        <v>0</v>
      </c>
      <c r="L1323">
        <v>0</v>
      </c>
      <c r="M1323">
        <v>0</v>
      </c>
      <c r="N1323">
        <v>1440</v>
      </c>
      <c r="O1323">
        <v>1688</v>
      </c>
      <c r="P1323" t="str">
        <f>TEXT(tbl_working_daily[[#This Row],[ActivityDate]],"dddd")</f>
        <v>Tuesday</v>
      </c>
      <c r="Q1323" t="str">
        <f>TEXT(tbl_working_daily[[#This Row],[ActivityDate]],"mmmm")</f>
        <v>April</v>
      </c>
      <c r="R1323">
        <f t="shared" si="40"/>
        <v>0</v>
      </c>
      <c r="S1323">
        <f t="shared" si="41"/>
        <v>1440</v>
      </c>
      <c r="T1323">
        <f>ROUND(tbl_working_daily[[#This Row],[SedentaryMinutes]]/60,2)</f>
        <v>24</v>
      </c>
      <c r="U1323" t="str" cm="1">
        <f t="array" ref="U132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3" t="str" cm="1">
        <f t="array" ref="V1323">_xlfn.IFS(tbl_working_daily[[#This Row],[VeryActiveMinutes]]&gt;=30,"Very Active",tbl_working_daily[[#This Row],[VeryActiveMinutes]]&gt;=15,"Moderately Active",tbl_working_daily[[#This Row],[VeryActiveMinutes]]&gt;=1,"Lightly Active",tbl_working_daily[[#This Row],[VeryActiveMinutes]]=0,"Sedentary")</f>
        <v>Sedentary</v>
      </c>
      <c r="W1323" t="str">
        <f>tbl_working_daily[[#This Row],[Id]]&amp;"|"&amp;TEXT(tbl_working_daily[[#This Row],[ActivityDate]],"yyyy-mm-dd")</f>
        <v>8792009665|2016-04-19</v>
      </c>
      <c r="X1323" t="b">
        <f>ISNUMBER(MATCH(tbl_working_daily[[#This Row],[LookupKey]],tbl_working_sleep[LookupKey],0))</f>
        <v>0</v>
      </c>
    </row>
    <row r="1324" spans="1:24" x14ac:dyDescent="0.3">
      <c r="A1324">
        <v>8792009665</v>
      </c>
      <c r="B1324" s="1">
        <v>42480</v>
      </c>
      <c r="C1324">
        <v>3147</v>
      </c>
      <c r="D1324">
        <v>2.0099999904632599</v>
      </c>
      <c r="E1324">
        <v>2.0099999904632599</v>
      </c>
      <c r="F1324">
        <v>0</v>
      </c>
      <c r="G1324">
        <v>0</v>
      </c>
      <c r="H1324">
        <v>0.28000000119209301</v>
      </c>
      <c r="I1324">
        <v>1.7400000095367401</v>
      </c>
      <c r="J1324">
        <v>0</v>
      </c>
      <c r="K1324">
        <v>0</v>
      </c>
      <c r="L1324">
        <v>10</v>
      </c>
      <c r="M1324">
        <v>139</v>
      </c>
      <c r="N1324">
        <v>744</v>
      </c>
      <c r="O1324">
        <v>2188</v>
      </c>
      <c r="P1324" t="str">
        <f>TEXT(tbl_working_daily[[#This Row],[ActivityDate]],"dddd")</f>
        <v>Wednesday</v>
      </c>
      <c r="Q1324" t="str">
        <f>TEXT(tbl_working_daily[[#This Row],[ActivityDate]],"mmmm")</f>
        <v>April</v>
      </c>
      <c r="R1324">
        <f t="shared" si="40"/>
        <v>149</v>
      </c>
      <c r="S1324">
        <f t="shared" si="41"/>
        <v>893</v>
      </c>
      <c r="T1324">
        <f>ROUND(tbl_working_daily[[#This Row],[SedentaryMinutes]]/60,2)</f>
        <v>12.4</v>
      </c>
      <c r="U1324" t="str" cm="1">
        <f t="array" ref="U132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4" t="str" cm="1">
        <f t="array" ref="V1324">_xlfn.IFS(tbl_working_daily[[#This Row],[VeryActiveMinutes]]&gt;=30,"Very Active",tbl_working_daily[[#This Row],[VeryActiveMinutes]]&gt;=15,"Moderately Active",tbl_working_daily[[#This Row],[VeryActiveMinutes]]&gt;=1,"Lightly Active",tbl_working_daily[[#This Row],[VeryActiveMinutes]]=0,"Sedentary")</f>
        <v>Sedentary</v>
      </c>
      <c r="W1324" t="str">
        <f>tbl_working_daily[[#This Row],[Id]]&amp;"|"&amp;TEXT(tbl_working_daily[[#This Row],[ActivityDate]],"yyyy-mm-dd")</f>
        <v>8792009665|2016-04-20</v>
      </c>
      <c r="X1324" t="b">
        <f>ISNUMBER(MATCH(tbl_working_daily[[#This Row],[LookupKey]],tbl_working_sleep[LookupKey],0))</f>
        <v>1</v>
      </c>
    </row>
    <row r="1325" spans="1:24" x14ac:dyDescent="0.3">
      <c r="A1325">
        <v>8792009665</v>
      </c>
      <c r="B1325" s="1">
        <v>42481</v>
      </c>
      <c r="C1325">
        <v>144</v>
      </c>
      <c r="D1325">
        <v>9.00000035762787E-2</v>
      </c>
      <c r="E1325">
        <v>9.00000035762787E-2</v>
      </c>
      <c r="F1325">
        <v>0</v>
      </c>
      <c r="G1325">
        <v>0</v>
      </c>
      <c r="H1325">
        <v>0</v>
      </c>
      <c r="I1325">
        <v>9.00000035762787E-2</v>
      </c>
      <c r="J1325">
        <v>0</v>
      </c>
      <c r="K1325">
        <v>0</v>
      </c>
      <c r="L1325">
        <v>0</v>
      </c>
      <c r="M1325">
        <v>9</v>
      </c>
      <c r="N1325">
        <v>1431</v>
      </c>
      <c r="O1325">
        <v>1720</v>
      </c>
      <c r="P1325" t="str">
        <f>TEXT(tbl_working_daily[[#This Row],[ActivityDate]],"dddd")</f>
        <v>Thursday</v>
      </c>
      <c r="Q1325" t="str">
        <f>TEXT(tbl_working_daily[[#This Row],[ActivityDate]],"mmmm")</f>
        <v>April</v>
      </c>
      <c r="R1325">
        <f t="shared" si="40"/>
        <v>9</v>
      </c>
      <c r="S1325">
        <f t="shared" si="41"/>
        <v>1440</v>
      </c>
      <c r="T1325">
        <f>ROUND(tbl_working_daily[[#This Row],[SedentaryMinutes]]/60,2)</f>
        <v>23.85</v>
      </c>
      <c r="U1325" t="str" cm="1">
        <f t="array" ref="U132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5" t="str" cm="1">
        <f t="array" ref="V1325">_xlfn.IFS(tbl_working_daily[[#This Row],[VeryActiveMinutes]]&gt;=30,"Very Active",tbl_working_daily[[#This Row],[VeryActiveMinutes]]&gt;=15,"Moderately Active",tbl_working_daily[[#This Row],[VeryActiveMinutes]]&gt;=1,"Lightly Active",tbl_working_daily[[#This Row],[VeryActiveMinutes]]=0,"Sedentary")</f>
        <v>Sedentary</v>
      </c>
      <c r="W1325" t="str">
        <f>tbl_working_daily[[#This Row],[Id]]&amp;"|"&amp;TEXT(tbl_working_daily[[#This Row],[ActivityDate]],"yyyy-mm-dd")</f>
        <v>8792009665|2016-04-21</v>
      </c>
      <c r="X1325" t="b">
        <f>ISNUMBER(MATCH(tbl_working_daily[[#This Row],[LookupKey]],tbl_working_sleep[LookupKey],0))</f>
        <v>0</v>
      </c>
    </row>
    <row r="1326" spans="1:24" x14ac:dyDescent="0.3">
      <c r="A1326">
        <v>8792009665</v>
      </c>
      <c r="B1326" s="1">
        <v>42482</v>
      </c>
      <c r="C1326">
        <v>4068</v>
      </c>
      <c r="D1326">
        <v>2.5999999046325701</v>
      </c>
      <c r="E1326">
        <v>2.5999999046325701</v>
      </c>
      <c r="F1326">
        <v>0</v>
      </c>
      <c r="G1326">
        <v>5.0000000745058101E-2</v>
      </c>
      <c r="H1326">
        <v>0.28000000119209301</v>
      </c>
      <c r="I1326">
        <v>2.2699999809265101</v>
      </c>
      <c r="J1326">
        <v>0</v>
      </c>
      <c r="K1326">
        <v>1</v>
      </c>
      <c r="L1326">
        <v>20</v>
      </c>
      <c r="M1326">
        <v>195</v>
      </c>
      <c r="N1326">
        <v>817</v>
      </c>
      <c r="O1326">
        <v>2419</v>
      </c>
      <c r="P1326" t="str">
        <f>TEXT(tbl_working_daily[[#This Row],[ActivityDate]],"dddd")</f>
        <v>Friday</v>
      </c>
      <c r="Q1326" t="str">
        <f>TEXT(tbl_working_daily[[#This Row],[ActivityDate]],"mmmm")</f>
        <v>April</v>
      </c>
      <c r="R1326">
        <f t="shared" si="40"/>
        <v>216</v>
      </c>
      <c r="S1326">
        <f t="shared" si="41"/>
        <v>1033</v>
      </c>
      <c r="T1326">
        <f>ROUND(tbl_working_daily[[#This Row],[SedentaryMinutes]]/60,2)</f>
        <v>13.62</v>
      </c>
      <c r="U1326" t="str" cm="1">
        <f t="array" ref="U132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6" t="str" cm="1">
        <f t="array" ref="V1326">_xlfn.IFS(tbl_working_daily[[#This Row],[VeryActiveMinutes]]&gt;=30,"Very Active",tbl_working_daily[[#This Row],[VeryActiveMinutes]]&gt;=15,"Moderately Active",tbl_working_daily[[#This Row],[VeryActiveMinutes]]&gt;=1,"Lightly Active",tbl_working_daily[[#This Row],[VeryActiveMinutes]]=0,"Sedentary")</f>
        <v>Lightly Active</v>
      </c>
      <c r="W1326" t="str">
        <f>tbl_working_daily[[#This Row],[Id]]&amp;"|"&amp;TEXT(tbl_working_daily[[#This Row],[ActivityDate]],"yyyy-mm-dd")</f>
        <v>8792009665|2016-04-22</v>
      </c>
      <c r="X1326" t="b">
        <f>ISNUMBER(MATCH(tbl_working_daily[[#This Row],[LookupKey]],tbl_working_sleep[LookupKey],0))</f>
        <v>1</v>
      </c>
    </row>
    <row r="1327" spans="1:24" x14ac:dyDescent="0.3">
      <c r="A1327">
        <v>8792009665</v>
      </c>
      <c r="B1327" s="1">
        <v>42483</v>
      </c>
      <c r="C1327">
        <v>5245</v>
      </c>
      <c r="D1327">
        <v>3.3599998950958301</v>
      </c>
      <c r="E1327">
        <v>3.3599998950958301</v>
      </c>
      <c r="F1327">
        <v>0</v>
      </c>
      <c r="G1327">
        <v>0.15999999642372101</v>
      </c>
      <c r="H1327">
        <v>0.43999999761581399</v>
      </c>
      <c r="I1327">
        <v>2.75</v>
      </c>
      <c r="J1327">
        <v>0</v>
      </c>
      <c r="K1327">
        <v>8</v>
      </c>
      <c r="L1327">
        <v>45</v>
      </c>
      <c r="M1327">
        <v>232</v>
      </c>
      <c r="N1327">
        <v>795</v>
      </c>
      <c r="O1327">
        <v>2748</v>
      </c>
      <c r="P1327" t="str">
        <f>TEXT(tbl_working_daily[[#This Row],[ActivityDate]],"dddd")</f>
        <v>Saturday</v>
      </c>
      <c r="Q1327" t="str">
        <f>TEXT(tbl_working_daily[[#This Row],[ActivityDate]],"mmmm")</f>
        <v>April</v>
      </c>
      <c r="R1327">
        <f t="shared" si="40"/>
        <v>285</v>
      </c>
      <c r="S1327">
        <f t="shared" si="41"/>
        <v>1080</v>
      </c>
      <c r="T1327">
        <f>ROUND(tbl_working_daily[[#This Row],[SedentaryMinutes]]/60,2)</f>
        <v>13.25</v>
      </c>
      <c r="U1327" t="str" cm="1">
        <f t="array" ref="U1327">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27" t="str" cm="1">
        <f t="array" ref="V1327">_xlfn.IFS(tbl_working_daily[[#This Row],[VeryActiveMinutes]]&gt;=30,"Very Active",tbl_working_daily[[#This Row],[VeryActiveMinutes]]&gt;=15,"Moderately Active",tbl_working_daily[[#This Row],[VeryActiveMinutes]]&gt;=1,"Lightly Active",tbl_working_daily[[#This Row],[VeryActiveMinutes]]=0,"Sedentary")</f>
        <v>Lightly Active</v>
      </c>
      <c r="W1327" t="str">
        <f>tbl_working_daily[[#This Row],[Id]]&amp;"|"&amp;TEXT(tbl_working_daily[[#This Row],[ActivityDate]],"yyyy-mm-dd")</f>
        <v>8792009665|2016-04-23</v>
      </c>
      <c r="X1327" t="b">
        <f>ISNUMBER(MATCH(tbl_working_daily[[#This Row],[LookupKey]],tbl_working_sleep[LookupKey],0))</f>
        <v>1</v>
      </c>
    </row>
    <row r="1328" spans="1:24" x14ac:dyDescent="0.3">
      <c r="A1328">
        <v>8792009665</v>
      </c>
      <c r="B1328" s="1">
        <v>42484</v>
      </c>
      <c r="C1328">
        <v>400</v>
      </c>
      <c r="D1328">
        <v>0.259999990463257</v>
      </c>
      <c r="E1328">
        <v>0.259999990463257</v>
      </c>
      <c r="F1328">
        <v>0</v>
      </c>
      <c r="G1328">
        <v>3.9999999105930301E-2</v>
      </c>
      <c r="H1328">
        <v>5.0000000745058101E-2</v>
      </c>
      <c r="I1328">
        <v>0.15999999642372101</v>
      </c>
      <c r="J1328">
        <v>0</v>
      </c>
      <c r="K1328">
        <v>3</v>
      </c>
      <c r="L1328">
        <v>8</v>
      </c>
      <c r="M1328">
        <v>19</v>
      </c>
      <c r="N1328">
        <v>1410</v>
      </c>
      <c r="O1328">
        <v>1799</v>
      </c>
      <c r="P1328" t="str">
        <f>TEXT(tbl_working_daily[[#This Row],[ActivityDate]],"dddd")</f>
        <v>Sunday</v>
      </c>
      <c r="Q1328" t="str">
        <f>TEXT(tbl_working_daily[[#This Row],[ActivityDate]],"mmmm")</f>
        <v>April</v>
      </c>
      <c r="R1328">
        <f t="shared" si="40"/>
        <v>30</v>
      </c>
      <c r="S1328">
        <f t="shared" si="41"/>
        <v>1440</v>
      </c>
      <c r="T1328">
        <f>ROUND(tbl_working_daily[[#This Row],[SedentaryMinutes]]/60,2)</f>
        <v>23.5</v>
      </c>
      <c r="U1328" t="str" cm="1">
        <f t="array" ref="U132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8" t="str" cm="1">
        <f t="array" ref="V1328">_xlfn.IFS(tbl_working_daily[[#This Row],[VeryActiveMinutes]]&gt;=30,"Very Active",tbl_working_daily[[#This Row],[VeryActiveMinutes]]&gt;=15,"Moderately Active",tbl_working_daily[[#This Row],[VeryActiveMinutes]]&gt;=1,"Lightly Active",tbl_working_daily[[#This Row],[VeryActiveMinutes]]=0,"Sedentary")</f>
        <v>Lightly Active</v>
      </c>
      <c r="W1328" t="str">
        <f>tbl_working_daily[[#This Row],[Id]]&amp;"|"&amp;TEXT(tbl_working_daily[[#This Row],[ActivityDate]],"yyyy-mm-dd")</f>
        <v>8792009665|2016-04-24</v>
      </c>
      <c r="X1328" t="b">
        <f>ISNUMBER(MATCH(tbl_working_daily[[#This Row],[LookupKey]],tbl_working_sleep[LookupKey],0))</f>
        <v>0</v>
      </c>
    </row>
    <row r="1329" spans="1:24" x14ac:dyDescent="0.3">
      <c r="A1329">
        <v>8792009665</v>
      </c>
      <c r="B1329" s="1">
        <v>42485</v>
      </c>
      <c r="C1329">
        <v>0</v>
      </c>
      <c r="D1329">
        <v>0</v>
      </c>
      <c r="E1329">
        <v>0</v>
      </c>
      <c r="F1329">
        <v>0</v>
      </c>
      <c r="G1329">
        <v>0</v>
      </c>
      <c r="H1329">
        <v>0</v>
      </c>
      <c r="I1329">
        <v>0</v>
      </c>
      <c r="J1329">
        <v>0</v>
      </c>
      <c r="K1329">
        <v>0</v>
      </c>
      <c r="L1329">
        <v>0</v>
      </c>
      <c r="M1329">
        <v>0</v>
      </c>
      <c r="N1329">
        <v>1440</v>
      </c>
      <c r="O1329">
        <v>1688</v>
      </c>
      <c r="P1329" t="str">
        <f>TEXT(tbl_working_daily[[#This Row],[ActivityDate]],"dddd")</f>
        <v>Monday</v>
      </c>
      <c r="Q1329" t="str">
        <f>TEXT(tbl_working_daily[[#This Row],[ActivityDate]],"mmmm")</f>
        <v>April</v>
      </c>
      <c r="R1329">
        <f t="shared" si="40"/>
        <v>0</v>
      </c>
      <c r="S1329">
        <f t="shared" si="41"/>
        <v>1440</v>
      </c>
      <c r="T1329">
        <f>ROUND(tbl_working_daily[[#This Row],[SedentaryMinutes]]/60,2)</f>
        <v>24</v>
      </c>
      <c r="U1329" t="str" cm="1">
        <f t="array" ref="U132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29" t="str" cm="1">
        <f t="array" ref="V1329">_xlfn.IFS(tbl_working_daily[[#This Row],[VeryActiveMinutes]]&gt;=30,"Very Active",tbl_working_daily[[#This Row],[VeryActiveMinutes]]&gt;=15,"Moderately Active",tbl_working_daily[[#This Row],[VeryActiveMinutes]]&gt;=1,"Lightly Active",tbl_working_daily[[#This Row],[VeryActiveMinutes]]=0,"Sedentary")</f>
        <v>Sedentary</v>
      </c>
      <c r="W1329" t="str">
        <f>tbl_working_daily[[#This Row],[Id]]&amp;"|"&amp;TEXT(tbl_working_daily[[#This Row],[ActivityDate]],"yyyy-mm-dd")</f>
        <v>8792009665|2016-04-25</v>
      </c>
      <c r="X1329" t="b">
        <f>ISNUMBER(MATCH(tbl_working_daily[[#This Row],[LookupKey]],tbl_working_sleep[LookupKey],0))</f>
        <v>0</v>
      </c>
    </row>
    <row r="1330" spans="1:24" x14ac:dyDescent="0.3">
      <c r="A1330">
        <v>8792009665</v>
      </c>
      <c r="B1330" s="1">
        <v>42486</v>
      </c>
      <c r="C1330">
        <v>1321</v>
      </c>
      <c r="D1330">
        <v>0.85000002384185802</v>
      </c>
      <c r="E1330">
        <v>0.85000002384185802</v>
      </c>
      <c r="F1330">
        <v>0</v>
      </c>
      <c r="G1330">
        <v>0</v>
      </c>
      <c r="H1330">
        <v>0</v>
      </c>
      <c r="I1330">
        <v>0.85000002384185802</v>
      </c>
      <c r="J1330">
        <v>0</v>
      </c>
      <c r="K1330">
        <v>0</v>
      </c>
      <c r="L1330">
        <v>0</v>
      </c>
      <c r="M1330">
        <v>80</v>
      </c>
      <c r="N1330">
        <v>1360</v>
      </c>
      <c r="O1330">
        <v>1928</v>
      </c>
      <c r="P1330" t="str">
        <f>TEXT(tbl_working_daily[[#This Row],[ActivityDate]],"dddd")</f>
        <v>Tuesday</v>
      </c>
      <c r="Q1330" t="str">
        <f>TEXT(tbl_working_daily[[#This Row],[ActivityDate]],"mmmm")</f>
        <v>April</v>
      </c>
      <c r="R1330">
        <f t="shared" si="40"/>
        <v>80</v>
      </c>
      <c r="S1330">
        <f t="shared" si="41"/>
        <v>1440</v>
      </c>
      <c r="T1330">
        <f>ROUND(tbl_working_daily[[#This Row],[SedentaryMinutes]]/60,2)</f>
        <v>22.67</v>
      </c>
      <c r="U1330" t="str" cm="1">
        <f t="array" ref="U133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0" t="str" cm="1">
        <f t="array" ref="V1330">_xlfn.IFS(tbl_working_daily[[#This Row],[VeryActiveMinutes]]&gt;=30,"Very Active",tbl_working_daily[[#This Row],[VeryActiveMinutes]]&gt;=15,"Moderately Active",tbl_working_daily[[#This Row],[VeryActiveMinutes]]&gt;=1,"Lightly Active",tbl_working_daily[[#This Row],[VeryActiveMinutes]]=0,"Sedentary")</f>
        <v>Sedentary</v>
      </c>
      <c r="W1330" t="str">
        <f>tbl_working_daily[[#This Row],[Id]]&amp;"|"&amp;TEXT(tbl_working_daily[[#This Row],[ActivityDate]],"yyyy-mm-dd")</f>
        <v>8792009665|2016-04-26</v>
      </c>
      <c r="X1330" t="b">
        <f>ISNUMBER(MATCH(tbl_working_daily[[#This Row],[LookupKey]],tbl_working_sleep[LookupKey],0))</f>
        <v>0</v>
      </c>
    </row>
    <row r="1331" spans="1:24" x14ac:dyDescent="0.3">
      <c r="A1331">
        <v>8792009665</v>
      </c>
      <c r="B1331" s="1">
        <v>42487</v>
      </c>
      <c r="C1331">
        <v>1758</v>
      </c>
      <c r="D1331">
        <v>1.12999999523163</v>
      </c>
      <c r="E1331">
        <v>1.12999999523163</v>
      </c>
      <c r="F1331">
        <v>0</v>
      </c>
      <c r="G1331">
        <v>0</v>
      </c>
      <c r="H1331">
        <v>0</v>
      </c>
      <c r="I1331">
        <v>1.12999999523163</v>
      </c>
      <c r="J1331">
        <v>0</v>
      </c>
      <c r="K1331">
        <v>0</v>
      </c>
      <c r="L1331">
        <v>0</v>
      </c>
      <c r="M1331">
        <v>112</v>
      </c>
      <c r="N1331">
        <v>900</v>
      </c>
      <c r="O1331">
        <v>2067</v>
      </c>
      <c r="P1331" t="str">
        <f>TEXT(tbl_working_daily[[#This Row],[ActivityDate]],"dddd")</f>
        <v>Wednesday</v>
      </c>
      <c r="Q1331" t="str">
        <f>TEXT(tbl_working_daily[[#This Row],[ActivityDate]],"mmmm")</f>
        <v>April</v>
      </c>
      <c r="R1331">
        <f t="shared" si="40"/>
        <v>112</v>
      </c>
      <c r="S1331">
        <f t="shared" si="41"/>
        <v>1012</v>
      </c>
      <c r="T1331">
        <f>ROUND(tbl_working_daily[[#This Row],[SedentaryMinutes]]/60,2)</f>
        <v>15</v>
      </c>
      <c r="U1331" t="str" cm="1">
        <f t="array" ref="U133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1" t="str" cm="1">
        <f t="array" ref="V1331">_xlfn.IFS(tbl_working_daily[[#This Row],[VeryActiveMinutes]]&gt;=30,"Very Active",tbl_working_daily[[#This Row],[VeryActiveMinutes]]&gt;=15,"Moderately Active",tbl_working_daily[[#This Row],[VeryActiveMinutes]]&gt;=1,"Lightly Active",tbl_working_daily[[#This Row],[VeryActiveMinutes]]=0,"Sedentary")</f>
        <v>Sedentary</v>
      </c>
      <c r="W1331" t="str">
        <f>tbl_working_daily[[#This Row],[Id]]&amp;"|"&amp;TEXT(tbl_working_daily[[#This Row],[ActivityDate]],"yyyy-mm-dd")</f>
        <v>8792009665|2016-04-27</v>
      </c>
      <c r="X1331" t="b">
        <f>ISNUMBER(MATCH(tbl_working_daily[[#This Row],[LookupKey]],tbl_working_sleep[LookupKey],0))</f>
        <v>1</v>
      </c>
    </row>
    <row r="1332" spans="1:24" x14ac:dyDescent="0.3">
      <c r="A1332">
        <v>8792009665</v>
      </c>
      <c r="B1332" s="1">
        <v>42488</v>
      </c>
      <c r="C1332">
        <v>6157</v>
      </c>
      <c r="D1332">
        <v>3.9400000572204599</v>
      </c>
      <c r="E1332">
        <v>3.9400000572204599</v>
      </c>
      <c r="F1332">
        <v>0</v>
      </c>
      <c r="G1332">
        <v>0</v>
      </c>
      <c r="H1332">
        <v>0</v>
      </c>
      <c r="I1332">
        <v>3.9400000572204599</v>
      </c>
      <c r="J1332">
        <v>0</v>
      </c>
      <c r="K1332">
        <v>0</v>
      </c>
      <c r="L1332">
        <v>0</v>
      </c>
      <c r="M1332">
        <v>310</v>
      </c>
      <c r="N1332">
        <v>714</v>
      </c>
      <c r="O1332">
        <v>2780</v>
      </c>
      <c r="P1332" t="str">
        <f>TEXT(tbl_working_daily[[#This Row],[ActivityDate]],"dddd")</f>
        <v>Thursday</v>
      </c>
      <c r="Q1332" t="str">
        <f>TEXT(tbl_working_daily[[#This Row],[ActivityDate]],"mmmm")</f>
        <v>April</v>
      </c>
      <c r="R1332">
        <f t="shared" si="40"/>
        <v>310</v>
      </c>
      <c r="S1332">
        <f t="shared" si="41"/>
        <v>1024</v>
      </c>
      <c r="T1332">
        <f>ROUND(tbl_working_daily[[#This Row],[SedentaryMinutes]]/60,2)</f>
        <v>11.9</v>
      </c>
      <c r="U1332" t="str" cm="1">
        <f t="array" ref="U1332">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32" t="str" cm="1">
        <f t="array" ref="V1332">_xlfn.IFS(tbl_working_daily[[#This Row],[VeryActiveMinutes]]&gt;=30,"Very Active",tbl_working_daily[[#This Row],[VeryActiveMinutes]]&gt;=15,"Moderately Active",tbl_working_daily[[#This Row],[VeryActiveMinutes]]&gt;=1,"Lightly Active",tbl_working_daily[[#This Row],[VeryActiveMinutes]]=0,"Sedentary")</f>
        <v>Sedentary</v>
      </c>
      <c r="W1332" t="str">
        <f>tbl_working_daily[[#This Row],[Id]]&amp;"|"&amp;TEXT(tbl_working_daily[[#This Row],[ActivityDate]],"yyyy-mm-dd")</f>
        <v>8792009665|2016-04-28</v>
      </c>
      <c r="X1332" t="b">
        <f>ISNUMBER(MATCH(tbl_working_daily[[#This Row],[LookupKey]],tbl_working_sleep[LookupKey],0))</f>
        <v>1</v>
      </c>
    </row>
    <row r="1333" spans="1:24" x14ac:dyDescent="0.3">
      <c r="A1333">
        <v>8792009665</v>
      </c>
      <c r="B1333" s="1">
        <v>42489</v>
      </c>
      <c r="C1333">
        <v>8360</v>
      </c>
      <c r="D1333">
        <v>5.3499999046325701</v>
      </c>
      <c r="E1333">
        <v>5.3499999046325701</v>
      </c>
      <c r="F1333">
        <v>0</v>
      </c>
      <c r="G1333">
        <v>0.140000000596046</v>
      </c>
      <c r="H1333">
        <v>0.28000000119209301</v>
      </c>
      <c r="I1333">
        <v>4.9299998283386204</v>
      </c>
      <c r="J1333">
        <v>0</v>
      </c>
      <c r="K1333">
        <v>6</v>
      </c>
      <c r="L1333">
        <v>14</v>
      </c>
      <c r="M1333">
        <v>380</v>
      </c>
      <c r="N1333">
        <v>634</v>
      </c>
      <c r="O1333">
        <v>3101</v>
      </c>
      <c r="P1333" t="str">
        <f>TEXT(tbl_working_daily[[#This Row],[ActivityDate]],"dddd")</f>
        <v>Friday</v>
      </c>
      <c r="Q1333" t="str">
        <f>TEXT(tbl_working_daily[[#This Row],[ActivityDate]],"mmmm")</f>
        <v>April</v>
      </c>
      <c r="R1333">
        <f t="shared" si="40"/>
        <v>400</v>
      </c>
      <c r="S1333">
        <f t="shared" si="41"/>
        <v>1034</v>
      </c>
      <c r="T1333">
        <f>ROUND(tbl_working_daily[[#This Row],[SedentaryMinutes]]/60,2)</f>
        <v>10.57</v>
      </c>
      <c r="U1333" t="str" cm="1">
        <f t="array" ref="U1333">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33" t="str" cm="1">
        <f t="array" ref="V1333">_xlfn.IFS(tbl_working_daily[[#This Row],[VeryActiveMinutes]]&gt;=30,"Very Active",tbl_working_daily[[#This Row],[VeryActiveMinutes]]&gt;=15,"Moderately Active",tbl_working_daily[[#This Row],[VeryActiveMinutes]]&gt;=1,"Lightly Active",tbl_working_daily[[#This Row],[VeryActiveMinutes]]=0,"Sedentary")</f>
        <v>Lightly Active</v>
      </c>
      <c r="W1333" t="str">
        <f>tbl_working_daily[[#This Row],[Id]]&amp;"|"&amp;TEXT(tbl_working_daily[[#This Row],[ActivityDate]],"yyyy-mm-dd")</f>
        <v>8792009665|2016-04-29</v>
      </c>
      <c r="X1333" t="b">
        <f>ISNUMBER(MATCH(tbl_working_daily[[#This Row],[LookupKey]],tbl_working_sleep[LookupKey],0))</f>
        <v>1</v>
      </c>
    </row>
    <row r="1334" spans="1:24" x14ac:dyDescent="0.3">
      <c r="A1334">
        <v>8792009665</v>
      </c>
      <c r="B1334" s="1">
        <v>42490</v>
      </c>
      <c r="C1334">
        <v>7174</v>
      </c>
      <c r="D1334">
        <v>4.5900001525878897</v>
      </c>
      <c r="E1334">
        <v>4.5900001525878897</v>
      </c>
      <c r="F1334">
        <v>0</v>
      </c>
      <c r="G1334">
        <v>0.33000001311302202</v>
      </c>
      <c r="H1334">
        <v>0.36000001430511502</v>
      </c>
      <c r="I1334">
        <v>3.9100000858306898</v>
      </c>
      <c r="J1334">
        <v>0</v>
      </c>
      <c r="K1334">
        <v>10</v>
      </c>
      <c r="L1334">
        <v>20</v>
      </c>
      <c r="M1334">
        <v>301</v>
      </c>
      <c r="N1334">
        <v>749</v>
      </c>
      <c r="O1334">
        <v>2896</v>
      </c>
      <c r="P1334" t="str">
        <f>TEXT(tbl_working_daily[[#This Row],[ActivityDate]],"dddd")</f>
        <v>Saturday</v>
      </c>
      <c r="Q1334" t="str">
        <f>TEXT(tbl_working_daily[[#This Row],[ActivityDate]],"mmmm")</f>
        <v>April</v>
      </c>
      <c r="R1334">
        <f t="shared" si="40"/>
        <v>331</v>
      </c>
      <c r="S1334">
        <f t="shared" si="41"/>
        <v>1080</v>
      </c>
      <c r="T1334">
        <f>ROUND(tbl_working_daily[[#This Row],[SedentaryMinutes]]/60,2)</f>
        <v>12.48</v>
      </c>
      <c r="U1334" t="str" cm="1">
        <f t="array" ref="U1334">_xlfn.IFS(tbl_working_daily[[#This Row],[TotalSteps]]&lt;5000,"Sedentary",tbl_working_daily[[#This Row],[TotalSteps]]&lt;7500,"Low Active",tbl_working_daily[[#This Row],[TotalSteps]]&lt;10000,"Somewhat Active",tbl_working_daily[[#This Row],[TotalSteps]]&lt;12500,"Active",tbl_working_daily[[#This Row],[TotalSteps]]&gt;=12500,"Highly Active")</f>
        <v>Low Active</v>
      </c>
      <c r="V1334" t="str" cm="1">
        <f t="array" ref="V1334">_xlfn.IFS(tbl_working_daily[[#This Row],[VeryActiveMinutes]]&gt;=30,"Very Active",tbl_working_daily[[#This Row],[VeryActiveMinutes]]&gt;=15,"Moderately Active",tbl_working_daily[[#This Row],[VeryActiveMinutes]]&gt;=1,"Lightly Active",tbl_working_daily[[#This Row],[VeryActiveMinutes]]=0,"Sedentary")</f>
        <v>Lightly Active</v>
      </c>
      <c r="W1334" t="str">
        <f>tbl_working_daily[[#This Row],[Id]]&amp;"|"&amp;TEXT(tbl_working_daily[[#This Row],[ActivityDate]],"yyyy-mm-dd")</f>
        <v>8792009665|2016-04-30</v>
      </c>
      <c r="X1334" t="b">
        <f>ISNUMBER(MATCH(tbl_working_daily[[#This Row],[LookupKey]],tbl_working_sleep[LookupKey],0))</f>
        <v>1</v>
      </c>
    </row>
    <row r="1335" spans="1:24" x14ac:dyDescent="0.3">
      <c r="A1335">
        <v>8792009665</v>
      </c>
      <c r="B1335" s="1">
        <v>42491</v>
      </c>
      <c r="C1335">
        <v>1619</v>
      </c>
      <c r="D1335">
        <v>1.03999996185303</v>
      </c>
      <c r="E1335">
        <v>1.03999996185303</v>
      </c>
      <c r="F1335">
        <v>0</v>
      </c>
      <c r="G1335">
        <v>0</v>
      </c>
      <c r="H1335">
        <v>0</v>
      </c>
      <c r="I1335">
        <v>1.03999996185303</v>
      </c>
      <c r="J1335">
        <v>0</v>
      </c>
      <c r="K1335">
        <v>0</v>
      </c>
      <c r="L1335">
        <v>0</v>
      </c>
      <c r="M1335">
        <v>79</v>
      </c>
      <c r="N1335">
        <v>834</v>
      </c>
      <c r="O1335">
        <v>1962</v>
      </c>
      <c r="P1335" t="str">
        <f>TEXT(tbl_working_daily[[#This Row],[ActivityDate]],"dddd")</f>
        <v>Sunday</v>
      </c>
      <c r="Q1335" t="str">
        <f>TEXT(tbl_working_daily[[#This Row],[ActivityDate]],"mmmm")</f>
        <v>May</v>
      </c>
      <c r="R1335">
        <f t="shared" si="40"/>
        <v>79</v>
      </c>
      <c r="S1335">
        <f t="shared" si="41"/>
        <v>913</v>
      </c>
      <c r="T1335">
        <f>ROUND(tbl_working_daily[[#This Row],[SedentaryMinutes]]/60,2)</f>
        <v>13.9</v>
      </c>
      <c r="U1335" t="str" cm="1">
        <f t="array" ref="U1335">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5" t="str" cm="1">
        <f t="array" ref="V1335">_xlfn.IFS(tbl_working_daily[[#This Row],[VeryActiveMinutes]]&gt;=30,"Very Active",tbl_working_daily[[#This Row],[VeryActiveMinutes]]&gt;=15,"Moderately Active",tbl_working_daily[[#This Row],[VeryActiveMinutes]]&gt;=1,"Lightly Active",tbl_working_daily[[#This Row],[VeryActiveMinutes]]=0,"Sedentary")</f>
        <v>Sedentary</v>
      </c>
      <c r="W1335" t="str">
        <f>tbl_working_daily[[#This Row],[Id]]&amp;"|"&amp;TEXT(tbl_working_daily[[#This Row],[ActivityDate]],"yyyy-mm-dd")</f>
        <v>8792009665|2016-05-01</v>
      </c>
      <c r="X1335" t="b">
        <f>ISNUMBER(MATCH(tbl_working_daily[[#This Row],[LookupKey]],tbl_working_sleep[LookupKey],0))</f>
        <v>1</v>
      </c>
    </row>
    <row r="1336" spans="1:24" x14ac:dyDescent="0.3">
      <c r="A1336">
        <v>8792009665</v>
      </c>
      <c r="B1336" s="1">
        <v>42492</v>
      </c>
      <c r="C1336">
        <v>1831</v>
      </c>
      <c r="D1336">
        <v>1.16999995708466</v>
      </c>
      <c r="E1336">
        <v>1.16999995708466</v>
      </c>
      <c r="F1336">
        <v>0</v>
      </c>
      <c r="G1336">
        <v>0</v>
      </c>
      <c r="H1336">
        <v>0</v>
      </c>
      <c r="I1336">
        <v>1.16999995708466</v>
      </c>
      <c r="J1336">
        <v>0</v>
      </c>
      <c r="K1336">
        <v>0</v>
      </c>
      <c r="L1336">
        <v>0</v>
      </c>
      <c r="M1336">
        <v>101</v>
      </c>
      <c r="N1336">
        <v>916</v>
      </c>
      <c r="O1336">
        <v>2015</v>
      </c>
      <c r="P1336" t="str">
        <f>TEXT(tbl_working_daily[[#This Row],[ActivityDate]],"dddd")</f>
        <v>Monday</v>
      </c>
      <c r="Q1336" t="str">
        <f>TEXT(tbl_working_daily[[#This Row],[ActivityDate]],"mmmm")</f>
        <v>May</v>
      </c>
      <c r="R1336">
        <f t="shared" si="40"/>
        <v>101</v>
      </c>
      <c r="S1336">
        <f t="shared" si="41"/>
        <v>1017</v>
      </c>
      <c r="T1336">
        <f>ROUND(tbl_working_daily[[#This Row],[SedentaryMinutes]]/60,2)</f>
        <v>15.27</v>
      </c>
      <c r="U1336" t="str" cm="1">
        <f t="array" ref="U1336">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6" t="str" cm="1">
        <f t="array" ref="V1336">_xlfn.IFS(tbl_working_daily[[#This Row],[VeryActiveMinutes]]&gt;=30,"Very Active",tbl_working_daily[[#This Row],[VeryActiveMinutes]]&gt;=15,"Moderately Active",tbl_working_daily[[#This Row],[VeryActiveMinutes]]&gt;=1,"Lightly Active",tbl_working_daily[[#This Row],[VeryActiveMinutes]]=0,"Sedentary")</f>
        <v>Sedentary</v>
      </c>
      <c r="W1336" t="str">
        <f>tbl_working_daily[[#This Row],[Id]]&amp;"|"&amp;TEXT(tbl_working_daily[[#This Row],[ActivityDate]],"yyyy-mm-dd")</f>
        <v>8792009665|2016-05-02</v>
      </c>
      <c r="X1336" t="b">
        <f>ISNUMBER(MATCH(tbl_working_daily[[#This Row],[LookupKey]],tbl_working_sleep[LookupKey],0))</f>
        <v>1</v>
      </c>
    </row>
    <row r="1337" spans="1:24" x14ac:dyDescent="0.3">
      <c r="A1337">
        <v>8792009665</v>
      </c>
      <c r="B1337" s="1">
        <v>42493</v>
      </c>
      <c r="C1337">
        <v>2421</v>
      </c>
      <c r="D1337">
        <v>1.54999995231628</v>
      </c>
      <c r="E1337">
        <v>1.54999995231628</v>
      </c>
      <c r="F1337">
        <v>0</v>
      </c>
      <c r="G1337">
        <v>0</v>
      </c>
      <c r="H1337">
        <v>0</v>
      </c>
      <c r="I1337">
        <v>1.54999995231628</v>
      </c>
      <c r="J1337">
        <v>0</v>
      </c>
      <c r="K1337">
        <v>0</v>
      </c>
      <c r="L1337">
        <v>0</v>
      </c>
      <c r="M1337">
        <v>156</v>
      </c>
      <c r="N1337">
        <v>739</v>
      </c>
      <c r="O1337">
        <v>2297</v>
      </c>
      <c r="P1337" t="str">
        <f>TEXT(tbl_working_daily[[#This Row],[ActivityDate]],"dddd")</f>
        <v>Tuesday</v>
      </c>
      <c r="Q1337" t="str">
        <f>TEXT(tbl_working_daily[[#This Row],[ActivityDate]],"mmmm")</f>
        <v>May</v>
      </c>
      <c r="R1337">
        <f t="shared" si="40"/>
        <v>156</v>
      </c>
      <c r="S1337">
        <f t="shared" si="41"/>
        <v>895</v>
      </c>
      <c r="T1337">
        <f>ROUND(tbl_working_daily[[#This Row],[SedentaryMinutes]]/60,2)</f>
        <v>12.32</v>
      </c>
      <c r="U1337" t="str" cm="1">
        <f t="array" ref="U1337">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7" t="str" cm="1">
        <f t="array" ref="V1337">_xlfn.IFS(tbl_working_daily[[#This Row],[VeryActiveMinutes]]&gt;=30,"Very Active",tbl_working_daily[[#This Row],[VeryActiveMinutes]]&gt;=15,"Moderately Active",tbl_working_daily[[#This Row],[VeryActiveMinutes]]&gt;=1,"Lightly Active",tbl_working_daily[[#This Row],[VeryActiveMinutes]]=0,"Sedentary")</f>
        <v>Sedentary</v>
      </c>
      <c r="W1337" t="str">
        <f>tbl_working_daily[[#This Row],[Id]]&amp;"|"&amp;TEXT(tbl_working_daily[[#This Row],[ActivityDate]],"yyyy-mm-dd")</f>
        <v>8792009665|2016-05-03</v>
      </c>
      <c r="X1337" t="b">
        <f>ISNUMBER(MATCH(tbl_working_daily[[#This Row],[LookupKey]],tbl_working_sleep[LookupKey],0))</f>
        <v>1</v>
      </c>
    </row>
    <row r="1338" spans="1:24" x14ac:dyDescent="0.3">
      <c r="A1338">
        <v>8792009665</v>
      </c>
      <c r="B1338" s="1">
        <v>42494</v>
      </c>
      <c r="C1338">
        <v>2283</v>
      </c>
      <c r="D1338">
        <v>1.46000003814697</v>
      </c>
      <c r="E1338">
        <v>1.46000003814697</v>
      </c>
      <c r="F1338">
        <v>0</v>
      </c>
      <c r="G1338">
        <v>0</v>
      </c>
      <c r="H1338">
        <v>0</v>
      </c>
      <c r="I1338">
        <v>1.46000003814697</v>
      </c>
      <c r="J1338">
        <v>0</v>
      </c>
      <c r="K1338">
        <v>0</v>
      </c>
      <c r="L1338">
        <v>0</v>
      </c>
      <c r="M1338">
        <v>129</v>
      </c>
      <c r="N1338">
        <v>848</v>
      </c>
      <c r="O1338">
        <v>2067</v>
      </c>
      <c r="P1338" t="str">
        <f>TEXT(tbl_working_daily[[#This Row],[ActivityDate]],"dddd")</f>
        <v>Wednesday</v>
      </c>
      <c r="Q1338" t="str">
        <f>TEXT(tbl_working_daily[[#This Row],[ActivityDate]],"mmmm")</f>
        <v>May</v>
      </c>
      <c r="R1338">
        <f t="shared" si="40"/>
        <v>129</v>
      </c>
      <c r="S1338">
        <f t="shared" si="41"/>
        <v>977</v>
      </c>
      <c r="T1338">
        <f>ROUND(tbl_working_daily[[#This Row],[SedentaryMinutes]]/60,2)</f>
        <v>14.13</v>
      </c>
      <c r="U1338" t="str" cm="1">
        <f t="array" ref="U1338">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8" t="str" cm="1">
        <f t="array" ref="V1338">_xlfn.IFS(tbl_working_daily[[#This Row],[VeryActiveMinutes]]&gt;=30,"Very Active",tbl_working_daily[[#This Row],[VeryActiveMinutes]]&gt;=15,"Moderately Active",tbl_working_daily[[#This Row],[VeryActiveMinutes]]&gt;=1,"Lightly Active",tbl_working_daily[[#This Row],[VeryActiveMinutes]]=0,"Sedentary")</f>
        <v>Sedentary</v>
      </c>
      <c r="W1338" t="str">
        <f>tbl_working_daily[[#This Row],[Id]]&amp;"|"&amp;TEXT(tbl_working_daily[[#This Row],[ActivityDate]],"yyyy-mm-dd")</f>
        <v>8792009665|2016-05-04</v>
      </c>
      <c r="X1338" t="b">
        <f>ISNUMBER(MATCH(tbl_working_daily[[#This Row],[LookupKey]],tbl_working_sleep[LookupKey],0))</f>
        <v>1</v>
      </c>
    </row>
    <row r="1339" spans="1:24" x14ac:dyDescent="0.3">
      <c r="A1339">
        <v>8792009665</v>
      </c>
      <c r="B1339" s="1">
        <v>42495</v>
      </c>
      <c r="C1339">
        <v>0</v>
      </c>
      <c r="D1339">
        <v>0</v>
      </c>
      <c r="E1339">
        <v>0</v>
      </c>
      <c r="F1339">
        <v>0</v>
      </c>
      <c r="G1339">
        <v>0</v>
      </c>
      <c r="H1339">
        <v>0</v>
      </c>
      <c r="I1339">
        <v>0</v>
      </c>
      <c r="J1339">
        <v>0</v>
      </c>
      <c r="K1339">
        <v>0</v>
      </c>
      <c r="L1339">
        <v>0</v>
      </c>
      <c r="M1339">
        <v>0</v>
      </c>
      <c r="N1339">
        <v>1440</v>
      </c>
      <c r="O1339">
        <v>1688</v>
      </c>
      <c r="P1339" t="str">
        <f>TEXT(tbl_working_daily[[#This Row],[ActivityDate]],"dddd")</f>
        <v>Thursday</v>
      </c>
      <c r="Q1339" t="str">
        <f>TEXT(tbl_working_daily[[#This Row],[ActivityDate]],"mmmm")</f>
        <v>May</v>
      </c>
      <c r="R1339">
        <f t="shared" si="40"/>
        <v>0</v>
      </c>
      <c r="S1339">
        <f t="shared" si="41"/>
        <v>1440</v>
      </c>
      <c r="T1339">
        <f>ROUND(tbl_working_daily[[#This Row],[SedentaryMinutes]]/60,2)</f>
        <v>24</v>
      </c>
      <c r="U1339" t="str" cm="1">
        <f t="array" ref="U1339">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39" t="str" cm="1">
        <f t="array" ref="V1339">_xlfn.IFS(tbl_working_daily[[#This Row],[VeryActiveMinutes]]&gt;=30,"Very Active",tbl_working_daily[[#This Row],[VeryActiveMinutes]]&gt;=15,"Moderately Active",tbl_working_daily[[#This Row],[VeryActiveMinutes]]&gt;=1,"Lightly Active",tbl_working_daily[[#This Row],[VeryActiveMinutes]]=0,"Sedentary")</f>
        <v>Sedentary</v>
      </c>
      <c r="W1339" t="str">
        <f>tbl_working_daily[[#This Row],[Id]]&amp;"|"&amp;TEXT(tbl_working_daily[[#This Row],[ActivityDate]],"yyyy-mm-dd")</f>
        <v>8792009665|2016-05-05</v>
      </c>
      <c r="X1339" t="b">
        <f>ISNUMBER(MATCH(tbl_working_daily[[#This Row],[LookupKey]],tbl_working_sleep[LookupKey],0))</f>
        <v>0</v>
      </c>
    </row>
    <row r="1340" spans="1:24" x14ac:dyDescent="0.3">
      <c r="A1340">
        <v>8792009665</v>
      </c>
      <c r="B1340" s="1">
        <v>42496</v>
      </c>
      <c r="C1340">
        <v>0</v>
      </c>
      <c r="D1340">
        <v>0</v>
      </c>
      <c r="E1340">
        <v>0</v>
      </c>
      <c r="F1340">
        <v>0</v>
      </c>
      <c r="G1340">
        <v>0</v>
      </c>
      <c r="H1340">
        <v>0</v>
      </c>
      <c r="I1340">
        <v>0</v>
      </c>
      <c r="J1340">
        <v>0</v>
      </c>
      <c r="K1340">
        <v>0</v>
      </c>
      <c r="L1340">
        <v>0</v>
      </c>
      <c r="M1340">
        <v>0</v>
      </c>
      <c r="N1340">
        <v>1440</v>
      </c>
      <c r="O1340">
        <v>1688</v>
      </c>
      <c r="P1340" t="str">
        <f>TEXT(tbl_working_daily[[#This Row],[ActivityDate]],"dddd")</f>
        <v>Friday</v>
      </c>
      <c r="Q1340" t="str">
        <f>TEXT(tbl_working_daily[[#This Row],[ActivityDate]],"mmmm")</f>
        <v>May</v>
      </c>
      <c r="R1340">
        <f t="shared" si="40"/>
        <v>0</v>
      </c>
      <c r="S1340">
        <f t="shared" si="41"/>
        <v>1440</v>
      </c>
      <c r="T1340">
        <f>ROUND(tbl_working_daily[[#This Row],[SedentaryMinutes]]/60,2)</f>
        <v>24</v>
      </c>
      <c r="U1340" t="str" cm="1">
        <f t="array" ref="U1340">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40" t="str" cm="1">
        <f t="array" ref="V1340">_xlfn.IFS(tbl_working_daily[[#This Row],[VeryActiveMinutes]]&gt;=30,"Very Active",tbl_working_daily[[#This Row],[VeryActiveMinutes]]&gt;=15,"Moderately Active",tbl_working_daily[[#This Row],[VeryActiveMinutes]]&gt;=1,"Lightly Active",tbl_working_daily[[#This Row],[VeryActiveMinutes]]=0,"Sedentary")</f>
        <v>Sedentary</v>
      </c>
      <c r="W1340" t="str">
        <f>tbl_working_daily[[#This Row],[Id]]&amp;"|"&amp;TEXT(tbl_working_daily[[#This Row],[ActivityDate]],"yyyy-mm-dd")</f>
        <v>8792009665|2016-05-06</v>
      </c>
      <c r="X1340" t="b">
        <f>ISNUMBER(MATCH(tbl_working_daily[[#This Row],[LookupKey]],tbl_working_sleep[LookupKey],0))</f>
        <v>0</v>
      </c>
    </row>
    <row r="1341" spans="1:24" x14ac:dyDescent="0.3">
      <c r="A1341">
        <v>8792009665</v>
      </c>
      <c r="B1341" s="1">
        <v>42497</v>
      </c>
      <c r="C1341">
        <v>0</v>
      </c>
      <c r="D1341">
        <v>0</v>
      </c>
      <c r="E1341">
        <v>0</v>
      </c>
      <c r="F1341">
        <v>0</v>
      </c>
      <c r="G1341">
        <v>0</v>
      </c>
      <c r="H1341">
        <v>0</v>
      </c>
      <c r="I1341">
        <v>0</v>
      </c>
      <c r="J1341">
        <v>0</v>
      </c>
      <c r="K1341">
        <v>0</v>
      </c>
      <c r="L1341">
        <v>0</v>
      </c>
      <c r="M1341">
        <v>0</v>
      </c>
      <c r="N1341">
        <v>1440</v>
      </c>
      <c r="O1341">
        <v>1688</v>
      </c>
      <c r="P1341" t="str">
        <f>TEXT(tbl_working_daily[[#This Row],[ActivityDate]],"dddd")</f>
        <v>Saturday</v>
      </c>
      <c r="Q1341" t="str">
        <f>TEXT(tbl_working_daily[[#This Row],[ActivityDate]],"mmmm")</f>
        <v>May</v>
      </c>
      <c r="R1341">
        <f t="shared" si="40"/>
        <v>0</v>
      </c>
      <c r="S1341">
        <f t="shared" si="41"/>
        <v>1440</v>
      </c>
      <c r="T1341">
        <f>ROUND(tbl_working_daily[[#This Row],[SedentaryMinutes]]/60,2)</f>
        <v>24</v>
      </c>
      <c r="U1341" t="str" cm="1">
        <f t="array" ref="U1341">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41" t="str" cm="1">
        <f t="array" ref="V1341">_xlfn.IFS(tbl_working_daily[[#This Row],[VeryActiveMinutes]]&gt;=30,"Very Active",tbl_working_daily[[#This Row],[VeryActiveMinutes]]&gt;=15,"Moderately Active",tbl_working_daily[[#This Row],[VeryActiveMinutes]]&gt;=1,"Lightly Active",tbl_working_daily[[#This Row],[VeryActiveMinutes]]=0,"Sedentary")</f>
        <v>Sedentary</v>
      </c>
      <c r="W1341" t="str">
        <f>tbl_working_daily[[#This Row],[Id]]&amp;"|"&amp;TEXT(tbl_working_daily[[#This Row],[ActivityDate]],"yyyy-mm-dd")</f>
        <v>8792009665|2016-05-07</v>
      </c>
      <c r="X1341" t="b">
        <f>ISNUMBER(MATCH(tbl_working_daily[[#This Row],[LookupKey]],tbl_working_sleep[LookupKey],0))</f>
        <v>0</v>
      </c>
    </row>
    <row r="1342" spans="1:24" x14ac:dyDescent="0.3">
      <c r="A1342">
        <v>8792009665</v>
      </c>
      <c r="B1342" s="1">
        <v>42498</v>
      </c>
      <c r="C1342">
        <v>0</v>
      </c>
      <c r="D1342">
        <v>0</v>
      </c>
      <c r="E1342">
        <v>0</v>
      </c>
      <c r="F1342">
        <v>0</v>
      </c>
      <c r="G1342">
        <v>0</v>
      </c>
      <c r="H1342">
        <v>0</v>
      </c>
      <c r="I1342">
        <v>0</v>
      </c>
      <c r="J1342">
        <v>0</v>
      </c>
      <c r="K1342">
        <v>0</v>
      </c>
      <c r="L1342">
        <v>0</v>
      </c>
      <c r="M1342">
        <v>0</v>
      </c>
      <c r="N1342">
        <v>1440</v>
      </c>
      <c r="O1342">
        <v>1688</v>
      </c>
      <c r="P1342" t="str">
        <f>TEXT(tbl_working_daily[[#This Row],[ActivityDate]],"dddd")</f>
        <v>Sunday</v>
      </c>
      <c r="Q1342" t="str">
        <f>TEXT(tbl_working_daily[[#This Row],[ActivityDate]],"mmmm")</f>
        <v>May</v>
      </c>
      <c r="R1342">
        <f t="shared" si="40"/>
        <v>0</v>
      </c>
      <c r="S1342">
        <f t="shared" si="41"/>
        <v>1440</v>
      </c>
      <c r="T1342">
        <f>ROUND(tbl_working_daily[[#This Row],[SedentaryMinutes]]/60,2)</f>
        <v>24</v>
      </c>
      <c r="U1342" t="str" cm="1">
        <f t="array" ref="U1342">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42" t="str" cm="1">
        <f t="array" ref="V1342">_xlfn.IFS(tbl_working_daily[[#This Row],[VeryActiveMinutes]]&gt;=30,"Very Active",tbl_working_daily[[#This Row],[VeryActiveMinutes]]&gt;=15,"Moderately Active",tbl_working_daily[[#This Row],[VeryActiveMinutes]]&gt;=1,"Lightly Active",tbl_working_daily[[#This Row],[VeryActiveMinutes]]=0,"Sedentary")</f>
        <v>Sedentary</v>
      </c>
      <c r="W1342" t="str">
        <f>tbl_working_daily[[#This Row],[Id]]&amp;"|"&amp;TEXT(tbl_working_daily[[#This Row],[ActivityDate]],"yyyy-mm-dd")</f>
        <v>8792009665|2016-05-08</v>
      </c>
      <c r="X1342" t="b">
        <f>ISNUMBER(MATCH(tbl_working_daily[[#This Row],[LookupKey]],tbl_working_sleep[LookupKey],0))</f>
        <v>0</v>
      </c>
    </row>
    <row r="1343" spans="1:24" x14ac:dyDescent="0.3">
      <c r="A1343">
        <v>8792009665</v>
      </c>
      <c r="B1343" s="1">
        <v>42499</v>
      </c>
      <c r="C1343">
        <v>0</v>
      </c>
      <c r="D1343">
        <v>0</v>
      </c>
      <c r="E1343">
        <v>0</v>
      </c>
      <c r="F1343">
        <v>0</v>
      </c>
      <c r="G1343">
        <v>0</v>
      </c>
      <c r="H1343">
        <v>0</v>
      </c>
      <c r="I1343">
        <v>0</v>
      </c>
      <c r="J1343">
        <v>0</v>
      </c>
      <c r="K1343">
        <v>0</v>
      </c>
      <c r="L1343">
        <v>0</v>
      </c>
      <c r="M1343">
        <v>0</v>
      </c>
      <c r="N1343">
        <v>1440</v>
      </c>
      <c r="O1343">
        <v>1688</v>
      </c>
      <c r="P1343" t="str">
        <f>TEXT(tbl_working_daily[[#This Row],[ActivityDate]],"dddd")</f>
        <v>Monday</v>
      </c>
      <c r="Q1343" t="str">
        <f>TEXT(tbl_working_daily[[#This Row],[ActivityDate]],"mmmm")</f>
        <v>May</v>
      </c>
      <c r="R1343">
        <f t="shared" si="40"/>
        <v>0</v>
      </c>
      <c r="S1343">
        <f t="shared" si="41"/>
        <v>1440</v>
      </c>
      <c r="T1343">
        <f>ROUND(tbl_working_daily[[#This Row],[SedentaryMinutes]]/60,2)</f>
        <v>24</v>
      </c>
      <c r="U1343" t="str" cm="1">
        <f t="array" ref="U1343">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43" t="str" cm="1">
        <f t="array" ref="V1343">_xlfn.IFS(tbl_working_daily[[#This Row],[VeryActiveMinutes]]&gt;=30,"Very Active",tbl_working_daily[[#This Row],[VeryActiveMinutes]]&gt;=15,"Moderately Active",tbl_working_daily[[#This Row],[VeryActiveMinutes]]&gt;=1,"Lightly Active",tbl_working_daily[[#This Row],[VeryActiveMinutes]]=0,"Sedentary")</f>
        <v>Sedentary</v>
      </c>
      <c r="W1343" t="str">
        <f>tbl_working_daily[[#This Row],[Id]]&amp;"|"&amp;TEXT(tbl_working_daily[[#This Row],[ActivityDate]],"yyyy-mm-dd")</f>
        <v>8792009665|2016-05-09</v>
      </c>
      <c r="X1343" t="b">
        <f>ISNUMBER(MATCH(tbl_working_daily[[#This Row],[LookupKey]],tbl_working_sleep[LookupKey],0))</f>
        <v>0</v>
      </c>
    </row>
    <row r="1344" spans="1:24" x14ac:dyDescent="0.3">
      <c r="A1344">
        <v>8792009665</v>
      </c>
      <c r="B1344" s="1">
        <v>42500</v>
      </c>
      <c r="C1344">
        <v>0</v>
      </c>
      <c r="D1344">
        <v>0</v>
      </c>
      <c r="E1344">
        <v>0</v>
      </c>
      <c r="F1344">
        <v>0</v>
      </c>
      <c r="G1344">
        <v>0</v>
      </c>
      <c r="H1344">
        <v>0</v>
      </c>
      <c r="I1344">
        <v>0</v>
      </c>
      <c r="J1344">
        <v>0</v>
      </c>
      <c r="K1344">
        <v>0</v>
      </c>
      <c r="L1344">
        <v>0</v>
      </c>
      <c r="M1344">
        <v>0</v>
      </c>
      <c r="N1344">
        <v>48</v>
      </c>
      <c r="O1344">
        <v>57</v>
      </c>
      <c r="P1344" t="str">
        <f>TEXT(tbl_working_daily[[#This Row],[ActivityDate]],"dddd")</f>
        <v>Tuesday</v>
      </c>
      <c r="Q1344" t="str">
        <f>TEXT(tbl_working_daily[[#This Row],[ActivityDate]],"mmmm")</f>
        <v>May</v>
      </c>
      <c r="R1344">
        <f t="shared" si="40"/>
        <v>0</v>
      </c>
      <c r="S1344">
        <f t="shared" si="41"/>
        <v>48</v>
      </c>
      <c r="T1344">
        <f>ROUND(tbl_working_daily[[#This Row],[SedentaryMinutes]]/60,2)</f>
        <v>0.8</v>
      </c>
      <c r="U1344" t="str" cm="1">
        <f t="array" ref="U134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44" t="str" cm="1">
        <f t="array" ref="V1344">_xlfn.IFS(tbl_working_daily[[#This Row],[VeryActiveMinutes]]&gt;=30,"Very Active",tbl_working_daily[[#This Row],[VeryActiveMinutes]]&gt;=15,"Moderately Active",tbl_working_daily[[#This Row],[VeryActiveMinutes]]&gt;=1,"Lightly Active",tbl_working_daily[[#This Row],[VeryActiveMinutes]]=0,"Sedentary")</f>
        <v>Sedentary</v>
      </c>
      <c r="W1344" t="str">
        <f>tbl_working_daily[[#This Row],[Id]]&amp;"|"&amp;TEXT(tbl_working_daily[[#This Row],[ActivityDate]],"yyyy-mm-dd")</f>
        <v>8792009665|2016-05-10</v>
      </c>
      <c r="X1344" t="b">
        <f>ISNUMBER(MATCH(tbl_working_daily[[#This Row],[LookupKey]],tbl_working_sleep[LookupKey],0))</f>
        <v>0</v>
      </c>
    </row>
    <row r="1345" spans="1:24" x14ac:dyDescent="0.3">
      <c r="A1345">
        <v>8877689391</v>
      </c>
      <c r="B1345" s="1">
        <v>42473</v>
      </c>
      <c r="C1345">
        <v>15337</v>
      </c>
      <c r="D1345">
        <v>9.5799999237060494</v>
      </c>
      <c r="E1345">
        <v>9.5799999237060494</v>
      </c>
      <c r="F1345">
        <v>0</v>
      </c>
      <c r="G1345">
        <v>3.5499999523162802</v>
      </c>
      <c r="H1345">
        <v>0.37999999523162797</v>
      </c>
      <c r="I1345">
        <v>5.6399998664856001</v>
      </c>
      <c r="J1345">
        <v>0</v>
      </c>
      <c r="K1345">
        <v>108</v>
      </c>
      <c r="L1345">
        <v>18</v>
      </c>
      <c r="M1345">
        <v>216</v>
      </c>
      <c r="N1345">
        <v>1098</v>
      </c>
      <c r="O1345">
        <v>3566</v>
      </c>
      <c r="P1345" t="str">
        <f>TEXT(tbl_working_daily[[#This Row],[ActivityDate]],"dddd")</f>
        <v>Wednesday</v>
      </c>
      <c r="Q1345" t="str">
        <f>TEXT(tbl_working_daily[[#This Row],[ActivityDate]],"mmmm")</f>
        <v>April</v>
      </c>
      <c r="R1345">
        <f t="shared" si="40"/>
        <v>342</v>
      </c>
      <c r="S1345">
        <f t="shared" si="41"/>
        <v>1440</v>
      </c>
      <c r="T1345">
        <f>ROUND(tbl_working_daily[[#This Row],[SedentaryMinutes]]/60,2)</f>
        <v>18.3</v>
      </c>
      <c r="U1345" t="str" cm="1">
        <f t="array" ref="U1345">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45" t="str" cm="1">
        <f t="array" ref="V1345">_xlfn.IFS(tbl_working_daily[[#This Row],[VeryActiveMinutes]]&gt;=30,"Very Active",tbl_working_daily[[#This Row],[VeryActiveMinutes]]&gt;=15,"Moderately Active",tbl_working_daily[[#This Row],[VeryActiveMinutes]]&gt;=1,"Lightly Active",tbl_working_daily[[#This Row],[VeryActiveMinutes]]=0,"Sedentary")</f>
        <v>Very Active</v>
      </c>
      <c r="W1345" t="str">
        <f>tbl_working_daily[[#This Row],[Id]]&amp;"|"&amp;TEXT(tbl_working_daily[[#This Row],[ActivityDate]],"yyyy-mm-dd")</f>
        <v>8877689391|2016-04-13</v>
      </c>
      <c r="X1345" t="b">
        <f>ISNUMBER(MATCH(tbl_working_daily[[#This Row],[LookupKey]],tbl_working_sleep[LookupKey],0))</f>
        <v>0</v>
      </c>
    </row>
    <row r="1346" spans="1:24" x14ac:dyDescent="0.3">
      <c r="A1346">
        <v>8877689391</v>
      </c>
      <c r="B1346" s="1">
        <v>42474</v>
      </c>
      <c r="C1346">
        <v>21129</v>
      </c>
      <c r="D1346">
        <v>18.9799995422363</v>
      </c>
      <c r="E1346">
        <v>18.9799995422363</v>
      </c>
      <c r="F1346">
        <v>0</v>
      </c>
      <c r="G1346">
        <v>10.550000190734901</v>
      </c>
      <c r="H1346">
        <v>0.58999997377395597</v>
      </c>
      <c r="I1346">
        <v>7.75</v>
      </c>
      <c r="J1346">
        <v>1.9999999552965199E-2</v>
      </c>
      <c r="K1346">
        <v>68</v>
      </c>
      <c r="L1346">
        <v>13</v>
      </c>
      <c r="M1346">
        <v>298</v>
      </c>
      <c r="N1346">
        <v>1061</v>
      </c>
      <c r="O1346">
        <v>3793</v>
      </c>
      <c r="P1346" t="str">
        <f>TEXT(tbl_working_daily[[#This Row],[ActivityDate]],"dddd")</f>
        <v>Thursday</v>
      </c>
      <c r="Q1346" t="str">
        <f>TEXT(tbl_working_daily[[#This Row],[ActivityDate]],"mmmm")</f>
        <v>April</v>
      </c>
      <c r="R1346">
        <f t="shared" ref="R1346:R1374" si="42">K1346+L1346+M1346</f>
        <v>379</v>
      </c>
      <c r="S1346">
        <f t="shared" ref="S1346:S1374" si="43">R1346+N1346</f>
        <v>1440</v>
      </c>
      <c r="T1346">
        <f>ROUND(tbl_working_daily[[#This Row],[SedentaryMinutes]]/60,2)</f>
        <v>17.68</v>
      </c>
      <c r="U1346" t="str" cm="1">
        <f t="array" ref="U134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46" t="str" cm="1">
        <f t="array" ref="V1346">_xlfn.IFS(tbl_working_daily[[#This Row],[VeryActiveMinutes]]&gt;=30,"Very Active",tbl_working_daily[[#This Row],[VeryActiveMinutes]]&gt;=15,"Moderately Active",tbl_working_daily[[#This Row],[VeryActiveMinutes]]&gt;=1,"Lightly Active",tbl_working_daily[[#This Row],[VeryActiveMinutes]]=0,"Sedentary")</f>
        <v>Very Active</v>
      </c>
      <c r="W1346" t="str">
        <f>tbl_working_daily[[#This Row],[Id]]&amp;"|"&amp;TEXT(tbl_working_daily[[#This Row],[ActivityDate]],"yyyy-mm-dd")</f>
        <v>8877689391|2016-04-14</v>
      </c>
      <c r="X1346" t="b">
        <f>ISNUMBER(MATCH(tbl_working_daily[[#This Row],[LookupKey]],tbl_working_sleep[LookupKey],0))</f>
        <v>0</v>
      </c>
    </row>
    <row r="1347" spans="1:24" x14ac:dyDescent="0.3">
      <c r="A1347">
        <v>8877689391</v>
      </c>
      <c r="B1347" s="1">
        <v>42475</v>
      </c>
      <c r="C1347">
        <v>13422</v>
      </c>
      <c r="D1347">
        <v>7.1700000762939498</v>
      </c>
      <c r="E1347">
        <v>7.1700000762939498</v>
      </c>
      <c r="F1347">
        <v>0</v>
      </c>
      <c r="G1347">
        <v>5.0000000745058101E-2</v>
      </c>
      <c r="H1347">
        <v>5.0000000745058101E-2</v>
      </c>
      <c r="I1347">
        <v>7.0100002288818404</v>
      </c>
      <c r="J1347">
        <v>9.9999997764825804E-3</v>
      </c>
      <c r="K1347">
        <v>106</v>
      </c>
      <c r="L1347">
        <v>1</v>
      </c>
      <c r="M1347">
        <v>281</v>
      </c>
      <c r="N1347">
        <v>1052</v>
      </c>
      <c r="O1347">
        <v>3934</v>
      </c>
      <c r="P1347" t="str">
        <f>TEXT(tbl_working_daily[[#This Row],[ActivityDate]],"dddd")</f>
        <v>Friday</v>
      </c>
      <c r="Q1347" t="str">
        <f>TEXT(tbl_working_daily[[#This Row],[ActivityDate]],"mmmm")</f>
        <v>April</v>
      </c>
      <c r="R1347">
        <f t="shared" si="42"/>
        <v>388</v>
      </c>
      <c r="S1347">
        <f t="shared" si="43"/>
        <v>1440</v>
      </c>
      <c r="T1347">
        <f>ROUND(tbl_working_daily[[#This Row],[SedentaryMinutes]]/60,2)</f>
        <v>17.53</v>
      </c>
      <c r="U1347" t="str" cm="1">
        <f t="array" ref="U134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47" t="str" cm="1">
        <f t="array" ref="V1347">_xlfn.IFS(tbl_working_daily[[#This Row],[VeryActiveMinutes]]&gt;=30,"Very Active",tbl_working_daily[[#This Row],[VeryActiveMinutes]]&gt;=15,"Moderately Active",tbl_working_daily[[#This Row],[VeryActiveMinutes]]&gt;=1,"Lightly Active",tbl_working_daily[[#This Row],[VeryActiveMinutes]]=0,"Sedentary")</f>
        <v>Very Active</v>
      </c>
      <c r="W1347" t="str">
        <f>tbl_working_daily[[#This Row],[Id]]&amp;"|"&amp;TEXT(tbl_working_daily[[#This Row],[ActivityDate]],"yyyy-mm-dd")</f>
        <v>8877689391|2016-04-15</v>
      </c>
      <c r="X1347" t="b">
        <f>ISNUMBER(MATCH(tbl_working_daily[[#This Row],[LookupKey]],tbl_working_sleep[LookupKey],0))</f>
        <v>0</v>
      </c>
    </row>
    <row r="1348" spans="1:24" x14ac:dyDescent="0.3">
      <c r="A1348">
        <v>8877689391</v>
      </c>
      <c r="B1348" s="1">
        <v>42476</v>
      </c>
      <c r="C1348">
        <v>29326</v>
      </c>
      <c r="D1348">
        <v>25.290000915527301</v>
      </c>
      <c r="E1348">
        <v>25.290000915527301</v>
      </c>
      <c r="F1348">
        <v>0</v>
      </c>
      <c r="G1348">
        <v>13.2399997711182</v>
      </c>
      <c r="H1348">
        <v>1.21000003814697</v>
      </c>
      <c r="I1348">
        <v>10.710000038146999</v>
      </c>
      <c r="J1348">
        <v>0</v>
      </c>
      <c r="K1348">
        <v>94</v>
      </c>
      <c r="L1348">
        <v>29</v>
      </c>
      <c r="M1348">
        <v>429</v>
      </c>
      <c r="N1348">
        <v>888</v>
      </c>
      <c r="O1348">
        <v>4547</v>
      </c>
      <c r="P1348" t="str">
        <f>TEXT(tbl_working_daily[[#This Row],[ActivityDate]],"dddd")</f>
        <v>Saturday</v>
      </c>
      <c r="Q1348" t="str">
        <f>TEXT(tbl_working_daily[[#This Row],[ActivityDate]],"mmmm")</f>
        <v>April</v>
      </c>
      <c r="R1348">
        <f t="shared" si="42"/>
        <v>552</v>
      </c>
      <c r="S1348">
        <f t="shared" si="43"/>
        <v>1440</v>
      </c>
      <c r="T1348">
        <f>ROUND(tbl_working_daily[[#This Row],[SedentaryMinutes]]/60,2)</f>
        <v>14.8</v>
      </c>
      <c r="U1348" t="str" cm="1">
        <f t="array" ref="U134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48" t="str" cm="1">
        <f t="array" ref="V1348">_xlfn.IFS(tbl_working_daily[[#This Row],[VeryActiveMinutes]]&gt;=30,"Very Active",tbl_working_daily[[#This Row],[VeryActiveMinutes]]&gt;=15,"Moderately Active",tbl_working_daily[[#This Row],[VeryActiveMinutes]]&gt;=1,"Lightly Active",tbl_working_daily[[#This Row],[VeryActiveMinutes]]=0,"Sedentary")</f>
        <v>Very Active</v>
      </c>
      <c r="W1348" t="str">
        <f>tbl_working_daily[[#This Row],[Id]]&amp;"|"&amp;TEXT(tbl_working_daily[[#This Row],[ActivityDate]],"yyyy-mm-dd")</f>
        <v>8877689391|2016-04-16</v>
      </c>
      <c r="X1348" t="b">
        <f>ISNUMBER(MATCH(tbl_working_daily[[#This Row],[LookupKey]],tbl_working_sleep[LookupKey],0))</f>
        <v>0</v>
      </c>
    </row>
    <row r="1349" spans="1:24" x14ac:dyDescent="0.3">
      <c r="A1349">
        <v>8877689391</v>
      </c>
      <c r="B1349" s="1">
        <v>42477</v>
      </c>
      <c r="C1349">
        <v>15118</v>
      </c>
      <c r="D1349">
        <v>8.8699998855590803</v>
      </c>
      <c r="E1349">
        <v>8.8699998855590803</v>
      </c>
      <c r="F1349">
        <v>0</v>
      </c>
      <c r="G1349">
        <v>0</v>
      </c>
      <c r="H1349">
        <v>7.0000000298023196E-2</v>
      </c>
      <c r="I1349">
        <v>8.7899999618530291</v>
      </c>
      <c r="J1349">
        <v>0</v>
      </c>
      <c r="K1349">
        <v>58</v>
      </c>
      <c r="L1349">
        <v>15</v>
      </c>
      <c r="M1349">
        <v>307</v>
      </c>
      <c r="N1349">
        <v>1060</v>
      </c>
      <c r="O1349">
        <v>3545</v>
      </c>
      <c r="P1349" t="str">
        <f>TEXT(tbl_working_daily[[#This Row],[ActivityDate]],"dddd")</f>
        <v>Sunday</v>
      </c>
      <c r="Q1349" t="str">
        <f>TEXT(tbl_working_daily[[#This Row],[ActivityDate]],"mmmm")</f>
        <v>April</v>
      </c>
      <c r="R1349">
        <f t="shared" si="42"/>
        <v>380</v>
      </c>
      <c r="S1349">
        <f t="shared" si="43"/>
        <v>1440</v>
      </c>
      <c r="T1349">
        <f>ROUND(tbl_working_daily[[#This Row],[SedentaryMinutes]]/60,2)</f>
        <v>17.670000000000002</v>
      </c>
      <c r="U1349" t="str" cm="1">
        <f t="array" ref="U134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49" t="str" cm="1">
        <f t="array" ref="V1349">_xlfn.IFS(tbl_working_daily[[#This Row],[VeryActiveMinutes]]&gt;=30,"Very Active",tbl_working_daily[[#This Row],[VeryActiveMinutes]]&gt;=15,"Moderately Active",tbl_working_daily[[#This Row],[VeryActiveMinutes]]&gt;=1,"Lightly Active",tbl_working_daily[[#This Row],[VeryActiveMinutes]]=0,"Sedentary")</f>
        <v>Very Active</v>
      </c>
      <c r="W1349" t="str">
        <f>tbl_working_daily[[#This Row],[Id]]&amp;"|"&amp;TEXT(tbl_working_daily[[#This Row],[ActivityDate]],"yyyy-mm-dd")</f>
        <v>8877689391|2016-04-17</v>
      </c>
      <c r="X1349" t="b">
        <f>ISNUMBER(MATCH(tbl_working_daily[[#This Row],[LookupKey]],tbl_working_sleep[LookupKey],0))</f>
        <v>0</v>
      </c>
    </row>
    <row r="1350" spans="1:24" x14ac:dyDescent="0.3">
      <c r="A1350">
        <v>8877689391</v>
      </c>
      <c r="B1350" s="1">
        <v>42478</v>
      </c>
      <c r="C1350">
        <v>11423</v>
      </c>
      <c r="D1350">
        <v>8.6700000762939506</v>
      </c>
      <c r="E1350">
        <v>8.6700000762939506</v>
      </c>
      <c r="F1350">
        <v>0</v>
      </c>
      <c r="G1350">
        <v>2.4400000572204599</v>
      </c>
      <c r="H1350">
        <v>0.270000010728836</v>
      </c>
      <c r="I1350">
        <v>5.9400000572204599</v>
      </c>
      <c r="J1350">
        <v>0</v>
      </c>
      <c r="K1350">
        <v>29</v>
      </c>
      <c r="L1350">
        <v>5</v>
      </c>
      <c r="M1350">
        <v>191</v>
      </c>
      <c r="N1350">
        <v>1215</v>
      </c>
      <c r="O1350">
        <v>2761</v>
      </c>
      <c r="P1350" t="str">
        <f>TEXT(tbl_working_daily[[#This Row],[ActivityDate]],"dddd")</f>
        <v>Monday</v>
      </c>
      <c r="Q1350" t="str">
        <f>TEXT(tbl_working_daily[[#This Row],[ActivityDate]],"mmmm")</f>
        <v>April</v>
      </c>
      <c r="R1350">
        <f t="shared" si="42"/>
        <v>225</v>
      </c>
      <c r="S1350">
        <f t="shared" si="43"/>
        <v>1440</v>
      </c>
      <c r="T1350">
        <f>ROUND(tbl_working_daily[[#This Row],[SedentaryMinutes]]/60,2)</f>
        <v>20.25</v>
      </c>
      <c r="U1350" t="str" cm="1">
        <f t="array" ref="U135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50" t="str" cm="1">
        <f t="array" ref="V1350">_xlfn.IFS(tbl_working_daily[[#This Row],[VeryActiveMinutes]]&gt;=30,"Very Active",tbl_working_daily[[#This Row],[VeryActiveMinutes]]&gt;=15,"Moderately Active",tbl_working_daily[[#This Row],[VeryActiveMinutes]]&gt;=1,"Lightly Active",tbl_working_daily[[#This Row],[VeryActiveMinutes]]=0,"Sedentary")</f>
        <v>Moderately Active</v>
      </c>
      <c r="W1350" t="str">
        <f>tbl_working_daily[[#This Row],[Id]]&amp;"|"&amp;TEXT(tbl_working_daily[[#This Row],[ActivityDate]],"yyyy-mm-dd")</f>
        <v>8877689391|2016-04-18</v>
      </c>
      <c r="X1350" t="b">
        <f>ISNUMBER(MATCH(tbl_working_daily[[#This Row],[LookupKey]],tbl_working_sleep[LookupKey],0))</f>
        <v>0</v>
      </c>
    </row>
    <row r="1351" spans="1:24" x14ac:dyDescent="0.3">
      <c r="A1351">
        <v>8877689391</v>
      </c>
      <c r="B1351" s="1">
        <v>42479</v>
      </c>
      <c r="C1351">
        <v>18785</v>
      </c>
      <c r="D1351">
        <v>17.399999618530298</v>
      </c>
      <c r="E1351">
        <v>17.399999618530298</v>
      </c>
      <c r="F1351">
        <v>0</v>
      </c>
      <c r="G1351">
        <v>12.1499996185303</v>
      </c>
      <c r="H1351">
        <v>0.18000000715255701</v>
      </c>
      <c r="I1351">
        <v>5.0300002098083496</v>
      </c>
      <c r="J1351">
        <v>0</v>
      </c>
      <c r="K1351">
        <v>82</v>
      </c>
      <c r="L1351">
        <v>13</v>
      </c>
      <c r="M1351">
        <v>214</v>
      </c>
      <c r="N1351">
        <v>1131</v>
      </c>
      <c r="O1351">
        <v>3676</v>
      </c>
      <c r="P1351" t="str">
        <f>TEXT(tbl_working_daily[[#This Row],[ActivityDate]],"dddd")</f>
        <v>Tuesday</v>
      </c>
      <c r="Q1351" t="str">
        <f>TEXT(tbl_working_daily[[#This Row],[ActivityDate]],"mmmm")</f>
        <v>April</v>
      </c>
      <c r="R1351">
        <f t="shared" si="42"/>
        <v>309</v>
      </c>
      <c r="S1351">
        <f t="shared" si="43"/>
        <v>1440</v>
      </c>
      <c r="T1351">
        <f>ROUND(tbl_working_daily[[#This Row],[SedentaryMinutes]]/60,2)</f>
        <v>18.850000000000001</v>
      </c>
      <c r="U1351" t="str" cm="1">
        <f t="array" ref="U135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1" t="str" cm="1">
        <f t="array" ref="V1351">_xlfn.IFS(tbl_working_daily[[#This Row],[VeryActiveMinutes]]&gt;=30,"Very Active",tbl_working_daily[[#This Row],[VeryActiveMinutes]]&gt;=15,"Moderately Active",tbl_working_daily[[#This Row],[VeryActiveMinutes]]&gt;=1,"Lightly Active",tbl_working_daily[[#This Row],[VeryActiveMinutes]]=0,"Sedentary")</f>
        <v>Very Active</v>
      </c>
      <c r="W1351" t="str">
        <f>tbl_working_daily[[#This Row],[Id]]&amp;"|"&amp;TEXT(tbl_working_daily[[#This Row],[ActivityDate]],"yyyy-mm-dd")</f>
        <v>8877689391|2016-04-19</v>
      </c>
      <c r="X1351" t="b">
        <f>ISNUMBER(MATCH(tbl_working_daily[[#This Row],[LookupKey]],tbl_working_sleep[LookupKey],0))</f>
        <v>0</v>
      </c>
    </row>
    <row r="1352" spans="1:24" x14ac:dyDescent="0.3">
      <c r="A1352">
        <v>8877689391</v>
      </c>
      <c r="B1352" s="1">
        <v>42480</v>
      </c>
      <c r="C1352">
        <v>19948</v>
      </c>
      <c r="D1352">
        <v>18.110000610351602</v>
      </c>
      <c r="E1352">
        <v>18.110000610351602</v>
      </c>
      <c r="F1352">
        <v>0</v>
      </c>
      <c r="G1352">
        <v>11.0200004577637</v>
      </c>
      <c r="H1352">
        <v>0.68999999761581399</v>
      </c>
      <c r="I1352">
        <v>6.3400001525878897</v>
      </c>
      <c r="J1352">
        <v>0</v>
      </c>
      <c r="K1352">
        <v>73</v>
      </c>
      <c r="L1352">
        <v>19</v>
      </c>
      <c r="M1352">
        <v>225</v>
      </c>
      <c r="N1352">
        <v>1123</v>
      </c>
      <c r="O1352">
        <v>3679</v>
      </c>
      <c r="P1352" t="str">
        <f>TEXT(tbl_working_daily[[#This Row],[ActivityDate]],"dddd")</f>
        <v>Wednesday</v>
      </c>
      <c r="Q1352" t="str">
        <f>TEXT(tbl_working_daily[[#This Row],[ActivityDate]],"mmmm")</f>
        <v>April</v>
      </c>
      <c r="R1352">
        <f t="shared" si="42"/>
        <v>317</v>
      </c>
      <c r="S1352">
        <f t="shared" si="43"/>
        <v>1440</v>
      </c>
      <c r="T1352">
        <f>ROUND(tbl_working_daily[[#This Row],[SedentaryMinutes]]/60,2)</f>
        <v>18.72</v>
      </c>
      <c r="U1352" t="str" cm="1">
        <f t="array" ref="U135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2" t="str" cm="1">
        <f t="array" ref="V1352">_xlfn.IFS(tbl_working_daily[[#This Row],[VeryActiveMinutes]]&gt;=30,"Very Active",tbl_working_daily[[#This Row],[VeryActiveMinutes]]&gt;=15,"Moderately Active",tbl_working_daily[[#This Row],[VeryActiveMinutes]]&gt;=1,"Lightly Active",tbl_working_daily[[#This Row],[VeryActiveMinutes]]=0,"Sedentary")</f>
        <v>Very Active</v>
      </c>
      <c r="W1352" t="str">
        <f>tbl_working_daily[[#This Row],[Id]]&amp;"|"&amp;TEXT(tbl_working_daily[[#This Row],[ActivityDate]],"yyyy-mm-dd")</f>
        <v>8877689391|2016-04-20</v>
      </c>
      <c r="X1352" t="b">
        <f>ISNUMBER(MATCH(tbl_working_daily[[#This Row],[LookupKey]],tbl_working_sleep[LookupKey],0))</f>
        <v>0</v>
      </c>
    </row>
    <row r="1353" spans="1:24" x14ac:dyDescent="0.3">
      <c r="A1353">
        <v>8877689391</v>
      </c>
      <c r="B1353" s="1">
        <v>42481</v>
      </c>
      <c r="C1353">
        <v>19377</v>
      </c>
      <c r="D1353">
        <v>17.620000839233398</v>
      </c>
      <c r="E1353">
        <v>17.620000839233398</v>
      </c>
      <c r="F1353">
        <v>0</v>
      </c>
      <c r="G1353">
        <v>12.289999961853001</v>
      </c>
      <c r="H1353">
        <v>0.41999998688697798</v>
      </c>
      <c r="I1353">
        <v>4.8899998664856001</v>
      </c>
      <c r="J1353">
        <v>0</v>
      </c>
      <c r="K1353">
        <v>82</v>
      </c>
      <c r="L1353">
        <v>13</v>
      </c>
      <c r="M1353">
        <v>226</v>
      </c>
      <c r="N1353">
        <v>1119</v>
      </c>
      <c r="O1353">
        <v>3659</v>
      </c>
      <c r="P1353" t="str">
        <f>TEXT(tbl_working_daily[[#This Row],[ActivityDate]],"dddd")</f>
        <v>Thursday</v>
      </c>
      <c r="Q1353" t="str">
        <f>TEXT(tbl_working_daily[[#This Row],[ActivityDate]],"mmmm")</f>
        <v>April</v>
      </c>
      <c r="R1353">
        <f t="shared" si="42"/>
        <v>321</v>
      </c>
      <c r="S1353">
        <f t="shared" si="43"/>
        <v>1440</v>
      </c>
      <c r="T1353">
        <f>ROUND(tbl_working_daily[[#This Row],[SedentaryMinutes]]/60,2)</f>
        <v>18.649999999999999</v>
      </c>
      <c r="U1353" t="str" cm="1">
        <f t="array" ref="U135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3" t="str" cm="1">
        <f t="array" ref="V1353">_xlfn.IFS(tbl_working_daily[[#This Row],[VeryActiveMinutes]]&gt;=30,"Very Active",tbl_working_daily[[#This Row],[VeryActiveMinutes]]&gt;=15,"Moderately Active",tbl_working_daily[[#This Row],[VeryActiveMinutes]]&gt;=1,"Lightly Active",tbl_working_daily[[#This Row],[VeryActiveMinutes]]=0,"Sedentary")</f>
        <v>Very Active</v>
      </c>
      <c r="W1353" t="str">
        <f>tbl_working_daily[[#This Row],[Id]]&amp;"|"&amp;TEXT(tbl_working_daily[[#This Row],[ActivityDate]],"yyyy-mm-dd")</f>
        <v>8877689391|2016-04-21</v>
      </c>
      <c r="X1353" t="b">
        <f>ISNUMBER(MATCH(tbl_working_daily[[#This Row],[LookupKey]],tbl_working_sleep[LookupKey],0))</f>
        <v>0</v>
      </c>
    </row>
    <row r="1354" spans="1:24" x14ac:dyDescent="0.3">
      <c r="A1354">
        <v>8877689391</v>
      </c>
      <c r="B1354" s="1">
        <v>42482</v>
      </c>
      <c r="C1354">
        <v>18258</v>
      </c>
      <c r="D1354">
        <v>16.309999465942401</v>
      </c>
      <c r="E1354">
        <v>16.309999465942401</v>
      </c>
      <c r="F1354">
        <v>0</v>
      </c>
      <c r="G1354">
        <v>10.2299995422363</v>
      </c>
      <c r="H1354">
        <v>2.9999999329447701E-2</v>
      </c>
      <c r="I1354">
        <v>5.9699997901916504</v>
      </c>
      <c r="J1354">
        <v>5.0000000745058101E-2</v>
      </c>
      <c r="K1354">
        <v>61</v>
      </c>
      <c r="L1354">
        <v>2</v>
      </c>
      <c r="M1354">
        <v>236</v>
      </c>
      <c r="N1354">
        <v>1141</v>
      </c>
      <c r="O1354">
        <v>3427</v>
      </c>
      <c r="P1354" t="str">
        <f>TEXT(tbl_working_daily[[#This Row],[ActivityDate]],"dddd")</f>
        <v>Friday</v>
      </c>
      <c r="Q1354" t="str">
        <f>TEXT(tbl_working_daily[[#This Row],[ActivityDate]],"mmmm")</f>
        <v>April</v>
      </c>
      <c r="R1354">
        <f t="shared" si="42"/>
        <v>299</v>
      </c>
      <c r="S1354">
        <f t="shared" si="43"/>
        <v>1440</v>
      </c>
      <c r="T1354">
        <f>ROUND(tbl_working_daily[[#This Row],[SedentaryMinutes]]/60,2)</f>
        <v>19.02</v>
      </c>
      <c r="U1354" t="str" cm="1">
        <f t="array" ref="U1354">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4" t="str" cm="1">
        <f t="array" ref="V1354">_xlfn.IFS(tbl_working_daily[[#This Row],[VeryActiveMinutes]]&gt;=30,"Very Active",tbl_working_daily[[#This Row],[VeryActiveMinutes]]&gt;=15,"Moderately Active",tbl_working_daily[[#This Row],[VeryActiveMinutes]]&gt;=1,"Lightly Active",tbl_working_daily[[#This Row],[VeryActiveMinutes]]=0,"Sedentary")</f>
        <v>Very Active</v>
      </c>
      <c r="W1354" t="str">
        <f>tbl_working_daily[[#This Row],[Id]]&amp;"|"&amp;TEXT(tbl_working_daily[[#This Row],[ActivityDate]],"yyyy-mm-dd")</f>
        <v>8877689391|2016-04-22</v>
      </c>
      <c r="X1354" t="b">
        <f>ISNUMBER(MATCH(tbl_working_daily[[#This Row],[LookupKey]],tbl_working_sleep[LookupKey],0))</f>
        <v>0</v>
      </c>
    </row>
    <row r="1355" spans="1:24" x14ac:dyDescent="0.3">
      <c r="A1355">
        <v>8877689391</v>
      </c>
      <c r="B1355" s="1">
        <v>42483</v>
      </c>
      <c r="C1355">
        <v>11200</v>
      </c>
      <c r="D1355">
        <v>7.4299998283386204</v>
      </c>
      <c r="E1355">
        <v>7.4299998283386204</v>
      </c>
      <c r="F1355">
        <v>0</v>
      </c>
      <c r="G1355">
        <v>0</v>
      </c>
      <c r="H1355">
        <v>0</v>
      </c>
      <c r="I1355">
        <v>7.4000000953674299</v>
      </c>
      <c r="J1355">
        <v>9.9999997764825804E-3</v>
      </c>
      <c r="K1355">
        <v>102</v>
      </c>
      <c r="L1355">
        <v>6</v>
      </c>
      <c r="M1355">
        <v>300</v>
      </c>
      <c r="N1355">
        <v>1032</v>
      </c>
      <c r="O1355">
        <v>3891</v>
      </c>
      <c r="P1355" t="str">
        <f>TEXT(tbl_working_daily[[#This Row],[ActivityDate]],"dddd")</f>
        <v>Saturday</v>
      </c>
      <c r="Q1355" t="str">
        <f>TEXT(tbl_working_daily[[#This Row],[ActivityDate]],"mmmm")</f>
        <v>April</v>
      </c>
      <c r="R1355">
        <f t="shared" si="42"/>
        <v>408</v>
      </c>
      <c r="S1355">
        <f t="shared" si="43"/>
        <v>1440</v>
      </c>
      <c r="T1355">
        <f>ROUND(tbl_working_daily[[#This Row],[SedentaryMinutes]]/60,2)</f>
        <v>17.2</v>
      </c>
      <c r="U1355" t="str" cm="1">
        <f t="array" ref="U135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55" t="str" cm="1">
        <f t="array" ref="V1355">_xlfn.IFS(tbl_working_daily[[#This Row],[VeryActiveMinutes]]&gt;=30,"Very Active",tbl_working_daily[[#This Row],[VeryActiveMinutes]]&gt;=15,"Moderately Active",tbl_working_daily[[#This Row],[VeryActiveMinutes]]&gt;=1,"Lightly Active",tbl_working_daily[[#This Row],[VeryActiveMinutes]]=0,"Sedentary")</f>
        <v>Very Active</v>
      </c>
      <c r="W1355" t="str">
        <f>tbl_working_daily[[#This Row],[Id]]&amp;"|"&amp;TEXT(tbl_working_daily[[#This Row],[ActivityDate]],"yyyy-mm-dd")</f>
        <v>8877689391|2016-04-23</v>
      </c>
      <c r="X1355" t="b">
        <f>ISNUMBER(MATCH(tbl_working_daily[[#This Row],[LookupKey]],tbl_working_sleep[LookupKey],0))</f>
        <v>0</v>
      </c>
    </row>
    <row r="1356" spans="1:24" x14ac:dyDescent="0.3">
      <c r="A1356">
        <v>8877689391</v>
      </c>
      <c r="B1356" s="1">
        <v>42484</v>
      </c>
      <c r="C1356">
        <v>16674</v>
      </c>
      <c r="D1356">
        <v>15.7399997711182</v>
      </c>
      <c r="E1356">
        <v>15.7399997711182</v>
      </c>
      <c r="F1356">
        <v>0</v>
      </c>
      <c r="G1356">
        <v>11.0100002288818</v>
      </c>
      <c r="H1356">
        <v>9.9999997764825804E-3</v>
      </c>
      <c r="I1356">
        <v>4.6900000572204599</v>
      </c>
      <c r="J1356">
        <v>0</v>
      </c>
      <c r="K1356">
        <v>64</v>
      </c>
      <c r="L1356">
        <v>1</v>
      </c>
      <c r="M1356">
        <v>227</v>
      </c>
      <c r="N1356">
        <v>1148</v>
      </c>
      <c r="O1356">
        <v>3455</v>
      </c>
      <c r="P1356" t="str">
        <f>TEXT(tbl_working_daily[[#This Row],[ActivityDate]],"dddd")</f>
        <v>Sunday</v>
      </c>
      <c r="Q1356" t="str">
        <f>TEXT(tbl_working_daily[[#This Row],[ActivityDate]],"mmmm")</f>
        <v>April</v>
      </c>
      <c r="R1356">
        <f t="shared" si="42"/>
        <v>292</v>
      </c>
      <c r="S1356">
        <f t="shared" si="43"/>
        <v>1440</v>
      </c>
      <c r="T1356">
        <f>ROUND(tbl_working_daily[[#This Row],[SedentaryMinutes]]/60,2)</f>
        <v>19.13</v>
      </c>
      <c r="U1356" t="str" cm="1">
        <f t="array" ref="U135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6" t="str" cm="1">
        <f t="array" ref="V1356">_xlfn.IFS(tbl_working_daily[[#This Row],[VeryActiveMinutes]]&gt;=30,"Very Active",tbl_working_daily[[#This Row],[VeryActiveMinutes]]&gt;=15,"Moderately Active",tbl_working_daily[[#This Row],[VeryActiveMinutes]]&gt;=1,"Lightly Active",tbl_working_daily[[#This Row],[VeryActiveMinutes]]=0,"Sedentary")</f>
        <v>Very Active</v>
      </c>
      <c r="W1356" t="str">
        <f>tbl_working_daily[[#This Row],[Id]]&amp;"|"&amp;TEXT(tbl_working_daily[[#This Row],[ActivityDate]],"yyyy-mm-dd")</f>
        <v>8877689391|2016-04-24</v>
      </c>
      <c r="X1356" t="b">
        <f>ISNUMBER(MATCH(tbl_working_daily[[#This Row],[LookupKey]],tbl_working_sleep[LookupKey],0))</f>
        <v>0</v>
      </c>
    </row>
    <row r="1357" spans="1:24" x14ac:dyDescent="0.3">
      <c r="A1357">
        <v>8877689391</v>
      </c>
      <c r="B1357" s="1">
        <v>42485</v>
      </c>
      <c r="C1357">
        <v>12986</v>
      </c>
      <c r="D1357">
        <v>8.7399997711181605</v>
      </c>
      <c r="E1357">
        <v>8.7399997711181605</v>
      </c>
      <c r="F1357">
        <v>0</v>
      </c>
      <c r="G1357">
        <v>2.3699998855590798</v>
      </c>
      <c r="H1357">
        <v>7.0000000298023196E-2</v>
      </c>
      <c r="I1357">
        <v>6.2699999809265101</v>
      </c>
      <c r="J1357">
        <v>9.9999997764825804E-3</v>
      </c>
      <c r="K1357">
        <v>113</v>
      </c>
      <c r="L1357">
        <v>8</v>
      </c>
      <c r="M1357">
        <v>218</v>
      </c>
      <c r="N1357">
        <v>1101</v>
      </c>
      <c r="O1357">
        <v>3802</v>
      </c>
      <c r="P1357" t="str">
        <f>TEXT(tbl_working_daily[[#This Row],[ActivityDate]],"dddd")</f>
        <v>Monday</v>
      </c>
      <c r="Q1357" t="str">
        <f>TEXT(tbl_working_daily[[#This Row],[ActivityDate]],"mmmm")</f>
        <v>April</v>
      </c>
      <c r="R1357">
        <f t="shared" si="42"/>
        <v>339</v>
      </c>
      <c r="S1357">
        <f t="shared" si="43"/>
        <v>1440</v>
      </c>
      <c r="T1357">
        <f>ROUND(tbl_working_daily[[#This Row],[SedentaryMinutes]]/60,2)</f>
        <v>18.350000000000001</v>
      </c>
      <c r="U1357" t="str" cm="1">
        <f t="array" ref="U135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7" t="str" cm="1">
        <f t="array" ref="V1357">_xlfn.IFS(tbl_working_daily[[#This Row],[VeryActiveMinutes]]&gt;=30,"Very Active",tbl_working_daily[[#This Row],[VeryActiveMinutes]]&gt;=15,"Moderately Active",tbl_working_daily[[#This Row],[VeryActiveMinutes]]&gt;=1,"Lightly Active",tbl_working_daily[[#This Row],[VeryActiveMinutes]]=0,"Sedentary")</f>
        <v>Very Active</v>
      </c>
      <c r="W1357" t="str">
        <f>tbl_working_daily[[#This Row],[Id]]&amp;"|"&amp;TEXT(tbl_working_daily[[#This Row],[ActivityDate]],"yyyy-mm-dd")</f>
        <v>8877689391|2016-04-25</v>
      </c>
      <c r="X1357" t="b">
        <f>ISNUMBER(MATCH(tbl_working_daily[[#This Row],[LookupKey]],tbl_working_sleep[LookupKey],0))</f>
        <v>0</v>
      </c>
    </row>
    <row r="1358" spans="1:24" x14ac:dyDescent="0.3">
      <c r="A1358">
        <v>8877689391</v>
      </c>
      <c r="B1358" s="1">
        <v>42486</v>
      </c>
      <c r="C1358">
        <v>11101</v>
      </c>
      <c r="D1358">
        <v>8.4300003051757795</v>
      </c>
      <c r="E1358">
        <v>8.4300003051757795</v>
      </c>
      <c r="F1358">
        <v>0</v>
      </c>
      <c r="G1358">
        <v>1.7599999904632599</v>
      </c>
      <c r="H1358">
        <v>0.129999995231628</v>
      </c>
      <c r="I1358">
        <v>6.5</v>
      </c>
      <c r="J1358">
        <v>0</v>
      </c>
      <c r="K1358">
        <v>22</v>
      </c>
      <c r="L1358">
        <v>3</v>
      </c>
      <c r="M1358">
        <v>258</v>
      </c>
      <c r="N1358">
        <v>1157</v>
      </c>
      <c r="O1358">
        <v>2860</v>
      </c>
      <c r="P1358" t="str">
        <f>TEXT(tbl_working_daily[[#This Row],[ActivityDate]],"dddd")</f>
        <v>Tuesday</v>
      </c>
      <c r="Q1358" t="str">
        <f>TEXT(tbl_working_daily[[#This Row],[ActivityDate]],"mmmm")</f>
        <v>April</v>
      </c>
      <c r="R1358">
        <f t="shared" si="42"/>
        <v>283</v>
      </c>
      <c r="S1358">
        <f t="shared" si="43"/>
        <v>1440</v>
      </c>
      <c r="T1358">
        <f>ROUND(tbl_working_daily[[#This Row],[SedentaryMinutes]]/60,2)</f>
        <v>19.28</v>
      </c>
      <c r="U1358" t="str" cm="1">
        <f t="array" ref="U1358">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58" t="str" cm="1">
        <f t="array" ref="V1358">_xlfn.IFS(tbl_working_daily[[#This Row],[VeryActiveMinutes]]&gt;=30,"Very Active",tbl_working_daily[[#This Row],[VeryActiveMinutes]]&gt;=15,"Moderately Active",tbl_working_daily[[#This Row],[VeryActiveMinutes]]&gt;=1,"Lightly Active",tbl_working_daily[[#This Row],[VeryActiveMinutes]]=0,"Sedentary")</f>
        <v>Moderately Active</v>
      </c>
      <c r="W1358" t="str">
        <f>tbl_working_daily[[#This Row],[Id]]&amp;"|"&amp;TEXT(tbl_working_daily[[#This Row],[ActivityDate]],"yyyy-mm-dd")</f>
        <v>8877689391|2016-04-26</v>
      </c>
      <c r="X1358" t="b">
        <f>ISNUMBER(MATCH(tbl_working_daily[[#This Row],[LookupKey]],tbl_working_sleep[LookupKey],0))</f>
        <v>0</v>
      </c>
    </row>
    <row r="1359" spans="1:24" x14ac:dyDescent="0.3">
      <c r="A1359">
        <v>8877689391</v>
      </c>
      <c r="B1359" s="1">
        <v>42487</v>
      </c>
      <c r="C1359">
        <v>23629</v>
      </c>
      <c r="D1359">
        <v>20.649999618530298</v>
      </c>
      <c r="E1359">
        <v>20.649999618530298</v>
      </c>
      <c r="F1359">
        <v>0</v>
      </c>
      <c r="G1359">
        <v>13.069999694824199</v>
      </c>
      <c r="H1359">
        <v>0.43999999761581399</v>
      </c>
      <c r="I1359">
        <v>7.0999999046325701</v>
      </c>
      <c r="J1359">
        <v>0</v>
      </c>
      <c r="K1359">
        <v>93</v>
      </c>
      <c r="L1359">
        <v>8</v>
      </c>
      <c r="M1359">
        <v>235</v>
      </c>
      <c r="N1359">
        <v>1104</v>
      </c>
      <c r="O1359">
        <v>3808</v>
      </c>
      <c r="P1359" t="str">
        <f>TEXT(tbl_working_daily[[#This Row],[ActivityDate]],"dddd")</f>
        <v>Wednesday</v>
      </c>
      <c r="Q1359" t="str">
        <f>TEXT(tbl_working_daily[[#This Row],[ActivityDate]],"mmmm")</f>
        <v>April</v>
      </c>
      <c r="R1359">
        <f t="shared" si="42"/>
        <v>336</v>
      </c>
      <c r="S1359">
        <f t="shared" si="43"/>
        <v>1440</v>
      </c>
      <c r="T1359">
        <f>ROUND(tbl_working_daily[[#This Row],[SedentaryMinutes]]/60,2)</f>
        <v>18.399999999999999</v>
      </c>
      <c r="U1359" t="str" cm="1">
        <f t="array" ref="U1359">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59" t="str" cm="1">
        <f t="array" ref="V1359">_xlfn.IFS(tbl_working_daily[[#This Row],[VeryActiveMinutes]]&gt;=30,"Very Active",tbl_working_daily[[#This Row],[VeryActiveMinutes]]&gt;=15,"Moderately Active",tbl_working_daily[[#This Row],[VeryActiveMinutes]]&gt;=1,"Lightly Active",tbl_working_daily[[#This Row],[VeryActiveMinutes]]=0,"Sedentary")</f>
        <v>Very Active</v>
      </c>
      <c r="W1359" t="str">
        <f>tbl_working_daily[[#This Row],[Id]]&amp;"|"&amp;TEXT(tbl_working_daily[[#This Row],[ActivityDate]],"yyyy-mm-dd")</f>
        <v>8877689391|2016-04-27</v>
      </c>
      <c r="X1359" t="b">
        <f>ISNUMBER(MATCH(tbl_working_daily[[#This Row],[LookupKey]],tbl_working_sleep[LookupKey],0))</f>
        <v>0</v>
      </c>
    </row>
    <row r="1360" spans="1:24" x14ac:dyDescent="0.3">
      <c r="A1360">
        <v>8877689391</v>
      </c>
      <c r="B1360" s="1">
        <v>42488</v>
      </c>
      <c r="C1360">
        <v>14890</v>
      </c>
      <c r="D1360">
        <v>11.300000190734901</v>
      </c>
      <c r="E1360">
        <v>11.300000190734901</v>
      </c>
      <c r="F1360">
        <v>0</v>
      </c>
      <c r="G1360">
        <v>4.9299998283386204</v>
      </c>
      <c r="H1360">
        <v>0.37999999523162797</v>
      </c>
      <c r="I1360">
        <v>5.9699997901916504</v>
      </c>
      <c r="J1360">
        <v>0</v>
      </c>
      <c r="K1360">
        <v>58</v>
      </c>
      <c r="L1360">
        <v>8</v>
      </c>
      <c r="M1360">
        <v>231</v>
      </c>
      <c r="N1360">
        <v>1143</v>
      </c>
      <c r="O1360">
        <v>3060</v>
      </c>
      <c r="P1360" t="str">
        <f>TEXT(tbl_working_daily[[#This Row],[ActivityDate]],"dddd")</f>
        <v>Thursday</v>
      </c>
      <c r="Q1360" t="str">
        <f>TEXT(tbl_working_daily[[#This Row],[ActivityDate]],"mmmm")</f>
        <v>April</v>
      </c>
      <c r="R1360">
        <f t="shared" si="42"/>
        <v>297</v>
      </c>
      <c r="S1360">
        <f t="shared" si="43"/>
        <v>1440</v>
      </c>
      <c r="T1360">
        <f>ROUND(tbl_working_daily[[#This Row],[SedentaryMinutes]]/60,2)</f>
        <v>19.05</v>
      </c>
      <c r="U1360" t="str" cm="1">
        <f t="array" ref="U1360">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60" t="str" cm="1">
        <f t="array" ref="V1360">_xlfn.IFS(tbl_working_daily[[#This Row],[VeryActiveMinutes]]&gt;=30,"Very Active",tbl_working_daily[[#This Row],[VeryActiveMinutes]]&gt;=15,"Moderately Active",tbl_working_daily[[#This Row],[VeryActiveMinutes]]&gt;=1,"Lightly Active",tbl_working_daily[[#This Row],[VeryActiveMinutes]]=0,"Sedentary")</f>
        <v>Very Active</v>
      </c>
      <c r="W1360" t="str">
        <f>tbl_working_daily[[#This Row],[Id]]&amp;"|"&amp;TEXT(tbl_working_daily[[#This Row],[ActivityDate]],"yyyy-mm-dd")</f>
        <v>8877689391|2016-04-28</v>
      </c>
      <c r="X1360" t="b">
        <f>ISNUMBER(MATCH(tbl_working_daily[[#This Row],[LookupKey]],tbl_working_sleep[LookupKey],0))</f>
        <v>0</v>
      </c>
    </row>
    <row r="1361" spans="1:24" x14ac:dyDescent="0.3">
      <c r="A1361">
        <v>8877689391</v>
      </c>
      <c r="B1361" s="1">
        <v>42489</v>
      </c>
      <c r="C1361">
        <v>9733</v>
      </c>
      <c r="D1361">
        <v>7.3899998664856001</v>
      </c>
      <c r="E1361">
        <v>7.3899998664856001</v>
      </c>
      <c r="F1361">
        <v>0</v>
      </c>
      <c r="G1361">
        <v>1.37999999523163</v>
      </c>
      <c r="H1361">
        <v>0.17000000178813901</v>
      </c>
      <c r="I1361">
        <v>5.78999996185303</v>
      </c>
      <c r="J1361">
        <v>0</v>
      </c>
      <c r="K1361">
        <v>18</v>
      </c>
      <c r="L1361">
        <v>5</v>
      </c>
      <c r="M1361">
        <v>210</v>
      </c>
      <c r="N1361">
        <v>1207</v>
      </c>
      <c r="O1361">
        <v>2698</v>
      </c>
      <c r="P1361" t="str">
        <f>TEXT(tbl_working_daily[[#This Row],[ActivityDate]],"dddd")</f>
        <v>Friday</v>
      </c>
      <c r="Q1361" t="str">
        <f>TEXT(tbl_working_daily[[#This Row],[ActivityDate]],"mmmm")</f>
        <v>April</v>
      </c>
      <c r="R1361">
        <f t="shared" si="42"/>
        <v>233</v>
      </c>
      <c r="S1361">
        <f t="shared" si="43"/>
        <v>1440</v>
      </c>
      <c r="T1361">
        <f>ROUND(tbl_working_daily[[#This Row],[SedentaryMinutes]]/60,2)</f>
        <v>20.12</v>
      </c>
      <c r="U1361" t="str" cm="1">
        <f t="array" ref="U1361">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61" t="str" cm="1">
        <f t="array" ref="V1361">_xlfn.IFS(tbl_working_daily[[#This Row],[VeryActiveMinutes]]&gt;=30,"Very Active",tbl_working_daily[[#This Row],[VeryActiveMinutes]]&gt;=15,"Moderately Active",tbl_working_daily[[#This Row],[VeryActiveMinutes]]&gt;=1,"Lightly Active",tbl_working_daily[[#This Row],[VeryActiveMinutes]]=0,"Sedentary")</f>
        <v>Moderately Active</v>
      </c>
      <c r="W1361" t="str">
        <f>tbl_working_daily[[#This Row],[Id]]&amp;"|"&amp;TEXT(tbl_working_daily[[#This Row],[ActivityDate]],"yyyy-mm-dd")</f>
        <v>8877689391|2016-04-29</v>
      </c>
      <c r="X1361" t="b">
        <f>ISNUMBER(MATCH(tbl_working_daily[[#This Row],[LookupKey]],tbl_working_sleep[LookupKey],0))</f>
        <v>0</v>
      </c>
    </row>
    <row r="1362" spans="1:24" x14ac:dyDescent="0.3">
      <c r="A1362">
        <v>8877689391</v>
      </c>
      <c r="B1362" s="1">
        <v>42490</v>
      </c>
      <c r="C1362">
        <v>27745</v>
      </c>
      <c r="D1362">
        <v>26.719999313354499</v>
      </c>
      <c r="E1362">
        <v>26.719999313354499</v>
      </c>
      <c r="F1362">
        <v>0</v>
      </c>
      <c r="G1362">
        <v>21.659999847412099</v>
      </c>
      <c r="H1362">
        <v>7.9999998211860698E-2</v>
      </c>
      <c r="I1362">
        <v>4.9299998283386204</v>
      </c>
      <c r="J1362">
        <v>0</v>
      </c>
      <c r="K1362">
        <v>124</v>
      </c>
      <c r="L1362">
        <v>4</v>
      </c>
      <c r="M1362">
        <v>223</v>
      </c>
      <c r="N1362">
        <v>1089</v>
      </c>
      <c r="O1362">
        <v>4398</v>
      </c>
      <c r="P1362" t="str">
        <f>TEXT(tbl_working_daily[[#This Row],[ActivityDate]],"dddd")</f>
        <v>Saturday</v>
      </c>
      <c r="Q1362" t="str">
        <f>TEXT(tbl_working_daily[[#This Row],[ActivityDate]],"mmmm")</f>
        <v>April</v>
      </c>
      <c r="R1362">
        <f t="shared" si="42"/>
        <v>351</v>
      </c>
      <c r="S1362">
        <f t="shared" si="43"/>
        <v>1440</v>
      </c>
      <c r="T1362">
        <f>ROUND(tbl_working_daily[[#This Row],[SedentaryMinutes]]/60,2)</f>
        <v>18.149999999999999</v>
      </c>
      <c r="U1362" t="str" cm="1">
        <f t="array" ref="U1362">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62" t="str" cm="1">
        <f t="array" ref="V1362">_xlfn.IFS(tbl_working_daily[[#This Row],[VeryActiveMinutes]]&gt;=30,"Very Active",tbl_working_daily[[#This Row],[VeryActiveMinutes]]&gt;=15,"Moderately Active",tbl_working_daily[[#This Row],[VeryActiveMinutes]]&gt;=1,"Lightly Active",tbl_working_daily[[#This Row],[VeryActiveMinutes]]=0,"Sedentary")</f>
        <v>Very Active</v>
      </c>
      <c r="W1362" t="str">
        <f>tbl_working_daily[[#This Row],[Id]]&amp;"|"&amp;TEXT(tbl_working_daily[[#This Row],[ActivityDate]],"yyyy-mm-dd")</f>
        <v>8877689391|2016-04-30</v>
      </c>
      <c r="X1362" t="b">
        <f>ISNUMBER(MATCH(tbl_working_daily[[#This Row],[LookupKey]],tbl_working_sleep[LookupKey],0))</f>
        <v>0</v>
      </c>
    </row>
    <row r="1363" spans="1:24" x14ac:dyDescent="0.3">
      <c r="A1363">
        <v>8877689391</v>
      </c>
      <c r="B1363" s="1">
        <v>42491</v>
      </c>
      <c r="C1363">
        <v>10930</v>
      </c>
      <c r="D1363">
        <v>8.3199996948242205</v>
      </c>
      <c r="E1363">
        <v>8.3199996948242205</v>
      </c>
      <c r="F1363">
        <v>0</v>
      </c>
      <c r="G1363">
        <v>3.1300001144409202</v>
      </c>
      <c r="H1363">
        <v>0.56999999284744296</v>
      </c>
      <c r="I1363">
        <v>4.5700001716613796</v>
      </c>
      <c r="J1363">
        <v>0</v>
      </c>
      <c r="K1363">
        <v>36</v>
      </c>
      <c r="L1363">
        <v>12</v>
      </c>
      <c r="M1363">
        <v>166</v>
      </c>
      <c r="N1363">
        <v>1226</v>
      </c>
      <c r="O1363">
        <v>2786</v>
      </c>
      <c r="P1363" t="str">
        <f>TEXT(tbl_working_daily[[#This Row],[ActivityDate]],"dddd")</f>
        <v>Sunday</v>
      </c>
      <c r="Q1363" t="str">
        <f>TEXT(tbl_working_daily[[#This Row],[ActivityDate]],"mmmm")</f>
        <v>May</v>
      </c>
      <c r="R1363">
        <f t="shared" si="42"/>
        <v>214</v>
      </c>
      <c r="S1363">
        <f t="shared" si="43"/>
        <v>1440</v>
      </c>
      <c r="T1363">
        <f>ROUND(tbl_working_daily[[#This Row],[SedentaryMinutes]]/60,2)</f>
        <v>20.43</v>
      </c>
      <c r="U1363" t="str" cm="1">
        <f t="array" ref="U1363">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63" t="str" cm="1">
        <f t="array" ref="V1363">_xlfn.IFS(tbl_working_daily[[#This Row],[VeryActiveMinutes]]&gt;=30,"Very Active",tbl_working_daily[[#This Row],[VeryActiveMinutes]]&gt;=15,"Moderately Active",tbl_working_daily[[#This Row],[VeryActiveMinutes]]&gt;=1,"Lightly Active",tbl_working_daily[[#This Row],[VeryActiveMinutes]]=0,"Sedentary")</f>
        <v>Very Active</v>
      </c>
      <c r="W1363" t="str">
        <f>tbl_working_daily[[#This Row],[Id]]&amp;"|"&amp;TEXT(tbl_working_daily[[#This Row],[ActivityDate]],"yyyy-mm-dd")</f>
        <v>8877689391|2016-05-01</v>
      </c>
      <c r="X1363" t="b">
        <f>ISNUMBER(MATCH(tbl_working_daily[[#This Row],[LookupKey]],tbl_working_sleep[LookupKey],0))</f>
        <v>0</v>
      </c>
    </row>
    <row r="1364" spans="1:24" x14ac:dyDescent="0.3">
      <c r="A1364">
        <v>8877689391</v>
      </c>
      <c r="B1364" s="1">
        <v>42492</v>
      </c>
      <c r="C1364">
        <v>4790</v>
      </c>
      <c r="D1364">
        <v>3.6400001049041699</v>
      </c>
      <c r="E1364">
        <v>3.6400001049041699</v>
      </c>
      <c r="F1364">
        <v>0</v>
      </c>
      <c r="G1364">
        <v>0</v>
      </c>
      <c r="H1364">
        <v>0</v>
      </c>
      <c r="I1364">
        <v>3.5599999427795401</v>
      </c>
      <c r="J1364">
        <v>0</v>
      </c>
      <c r="K1364">
        <v>0</v>
      </c>
      <c r="L1364">
        <v>0</v>
      </c>
      <c r="M1364">
        <v>105</v>
      </c>
      <c r="N1364">
        <v>1335</v>
      </c>
      <c r="O1364">
        <v>2189</v>
      </c>
      <c r="P1364" t="str">
        <f>TEXT(tbl_working_daily[[#This Row],[ActivityDate]],"dddd")</f>
        <v>Monday</v>
      </c>
      <c r="Q1364" t="str">
        <f>TEXT(tbl_working_daily[[#This Row],[ActivityDate]],"mmmm")</f>
        <v>May</v>
      </c>
      <c r="R1364">
        <f t="shared" si="42"/>
        <v>105</v>
      </c>
      <c r="S1364">
        <f t="shared" si="43"/>
        <v>1440</v>
      </c>
      <c r="T1364">
        <f>ROUND(tbl_working_daily[[#This Row],[SedentaryMinutes]]/60,2)</f>
        <v>22.25</v>
      </c>
      <c r="U1364" t="str" cm="1">
        <f t="array" ref="U1364">_xlfn.IFS(tbl_working_daily[[#This Row],[TotalSteps]]&lt;5000,"Sedentary",tbl_working_daily[[#This Row],[TotalSteps]]&lt;7500,"Low Active",tbl_working_daily[[#This Row],[TotalSteps]]&lt;10000,"Somewhat Active",tbl_working_daily[[#This Row],[TotalSteps]]&lt;12500,"Active",tbl_working_daily[[#This Row],[TotalSteps]]&gt;=12500,"Highly Active")</f>
        <v>Sedentary</v>
      </c>
      <c r="V1364" t="str" cm="1">
        <f t="array" ref="V1364">_xlfn.IFS(tbl_working_daily[[#This Row],[VeryActiveMinutes]]&gt;=30,"Very Active",tbl_working_daily[[#This Row],[VeryActiveMinutes]]&gt;=15,"Moderately Active",tbl_working_daily[[#This Row],[VeryActiveMinutes]]&gt;=1,"Lightly Active",tbl_working_daily[[#This Row],[VeryActiveMinutes]]=0,"Sedentary")</f>
        <v>Sedentary</v>
      </c>
      <c r="W1364" t="str">
        <f>tbl_working_daily[[#This Row],[Id]]&amp;"|"&amp;TEXT(tbl_working_daily[[#This Row],[ActivityDate]],"yyyy-mm-dd")</f>
        <v>8877689391|2016-05-02</v>
      </c>
      <c r="X1364" t="b">
        <f>ISNUMBER(MATCH(tbl_working_daily[[#This Row],[LookupKey]],tbl_working_sleep[LookupKey],0))</f>
        <v>0</v>
      </c>
    </row>
    <row r="1365" spans="1:24" x14ac:dyDescent="0.3">
      <c r="A1365">
        <v>8877689391</v>
      </c>
      <c r="B1365" s="1">
        <v>42493</v>
      </c>
      <c r="C1365">
        <v>10818</v>
      </c>
      <c r="D1365">
        <v>8.2100000381469709</v>
      </c>
      <c r="E1365">
        <v>8.2100000381469709</v>
      </c>
      <c r="F1365">
        <v>0</v>
      </c>
      <c r="G1365">
        <v>1.3899999856948899</v>
      </c>
      <c r="H1365">
        <v>0.10000000149011599</v>
      </c>
      <c r="I1365">
        <v>6.6700000762939498</v>
      </c>
      <c r="J1365">
        <v>9.9999997764825804E-3</v>
      </c>
      <c r="K1365">
        <v>19</v>
      </c>
      <c r="L1365">
        <v>3</v>
      </c>
      <c r="M1365">
        <v>229</v>
      </c>
      <c r="N1365">
        <v>1189</v>
      </c>
      <c r="O1365">
        <v>2817</v>
      </c>
      <c r="P1365" t="str">
        <f>TEXT(tbl_working_daily[[#This Row],[ActivityDate]],"dddd")</f>
        <v>Tuesday</v>
      </c>
      <c r="Q1365" t="str">
        <f>TEXT(tbl_working_daily[[#This Row],[ActivityDate]],"mmmm")</f>
        <v>May</v>
      </c>
      <c r="R1365">
        <f t="shared" si="42"/>
        <v>251</v>
      </c>
      <c r="S1365">
        <f t="shared" si="43"/>
        <v>1440</v>
      </c>
      <c r="T1365">
        <f>ROUND(tbl_working_daily[[#This Row],[SedentaryMinutes]]/60,2)</f>
        <v>19.82</v>
      </c>
      <c r="U1365" t="str" cm="1">
        <f t="array" ref="U1365">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65" t="str" cm="1">
        <f t="array" ref="V1365">_xlfn.IFS(tbl_working_daily[[#This Row],[VeryActiveMinutes]]&gt;=30,"Very Active",tbl_working_daily[[#This Row],[VeryActiveMinutes]]&gt;=15,"Moderately Active",tbl_working_daily[[#This Row],[VeryActiveMinutes]]&gt;=1,"Lightly Active",tbl_working_daily[[#This Row],[VeryActiveMinutes]]=0,"Sedentary")</f>
        <v>Moderately Active</v>
      </c>
      <c r="W1365" t="str">
        <f>tbl_working_daily[[#This Row],[Id]]&amp;"|"&amp;TEXT(tbl_working_daily[[#This Row],[ActivityDate]],"yyyy-mm-dd")</f>
        <v>8877689391|2016-05-03</v>
      </c>
      <c r="X1365" t="b">
        <f>ISNUMBER(MATCH(tbl_working_daily[[#This Row],[LookupKey]],tbl_working_sleep[LookupKey],0))</f>
        <v>0</v>
      </c>
    </row>
    <row r="1366" spans="1:24" x14ac:dyDescent="0.3">
      <c r="A1366">
        <v>8877689391</v>
      </c>
      <c r="B1366" s="1">
        <v>42494</v>
      </c>
      <c r="C1366">
        <v>18193</v>
      </c>
      <c r="D1366">
        <v>16.299999237060501</v>
      </c>
      <c r="E1366">
        <v>16.299999237060501</v>
      </c>
      <c r="F1366">
        <v>0</v>
      </c>
      <c r="G1366">
        <v>10.420000076293899</v>
      </c>
      <c r="H1366">
        <v>0.31000000238418601</v>
      </c>
      <c r="I1366">
        <v>5.5300002098083496</v>
      </c>
      <c r="J1366">
        <v>0</v>
      </c>
      <c r="K1366">
        <v>66</v>
      </c>
      <c r="L1366">
        <v>8</v>
      </c>
      <c r="M1366">
        <v>212</v>
      </c>
      <c r="N1366">
        <v>1154</v>
      </c>
      <c r="O1366">
        <v>3477</v>
      </c>
      <c r="P1366" t="str">
        <f>TEXT(tbl_working_daily[[#This Row],[ActivityDate]],"dddd")</f>
        <v>Wednesday</v>
      </c>
      <c r="Q1366" t="str">
        <f>TEXT(tbl_working_daily[[#This Row],[ActivityDate]],"mmmm")</f>
        <v>May</v>
      </c>
      <c r="R1366">
        <f t="shared" si="42"/>
        <v>286</v>
      </c>
      <c r="S1366">
        <f t="shared" si="43"/>
        <v>1440</v>
      </c>
      <c r="T1366">
        <f>ROUND(tbl_working_daily[[#This Row],[SedentaryMinutes]]/60,2)</f>
        <v>19.23</v>
      </c>
      <c r="U1366" t="str" cm="1">
        <f t="array" ref="U1366">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66" t="str" cm="1">
        <f t="array" ref="V1366">_xlfn.IFS(tbl_working_daily[[#This Row],[VeryActiveMinutes]]&gt;=30,"Very Active",tbl_working_daily[[#This Row],[VeryActiveMinutes]]&gt;=15,"Moderately Active",tbl_working_daily[[#This Row],[VeryActiveMinutes]]&gt;=1,"Lightly Active",tbl_working_daily[[#This Row],[VeryActiveMinutes]]=0,"Sedentary")</f>
        <v>Very Active</v>
      </c>
      <c r="W1366" t="str">
        <f>tbl_working_daily[[#This Row],[Id]]&amp;"|"&amp;TEXT(tbl_working_daily[[#This Row],[ActivityDate]],"yyyy-mm-dd")</f>
        <v>8877689391|2016-05-04</v>
      </c>
      <c r="X1366" t="b">
        <f>ISNUMBER(MATCH(tbl_working_daily[[#This Row],[LookupKey]],tbl_working_sleep[LookupKey],0))</f>
        <v>0</v>
      </c>
    </row>
    <row r="1367" spans="1:24" x14ac:dyDescent="0.3">
      <c r="A1367">
        <v>8877689391</v>
      </c>
      <c r="B1367" s="1">
        <v>42495</v>
      </c>
      <c r="C1367">
        <v>14055</v>
      </c>
      <c r="D1367">
        <v>10.670000076293899</v>
      </c>
      <c r="E1367">
        <v>10.670000076293899</v>
      </c>
      <c r="F1367">
        <v>0</v>
      </c>
      <c r="G1367">
        <v>5.46000003814697</v>
      </c>
      <c r="H1367">
        <v>0.81999999284744296</v>
      </c>
      <c r="I1367">
        <v>4.3699998855590803</v>
      </c>
      <c r="J1367">
        <v>0</v>
      </c>
      <c r="K1367">
        <v>67</v>
      </c>
      <c r="L1367">
        <v>15</v>
      </c>
      <c r="M1367">
        <v>188</v>
      </c>
      <c r="N1367">
        <v>1170</v>
      </c>
      <c r="O1367">
        <v>3052</v>
      </c>
      <c r="P1367" t="str">
        <f>TEXT(tbl_working_daily[[#This Row],[ActivityDate]],"dddd")</f>
        <v>Thursday</v>
      </c>
      <c r="Q1367" t="str">
        <f>TEXT(tbl_working_daily[[#This Row],[ActivityDate]],"mmmm")</f>
        <v>May</v>
      </c>
      <c r="R1367">
        <f t="shared" si="42"/>
        <v>270</v>
      </c>
      <c r="S1367">
        <f t="shared" si="43"/>
        <v>1440</v>
      </c>
      <c r="T1367">
        <f>ROUND(tbl_working_daily[[#This Row],[SedentaryMinutes]]/60,2)</f>
        <v>19.5</v>
      </c>
      <c r="U1367" t="str" cm="1">
        <f t="array" ref="U1367">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67" t="str" cm="1">
        <f t="array" ref="V1367">_xlfn.IFS(tbl_working_daily[[#This Row],[VeryActiveMinutes]]&gt;=30,"Very Active",tbl_working_daily[[#This Row],[VeryActiveMinutes]]&gt;=15,"Moderately Active",tbl_working_daily[[#This Row],[VeryActiveMinutes]]&gt;=1,"Lightly Active",tbl_working_daily[[#This Row],[VeryActiveMinutes]]=0,"Sedentary")</f>
        <v>Very Active</v>
      </c>
      <c r="W1367" t="str">
        <f>tbl_working_daily[[#This Row],[Id]]&amp;"|"&amp;TEXT(tbl_working_daily[[#This Row],[ActivityDate]],"yyyy-mm-dd")</f>
        <v>8877689391|2016-05-05</v>
      </c>
      <c r="X1367" t="b">
        <f>ISNUMBER(MATCH(tbl_working_daily[[#This Row],[LookupKey]],tbl_working_sleep[LookupKey],0))</f>
        <v>0</v>
      </c>
    </row>
    <row r="1368" spans="1:24" x14ac:dyDescent="0.3">
      <c r="A1368">
        <v>8877689391</v>
      </c>
      <c r="B1368" s="1">
        <v>42496</v>
      </c>
      <c r="C1368">
        <v>21727</v>
      </c>
      <c r="D1368">
        <v>19.340000152587901</v>
      </c>
      <c r="E1368">
        <v>19.340000152587901</v>
      </c>
      <c r="F1368">
        <v>0</v>
      </c>
      <c r="G1368">
        <v>12.789999961853001</v>
      </c>
      <c r="H1368">
        <v>0.28999999165535001</v>
      </c>
      <c r="I1368">
        <v>6.1599998474121103</v>
      </c>
      <c r="J1368">
        <v>0</v>
      </c>
      <c r="K1368">
        <v>96</v>
      </c>
      <c r="L1368">
        <v>17</v>
      </c>
      <c r="M1368">
        <v>232</v>
      </c>
      <c r="N1368">
        <v>1095</v>
      </c>
      <c r="O1368">
        <v>4015</v>
      </c>
      <c r="P1368" t="str">
        <f>TEXT(tbl_working_daily[[#This Row],[ActivityDate]],"dddd")</f>
        <v>Friday</v>
      </c>
      <c r="Q1368" t="str">
        <f>TEXT(tbl_working_daily[[#This Row],[ActivityDate]],"mmmm")</f>
        <v>May</v>
      </c>
      <c r="R1368">
        <f t="shared" si="42"/>
        <v>345</v>
      </c>
      <c r="S1368">
        <f t="shared" si="43"/>
        <v>1440</v>
      </c>
      <c r="T1368">
        <f>ROUND(tbl_working_daily[[#This Row],[SedentaryMinutes]]/60,2)</f>
        <v>18.25</v>
      </c>
      <c r="U1368" t="str" cm="1">
        <f t="array" ref="U1368">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68" t="str" cm="1">
        <f t="array" ref="V1368">_xlfn.IFS(tbl_working_daily[[#This Row],[VeryActiveMinutes]]&gt;=30,"Very Active",tbl_working_daily[[#This Row],[VeryActiveMinutes]]&gt;=15,"Moderately Active",tbl_working_daily[[#This Row],[VeryActiveMinutes]]&gt;=1,"Lightly Active",tbl_working_daily[[#This Row],[VeryActiveMinutes]]=0,"Sedentary")</f>
        <v>Very Active</v>
      </c>
      <c r="W1368" t="str">
        <f>tbl_working_daily[[#This Row],[Id]]&amp;"|"&amp;TEXT(tbl_working_daily[[#This Row],[ActivityDate]],"yyyy-mm-dd")</f>
        <v>8877689391|2016-05-06</v>
      </c>
      <c r="X1368" t="b">
        <f>ISNUMBER(MATCH(tbl_working_daily[[#This Row],[LookupKey]],tbl_working_sleep[LookupKey],0))</f>
        <v>0</v>
      </c>
    </row>
    <row r="1369" spans="1:24" x14ac:dyDescent="0.3">
      <c r="A1369">
        <v>8877689391</v>
      </c>
      <c r="B1369" s="1">
        <v>42497</v>
      </c>
      <c r="C1369">
        <v>12332</v>
      </c>
      <c r="D1369">
        <v>8.1300001144409197</v>
      </c>
      <c r="E1369">
        <v>8.1300001144409197</v>
      </c>
      <c r="F1369">
        <v>0</v>
      </c>
      <c r="G1369">
        <v>7.9999998211860698E-2</v>
      </c>
      <c r="H1369">
        <v>0.95999997854232799</v>
      </c>
      <c r="I1369">
        <v>6.9899997711181596</v>
      </c>
      <c r="J1369">
        <v>0</v>
      </c>
      <c r="K1369">
        <v>105</v>
      </c>
      <c r="L1369">
        <v>28</v>
      </c>
      <c r="M1369">
        <v>271</v>
      </c>
      <c r="N1369">
        <v>1036</v>
      </c>
      <c r="O1369">
        <v>4142</v>
      </c>
      <c r="P1369" t="str">
        <f>TEXT(tbl_working_daily[[#This Row],[ActivityDate]],"dddd")</f>
        <v>Saturday</v>
      </c>
      <c r="Q1369" t="str">
        <f>TEXT(tbl_working_daily[[#This Row],[ActivityDate]],"mmmm")</f>
        <v>May</v>
      </c>
      <c r="R1369">
        <f t="shared" si="42"/>
        <v>404</v>
      </c>
      <c r="S1369">
        <f t="shared" si="43"/>
        <v>1440</v>
      </c>
      <c r="T1369">
        <f>ROUND(tbl_working_daily[[#This Row],[SedentaryMinutes]]/60,2)</f>
        <v>17.27</v>
      </c>
      <c r="U1369" t="str" cm="1">
        <f t="array" ref="U1369">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69" t="str" cm="1">
        <f t="array" ref="V1369">_xlfn.IFS(tbl_working_daily[[#This Row],[VeryActiveMinutes]]&gt;=30,"Very Active",tbl_working_daily[[#This Row],[VeryActiveMinutes]]&gt;=15,"Moderately Active",tbl_working_daily[[#This Row],[VeryActiveMinutes]]&gt;=1,"Lightly Active",tbl_working_daily[[#This Row],[VeryActiveMinutes]]=0,"Sedentary")</f>
        <v>Very Active</v>
      </c>
      <c r="W1369" t="str">
        <f>tbl_working_daily[[#This Row],[Id]]&amp;"|"&amp;TEXT(tbl_working_daily[[#This Row],[ActivityDate]],"yyyy-mm-dd")</f>
        <v>8877689391|2016-05-07</v>
      </c>
      <c r="X1369" t="b">
        <f>ISNUMBER(MATCH(tbl_working_daily[[#This Row],[LookupKey]],tbl_working_sleep[LookupKey],0))</f>
        <v>0</v>
      </c>
    </row>
    <row r="1370" spans="1:24" x14ac:dyDescent="0.3">
      <c r="A1370">
        <v>8877689391</v>
      </c>
      <c r="B1370" s="1">
        <v>42498</v>
      </c>
      <c r="C1370">
        <v>10686</v>
      </c>
      <c r="D1370">
        <v>8.1099996566772496</v>
      </c>
      <c r="E1370">
        <v>8.1099996566772496</v>
      </c>
      <c r="F1370">
        <v>0</v>
      </c>
      <c r="G1370">
        <v>1.08000004291534</v>
      </c>
      <c r="H1370">
        <v>0.20000000298023199</v>
      </c>
      <c r="I1370">
        <v>6.8000001907348597</v>
      </c>
      <c r="J1370">
        <v>0</v>
      </c>
      <c r="K1370">
        <v>17</v>
      </c>
      <c r="L1370">
        <v>4</v>
      </c>
      <c r="M1370">
        <v>245</v>
      </c>
      <c r="N1370">
        <v>1174</v>
      </c>
      <c r="O1370">
        <v>2847</v>
      </c>
      <c r="P1370" t="str">
        <f>TEXT(tbl_working_daily[[#This Row],[ActivityDate]],"dddd")</f>
        <v>Sunday</v>
      </c>
      <c r="Q1370" t="str">
        <f>TEXT(tbl_working_daily[[#This Row],[ActivityDate]],"mmmm")</f>
        <v>May</v>
      </c>
      <c r="R1370">
        <f t="shared" si="42"/>
        <v>266</v>
      </c>
      <c r="S1370">
        <f t="shared" si="43"/>
        <v>1440</v>
      </c>
      <c r="T1370">
        <f>ROUND(tbl_working_daily[[#This Row],[SedentaryMinutes]]/60,2)</f>
        <v>19.57</v>
      </c>
      <c r="U1370" t="str" cm="1">
        <f t="array" ref="U1370">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70" t="str" cm="1">
        <f t="array" ref="V1370">_xlfn.IFS(tbl_working_daily[[#This Row],[VeryActiveMinutes]]&gt;=30,"Very Active",tbl_working_daily[[#This Row],[VeryActiveMinutes]]&gt;=15,"Moderately Active",tbl_working_daily[[#This Row],[VeryActiveMinutes]]&gt;=1,"Lightly Active",tbl_working_daily[[#This Row],[VeryActiveMinutes]]=0,"Sedentary")</f>
        <v>Moderately Active</v>
      </c>
      <c r="W1370" t="str">
        <f>tbl_working_daily[[#This Row],[Id]]&amp;"|"&amp;TEXT(tbl_working_daily[[#This Row],[ActivityDate]],"yyyy-mm-dd")</f>
        <v>8877689391|2016-05-08</v>
      </c>
      <c r="X1370" t="b">
        <f>ISNUMBER(MATCH(tbl_working_daily[[#This Row],[LookupKey]],tbl_working_sleep[LookupKey],0))</f>
        <v>0</v>
      </c>
    </row>
    <row r="1371" spans="1:24" x14ac:dyDescent="0.3">
      <c r="A1371">
        <v>8877689391</v>
      </c>
      <c r="B1371" s="1">
        <v>42499</v>
      </c>
      <c r="C1371">
        <v>20226</v>
      </c>
      <c r="D1371">
        <v>18.25</v>
      </c>
      <c r="E1371">
        <v>18.25</v>
      </c>
      <c r="F1371">
        <v>0</v>
      </c>
      <c r="G1371">
        <v>11.1000003814697</v>
      </c>
      <c r="H1371">
        <v>0.80000001192092896</v>
      </c>
      <c r="I1371">
        <v>6.2399997711181596</v>
      </c>
      <c r="J1371">
        <v>5.0000000745058101E-2</v>
      </c>
      <c r="K1371">
        <v>73</v>
      </c>
      <c r="L1371">
        <v>19</v>
      </c>
      <c r="M1371">
        <v>217</v>
      </c>
      <c r="N1371">
        <v>1131</v>
      </c>
      <c r="O1371">
        <v>3710</v>
      </c>
      <c r="P1371" t="str">
        <f>TEXT(tbl_working_daily[[#This Row],[ActivityDate]],"dddd")</f>
        <v>Monday</v>
      </c>
      <c r="Q1371" t="str">
        <f>TEXT(tbl_working_daily[[#This Row],[ActivityDate]],"mmmm")</f>
        <v>May</v>
      </c>
      <c r="R1371">
        <f t="shared" si="42"/>
        <v>309</v>
      </c>
      <c r="S1371">
        <f t="shared" si="43"/>
        <v>1440</v>
      </c>
      <c r="T1371">
        <f>ROUND(tbl_working_daily[[#This Row],[SedentaryMinutes]]/60,2)</f>
        <v>18.850000000000001</v>
      </c>
      <c r="U1371" t="str" cm="1">
        <f t="array" ref="U1371">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71" t="str" cm="1">
        <f t="array" ref="V1371">_xlfn.IFS(tbl_working_daily[[#This Row],[VeryActiveMinutes]]&gt;=30,"Very Active",tbl_working_daily[[#This Row],[VeryActiveMinutes]]&gt;=15,"Moderately Active",tbl_working_daily[[#This Row],[VeryActiveMinutes]]&gt;=1,"Lightly Active",tbl_working_daily[[#This Row],[VeryActiveMinutes]]=0,"Sedentary")</f>
        <v>Very Active</v>
      </c>
      <c r="W1371" t="str">
        <f>tbl_working_daily[[#This Row],[Id]]&amp;"|"&amp;TEXT(tbl_working_daily[[#This Row],[ActivityDate]],"yyyy-mm-dd")</f>
        <v>8877689391|2016-05-09</v>
      </c>
      <c r="X1371" t="b">
        <f>ISNUMBER(MATCH(tbl_working_daily[[#This Row],[LookupKey]],tbl_working_sleep[LookupKey],0))</f>
        <v>0</v>
      </c>
    </row>
    <row r="1372" spans="1:24" x14ac:dyDescent="0.3">
      <c r="A1372">
        <v>8877689391</v>
      </c>
      <c r="B1372" s="1">
        <v>42500</v>
      </c>
      <c r="C1372">
        <v>10733</v>
      </c>
      <c r="D1372">
        <v>8.1499996185302699</v>
      </c>
      <c r="E1372">
        <v>8.1499996185302699</v>
      </c>
      <c r="F1372">
        <v>0</v>
      </c>
      <c r="G1372">
        <v>1.3500000238418599</v>
      </c>
      <c r="H1372">
        <v>0.46000000834464999</v>
      </c>
      <c r="I1372">
        <v>6.2800002098083496</v>
      </c>
      <c r="J1372">
        <v>0</v>
      </c>
      <c r="K1372">
        <v>18</v>
      </c>
      <c r="L1372">
        <v>11</v>
      </c>
      <c r="M1372">
        <v>224</v>
      </c>
      <c r="N1372">
        <v>1187</v>
      </c>
      <c r="O1372">
        <v>2832</v>
      </c>
      <c r="P1372" t="str">
        <f>TEXT(tbl_working_daily[[#This Row],[ActivityDate]],"dddd")</f>
        <v>Tuesday</v>
      </c>
      <c r="Q1372" t="str">
        <f>TEXT(tbl_working_daily[[#This Row],[ActivityDate]],"mmmm")</f>
        <v>May</v>
      </c>
      <c r="R1372">
        <f t="shared" si="42"/>
        <v>253</v>
      </c>
      <c r="S1372">
        <f t="shared" si="43"/>
        <v>1440</v>
      </c>
      <c r="T1372">
        <f>ROUND(tbl_working_daily[[#This Row],[SedentaryMinutes]]/60,2)</f>
        <v>19.78</v>
      </c>
      <c r="U1372" t="str" cm="1">
        <f t="array" ref="U1372">_xlfn.IFS(tbl_working_daily[[#This Row],[TotalSteps]]&lt;5000,"Sedentary",tbl_working_daily[[#This Row],[TotalSteps]]&lt;7500,"Low Active",tbl_working_daily[[#This Row],[TotalSteps]]&lt;10000,"Somewhat Active",tbl_working_daily[[#This Row],[TotalSteps]]&lt;12500,"Active",tbl_working_daily[[#This Row],[TotalSteps]]&gt;=12500,"Highly Active")</f>
        <v>Active</v>
      </c>
      <c r="V1372" t="str" cm="1">
        <f t="array" ref="V1372">_xlfn.IFS(tbl_working_daily[[#This Row],[VeryActiveMinutes]]&gt;=30,"Very Active",tbl_working_daily[[#This Row],[VeryActiveMinutes]]&gt;=15,"Moderately Active",tbl_working_daily[[#This Row],[VeryActiveMinutes]]&gt;=1,"Lightly Active",tbl_working_daily[[#This Row],[VeryActiveMinutes]]=0,"Sedentary")</f>
        <v>Moderately Active</v>
      </c>
      <c r="W1372" t="str">
        <f>tbl_working_daily[[#This Row],[Id]]&amp;"|"&amp;TEXT(tbl_working_daily[[#This Row],[ActivityDate]],"yyyy-mm-dd")</f>
        <v>8877689391|2016-05-10</v>
      </c>
      <c r="X1372" t="b">
        <f>ISNUMBER(MATCH(tbl_working_daily[[#This Row],[LookupKey]],tbl_working_sleep[LookupKey],0))</f>
        <v>0</v>
      </c>
    </row>
    <row r="1373" spans="1:24" x14ac:dyDescent="0.3">
      <c r="A1373">
        <v>8877689391</v>
      </c>
      <c r="B1373" s="1">
        <v>42501</v>
      </c>
      <c r="C1373">
        <v>21420</v>
      </c>
      <c r="D1373">
        <v>19.559999465942401</v>
      </c>
      <c r="E1373">
        <v>19.559999465942401</v>
      </c>
      <c r="F1373">
        <v>0</v>
      </c>
      <c r="G1373">
        <v>13.2200002670288</v>
      </c>
      <c r="H1373">
        <v>0.40999999642372098</v>
      </c>
      <c r="I1373">
        <v>5.8899998664856001</v>
      </c>
      <c r="J1373">
        <v>0</v>
      </c>
      <c r="K1373">
        <v>88</v>
      </c>
      <c r="L1373">
        <v>12</v>
      </c>
      <c r="M1373">
        <v>213</v>
      </c>
      <c r="N1373">
        <v>1127</v>
      </c>
      <c r="O1373">
        <v>3832</v>
      </c>
      <c r="P1373" t="str">
        <f>TEXT(tbl_working_daily[[#This Row],[ActivityDate]],"dddd")</f>
        <v>Wednesday</v>
      </c>
      <c r="Q1373" t="str">
        <f>TEXT(tbl_working_daily[[#This Row],[ActivityDate]],"mmmm")</f>
        <v>May</v>
      </c>
      <c r="R1373">
        <f t="shared" si="42"/>
        <v>313</v>
      </c>
      <c r="S1373">
        <f t="shared" si="43"/>
        <v>1440</v>
      </c>
      <c r="T1373">
        <f>ROUND(tbl_working_daily[[#This Row],[SedentaryMinutes]]/60,2)</f>
        <v>18.78</v>
      </c>
      <c r="U1373" t="str" cm="1">
        <f t="array" ref="U1373">_xlfn.IFS(tbl_working_daily[[#This Row],[TotalSteps]]&lt;5000,"Sedentary",tbl_working_daily[[#This Row],[TotalSteps]]&lt;7500,"Low Active",tbl_working_daily[[#This Row],[TotalSteps]]&lt;10000,"Somewhat Active",tbl_working_daily[[#This Row],[TotalSteps]]&lt;12500,"Active",tbl_working_daily[[#This Row],[TotalSteps]]&gt;=12500,"Highly Active")</f>
        <v>Highly Active</v>
      </c>
      <c r="V1373" t="str" cm="1">
        <f t="array" ref="V1373">_xlfn.IFS(tbl_working_daily[[#This Row],[VeryActiveMinutes]]&gt;=30,"Very Active",tbl_working_daily[[#This Row],[VeryActiveMinutes]]&gt;=15,"Moderately Active",tbl_working_daily[[#This Row],[VeryActiveMinutes]]&gt;=1,"Lightly Active",tbl_working_daily[[#This Row],[VeryActiveMinutes]]=0,"Sedentary")</f>
        <v>Very Active</v>
      </c>
      <c r="W1373" t="str">
        <f>tbl_working_daily[[#This Row],[Id]]&amp;"|"&amp;TEXT(tbl_working_daily[[#This Row],[ActivityDate]],"yyyy-mm-dd")</f>
        <v>8877689391|2016-05-11</v>
      </c>
      <c r="X1373" t="b">
        <f>ISNUMBER(MATCH(tbl_working_daily[[#This Row],[LookupKey]],tbl_working_sleep[LookupKey],0))</f>
        <v>0</v>
      </c>
    </row>
    <row r="1374" spans="1:24" x14ac:dyDescent="0.3">
      <c r="A1374">
        <v>8877689391</v>
      </c>
      <c r="B1374" s="1">
        <v>42502</v>
      </c>
      <c r="C1374">
        <v>8064</v>
      </c>
      <c r="D1374">
        <v>6.1199998855590803</v>
      </c>
      <c r="E1374">
        <v>6.1199998855590803</v>
      </c>
      <c r="F1374">
        <v>0</v>
      </c>
      <c r="G1374">
        <v>1.8200000524520901</v>
      </c>
      <c r="H1374">
        <v>3.9999999105930301E-2</v>
      </c>
      <c r="I1374">
        <v>4.25</v>
      </c>
      <c r="J1374">
        <v>0</v>
      </c>
      <c r="K1374">
        <v>23</v>
      </c>
      <c r="L1374">
        <v>1</v>
      </c>
      <c r="M1374">
        <v>137</v>
      </c>
      <c r="N1374">
        <v>770</v>
      </c>
      <c r="O1374">
        <v>1849</v>
      </c>
      <c r="P1374" t="str">
        <f>TEXT(tbl_working_daily[[#This Row],[ActivityDate]],"dddd")</f>
        <v>Thursday</v>
      </c>
      <c r="Q1374" t="str">
        <f>TEXT(tbl_working_daily[[#This Row],[ActivityDate]],"mmmm")</f>
        <v>May</v>
      </c>
      <c r="R1374">
        <f t="shared" si="42"/>
        <v>161</v>
      </c>
      <c r="S1374">
        <f t="shared" si="43"/>
        <v>931</v>
      </c>
      <c r="T1374">
        <f>ROUND(tbl_working_daily[[#This Row],[SedentaryMinutes]]/60,2)</f>
        <v>12.83</v>
      </c>
      <c r="U1374" t="str" cm="1">
        <f t="array" ref="U1374">_xlfn.IFS(tbl_working_daily[[#This Row],[TotalSteps]]&lt;5000,"Sedentary",tbl_working_daily[[#This Row],[TotalSteps]]&lt;7500,"Low Active",tbl_working_daily[[#This Row],[TotalSteps]]&lt;10000,"Somewhat Active",tbl_working_daily[[#This Row],[TotalSteps]]&lt;12500,"Active",tbl_working_daily[[#This Row],[TotalSteps]]&gt;=12500,"Highly Active")</f>
        <v>Somewhat Active</v>
      </c>
      <c r="V1374" t="str" cm="1">
        <f t="array" ref="V1374">_xlfn.IFS(tbl_working_daily[[#This Row],[VeryActiveMinutes]]&gt;=30,"Very Active",tbl_working_daily[[#This Row],[VeryActiveMinutes]]&gt;=15,"Moderately Active",tbl_working_daily[[#This Row],[VeryActiveMinutes]]&gt;=1,"Lightly Active",tbl_working_daily[[#This Row],[VeryActiveMinutes]]=0,"Sedentary")</f>
        <v>Moderately Active</v>
      </c>
      <c r="W1374" t="str">
        <f>tbl_working_daily[[#This Row],[Id]]&amp;"|"&amp;TEXT(tbl_working_daily[[#This Row],[ActivityDate]],"yyyy-mm-dd")</f>
        <v>8877689391|2016-05-12</v>
      </c>
      <c r="X1374" t="b">
        <f>ISNUMBER(MATCH(tbl_working_daily[[#This Row],[LookupKey]],tbl_working_sleep[LookupKey],0))</f>
        <v>0</v>
      </c>
    </row>
    <row r="1048576" spans="1:24" x14ac:dyDescent="0.3">
      <c r="A1048576">
        <f>SUBTOTAL(9,A2:A1048575)</f>
        <v>6566133586470</v>
      </c>
      <c r="C1048576">
        <f t="shared" ref="C1048576:O1048576" si="44">SUBTOTAL(9,C2:C1048575)</f>
        <v>9950626</v>
      </c>
      <c r="D1048576">
        <f t="shared" si="44"/>
        <v>7131.5499934591353</v>
      </c>
      <c r="E1048576">
        <f t="shared" si="44"/>
        <v>7094.3399942554533</v>
      </c>
      <c r="F1048576">
        <f t="shared" si="44"/>
        <v>176.5561294592917</v>
      </c>
      <c r="G1048576">
        <f t="shared" si="44"/>
        <v>1895.6599986273795</v>
      </c>
      <c r="H1048576">
        <f t="shared" si="44"/>
        <v>743.81999790295959</v>
      </c>
      <c r="I1048576">
        <f t="shared" si="44"/>
        <v>4366.3499997891486</v>
      </c>
      <c r="J1048576">
        <f t="shared" si="44"/>
        <v>2.379999965429306</v>
      </c>
      <c r="K1048576">
        <f t="shared" si="44"/>
        <v>26844</v>
      </c>
      <c r="L1048576">
        <f t="shared" si="44"/>
        <v>18539</v>
      </c>
      <c r="M1048576">
        <f t="shared" si="44"/>
        <v>253470</v>
      </c>
      <c r="N1048576">
        <f t="shared" si="44"/>
        <v>1363974</v>
      </c>
      <c r="O1048576">
        <f t="shared" si="44"/>
        <v>3109089</v>
      </c>
      <c r="R1048576">
        <f>SUBTOTAL(9,R2:R1048575)</f>
        <v>298853</v>
      </c>
      <c r="S1048576">
        <f>SUBTOTAL(9,S2:S1048575)</f>
        <v>1662827</v>
      </c>
      <c r="T1048576">
        <f>SUBTOTAL(9,T2:T1048575)</f>
        <v>22732.770000000015</v>
      </c>
      <c r="X1048576">
        <f>SUBTOTAL(9,X2:X1048575)</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7EE9-0C50-4BA7-B3AA-D76216E0E9EA}">
  <sheetPr>
    <tabColor theme="9"/>
  </sheetPr>
  <dimension ref="A1:L411"/>
  <sheetViews>
    <sheetView topLeftCell="A2" workbookViewId="0">
      <selection activeCell="A3" sqref="A3"/>
    </sheetView>
  </sheetViews>
  <sheetFormatPr defaultRowHeight="14.4" x14ac:dyDescent="0.3"/>
  <cols>
    <col min="1" max="1" width="13.77734375" customWidth="1"/>
    <col min="2" max="2" width="18.6640625" customWidth="1"/>
    <col min="3" max="3" width="18.5546875" customWidth="1"/>
    <col min="4" max="4" width="19.21875" customWidth="1"/>
    <col min="5" max="5" width="15.88671875" customWidth="1"/>
    <col min="6" max="6" width="15" customWidth="1"/>
    <col min="7" max="7" width="15.88671875" customWidth="1"/>
    <col min="8" max="8" width="19.5546875" customWidth="1"/>
    <col min="9" max="9" width="21.109375" customWidth="1"/>
    <col min="10" max="10" width="19.109375" customWidth="1"/>
    <col min="11" max="11" width="18.77734375" customWidth="1"/>
    <col min="12" max="12" width="23.6640625" customWidth="1"/>
  </cols>
  <sheetData>
    <row r="1" spans="1:12" x14ac:dyDescent="0.3">
      <c r="A1" t="s">
        <v>0</v>
      </c>
      <c r="B1" t="s">
        <v>15</v>
      </c>
      <c r="C1" t="s">
        <v>16</v>
      </c>
      <c r="D1" t="s">
        <v>17</v>
      </c>
      <c r="E1" t="s">
        <v>18</v>
      </c>
      <c r="F1" t="s">
        <v>84</v>
      </c>
      <c r="G1" t="s">
        <v>114</v>
      </c>
      <c r="H1" t="s">
        <v>115</v>
      </c>
      <c r="I1" t="s">
        <v>116</v>
      </c>
      <c r="J1" t="s">
        <v>117</v>
      </c>
      <c r="K1" t="s">
        <v>118</v>
      </c>
      <c r="L1" t="s">
        <v>138</v>
      </c>
    </row>
    <row r="2" spans="1:12" x14ac:dyDescent="0.3">
      <c r="A2">
        <v>1503960366</v>
      </c>
      <c r="B2" s="2">
        <v>42472</v>
      </c>
      <c r="C2">
        <v>1</v>
      </c>
      <c r="D2">
        <v>327</v>
      </c>
      <c r="E2">
        <v>346</v>
      </c>
      <c r="F2" t="str">
        <f>TEXT(tbl_working_sleep[[#This Row],[SleepDay]],"dddd")</f>
        <v>Tuesday</v>
      </c>
      <c r="G2">
        <f>ROUND(tbl_working_sleep[[#This Row],[TotalMinutesAsleep]]/60,2)</f>
        <v>5.45</v>
      </c>
      <c r="H2">
        <f>ROUND(tbl_working_sleep[[#This Row],[TotalTimeInBed]]/60,2)</f>
        <v>5.77</v>
      </c>
      <c r="I2">
        <f>tbl_working_sleep[[#This Row],[TotalTimeInBed]]-tbl_working_sleep[[#This Row],[TotalMinutesAsleep]]</f>
        <v>19</v>
      </c>
      <c r="J2">
        <f>ROUND(tbl_working_sleep[[#This Row],[TotalMinutesAsleep]]/tbl_working_sleep[[#This Row],[TotalTimeInBed]]*100,2)</f>
        <v>94.51</v>
      </c>
      <c r="K2" t="str" cm="1">
        <f t="array" ref="K2">_xlfn.IFS(tbl_working_sleep[[#This Row],[SleepHours]]&lt;6,"Insufficient Sleep",tbl_working_sleep[[#This Row],[SleepHours]]&lt;7,"Below Recommended",tbl_working_sleep[[#This Row],[SleepHours]]&lt;=9,"Recommended",tbl_working_sleep[[#This Row],[SleepHours]]&gt;9,"Oversleeping")</f>
        <v>Insufficient Sleep</v>
      </c>
      <c r="L2" t="str">
        <f>tbl_working_sleep[[#This Row],[Id]]&amp;"|"&amp;TEXT(tbl_working_sleep[[#This Row],[SleepDay]],"yyyy-mm-dd")</f>
        <v>1503960366|2016-04-12</v>
      </c>
    </row>
    <row r="3" spans="1:12" x14ac:dyDescent="0.3">
      <c r="A3">
        <v>1503960366</v>
      </c>
      <c r="B3" s="2">
        <v>42473</v>
      </c>
      <c r="C3">
        <v>2</v>
      </c>
      <c r="D3">
        <v>384</v>
      </c>
      <c r="E3">
        <v>407</v>
      </c>
      <c r="F3" t="str">
        <f>TEXT(tbl_working_sleep[[#This Row],[SleepDay]],"dddd")</f>
        <v>Wednesday</v>
      </c>
      <c r="G3">
        <f>ROUND(tbl_working_sleep[[#This Row],[TotalMinutesAsleep]]/60,2)</f>
        <v>6.4</v>
      </c>
      <c r="H3">
        <f>ROUND(tbl_working_sleep[[#This Row],[TotalTimeInBed]]/60,2)</f>
        <v>6.78</v>
      </c>
      <c r="I3">
        <f>tbl_working_sleep[[#This Row],[TotalTimeInBed]]-tbl_working_sleep[[#This Row],[TotalMinutesAsleep]]</f>
        <v>23</v>
      </c>
      <c r="J3">
        <f>ROUND(tbl_working_sleep[[#This Row],[TotalMinutesAsleep]]/tbl_working_sleep[[#This Row],[TotalTimeInBed]]*100,2)</f>
        <v>94.35</v>
      </c>
      <c r="K3" t="str" cm="1">
        <f t="array" ref="K3">_xlfn.IFS(tbl_working_sleep[[#This Row],[SleepHours]]&lt;6,"Insufficient Sleep",tbl_working_sleep[[#This Row],[SleepHours]]&lt;7,"Below Recommended",tbl_working_sleep[[#This Row],[SleepHours]]&lt;=9,"Recommended",tbl_working_sleep[[#This Row],[SleepHours]]&gt;9,"Oversleeping")</f>
        <v>Below Recommended</v>
      </c>
      <c r="L3" t="str">
        <f>tbl_working_sleep[[#This Row],[Id]]&amp;"|"&amp;TEXT(tbl_working_sleep[[#This Row],[SleepDay]],"yyyy-mm-dd")</f>
        <v>1503960366|2016-04-13</v>
      </c>
    </row>
    <row r="4" spans="1:12" x14ac:dyDescent="0.3">
      <c r="A4">
        <v>1503960366</v>
      </c>
      <c r="B4" s="2">
        <v>42475</v>
      </c>
      <c r="C4">
        <v>1</v>
      </c>
      <c r="D4">
        <v>412</v>
      </c>
      <c r="E4">
        <v>442</v>
      </c>
      <c r="F4" t="str">
        <f>TEXT(tbl_working_sleep[[#This Row],[SleepDay]],"dddd")</f>
        <v>Friday</v>
      </c>
      <c r="G4">
        <f>ROUND(tbl_working_sleep[[#This Row],[TotalMinutesAsleep]]/60,2)</f>
        <v>6.87</v>
      </c>
      <c r="H4">
        <f>ROUND(tbl_working_sleep[[#This Row],[TotalTimeInBed]]/60,2)</f>
        <v>7.37</v>
      </c>
      <c r="I4">
        <f>tbl_working_sleep[[#This Row],[TotalTimeInBed]]-tbl_working_sleep[[#This Row],[TotalMinutesAsleep]]</f>
        <v>30</v>
      </c>
      <c r="J4">
        <f>ROUND(tbl_working_sleep[[#This Row],[TotalMinutesAsleep]]/tbl_working_sleep[[#This Row],[TotalTimeInBed]]*100,2)</f>
        <v>93.21</v>
      </c>
      <c r="K4" t="str" cm="1">
        <f t="array" ref="K4">_xlfn.IFS(tbl_working_sleep[[#This Row],[SleepHours]]&lt;6,"Insufficient Sleep",tbl_working_sleep[[#This Row],[SleepHours]]&lt;7,"Below Recommended",tbl_working_sleep[[#This Row],[SleepHours]]&lt;=9,"Recommended",tbl_working_sleep[[#This Row],[SleepHours]]&gt;9,"Oversleeping")</f>
        <v>Below Recommended</v>
      </c>
      <c r="L4" t="str">
        <f>tbl_working_sleep[[#This Row],[Id]]&amp;"|"&amp;TEXT(tbl_working_sleep[[#This Row],[SleepDay]],"yyyy-mm-dd")</f>
        <v>1503960366|2016-04-15</v>
      </c>
    </row>
    <row r="5" spans="1:12" x14ac:dyDescent="0.3">
      <c r="A5">
        <v>1503960366</v>
      </c>
      <c r="B5" s="2">
        <v>42476</v>
      </c>
      <c r="C5">
        <v>2</v>
      </c>
      <c r="D5">
        <v>340</v>
      </c>
      <c r="E5">
        <v>367</v>
      </c>
      <c r="F5" t="str">
        <f>TEXT(tbl_working_sleep[[#This Row],[SleepDay]],"dddd")</f>
        <v>Saturday</v>
      </c>
      <c r="G5">
        <f>ROUND(tbl_working_sleep[[#This Row],[TotalMinutesAsleep]]/60,2)</f>
        <v>5.67</v>
      </c>
      <c r="H5">
        <f>ROUND(tbl_working_sleep[[#This Row],[TotalTimeInBed]]/60,2)</f>
        <v>6.12</v>
      </c>
      <c r="I5">
        <f>tbl_working_sleep[[#This Row],[TotalTimeInBed]]-tbl_working_sleep[[#This Row],[TotalMinutesAsleep]]</f>
        <v>27</v>
      </c>
      <c r="J5">
        <f>ROUND(tbl_working_sleep[[#This Row],[TotalMinutesAsleep]]/tbl_working_sleep[[#This Row],[TotalTimeInBed]]*100,2)</f>
        <v>92.64</v>
      </c>
      <c r="K5" t="str" cm="1">
        <f t="array" ref="K5">_xlfn.IFS(tbl_working_sleep[[#This Row],[SleepHours]]&lt;6,"Insufficient Sleep",tbl_working_sleep[[#This Row],[SleepHours]]&lt;7,"Below Recommended",tbl_working_sleep[[#This Row],[SleepHours]]&lt;=9,"Recommended",tbl_working_sleep[[#This Row],[SleepHours]]&gt;9,"Oversleeping")</f>
        <v>Insufficient Sleep</v>
      </c>
      <c r="L5" t="str">
        <f>tbl_working_sleep[[#This Row],[Id]]&amp;"|"&amp;TEXT(tbl_working_sleep[[#This Row],[SleepDay]],"yyyy-mm-dd")</f>
        <v>1503960366|2016-04-16</v>
      </c>
    </row>
    <row r="6" spans="1:12" x14ac:dyDescent="0.3">
      <c r="A6">
        <v>1503960366</v>
      </c>
      <c r="B6" s="2">
        <v>42477</v>
      </c>
      <c r="C6">
        <v>1</v>
      </c>
      <c r="D6">
        <v>700</v>
      </c>
      <c r="E6">
        <v>712</v>
      </c>
      <c r="F6" t="str">
        <f>TEXT(tbl_working_sleep[[#This Row],[SleepDay]],"dddd")</f>
        <v>Sunday</v>
      </c>
      <c r="G6">
        <f>ROUND(tbl_working_sleep[[#This Row],[TotalMinutesAsleep]]/60,2)</f>
        <v>11.67</v>
      </c>
      <c r="H6">
        <f>ROUND(tbl_working_sleep[[#This Row],[TotalTimeInBed]]/60,2)</f>
        <v>11.87</v>
      </c>
      <c r="I6">
        <f>tbl_working_sleep[[#This Row],[TotalTimeInBed]]-tbl_working_sleep[[#This Row],[TotalMinutesAsleep]]</f>
        <v>12</v>
      </c>
      <c r="J6">
        <f>ROUND(tbl_working_sleep[[#This Row],[TotalMinutesAsleep]]/tbl_working_sleep[[#This Row],[TotalTimeInBed]]*100,2)</f>
        <v>98.31</v>
      </c>
      <c r="K6" t="str" cm="1">
        <f t="array" ref="K6">_xlfn.IFS(tbl_working_sleep[[#This Row],[SleepHours]]&lt;6,"Insufficient Sleep",tbl_working_sleep[[#This Row],[SleepHours]]&lt;7,"Below Recommended",tbl_working_sleep[[#This Row],[SleepHours]]&lt;=9,"Recommended",tbl_working_sleep[[#This Row],[SleepHours]]&gt;9,"Oversleeping")</f>
        <v>Oversleeping</v>
      </c>
      <c r="L6" t="str">
        <f>tbl_working_sleep[[#This Row],[Id]]&amp;"|"&amp;TEXT(tbl_working_sleep[[#This Row],[SleepDay]],"yyyy-mm-dd")</f>
        <v>1503960366|2016-04-17</v>
      </c>
    </row>
    <row r="7" spans="1:12" x14ac:dyDescent="0.3">
      <c r="A7">
        <v>1503960366</v>
      </c>
      <c r="B7" s="2">
        <v>42479</v>
      </c>
      <c r="C7">
        <v>1</v>
      </c>
      <c r="D7">
        <v>304</v>
      </c>
      <c r="E7">
        <v>320</v>
      </c>
      <c r="F7" t="str">
        <f>TEXT(tbl_working_sleep[[#This Row],[SleepDay]],"dddd")</f>
        <v>Tuesday</v>
      </c>
      <c r="G7">
        <f>ROUND(tbl_working_sleep[[#This Row],[TotalMinutesAsleep]]/60,2)</f>
        <v>5.07</v>
      </c>
      <c r="H7">
        <f>ROUND(tbl_working_sleep[[#This Row],[TotalTimeInBed]]/60,2)</f>
        <v>5.33</v>
      </c>
      <c r="I7">
        <f>tbl_working_sleep[[#This Row],[TotalTimeInBed]]-tbl_working_sleep[[#This Row],[TotalMinutesAsleep]]</f>
        <v>16</v>
      </c>
      <c r="J7">
        <f>ROUND(tbl_working_sleep[[#This Row],[TotalMinutesAsleep]]/tbl_working_sleep[[#This Row],[TotalTimeInBed]]*100,2)</f>
        <v>95</v>
      </c>
      <c r="K7" t="str" cm="1">
        <f t="array" ref="K7">_xlfn.IFS(tbl_working_sleep[[#This Row],[SleepHours]]&lt;6,"Insufficient Sleep",tbl_working_sleep[[#This Row],[SleepHours]]&lt;7,"Below Recommended",tbl_working_sleep[[#This Row],[SleepHours]]&lt;=9,"Recommended",tbl_working_sleep[[#This Row],[SleepHours]]&gt;9,"Oversleeping")</f>
        <v>Insufficient Sleep</v>
      </c>
      <c r="L7" t="str">
        <f>tbl_working_sleep[[#This Row],[Id]]&amp;"|"&amp;TEXT(tbl_working_sleep[[#This Row],[SleepDay]],"yyyy-mm-dd")</f>
        <v>1503960366|2016-04-19</v>
      </c>
    </row>
    <row r="8" spans="1:12" x14ac:dyDescent="0.3">
      <c r="A8">
        <v>1503960366</v>
      </c>
      <c r="B8" s="2">
        <v>42480</v>
      </c>
      <c r="C8">
        <v>1</v>
      </c>
      <c r="D8">
        <v>360</v>
      </c>
      <c r="E8">
        <v>377</v>
      </c>
      <c r="F8" t="str">
        <f>TEXT(tbl_working_sleep[[#This Row],[SleepDay]],"dddd")</f>
        <v>Wednesday</v>
      </c>
      <c r="G8">
        <f>ROUND(tbl_working_sleep[[#This Row],[TotalMinutesAsleep]]/60,2)</f>
        <v>6</v>
      </c>
      <c r="H8">
        <f>ROUND(tbl_working_sleep[[#This Row],[TotalTimeInBed]]/60,2)</f>
        <v>6.28</v>
      </c>
      <c r="I8">
        <f>tbl_working_sleep[[#This Row],[TotalTimeInBed]]-tbl_working_sleep[[#This Row],[TotalMinutesAsleep]]</f>
        <v>17</v>
      </c>
      <c r="J8">
        <f>ROUND(tbl_working_sleep[[#This Row],[TotalMinutesAsleep]]/tbl_working_sleep[[#This Row],[TotalTimeInBed]]*100,2)</f>
        <v>95.49</v>
      </c>
      <c r="K8" t="str" cm="1">
        <f t="array" ref="K8">_xlfn.IFS(tbl_working_sleep[[#This Row],[SleepHours]]&lt;6,"Insufficient Sleep",tbl_working_sleep[[#This Row],[SleepHours]]&lt;7,"Below Recommended",tbl_working_sleep[[#This Row],[SleepHours]]&lt;=9,"Recommended",tbl_working_sleep[[#This Row],[SleepHours]]&gt;9,"Oversleeping")</f>
        <v>Below Recommended</v>
      </c>
      <c r="L8" t="str">
        <f>tbl_working_sleep[[#This Row],[Id]]&amp;"|"&amp;TEXT(tbl_working_sleep[[#This Row],[SleepDay]],"yyyy-mm-dd")</f>
        <v>1503960366|2016-04-20</v>
      </c>
    </row>
    <row r="9" spans="1:12" x14ac:dyDescent="0.3">
      <c r="A9">
        <v>1503960366</v>
      </c>
      <c r="B9" s="2">
        <v>42481</v>
      </c>
      <c r="C9">
        <v>1</v>
      </c>
      <c r="D9">
        <v>325</v>
      </c>
      <c r="E9">
        <v>364</v>
      </c>
      <c r="F9" t="str">
        <f>TEXT(tbl_working_sleep[[#This Row],[SleepDay]],"dddd")</f>
        <v>Thursday</v>
      </c>
      <c r="G9">
        <f>ROUND(tbl_working_sleep[[#This Row],[TotalMinutesAsleep]]/60,2)</f>
        <v>5.42</v>
      </c>
      <c r="H9">
        <f>ROUND(tbl_working_sleep[[#This Row],[TotalTimeInBed]]/60,2)</f>
        <v>6.07</v>
      </c>
      <c r="I9">
        <f>tbl_working_sleep[[#This Row],[TotalTimeInBed]]-tbl_working_sleep[[#This Row],[TotalMinutesAsleep]]</f>
        <v>39</v>
      </c>
      <c r="J9">
        <f>ROUND(tbl_working_sleep[[#This Row],[TotalMinutesAsleep]]/tbl_working_sleep[[#This Row],[TotalTimeInBed]]*100,2)</f>
        <v>89.29</v>
      </c>
      <c r="K9" t="str" cm="1">
        <f t="array" ref="K9">_xlfn.IFS(tbl_working_sleep[[#This Row],[SleepHours]]&lt;6,"Insufficient Sleep",tbl_working_sleep[[#This Row],[SleepHours]]&lt;7,"Below Recommended",tbl_working_sleep[[#This Row],[SleepHours]]&lt;=9,"Recommended",tbl_working_sleep[[#This Row],[SleepHours]]&gt;9,"Oversleeping")</f>
        <v>Insufficient Sleep</v>
      </c>
      <c r="L9" t="str">
        <f>tbl_working_sleep[[#This Row],[Id]]&amp;"|"&amp;TEXT(tbl_working_sleep[[#This Row],[SleepDay]],"yyyy-mm-dd")</f>
        <v>1503960366|2016-04-21</v>
      </c>
    </row>
    <row r="10" spans="1:12" x14ac:dyDescent="0.3">
      <c r="A10">
        <v>1503960366</v>
      </c>
      <c r="B10" s="2">
        <v>42483</v>
      </c>
      <c r="C10">
        <v>1</v>
      </c>
      <c r="D10">
        <v>361</v>
      </c>
      <c r="E10">
        <v>384</v>
      </c>
      <c r="F10" t="str">
        <f>TEXT(tbl_working_sleep[[#This Row],[SleepDay]],"dddd")</f>
        <v>Saturday</v>
      </c>
      <c r="G10">
        <f>ROUND(tbl_working_sleep[[#This Row],[TotalMinutesAsleep]]/60,2)</f>
        <v>6.02</v>
      </c>
      <c r="H10">
        <f>ROUND(tbl_working_sleep[[#This Row],[TotalTimeInBed]]/60,2)</f>
        <v>6.4</v>
      </c>
      <c r="I10">
        <f>tbl_working_sleep[[#This Row],[TotalTimeInBed]]-tbl_working_sleep[[#This Row],[TotalMinutesAsleep]]</f>
        <v>23</v>
      </c>
      <c r="J10">
        <f>ROUND(tbl_working_sleep[[#This Row],[TotalMinutesAsleep]]/tbl_working_sleep[[#This Row],[TotalTimeInBed]]*100,2)</f>
        <v>94.01</v>
      </c>
      <c r="K10" t="str" cm="1">
        <f t="array" ref="K10">_xlfn.IFS(tbl_working_sleep[[#This Row],[SleepHours]]&lt;6,"Insufficient Sleep",tbl_working_sleep[[#This Row],[SleepHours]]&lt;7,"Below Recommended",tbl_working_sleep[[#This Row],[SleepHours]]&lt;=9,"Recommended",tbl_working_sleep[[#This Row],[SleepHours]]&gt;9,"Oversleeping")</f>
        <v>Below Recommended</v>
      </c>
      <c r="L10" t="str">
        <f>tbl_working_sleep[[#This Row],[Id]]&amp;"|"&amp;TEXT(tbl_working_sleep[[#This Row],[SleepDay]],"yyyy-mm-dd")</f>
        <v>1503960366|2016-04-23</v>
      </c>
    </row>
    <row r="11" spans="1:12" x14ac:dyDescent="0.3">
      <c r="A11">
        <v>1503960366</v>
      </c>
      <c r="B11" s="2">
        <v>42484</v>
      </c>
      <c r="C11">
        <v>1</v>
      </c>
      <c r="D11">
        <v>430</v>
      </c>
      <c r="E11">
        <v>449</v>
      </c>
      <c r="F11" t="str">
        <f>TEXT(tbl_working_sleep[[#This Row],[SleepDay]],"dddd")</f>
        <v>Sunday</v>
      </c>
      <c r="G11">
        <f>ROUND(tbl_working_sleep[[#This Row],[TotalMinutesAsleep]]/60,2)</f>
        <v>7.17</v>
      </c>
      <c r="H11">
        <f>ROUND(tbl_working_sleep[[#This Row],[TotalTimeInBed]]/60,2)</f>
        <v>7.48</v>
      </c>
      <c r="I11">
        <f>tbl_working_sleep[[#This Row],[TotalTimeInBed]]-tbl_working_sleep[[#This Row],[TotalMinutesAsleep]]</f>
        <v>19</v>
      </c>
      <c r="J11">
        <f>ROUND(tbl_working_sleep[[#This Row],[TotalMinutesAsleep]]/tbl_working_sleep[[#This Row],[TotalTimeInBed]]*100,2)</f>
        <v>95.77</v>
      </c>
      <c r="K11" t="str" cm="1">
        <f t="array" ref="K11">_xlfn.IFS(tbl_working_sleep[[#This Row],[SleepHours]]&lt;6,"Insufficient Sleep",tbl_working_sleep[[#This Row],[SleepHours]]&lt;7,"Below Recommended",tbl_working_sleep[[#This Row],[SleepHours]]&lt;=9,"Recommended",tbl_working_sleep[[#This Row],[SleepHours]]&gt;9,"Oversleeping")</f>
        <v>Recommended</v>
      </c>
      <c r="L11" t="str">
        <f>tbl_working_sleep[[#This Row],[Id]]&amp;"|"&amp;TEXT(tbl_working_sleep[[#This Row],[SleepDay]],"yyyy-mm-dd")</f>
        <v>1503960366|2016-04-24</v>
      </c>
    </row>
    <row r="12" spans="1:12" x14ac:dyDescent="0.3">
      <c r="A12">
        <v>1503960366</v>
      </c>
      <c r="B12" s="2">
        <v>42485</v>
      </c>
      <c r="C12">
        <v>1</v>
      </c>
      <c r="D12">
        <v>277</v>
      </c>
      <c r="E12">
        <v>323</v>
      </c>
      <c r="F12" t="str">
        <f>TEXT(tbl_working_sleep[[#This Row],[SleepDay]],"dddd")</f>
        <v>Monday</v>
      </c>
      <c r="G12">
        <f>ROUND(tbl_working_sleep[[#This Row],[TotalMinutesAsleep]]/60,2)</f>
        <v>4.62</v>
      </c>
      <c r="H12">
        <f>ROUND(tbl_working_sleep[[#This Row],[TotalTimeInBed]]/60,2)</f>
        <v>5.38</v>
      </c>
      <c r="I12">
        <f>tbl_working_sleep[[#This Row],[TotalTimeInBed]]-tbl_working_sleep[[#This Row],[TotalMinutesAsleep]]</f>
        <v>46</v>
      </c>
      <c r="J12">
        <f>ROUND(tbl_working_sleep[[#This Row],[TotalMinutesAsleep]]/tbl_working_sleep[[#This Row],[TotalTimeInBed]]*100,2)</f>
        <v>85.76</v>
      </c>
      <c r="K12" t="str" cm="1">
        <f t="array" ref="K12">_xlfn.IFS(tbl_working_sleep[[#This Row],[SleepHours]]&lt;6,"Insufficient Sleep",tbl_working_sleep[[#This Row],[SleepHours]]&lt;7,"Below Recommended",tbl_working_sleep[[#This Row],[SleepHours]]&lt;=9,"Recommended",tbl_working_sleep[[#This Row],[SleepHours]]&gt;9,"Oversleeping")</f>
        <v>Insufficient Sleep</v>
      </c>
      <c r="L12" t="str">
        <f>tbl_working_sleep[[#This Row],[Id]]&amp;"|"&amp;TEXT(tbl_working_sleep[[#This Row],[SleepDay]],"yyyy-mm-dd")</f>
        <v>1503960366|2016-04-25</v>
      </c>
    </row>
    <row r="13" spans="1:12" x14ac:dyDescent="0.3">
      <c r="A13">
        <v>1503960366</v>
      </c>
      <c r="B13" s="2">
        <v>42486</v>
      </c>
      <c r="C13">
        <v>1</v>
      </c>
      <c r="D13">
        <v>245</v>
      </c>
      <c r="E13">
        <v>274</v>
      </c>
      <c r="F13" t="str">
        <f>TEXT(tbl_working_sleep[[#This Row],[SleepDay]],"dddd")</f>
        <v>Tuesday</v>
      </c>
      <c r="G13">
        <f>ROUND(tbl_working_sleep[[#This Row],[TotalMinutesAsleep]]/60,2)</f>
        <v>4.08</v>
      </c>
      <c r="H13">
        <f>ROUND(tbl_working_sleep[[#This Row],[TotalTimeInBed]]/60,2)</f>
        <v>4.57</v>
      </c>
      <c r="I13">
        <f>tbl_working_sleep[[#This Row],[TotalTimeInBed]]-tbl_working_sleep[[#This Row],[TotalMinutesAsleep]]</f>
        <v>29</v>
      </c>
      <c r="J13">
        <f>ROUND(tbl_working_sleep[[#This Row],[TotalMinutesAsleep]]/tbl_working_sleep[[#This Row],[TotalTimeInBed]]*100,2)</f>
        <v>89.42</v>
      </c>
      <c r="K13" t="str" cm="1">
        <f t="array" ref="K13">_xlfn.IFS(tbl_working_sleep[[#This Row],[SleepHours]]&lt;6,"Insufficient Sleep",tbl_working_sleep[[#This Row],[SleepHours]]&lt;7,"Below Recommended",tbl_working_sleep[[#This Row],[SleepHours]]&lt;=9,"Recommended",tbl_working_sleep[[#This Row],[SleepHours]]&gt;9,"Oversleeping")</f>
        <v>Insufficient Sleep</v>
      </c>
      <c r="L13" t="str">
        <f>tbl_working_sleep[[#This Row],[Id]]&amp;"|"&amp;TEXT(tbl_working_sleep[[#This Row],[SleepDay]],"yyyy-mm-dd")</f>
        <v>1503960366|2016-04-26</v>
      </c>
    </row>
    <row r="14" spans="1:12" x14ac:dyDescent="0.3">
      <c r="A14">
        <v>1503960366</v>
      </c>
      <c r="B14" s="2">
        <v>42488</v>
      </c>
      <c r="C14">
        <v>1</v>
      </c>
      <c r="D14">
        <v>366</v>
      </c>
      <c r="E14">
        <v>393</v>
      </c>
      <c r="F14" t="str">
        <f>TEXT(tbl_working_sleep[[#This Row],[SleepDay]],"dddd")</f>
        <v>Thursday</v>
      </c>
      <c r="G14">
        <f>ROUND(tbl_working_sleep[[#This Row],[TotalMinutesAsleep]]/60,2)</f>
        <v>6.1</v>
      </c>
      <c r="H14">
        <f>ROUND(tbl_working_sleep[[#This Row],[TotalTimeInBed]]/60,2)</f>
        <v>6.55</v>
      </c>
      <c r="I14">
        <f>tbl_working_sleep[[#This Row],[TotalTimeInBed]]-tbl_working_sleep[[#This Row],[TotalMinutesAsleep]]</f>
        <v>27</v>
      </c>
      <c r="J14">
        <f>ROUND(tbl_working_sleep[[#This Row],[TotalMinutesAsleep]]/tbl_working_sleep[[#This Row],[TotalTimeInBed]]*100,2)</f>
        <v>93.13</v>
      </c>
      <c r="K14" t="str" cm="1">
        <f t="array" ref="K14">_xlfn.IFS(tbl_working_sleep[[#This Row],[SleepHours]]&lt;6,"Insufficient Sleep",tbl_working_sleep[[#This Row],[SleepHours]]&lt;7,"Below Recommended",tbl_working_sleep[[#This Row],[SleepHours]]&lt;=9,"Recommended",tbl_working_sleep[[#This Row],[SleepHours]]&gt;9,"Oversleeping")</f>
        <v>Below Recommended</v>
      </c>
      <c r="L14" t="str">
        <f>tbl_working_sleep[[#This Row],[Id]]&amp;"|"&amp;TEXT(tbl_working_sleep[[#This Row],[SleepDay]],"yyyy-mm-dd")</f>
        <v>1503960366|2016-04-28</v>
      </c>
    </row>
    <row r="15" spans="1:12" x14ac:dyDescent="0.3">
      <c r="A15">
        <v>1503960366</v>
      </c>
      <c r="B15" s="2">
        <v>42489</v>
      </c>
      <c r="C15">
        <v>1</v>
      </c>
      <c r="D15">
        <v>341</v>
      </c>
      <c r="E15">
        <v>354</v>
      </c>
      <c r="F15" t="str">
        <f>TEXT(tbl_working_sleep[[#This Row],[SleepDay]],"dddd")</f>
        <v>Friday</v>
      </c>
      <c r="G15">
        <f>ROUND(tbl_working_sleep[[#This Row],[TotalMinutesAsleep]]/60,2)</f>
        <v>5.68</v>
      </c>
      <c r="H15">
        <f>ROUND(tbl_working_sleep[[#This Row],[TotalTimeInBed]]/60,2)</f>
        <v>5.9</v>
      </c>
      <c r="I15">
        <f>tbl_working_sleep[[#This Row],[TotalTimeInBed]]-tbl_working_sleep[[#This Row],[TotalMinutesAsleep]]</f>
        <v>13</v>
      </c>
      <c r="J15">
        <f>ROUND(tbl_working_sleep[[#This Row],[TotalMinutesAsleep]]/tbl_working_sleep[[#This Row],[TotalTimeInBed]]*100,2)</f>
        <v>96.33</v>
      </c>
      <c r="K15" t="str" cm="1">
        <f t="array" ref="K15">_xlfn.IFS(tbl_working_sleep[[#This Row],[SleepHours]]&lt;6,"Insufficient Sleep",tbl_working_sleep[[#This Row],[SleepHours]]&lt;7,"Below Recommended",tbl_working_sleep[[#This Row],[SleepHours]]&lt;=9,"Recommended",tbl_working_sleep[[#This Row],[SleepHours]]&gt;9,"Oversleeping")</f>
        <v>Insufficient Sleep</v>
      </c>
      <c r="L15" t="str">
        <f>tbl_working_sleep[[#This Row],[Id]]&amp;"|"&amp;TEXT(tbl_working_sleep[[#This Row],[SleepDay]],"yyyy-mm-dd")</f>
        <v>1503960366|2016-04-29</v>
      </c>
    </row>
    <row r="16" spans="1:12" x14ac:dyDescent="0.3">
      <c r="A16">
        <v>1503960366</v>
      </c>
      <c r="B16" s="2">
        <v>42490</v>
      </c>
      <c r="C16">
        <v>1</v>
      </c>
      <c r="D16">
        <v>404</v>
      </c>
      <c r="E16">
        <v>425</v>
      </c>
      <c r="F16" t="str">
        <f>TEXT(tbl_working_sleep[[#This Row],[SleepDay]],"dddd")</f>
        <v>Saturday</v>
      </c>
      <c r="G16">
        <f>ROUND(tbl_working_sleep[[#This Row],[TotalMinutesAsleep]]/60,2)</f>
        <v>6.73</v>
      </c>
      <c r="H16">
        <f>ROUND(tbl_working_sleep[[#This Row],[TotalTimeInBed]]/60,2)</f>
        <v>7.08</v>
      </c>
      <c r="I16">
        <f>tbl_working_sleep[[#This Row],[TotalTimeInBed]]-tbl_working_sleep[[#This Row],[TotalMinutesAsleep]]</f>
        <v>21</v>
      </c>
      <c r="J16">
        <f>ROUND(tbl_working_sleep[[#This Row],[TotalMinutesAsleep]]/tbl_working_sleep[[#This Row],[TotalTimeInBed]]*100,2)</f>
        <v>95.06</v>
      </c>
      <c r="K16" t="str" cm="1">
        <f t="array" ref="K16">_xlfn.IFS(tbl_working_sleep[[#This Row],[SleepHours]]&lt;6,"Insufficient Sleep",tbl_working_sleep[[#This Row],[SleepHours]]&lt;7,"Below Recommended",tbl_working_sleep[[#This Row],[SleepHours]]&lt;=9,"Recommended",tbl_working_sleep[[#This Row],[SleepHours]]&gt;9,"Oversleeping")</f>
        <v>Below Recommended</v>
      </c>
      <c r="L16" t="str">
        <f>tbl_working_sleep[[#This Row],[Id]]&amp;"|"&amp;TEXT(tbl_working_sleep[[#This Row],[SleepDay]],"yyyy-mm-dd")</f>
        <v>1503960366|2016-04-30</v>
      </c>
    </row>
    <row r="17" spans="1:12" x14ac:dyDescent="0.3">
      <c r="A17">
        <v>1503960366</v>
      </c>
      <c r="B17" s="2">
        <v>42491</v>
      </c>
      <c r="C17">
        <v>1</v>
      </c>
      <c r="D17">
        <v>369</v>
      </c>
      <c r="E17">
        <v>396</v>
      </c>
      <c r="F17" t="str">
        <f>TEXT(tbl_working_sleep[[#This Row],[SleepDay]],"dddd")</f>
        <v>Sunday</v>
      </c>
      <c r="G17">
        <f>ROUND(tbl_working_sleep[[#This Row],[TotalMinutesAsleep]]/60,2)</f>
        <v>6.15</v>
      </c>
      <c r="H17">
        <f>ROUND(tbl_working_sleep[[#This Row],[TotalTimeInBed]]/60,2)</f>
        <v>6.6</v>
      </c>
      <c r="I17">
        <f>tbl_working_sleep[[#This Row],[TotalTimeInBed]]-tbl_working_sleep[[#This Row],[TotalMinutesAsleep]]</f>
        <v>27</v>
      </c>
      <c r="J17">
        <f>ROUND(tbl_working_sleep[[#This Row],[TotalMinutesAsleep]]/tbl_working_sleep[[#This Row],[TotalTimeInBed]]*100,2)</f>
        <v>93.18</v>
      </c>
      <c r="K17" t="str" cm="1">
        <f t="array" ref="K17">_xlfn.IFS(tbl_working_sleep[[#This Row],[SleepHours]]&lt;6,"Insufficient Sleep",tbl_working_sleep[[#This Row],[SleepHours]]&lt;7,"Below Recommended",tbl_working_sleep[[#This Row],[SleepHours]]&lt;=9,"Recommended",tbl_working_sleep[[#This Row],[SleepHours]]&gt;9,"Oversleeping")</f>
        <v>Below Recommended</v>
      </c>
      <c r="L17" t="str">
        <f>tbl_working_sleep[[#This Row],[Id]]&amp;"|"&amp;TEXT(tbl_working_sleep[[#This Row],[SleepDay]],"yyyy-mm-dd")</f>
        <v>1503960366|2016-05-01</v>
      </c>
    </row>
    <row r="18" spans="1:12" x14ac:dyDescent="0.3">
      <c r="A18">
        <v>1503960366</v>
      </c>
      <c r="B18" s="2">
        <v>42492</v>
      </c>
      <c r="C18">
        <v>1</v>
      </c>
      <c r="D18">
        <v>277</v>
      </c>
      <c r="E18">
        <v>309</v>
      </c>
      <c r="F18" t="str">
        <f>TEXT(tbl_working_sleep[[#This Row],[SleepDay]],"dddd")</f>
        <v>Monday</v>
      </c>
      <c r="G18">
        <f>ROUND(tbl_working_sleep[[#This Row],[TotalMinutesAsleep]]/60,2)</f>
        <v>4.62</v>
      </c>
      <c r="H18">
        <f>ROUND(tbl_working_sleep[[#This Row],[TotalTimeInBed]]/60,2)</f>
        <v>5.15</v>
      </c>
      <c r="I18">
        <f>tbl_working_sleep[[#This Row],[TotalTimeInBed]]-tbl_working_sleep[[#This Row],[TotalMinutesAsleep]]</f>
        <v>32</v>
      </c>
      <c r="J18">
        <f>ROUND(tbl_working_sleep[[#This Row],[TotalMinutesAsleep]]/tbl_working_sleep[[#This Row],[TotalTimeInBed]]*100,2)</f>
        <v>89.64</v>
      </c>
      <c r="K18" t="str" cm="1">
        <f t="array" ref="K18">_xlfn.IFS(tbl_working_sleep[[#This Row],[SleepHours]]&lt;6,"Insufficient Sleep",tbl_working_sleep[[#This Row],[SleepHours]]&lt;7,"Below Recommended",tbl_working_sleep[[#This Row],[SleepHours]]&lt;=9,"Recommended",tbl_working_sleep[[#This Row],[SleepHours]]&gt;9,"Oversleeping")</f>
        <v>Insufficient Sleep</v>
      </c>
      <c r="L18" t="str">
        <f>tbl_working_sleep[[#This Row],[Id]]&amp;"|"&amp;TEXT(tbl_working_sleep[[#This Row],[SleepDay]],"yyyy-mm-dd")</f>
        <v>1503960366|2016-05-02</v>
      </c>
    </row>
    <row r="19" spans="1:12" x14ac:dyDescent="0.3">
      <c r="A19">
        <v>1503960366</v>
      </c>
      <c r="B19" s="2">
        <v>42493</v>
      </c>
      <c r="C19">
        <v>1</v>
      </c>
      <c r="D19">
        <v>273</v>
      </c>
      <c r="E19">
        <v>296</v>
      </c>
      <c r="F19" t="str">
        <f>TEXT(tbl_working_sleep[[#This Row],[SleepDay]],"dddd")</f>
        <v>Tuesday</v>
      </c>
      <c r="G19">
        <f>ROUND(tbl_working_sleep[[#This Row],[TotalMinutesAsleep]]/60,2)</f>
        <v>4.55</v>
      </c>
      <c r="H19">
        <f>ROUND(tbl_working_sleep[[#This Row],[TotalTimeInBed]]/60,2)</f>
        <v>4.93</v>
      </c>
      <c r="I19">
        <f>tbl_working_sleep[[#This Row],[TotalTimeInBed]]-tbl_working_sleep[[#This Row],[TotalMinutesAsleep]]</f>
        <v>23</v>
      </c>
      <c r="J19">
        <f>ROUND(tbl_working_sleep[[#This Row],[TotalMinutesAsleep]]/tbl_working_sleep[[#This Row],[TotalTimeInBed]]*100,2)</f>
        <v>92.23</v>
      </c>
      <c r="K19" t="str" cm="1">
        <f t="array" ref="K19">_xlfn.IFS(tbl_working_sleep[[#This Row],[SleepHours]]&lt;6,"Insufficient Sleep",tbl_working_sleep[[#This Row],[SleepHours]]&lt;7,"Below Recommended",tbl_working_sleep[[#This Row],[SleepHours]]&lt;=9,"Recommended",tbl_working_sleep[[#This Row],[SleepHours]]&gt;9,"Oversleeping")</f>
        <v>Insufficient Sleep</v>
      </c>
      <c r="L19" t="str">
        <f>tbl_working_sleep[[#This Row],[Id]]&amp;"|"&amp;TEXT(tbl_working_sleep[[#This Row],[SleepDay]],"yyyy-mm-dd")</f>
        <v>1503960366|2016-05-03</v>
      </c>
    </row>
    <row r="20" spans="1:12" x14ac:dyDescent="0.3">
      <c r="A20">
        <v>1503960366</v>
      </c>
      <c r="B20" s="2">
        <v>42495</v>
      </c>
      <c r="C20">
        <v>1</v>
      </c>
      <c r="D20">
        <v>247</v>
      </c>
      <c r="E20">
        <v>264</v>
      </c>
      <c r="F20" t="str">
        <f>TEXT(tbl_working_sleep[[#This Row],[SleepDay]],"dddd")</f>
        <v>Thursday</v>
      </c>
      <c r="G20">
        <f>ROUND(tbl_working_sleep[[#This Row],[TotalMinutesAsleep]]/60,2)</f>
        <v>4.12</v>
      </c>
      <c r="H20">
        <f>ROUND(tbl_working_sleep[[#This Row],[TotalTimeInBed]]/60,2)</f>
        <v>4.4000000000000004</v>
      </c>
      <c r="I20">
        <f>tbl_working_sleep[[#This Row],[TotalTimeInBed]]-tbl_working_sleep[[#This Row],[TotalMinutesAsleep]]</f>
        <v>17</v>
      </c>
      <c r="J20">
        <f>ROUND(tbl_working_sleep[[#This Row],[TotalMinutesAsleep]]/tbl_working_sleep[[#This Row],[TotalTimeInBed]]*100,2)</f>
        <v>93.56</v>
      </c>
      <c r="K20" t="str" cm="1">
        <f t="array" ref="K20">_xlfn.IFS(tbl_working_sleep[[#This Row],[SleepHours]]&lt;6,"Insufficient Sleep",tbl_working_sleep[[#This Row],[SleepHours]]&lt;7,"Below Recommended",tbl_working_sleep[[#This Row],[SleepHours]]&lt;=9,"Recommended",tbl_working_sleep[[#This Row],[SleepHours]]&gt;9,"Oversleeping")</f>
        <v>Insufficient Sleep</v>
      </c>
      <c r="L20" t="str">
        <f>tbl_working_sleep[[#This Row],[Id]]&amp;"|"&amp;TEXT(tbl_working_sleep[[#This Row],[SleepDay]],"yyyy-mm-dd")</f>
        <v>1503960366|2016-05-05</v>
      </c>
    </row>
    <row r="21" spans="1:12" x14ac:dyDescent="0.3">
      <c r="A21">
        <v>1503960366</v>
      </c>
      <c r="B21" s="2">
        <v>42496</v>
      </c>
      <c r="C21">
        <v>1</v>
      </c>
      <c r="D21">
        <v>334</v>
      </c>
      <c r="E21">
        <v>367</v>
      </c>
      <c r="F21" t="str">
        <f>TEXT(tbl_working_sleep[[#This Row],[SleepDay]],"dddd")</f>
        <v>Friday</v>
      </c>
      <c r="G21">
        <f>ROUND(tbl_working_sleep[[#This Row],[TotalMinutesAsleep]]/60,2)</f>
        <v>5.57</v>
      </c>
      <c r="H21">
        <f>ROUND(tbl_working_sleep[[#This Row],[TotalTimeInBed]]/60,2)</f>
        <v>6.12</v>
      </c>
      <c r="I21">
        <f>tbl_working_sleep[[#This Row],[TotalTimeInBed]]-tbl_working_sleep[[#This Row],[TotalMinutesAsleep]]</f>
        <v>33</v>
      </c>
      <c r="J21">
        <f>ROUND(tbl_working_sleep[[#This Row],[TotalMinutesAsleep]]/tbl_working_sleep[[#This Row],[TotalTimeInBed]]*100,2)</f>
        <v>91.01</v>
      </c>
      <c r="K21" t="str" cm="1">
        <f t="array" ref="K21">_xlfn.IFS(tbl_working_sleep[[#This Row],[SleepHours]]&lt;6,"Insufficient Sleep",tbl_working_sleep[[#This Row],[SleepHours]]&lt;7,"Below Recommended",tbl_working_sleep[[#This Row],[SleepHours]]&lt;=9,"Recommended",tbl_working_sleep[[#This Row],[SleepHours]]&gt;9,"Oversleeping")</f>
        <v>Insufficient Sleep</v>
      </c>
      <c r="L21" t="str">
        <f>tbl_working_sleep[[#This Row],[Id]]&amp;"|"&amp;TEXT(tbl_working_sleep[[#This Row],[SleepDay]],"yyyy-mm-dd")</f>
        <v>1503960366|2016-05-06</v>
      </c>
    </row>
    <row r="22" spans="1:12" x14ac:dyDescent="0.3">
      <c r="A22">
        <v>1503960366</v>
      </c>
      <c r="B22" s="2">
        <v>42497</v>
      </c>
      <c r="C22">
        <v>1</v>
      </c>
      <c r="D22">
        <v>331</v>
      </c>
      <c r="E22">
        <v>349</v>
      </c>
      <c r="F22" t="str">
        <f>TEXT(tbl_working_sleep[[#This Row],[SleepDay]],"dddd")</f>
        <v>Saturday</v>
      </c>
      <c r="G22">
        <f>ROUND(tbl_working_sleep[[#This Row],[TotalMinutesAsleep]]/60,2)</f>
        <v>5.52</v>
      </c>
      <c r="H22">
        <f>ROUND(tbl_working_sleep[[#This Row],[TotalTimeInBed]]/60,2)</f>
        <v>5.82</v>
      </c>
      <c r="I22">
        <f>tbl_working_sleep[[#This Row],[TotalTimeInBed]]-tbl_working_sleep[[#This Row],[TotalMinutesAsleep]]</f>
        <v>18</v>
      </c>
      <c r="J22">
        <f>ROUND(tbl_working_sleep[[#This Row],[TotalMinutesAsleep]]/tbl_working_sleep[[#This Row],[TotalTimeInBed]]*100,2)</f>
        <v>94.84</v>
      </c>
      <c r="K22" t="str" cm="1">
        <f t="array" ref="K22">_xlfn.IFS(tbl_working_sleep[[#This Row],[SleepHours]]&lt;6,"Insufficient Sleep",tbl_working_sleep[[#This Row],[SleepHours]]&lt;7,"Below Recommended",tbl_working_sleep[[#This Row],[SleepHours]]&lt;=9,"Recommended",tbl_working_sleep[[#This Row],[SleepHours]]&gt;9,"Oversleeping")</f>
        <v>Insufficient Sleep</v>
      </c>
      <c r="L22" t="str">
        <f>tbl_working_sleep[[#This Row],[Id]]&amp;"|"&amp;TEXT(tbl_working_sleep[[#This Row],[SleepDay]],"yyyy-mm-dd")</f>
        <v>1503960366|2016-05-07</v>
      </c>
    </row>
    <row r="23" spans="1:12" x14ac:dyDescent="0.3">
      <c r="A23">
        <v>1503960366</v>
      </c>
      <c r="B23" s="2">
        <v>42498</v>
      </c>
      <c r="C23">
        <v>1</v>
      </c>
      <c r="D23">
        <v>594</v>
      </c>
      <c r="E23">
        <v>611</v>
      </c>
      <c r="F23" t="str">
        <f>TEXT(tbl_working_sleep[[#This Row],[SleepDay]],"dddd")</f>
        <v>Sunday</v>
      </c>
      <c r="G23">
        <f>ROUND(tbl_working_sleep[[#This Row],[TotalMinutesAsleep]]/60,2)</f>
        <v>9.9</v>
      </c>
      <c r="H23">
        <f>ROUND(tbl_working_sleep[[#This Row],[TotalTimeInBed]]/60,2)</f>
        <v>10.18</v>
      </c>
      <c r="I23">
        <f>tbl_working_sleep[[#This Row],[TotalTimeInBed]]-tbl_working_sleep[[#This Row],[TotalMinutesAsleep]]</f>
        <v>17</v>
      </c>
      <c r="J23">
        <f>ROUND(tbl_working_sleep[[#This Row],[TotalMinutesAsleep]]/tbl_working_sleep[[#This Row],[TotalTimeInBed]]*100,2)</f>
        <v>97.22</v>
      </c>
      <c r="K23" t="str" cm="1">
        <f t="array" ref="K23">_xlfn.IFS(tbl_working_sleep[[#This Row],[SleepHours]]&lt;6,"Insufficient Sleep",tbl_working_sleep[[#This Row],[SleepHours]]&lt;7,"Below Recommended",tbl_working_sleep[[#This Row],[SleepHours]]&lt;=9,"Recommended",tbl_working_sleep[[#This Row],[SleepHours]]&gt;9,"Oversleeping")</f>
        <v>Oversleeping</v>
      </c>
      <c r="L23" t="str">
        <f>tbl_working_sleep[[#This Row],[Id]]&amp;"|"&amp;TEXT(tbl_working_sleep[[#This Row],[SleepDay]],"yyyy-mm-dd")</f>
        <v>1503960366|2016-05-08</v>
      </c>
    </row>
    <row r="24" spans="1:12" x14ac:dyDescent="0.3">
      <c r="A24">
        <v>1503960366</v>
      </c>
      <c r="B24" s="2">
        <v>42499</v>
      </c>
      <c r="C24">
        <v>1</v>
      </c>
      <c r="D24">
        <v>338</v>
      </c>
      <c r="E24">
        <v>342</v>
      </c>
      <c r="F24" t="str">
        <f>TEXT(tbl_working_sleep[[#This Row],[SleepDay]],"dddd")</f>
        <v>Monday</v>
      </c>
      <c r="G24">
        <f>ROUND(tbl_working_sleep[[#This Row],[TotalMinutesAsleep]]/60,2)</f>
        <v>5.63</v>
      </c>
      <c r="H24">
        <f>ROUND(tbl_working_sleep[[#This Row],[TotalTimeInBed]]/60,2)</f>
        <v>5.7</v>
      </c>
      <c r="I24">
        <f>tbl_working_sleep[[#This Row],[TotalTimeInBed]]-tbl_working_sleep[[#This Row],[TotalMinutesAsleep]]</f>
        <v>4</v>
      </c>
      <c r="J24">
        <f>ROUND(tbl_working_sleep[[#This Row],[TotalMinutesAsleep]]/tbl_working_sleep[[#This Row],[TotalTimeInBed]]*100,2)</f>
        <v>98.83</v>
      </c>
      <c r="K24" t="str" cm="1">
        <f t="array" ref="K24">_xlfn.IFS(tbl_working_sleep[[#This Row],[SleepHours]]&lt;6,"Insufficient Sleep",tbl_working_sleep[[#This Row],[SleepHours]]&lt;7,"Below Recommended",tbl_working_sleep[[#This Row],[SleepHours]]&lt;=9,"Recommended",tbl_working_sleep[[#This Row],[SleepHours]]&gt;9,"Oversleeping")</f>
        <v>Insufficient Sleep</v>
      </c>
      <c r="L24" t="str">
        <f>tbl_working_sleep[[#This Row],[Id]]&amp;"|"&amp;TEXT(tbl_working_sleep[[#This Row],[SleepDay]],"yyyy-mm-dd")</f>
        <v>1503960366|2016-05-09</v>
      </c>
    </row>
    <row r="25" spans="1:12" x14ac:dyDescent="0.3">
      <c r="A25">
        <v>1503960366</v>
      </c>
      <c r="B25" s="2">
        <v>42500</v>
      </c>
      <c r="C25">
        <v>1</v>
      </c>
      <c r="D25">
        <v>383</v>
      </c>
      <c r="E25">
        <v>403</v>
      </c>
      <c r="F25" t="str">
        <f>TEXT(tbl_working_sleep[[#This Row],[SleepDay]],"dddd")</f>
        <v>Tuesday</v>
      </c>
      <c r="G25">
        <f>ROUND(tbl_working_sleep[[#This Row],[TotalMinutesAsleep]]/60,2)</f>
        <v>6.38</v>
      </c>
      <c r="H25">
        <f>ROUND(tbl_working_sleep[[#This Row],[TotalTimeInBed]]/60,2)</f>
        <v>6.72</v>
      </c>
      <c r="I25">
        <f>tbl_working_sleep[[#This Row],[TotalTimeInBed]]-tbl_working_sleep[[#This Row],[TotalMinutesAsleep]]</f>
        <v>20</v>
      </c>
      <c r="J25">
        <f>ROUND(tbl_working_sleep[[#This Row],[TotalMinutesAsleep]]/tbl_working_sleep[[#This Row],[TotalTimeInBed]]*100,2)</f>
        <v>95.04</v>
      </c>
      <c r="K25" t="str" cm="1">
        <f t="array" ref="K25">_xlfn.IFS(tbl_working_sleep[[#This Row],[SleepHours]]&lt;6,"Insufficient Sleep",tbl_working_sleep[[#This Row],[SleepHours]]&lt;7,"Below Recommended",tbl_working_sleep[[#This Row],[SleepHours]]&lt;=9,"Recommended",tbl_working_sleep[[#This Row],[SleepHours]]&gt;9,"Oversleeping")</f>
        <v>Below Recommended</v>
      </c>
      <c r="L25" t="str">
        <f>tbl_working_sleep[[#This Row],[Id]]&amp;"|"&amp;TEXT(tbl_working_sleep[[#This Row],[SleepDay]],"yyyy-mm-dd")</f>
        <v>1503960366|2016-05-10</v>
      </c>
    </row>
    <row r="26" spans="1:12" x14ac:dyDescent="0.3">
      <c r="A26">
        <v>1503960366</v>
      </c>
      <c r="B26" s="2">
        <v>42501</v>
      </c>
      <c r="C26">
        <v>1</v>
      </c>
      <c r="D26">
        <v>285</v>
      </c>
      <c r="E26">
        <v>306</v>
      </c>
      <c r="F26" t="str">
        <f>TEXT(tbl_working_sleep[[#This Row],[SleepDay]],"dddd")</f>
        <v>Wednesday</v>
      </c>
      <c r="G26">
        <f>ROUND(tbl_working_sleep[[#This Row],[TotalMinutesAsleep]]/60,2)</f>
        <v>4.75</v>
      </c>
      <c r="H26">
        <f>ROUND(tbl_working_sleep[[#This Row],[TotalTimeInBed]]/60,2)</f>
        <v>5.0999999999999996</v>
      </c>
      <c r="I26">
        <f>tbl_working_sleep[[#This Row],[TotalTimeInBed]]-tbl_working_sleep[[#This Row],[TotalMinutesAsleep]]</f>
        <v>21</v>
      </c>
      <c r="J26">
        <f>ROUND(tbl_working_sleep[[#This Row],[TotalMinutesAsleep]]/tbl_working_sleep[[#This Row],[TotalTimeInBed]]*100,2)</f>
        <v>93.14</v>
      </c>
      <c r="K26" t="str" cm="1">
        <f t="array" ref="K26">_xlfn.IFS(tbl_working_sleep[[#This Row],[SleepHours]]&lt;6,"Insufficient Sleep",tbl_working_sleep[[#This Row],[SleepHours]]&lt;7,"Below Recommended",tbl_working_sleep[[#This Row],[SleepHours]]&lt;=9,"Recommended",tbl_working_sleep[[#This Row],[SleepHours]]&gt;9,"Oversleeping")</f>
        <v>Insufficient Sleep</v>
      </c>
      <c r="L26" t="str">
        <f>tbl_working_sleep[[#This Row],[Id]]&amp;"|"&amp;TEXT(tbl_working_sleep[[#This Row],[SleepDay]],"yyyy-mm-dd")</f>
        <v>1503960366|2016-05-11</v>
      </c>
    </row>
    <row r="27" spans="1:12" x14ac:dyDescent="0.3">
      <c r="A27">
        <v>1644430081</v>
      </c>
      <c r="B27" s="2">
        <v>42489</v>
      </c>
      <c r="C27">
        <v>1</v>
      </c>
      <c r="D27">
        <v>119</v>
      </c>
      <c r="E27">
        <v>127</v>
      </c>
      <c r="F27" t="str">
        <f>TEXT(tbl_working_sleep[[#This Row],[SleepDay]],"dddd")</f>
        <v>Friday</v>
      </c>
      <c r="G27">
        <f>ROUND(tbl_working_sleep[[#This Row],[TotalMinutesAsleep]]/60,2)</f>
        <v>1.98</v>
      </c>
      <c r="H27">
        <f>ROUND(tbl_working_sleep[[#This Row],[TotalTimeInBed]]/60,2)</f>
        <v>2.12</v>
      </c>
      <c r="I27">
        <f>tbl_working_sleep[[#This Row],[TotalTimeInBed]]-tbl_working_sleep[[#This Row],[TotalMinutesAsleep]]</f>
        <v>8</v>
      </c>
      <c r="J27">
        <f>ROUND(tbl_working_sleep[[#This Row],[TotalMinutesAsleep]]/tbl_working_sleep[[#This Row],[TotalTimeInBed]]*100,2)</f>
        <v>93.7</v>
      </c>
      <c r="K27" t="str" cm="1">
        <f t="array" ref="K27">_xlfn.IFS(tbl_working_sleep[[#This Row],[SleepHours]]&lt;6,"Insufficient Sleep",tbl_working_sleep[[#This Row],[SleepHours]]&lt;7,"Below Recommended",tbl_working_sleep[[#This Row],[SleepHours]]&lt;=9,"Recommended",tbl_working_sleep[[#This Row],[SleepHours]]&gt;9,"Oversleeping")</f>
        <v>Insufficient Sleep</v>
      </c>
      <c r="L27" t="str">
        <f>tbl_working_sleep[[#This Row],[Id]]&amp;"|"&amp;TEXT(tbl_working_sleep[[#This Row],[SleepDay]],"yyyy-mm-dd")</f>
        <v>1644430081|2016-04-29</v>
      </c>
    </row>
    <row r="28" spans="1:12" x14ac:dyDescent="0.3">
      <c r="A28">
        <v>1644430081</v>
      </c>
      <c r="B28" s="2">
        <v>42490</v>
      </c>
      <c r="C28">
        <v>1</v>
      </c>
      <c r="D28">
        <v>124</v>
      </c>
      <c r="E28">
        <v>142</v>
      </c>
      <c r="F28" t="str">
        <f>TEXT(tbl_working_sleep[[#This Row],[SleepDay]],"dddd")</f>
        <v>Saturday</v>
      </c>
      <c r="G28">
        <f>ROUND(tbl_working_sleep[[#This Row],[TotalMinutesAsleep]]/60,2)</f>
        <v>2.0699999999999998</v>
      </c>
      <c r="H28">
        <f>ROUND(tbl_working_sleep[[#This Row],[TotalTimeInBed]]/60,2)</f>
        <v>2.37</v>
      </c>
      <c r="I28">
        <f>tbl_working_sleep[[#This Row],[TotalTimeInBed]]-tbl_working_sleep[[#This Row],[TotalMinutesAsleep]]</f>
        <v>18</v>
      </c>
      <c r="J28">
        <f>ROUND(tbl_working_sleep[[#This Row],[TotalMinutesAsleep]]/tbl_working_sleep[[#This Row],[TotalTimeInBed]]*100,2)</f>
        <v>87.32</v>
      </c>
      <c r="K28" t="str" cm="1">
        <f t="array" ref="K28">_xlfn.IFS(tbl_working_sleep[[#This Row],[SleepHours]]&lt;6,"Insufficient Sleep",tbl_working_sleep[[#This Row],[SleepHours]]&lt;7,"Below Recommended",tbl_working_sleep[[#This Row],[SleepHours]]&lt;=9,"Recommended",tbl_working_sleep[[#This Row],[SleepHours]]&gt;9,"Oversleeping")</f>
        <v>Insufficient Sleep</v>
      </c>
      <c r="L28" t="str">
        <f>tbl_working_sleep[[#This Row],[Id]]&amp;"|"&amp;TEXT(tbl_working_sleep[[#This Row],[SleepDay]],"yyyy-mm-dd")</f>
        <v>1644430081|2016-04-30</v>
      </c>
    </row>
    <row r="29" spans="1:12" x14ac:dyDescent="0.3">
      <c r="A29">
        <v>1644430081</v>
      </c>
      <c r="B29" s="2">
        <v>42492</v>
      </c>
      <c r="C29">
        <v>1</v>
      </c>
      <c r="D29">
        <v>796</v>
      </c>
      <c r="E29">
        <v>961</v>
      </c>
      <c r="F29" t="str">
        <f>TEXT(tbl_working_sleep[[#This Row],[SleepDay]],"dddd")</f>
        <v>Monday</v>
      </c>
      <c r="G29">
        <f>ROUND(tbl_working_sleep[[#This Row],[TotalMinutesAsleep]]/60,2)</f>
        <v>13.27</v>
      </c>
      <c r="H29">
        <f>ROUND(tbl_working_sleep[[#This Row],[TotalTimeInBed]]/60,2)</f>
        <v>16.02</v>
      </c>
      <c r="I29">
        <f>tbl_working_sleep[[#This Row],[TotalTimeInBed]]-tbl_working_sleep[[#This Row],[TotalMinutesAsleep]]</f>
        <v>165</v>
      </c>
      <c r="J29">
        <f>ROUND(tbl_working_sleep[[#This Row],[TotalMinutesAsleep]]/tbl_working_sleep[[#This Row],[TotalTimeInBed]]*100,2)</f>
        <v>82.83</v>
      </c>
      <c r="K29" t="str" cm="1">
        <f t="array" ref="K29">_xlfn.IFS(tbl_working_sleep[[#This Row],[SleepHours]]&lt;6,"Insufficient Sleep",tbl_working_sleep[[#This Row],[SleepHours]]&lt;7,"Below Recommended",tbl_working_sleep[[#This Row],[SleepHours]]&lt;=9,"Recommended",tbl_working_sleep[[#This Row],[SleepHours]]&gt;9,"Oversleeping")</f>
        <v>Oversleeping</v>
      </c>
      <c r="L29" t="str">
        <f>tbl_working_sleep[[#This Row],[Id]]&amp;"|"&amp;TEXT(tbl_working_sleep[[#This Row],[SleepDay]],"yyyy-mm-dd")</f>
        <v>1644430081|2016-05-02</v>
      </c>
    </row>
    <row r="30" spans="1:12" x14ac:dyDescent="0.3">
      <c r="A30">
        <v>1644430081</v>
      </c>
      <c r="B30" s="2">
        <v>42498</v>
      </c>
      <c r="C30">
        <v>1</v>
      </c>
      <c r="D30">
        <v>137</v>
      </c>
      <c r="E30">
        <v>154</v>
      </c>
      <c r="F30" t="str">
        <f>TEXT(tbl_working_sleep[[#This Row],[SleepDay]],"dddd")</f>
        <v>Sunday</v>
      </c>
      <c r="G30">
        <f>ROUND(tbl_working_sleep[[#This Row],[TotalMinutesAsleep]]/60,2)</f>
        <v>2.2799999999999998</v>
      </c>
      <c r="H30">
        <f>ROUND(tbl_working_sleep[[#This Row],[TotalTimeInBed]]/60,2)</f>
        <v>2.57</v>
      </c>
      <c r="I30">
        <f>tbl_working_sleep[[#This Row],[TotalTimeInBed]]-tbl_working_sleep[[#This Row],[TotalMinutesAsleep]]</f>
        <v>17</v>
      </c>
      <c r="J30">
        <f>ROUND(tbl_working_sleep[[#This Row],[TotalMinutesAsleep]]/tbl_working_sleep[[#This Row],[TotalTimeInBed]]*100,2)</f>
        <v>88.96</v>
      </c>
      <c r="K30" t="str" cm="1">
        <f t="array" ref="K30">_xlfn.IFS(tbl_working_sleep[[#This Row],[SleepHours]]&lt;6,"Insufficient Sleep",tbl_working_sleep[[#This Row],[SleepHours]]&lt;7,"Below Recommended",tbl_working_sleep[[#This Row],[SleepHours]]&lt;=9,"Recommended",tbl_working_sleep[[#This Row],[SleepHours]]&gt;9,"Oversleeping")</f>
        <v>Insufficient Sleep</v>
      </c>
      <c r="L30" t="str">
        <f>tbl_working_sleep[[#This Row],[Id]]&amp;"|"&amp;TEXT(tbl_working_sleep[[#This Row],[SleepDay]],"yyyy-mm-dd")</f>
        <v>1644430081|2016-05-08</v>
      </c>
    </row>
    <row r="31" spans="1:12" x14ac:dyDescent="0.3">
      <c r="A31">
        <v>1844505072</v>
      </c>
      <c r="B31" s="2">
        <v>42475</v>
      </c>
      <c r="C31">
        <v>1</v>
      </c>
      <c r="D31">
        <v>644</v>
      </c>
      <c r="E31">
        <v>961</v>
      </c>
      <c r="F31" t="str">
        <f>TEXT(tbl_working_sleep[[#This Row],[SleepDay]],"dddd")</f>
        <v>Friday</v>
      </c>
      <c r="G31">
        <f>ROUND(tbl_working_sleep[[#This Row],[TotalMinutesAsleep]]/60,2)</f>
        <v>10.73</v>
      </c>
      <c r="H31">
        <f>ROUND(tbl_working_sleep[[#This Row],[TotalTimeInBed]]/60,2)</f>
        <v>16.02</v>
      </c>
      <c r="I31">
        <f>tbl_working_sleep[[#This Row],[TotalTimeInBed]]-tbl_working_sleep[[#This Row],[TotalMinutesAsleep]]</f>
        <v>317</v>
      </c>
      <c r="J31">
        <f>ROUND(tbl_working_sleep[[#This Row],[TotalMinutesAsleep]]/tbl_working_sleep[[#This Row],[TotalTimeInBed]]*100,2)</f>
        <v>67.010000000000005</v>
      </c>
      <c r="K31" t="str" cm="1">
        <f t="array" ref="K31">_xlfn.IFS(tbl_working_sleep[[#This Row],[SleepHours]]&lt;6,"Insufficient Sleep",tbl_working_sleep[[#This Row],[SleepHours]]&lt;7,"Below Recommended",tbl_working_sleep[[#This Row],[SleepHours]]&lt;=9,"Recommended",tbl_working_sleep[[#This Row],[SleepHours]]&gt;9,"Oversleeping")</f>
        <v>Oversleeping</v>
      </c>
      <c r="L31" t="str">
        <f>tbl_working_sleep[[#This Row],[Id]]&amp;"|"&amp;TEXT(tbl_working_sleep[[#This Row],[SleepDay]],"yyyy-mm-dd")</f>
        <v>1844505072|2016-04-15</v>
      </c>
    </row>
    <row r="32" spans="1:12" x14ac:dyDescent="0.3">
      <c r="A32">
        <v>1844505072</v>
      </c>
      <c r="B32" s="2">
        <v>42490</v>
      </c>
      <c r="C32">
        <v>1</v>
      </c>
      <c r="D32">
        <v>722</v>
      </c>
      <c r="E32">
        <v>961</v>
      </c>
      <c r="F32" t="str">
        <f>TEXT(tbl_working_sleep[[#This Row],[SleepDay]],"dddd")</f>
        <v>Saturday</v>
      </c>
      <c r="G32">
        <f>ROUND(tbl_working_sleep[[#This Row],[TotalMinutesAsleep]]/60,2)</f>
        <v>12.03</v>
      </c>
      <c r="H32">
        <f>ROUND(tbl_working_sleep[[#This Row],[TotalTimeInBed]]/60,2)</f>
        <v>16.02</v>
      </c>
      <c r="I32">
        <f>tbl_working_sleep[[#This Row],[TotalTimeInBed]]-tbl_working_sleep[[#This Row],[TotalMinutesAsleep]]</f>
        <v>239</v>
      </c>
      <c r="J32">
        <f>ROUND(tbl_working_sleep[[#This Row],[TotalMinutesAsleep]]/tbl_working_sleep[[#This Row],[TotalTimeInBed]]*100,2)</f>
        <v>75.13</v>
      </c>
      <c r="K32" t="str" cm="1">
        <f t="array" ref="K32">_xlfn.IFS(tbl_working_sleep[[#This Row],[SleepHours]]&lt;6,"Insufficient Sleep",tbl_working_sleep[[#This Row],[SleepHours]]&lt;7,"Below Recommended",tbl_working_sleep[[#This Row],[SleepHours]]&lt;=9,"Recommended",tbl_working_sleep[[#This Row],[SleepHours]]&gt;9,"Oversleeping")</f>
        <v>Oversleeping</v>
      </c>
      <c r="L32" t="str">
        <f>tbl_working_sleep[[#This Row],[Id]]&amp;"|"&amp;TEXT(tbl_working_sleep[[#This Row],[SleepDay]],"yyyy-mm-dd")</f>
        <v>1844505072|2016-04-30</v>
      </c>
    </row>
    <row r="33" spans="1:12" x14ac:dyDescent="0.3">
      <c r="A33">
        <v>1844505072</v>
      </c>
      <c r="B33" s="2">
        <v>42491</v>
      </c>
      <c r="C33">
        <v>1</v>
      </c>
      <c r="D33">
        <v>590</v>
      </c>
      <c r="E33">
        <v>961</v>
      </c>
      <c r="F33" t="str">
        <f>TEXT(tbl_working_sleep[[#This Row],[SleepDay]],"dddd")</f>
        <v>Sunday</v>
      </c>
      <c r="G33">
        <f>ROUND(tbl_working_sleep[[#This Row],[TotalMinutesAsleep]]/60,2)</f>
        <v>9.83</v>
      </c>
      <c r="H33">
        <f>ROUND(tbl_working_sleep[[#This Row],[TotalTimeInBed]]/60,2)</f>
        <v>16.02</v>
      </c>
      <c r="I33">
        <f>tbl_working_sleep[[#This Row],[TotalTimeInBed]]-tbl_working_sleep[[#This Row],[TotalMinutesAsleep]]</f>
        <v>371</v>
      </c>
      <c r="J33">
        <f>ROUND(tbl_working_sleep[[#This Row],[TotalMinutesAsleep]]/tbl_working_sleep[[#This Row],[TotalTimeInBed]]*100,2)</f>
        <v>61.39</v>
      </c>
      <c r="K33" t="str" cm="1">
        <f t="array" ref="K33">_xlfn.IFS(tbl_working_sleep[[#This Row],[SleepHours]]&lt;6,"Insufficient Sleep",tbl_working_sleep[[#This Row],[SleepHours]]&lt;7,"Below Recommended",tbl_working_sleep[[#This Row],[SleepHours]]&lt;=9,"Recommended",tbl_working_sleep[[#This Row],[SleepHours]]&gt;9,"Oversleeping")</f>
        <v>Oversleeping</v>
      </c>
      <c r="L33" t="str">
        <f>tbl_working_sleep[[#This Row],[Id]]&amp;"|"&amp;TEXT(tbl_working_sleep[[#This Row],[SleepDay]],"yyyy-mm-dd")</f>
        <v>1844505072|2016-05-01</v>
      </c>
    </row>
    <row r="34" spans="1:12" x14ac:dyDescent="0.3">
      <c r="A34">
        <v>1927972279</v>
      </c>
      <c r="B34" s="2">
        <v>42472</v>
      </c>
      <c r="C34">
        <v>3</v>
      </c>
      <c r="D34">
        <v>750</v>
      </c>
      <c r="E34">
        <v>775</v>
      </c>
      <c r="F34" t="str">
        <f>TEXT(tbl_working_sleep[[#This Row],[SleepDay]],"dddd")</f>
        <v>Tuesday</v>
      </c>
      <c r="G34">
        <f>ROUND(tbl_working_sleep[[#This Row],[TotalMinutesAsleep]]/60,2)</f>
        <v>12.5</v>
      </c>
      <c r="H34">
        <f>ROUND(tbl_working_sleep[[#This Row],[TotalTimeInBed]]/60,2)</f>
        <v>12.92</v>
      </c>
      <c r="I34">
        <f>tbl_working_sleep[[#This Row],[TotalTimeInBed]]-tbl_working_sleep[[#This Row],[TotalMinutesAsleep]]</f>
        <v>25</v>
      </c>
      <c r="J34">
        <f>ROUND(tbl_working_sleep[[#This Row],[TotalMinutesAsleep]]/tbl_working_sleep[[#This Row],[TotalTimeInBed]]*100,2)</f>
        <v>96.77</v>
      </c>
      <c r="K34" t="str" cm="1">
        <f t="array" ref="K34">_xlfn.IFS(tbl_working_sleep[[#This Row],[SleepHours]]&lt;6,"Insufficient Sleep",tbl_working_sleep[[#This Row],[SleepHours]]&lt;7,"Below Recommended",tbl_working_sleep[[#This Row],[SleepHours]]&lt;=9,"Recommended",tbl_working_sleep[[#This Row],[SleepHours]]&gt;9,"Oversleeping")</f>
        <v>Oversleeping</v>
      </c>
      <c r="L34" t="str">
        <f>tbl_working_sleep[[#This Row],[Id]]&amp;"|"&amp;TEXT(tbl_working_sleep[[#This Row],[SleepDay]],"yyyy-mm-dd")</f>
        <v>1927972279|2016-04-12</v>
      </c>
    </row>
    <row r="35" spans="1:12" x14ac:dyDescent="0.3">
      <c r="A35">
        <v>1927972279</v>
      </c>
      <c r="B35" s="2">
        <v>42473</v>
      </c>
      <c r="C35">
        <v>1</v>
      </c>
      <c r="D35">
        <v>398</v>
      </c>
      <c r="E35">
        <v>422</v>
      </c>
      <c r="F35" t="str">
        <f>TEXT(tbl_working_sleep[[#This Row],[SleepDay]],"dddd")</f>
        <v>Wednesday</v>
      </c>
      <c r="G35">
        <f>ROUND(tbl_working_sleep[[#This Row],[TotalMinutesAsleep]]/60,2)</f>
        <v>6.63</v>
      </c>
      <c r="H35">
        <f>ROUND(tbl_working_sleep[[#This Row],[TotalTimeInBed]]/60,2)</f>
        <v>7.03</v>
      </c>
      <c r="I35">
        <f>tbl_working_sleep[[#This Row],[TotalTimeInBed]]-tbl_working_sleep[[#This Row],[TotalMinutesAsleep]]</f>
        <v>24</v>
      </c>
      <c r="J35">
        <f>ROUND(tbl_working_sleep[[#This Row],[TotalMinutesAsleep]]/tbl_working_sleep[[#This Row],[TotalTimeInBed]]*100,2)</f>
        <v>94.31</v>
      </c>
      <c r="K35" t="str" cm="1">
        <f t="array" ref="K35">_xlfn.IFS(tbl_working_sleep[[#This Row],[SleepHours]]&lt;6,"Insufficient Sleep",tbl_working_sleep[[#This Row],[SleepHours]]&lt;7,"Below Recommended",tbl_working_sleep[[#This Row],[SleepHours]]&lt;=9,"Recommended",tbl_working_sleep[[#This Row],[SleepHours]]&gt;9,"Oversleeping")</f>
        <v>Below Recommended</v>
      </c>
      <c r="L35" t="str">
        <f>tbl_working_sleep[[#This Row],[Id]]&amp;"|"&amp;TEXT(tbl_working_sleep[[#This Row],[SleepDay]],"yyyy-mm-dd")</f>
        <v>1927972279|2016-04-13</v>
      </c>
    </row>
    <row r="36" spans="1:12" x14ac:dyDescent="0.3">
      <c r="A36">
        <v>1927972279</v>
      </c>
      <c r="B36" s="2">
        <v>42475</v>
      </c>
      <c r="C36">
        <v>2</v>
      </c>
      <c r="D36">
        <v>475</v>
      </c>
      <c r="E36">
        <v>499</v>
      </c>
      <c r="F36" t="str">
        <f>TEXT(tbl_working_sleep[[#This Row],[SleepDay]],"dddd")</f>
        <v>Friday</v>
      </c>
      <c r="G36">
        <f>ROUND(tbl_working_sleep[[#This Row],[TotalMinutesAsleep]]/60,2)</f>
        <v>7.92</v>
      </c>
      <c r="H36">
        <f>ROUND(tbl_working_sleep[[#This Row],[TotalTimeInBed]]/60,2)</f>
        <v>8.32</v>
      </c>
      <c r="I36">
        <f>tbl_working_sleep[[#This Row],[TotalTimeInBed]]-tbl_working_sleep[[#This Row],[TotalMinutesAsleep]]</f>
        <v>24</v>
      </c>
      <c r="J36">
        <f>ROUND(tbl_working_sleep[[#This Row],[TotalMinutesAsleep]]/tbl_working_sleep[[#This Row],[TotalTimeInBed]]*100,2)</f>
        <v>95.19</v>
      </c>
      <c r="K36" t="str" cm="1">
        <f t="array" ref="K36">_xlfn.IFS(tbl_working_sleep[[#This Row],[SleepHours]]&lt;6,"Insufficient Sleep",tbl_working_sleep[[#This Row],[SleepHours]]&lt;7,"Below Recommended",tbl_working_sleep[[#This Row],[SleepHours]]&lt;=9,"Recommended",tbl_working_sleep[[#This Row],[SleepHours]]&gt;9,"Oversleeping")</f>
        <v>Recommended</v>
      </c>
      <c r="L36" t="str">
        <f>tbl_working_sleep[[#This Row],[Id]]&amp;"|"&amp;TEXT(tbl_working_sleep[[#This Row],[SleepDay]],"yyyy-mm-dd")</f>
        <v>1927972279|2016-04-15</v>
      </c>
    </row>
    <row r="37" spans="1:12" x14ac:dyDescent="0.3">
      <c r="A37">
        <v>1927972279</v>
      </c>
      <c r="B37" s="2">
        <v>42486</v>
      </c>
      <c r="C37">
        <v>1</v>
      </c>
      <c r="D37">
        <v>296</v>
      </c>
      <c r="E37">
        <v>315</v>
      </c>
      <c r="F37" t="str">
        <f>TEXT(tbl_working_sleep[[#This Row],[SleepDay]],"dddd")</f>
        <v>Tuesday</v>
      </c>
      <c r="G37">
        <f>ROUND(tbl_working_sleep[[#This Row],[TotalMinutesAsleep]]/60,2)</f>
        <v>4.93</v>
      </c>
      <c r="H37">
        <f>ROUND(tbl_working_sleep[[#This Row],[TotalTimeInBed]]/60,2)</f>
        <v>5.25</v>
      </c>
      <c r="I37">
        <f>tbl_working_sleep[[#This Row],[TotalTimeInBed]]-tbl_working_sleep[[#This Row],[TotalMinutesAsleep]]</f>
        <v>19</v>
      </c>
      <c r="J37">
        <f>ROUND(tbl_working_sleep[[#This Row],[TotalMinutesAsleep]]/tbl_working_sleep[[#This Row],[TotalTimeInBed]]*100,2)</f>
        <v>93.97</v>
      </c>
      <c r="K37" t="str" cm="1">
        <f t="array" ref="K37">_xlfn.IFS(tbl_working_sleep[[#This Row],[SleepHours]]&lt;6,"Insufficient Sleep",tbl_working_sleep[[#This Row],[SleepHours]]&lt;7,"Below Recommended",tbl_working_sleep[[#This Row],[SleepHours]]&lt;=9,"Recommended",tbl_working_sleep[[#This Row],[SleepHours]]&gt;9,"Oversleeping")</f>
        <v>Insufficient Sleep</v>
      </c>
      <c r="L37" t="str">
        <f>tbl_working_sleep[[#This Row],[Id]]&amp;"|"&amp;TEXT(tbl_working_sleep[[#This Row],[SleepDay]],"yyyy-mm-dd")</f>
        <v>1927972279|2016-04-26</v>
      </c>
    </row>
    <row r="38" spans="1:12" x14ac:dyDescent="0.3">
      <c r="A38">
        <v>1927972279</v>
      </c>
      <c r="B38" s="2">
        <v>42488</v>
      </c>
      <c r="C38">
        <v>1</v>
      </c>
      <c r="D38">
        <v>166</v>
      </c>
      <c r="E38">
        <v>178</v>
      </c>
      <c r="F38" t="str">
        <f>TEXT(tbl_working_sleep[[#This Row],[SleepDay]],"dddd")</f>
        <v>Thursday</v>
      </c>
      <c r="G38">
        <f>ROUND(tbl_working_sleep[[#This Row],[TotalMinutesAsleep]]/60,2)</f>
        <v>2.77</v>
      </c>
      <c r="H38">
        <f>ROUND(tbl_working_sleep[[#This Row],[TotalTimeInBed]]/60,2)</f>
        <v>2.97</v>
      </c>
      <c r="I38">
        <f>tbl_working_sleep[[#This Row],[TotalTimeInBed]]-tbl_working_sleep[[#This Row],[TotalMinutesAsleep]]</f>
        <v>12</v>
      </c>
      <c r="J38">
        <f>ROUND(tbl_working_sleep[[#This Row],[TotalMinutesAsleep]]/tbl_working_sleep[[#This Row],[TotalTimeInBed]]*100,2)</f>
        <v>93.26</v>
      </c>
      <c r="K38" t="str" cm="1">
        <f t="array" ref="K38">_xlfn.IFS(tbl_working_sleep[[#This Row],[SleepHours]]&lt;6,"Insufficient Sleep",tbl_working_sleep[[#This Row],[SleepHours]]&lt;7,"Below Recommended",tbl_working_sleep[[#This Row],[SleepHours]]&lt;=9,"Recommended",tbl_working_sleep[[#This Row],[SleepHours]]&gt;9,"Oversleeping")</f>
        <v>Insufficient Sleep</v>
      </c>
      <c r="L38" t="str">
        <f>tbl_working_sleep[[#This Row],[Id]]&amp;"|"&amp;TEXT(tbl_working_sleep[[#This Row],[SleepDay]],"yyyy-mm-dd")</f>
        <v>1927972279|2016-04-28</v>
      </c>
    </row>
    <row r="39" spans="1:12" x14ac:dyDescent="0.3">
      <c r="A39">
        <v>2026352035</v>
      </c>
      <c r="B39" s="2">
        <v>42472</v>
      </c>
      <c r="C39">
        <v>1</v>
      </c>
      <c r="D39">
        <v>503</v>
      </c>
      <c r="E39">
        <v>546</v>
      </c>
      <c r="F39" t="str">
        <f>TEXT(tbl_working_sleep[[#This Row],[SleepDay]],"dddd")</f>
        <v>Tuesday</v>
      </c>
      <c r="G39">
        <f>ROUND(tbl_working_sleep[[#This Row],[TotalMinutesAsleep]]/60,2)</f>
        <v>8.3800000000000008</v>
      </c>
      <c r="H39">
        <f>ROUND(tbl_working_sleep[[#This Row],[TotalTimeInBed]]/60,2)</f>
        <v>9.1</v>
      </c>
      <c r="I39">
        <f>tbl_working_sleep[[#This Row],[TotalTimeInBed]]-tbl_working_sleep[[#This Row],[TotalMinutesAsleep]]</f>
        <v>43</v>
      </c>
      <c r="J39">
        <f>ROUND(tbl_working_sleep[[#This Row],[TotalMinutesAsleep]]/tbl_working_sleep[[#This Row],[TotalTimeInBed]]*100,2)</f>
        <v>92.12</v>
      </c>
      <c r="K39" t="str" cm="1">
        <f t="array" ref="K39">_xlfn.IFS(tbl_working_sleep[[#This Row],[SleepHours]]&lt;6,"Insufficient Sleep",tbl_working_sleep[[#This Row],[SleepHours]]&lt;7,"Below Recommended",tbl_working_sleep[[#This Row],[SleepHours]]&lt;=9,"Recommended",tbl_working_sleep[[#This Row],[SleepHours]]&gt;9,"Oversleeping")</f>
        <v>Recommended</v>
      </c>
      <c r="L39" t="str">
        <f>tbl_working_sleep[[#This Row],[Id]]&amp;"|"&amp;TEXT(tbl_working_sleep[[#This Row],[SleepDay]],"yyyy-mm-dd")</f>
        <v>2026352035|2016-04-12</v>
      </c>
    </row>
    <row r="40" spans="1:12" x14ac:dyDescent="0.3">
      <c r="A40">
        <v>2026352035</v>
      </c>
      <c r="B40" s="2">
        <v>42473</v>
      </c>
      <c r="C40">
        <v>1</v>
      </c>
      <c r="D40">
        <v>531</v>
      </c>
      <c r="E40">
        <v>565</v>
      </c>
      <c r="F40" t="str">
        <f>TEXT(tbl_working_sleep[[#This Row],[SleepDay]],"dddd")</f>
        <v>Wednesday</v>
      </c>
      <c r="G40">
        <f>ROUND(tbl_working_sleep[[#This Row],[TotalMinutesAsleep]]/60,2)</f>
        <v>8.85</v>
      </c>
      <c r="H40">
        <f>ROUND(tbl_working_sleep[[#This Row],[TotalTimeInBed]]/60,2)</f>
        <v>9.42</v>
      </c>
      <c r="I40">
        <f>tbl_working_sleep[[#This Row],[TotalTimeInBed]]-tbl_working_sleep[[#This Row],[TotalMinutesAsleep]]</f>
        <v>34</v>
      </c>
      <c r="J40">
        <f>ROUND(tbl_working_sleep[[#This Row],[TotalMinutesAsleep]]/tbl_working_sleep[[#This Row],[TotalTimeInBed]]*100,2)</f>
        <v>93.98</v>
      </c>
      <c r="K40" t="str" cm="1">
        <f t="array" ref="K40">_xlfn.IFS(tbl_working_sleep[[#This Row],[SleepHours]]&lt;6,"Insufficient Sleep",tbl_working_sleep[[#This Row],[SleepHours]]&lt;7,"Below Recommended",tbl_working_sleep[[#This Row],[SleepHours]]&lt;=9,"Recommended",tbl_working_sleep[[#This Row],[SleepHours]]&gt;9,"Oversleeping")</f>
        <v>Recommended</v>
      </c>
      <c r="L40" t="str">
        <f>tbl_working_sleep[[#This Row],[Id]]&amp;"|"&amp;TEXT(tbl_working_sleep[[#This Row],[SleepDay]],"yyyy-mm-dd")</f>
        <v>2026352035|2016-04-13</v>
      </c>
    </row>
    <row r="41" spans="1:12" x14ac:dyDescent="0.3">
      <c r="A41">
        <v>2026352035</v>
      </c>
      <c r="B41" s="2">
        <v>42474</v>
      </c>
      <c r="C41">
        <v>1</v>
      </c>
      <c r="D41">
        <v>545</v>
      </c>
      <c r="E41">
        <v>568</v>
      </c>
      <c r="F41" t="str">
        <f>TEXT(tbl_working_sleep[[#This Row],[SleepDay]],"dddd")</f>
        <v>Thursday</v>
      </c>
      <c r="G41">
        <f>ROUND(tbl_working_sleep[[#This Row],[TotalMinutesAsleep]]/60,2)</f>
        <v>9.08</v>
      </c>
      <c r="H41">
        <f>ROUND(tbl_working_sleep[[#This Row],[TotalTimeInBed]]/60,2)</f>
        <v>9.4700000000000006</v>
      </c>
      <c r="I41">
        <f>tbl_working_sleep[[#This Row],[TotalTimeInBed]]-tbl_working_sleep[[#This Row],[TotalMinutesAsleep]]</f>
        <v>23</v>
      </c>
      <c r="J41">
        <f>ROUND(tbl_working_sleep[[#This Row],[TotalMinutesAsleep]]/tbl_working_sleep[[#This Row],[TotalTimeInBed]]*100,2)</f>
        <v>95.95</v>
      </c>
      <c r="K41" t="str" cm="1">
        <f t="array" ref="K41">_xlfn.IFS(tbl_working_sleep[[#This Row],[SleepHours]]&lt;6,"Insufficient Sleep",tbl_working_sleep[[#This Row],[SleepHours]]&lt;7,"Below Recommended",tbl_working_sleep[[#This Row],[SleepHours]]&lt;=9,"Recommended",tbl_working_sleep[[#This Row],[SleepHours]]&gt;9,"Oversleeping")</f>
        <v>Oversleeping</v>
      </c>
      <c r="L41" t="str">
        <f>tbl_working_sleep[[#This Row],[Id]]&amp;"|"&amp;TEXT(tbl_working_sleep[[#This Row],[SleepDay]],"yyyy-mm-dd")</f>
        <v>2026352035|2016-04-14</v>
      </c>
    </row>
    <row r="42" spans="1:12" x14ac:dyDescent="0.3">
      <c r="A42">
        <v>2026352035</v>
      </c>
      <c r="B42" s="2">
        <v>42475</v>
      </c>
      <c r="C42">
        <v>1</v>
      </c>
      <c r="D42">
        <v>523</v>
      </c>
      <c r="E42">
        <v>573</v>
      </c>
      <c r="F42" t="str">
        <f>TEXT(tbl_working_sleep[[#This Row],[SleepDay]],"dddd")</f>
        <v>Friday</v>
      </c>
      <c r="G42">
        <f>ROUND(tbl_working_sleep[[#This Row],[TotalMinutesAsleep]]/60,2)</f>
        <v>8.7200000000000006</v>
      </c>
      <c r="H42">
        <f>ROUND(tbl_working_sleep[[#This Row],[TotalTimeInBed]]/60,2)</f>
        <v>9.5500000000000007</v>
      </c>
      <c r="I42">
        <f>tbl_working_sleep[[#This Row],[TotalTimeInBed]]-tbl_working_sleep[[#This Row],[TotalMinutesAsleep]]</f>
        <v>50</v>
      </c>
      <c r="J42">
        <f>ROUND(tbl_working_sleep[[#This Row],[TotalMinutesAsleep]]/tbl_working_sleep[[#This Row],[TotalTimeInBed]]*100,2)</f>
        <v>91.27</v>
      </c>
      <c r="K42" t="str" cm="1">
        <f t="array" ref="K42">_xlfn.IFS(tbl_working_sleep[[#This Row],[SleepHours]]&lt;6,"Insufficient Sleep",tbl_working_sleep[[#This Row],[SleepHours]]&lt;7,"Below Recommended",tbl_working_sleep[[#This Row],[SleepHours]]&lt;=9,"Recommended",tbl_working_sleep[[#This Row],[SleepHours]]&gt;9,"Oversleeping")</f>
        <v>Recommended</v>
      </c>
      <c r="L42" t="str">
        <f>tbl_working_sleep[[#This Row],[Id]]&amp;"|"&amp;TEXT(tbl_working_sleep[[#This Row],[SleepDay]],"yyyy-mm-dd")</f>
        <v>2026352035|2016-04-15</v>
      </c>
    </row>
    <row r="43" spans="1:12" x14ac:dyDescent="0.3">
      <c r="A43">
        <v>2026352035</v>
      </c>
      <c r="B43" s="2">
        <v>42476</v>
      </c>
      <c r="C43">
        <v>1</v>
      </c>
      <c r="D43">
        <v>524</v>
      </c>
      <c r="E43">
        <v>567</v>
      </c>
      <c r="F43" t="str">
        <f>TEXT(tbl_working_sleep[[#This Row],[SleepDay]],"dddd")</f>
        <v>Saturday</v>
      </c>
      <c r="G43">
        <f>ROUND(tbl_working_sleep[[#This Row],[TotalMinutesAsleep]]/60,2)</f>
        <v>8.73</v>
      </c>
      <c r="H43">
        <f>ROUND(tbl_working_sleep[[#This Row],[TotalTimeInBed]]/60,2)</f>
        <v>9.4499999999999993</v>
      </c>
      <c r="I43">
        <f>tbl_working_sleep[[#This Row],[TotalTimeInBed]]-tbl_working_sleep[[#This Row],[TotalMinutesAsleep]]</f>
        <v>43</v>
      </c>
      <c r="J43">
        <f>ROUND(tbl_working_sleep[[#This Row],[TotalMinutesAsleep]]/tbl_working_sleep[[#This Row],[TotalTimeInBed]]*100,2)</f>
        <v>92.42</v>
      </c>
      <c r="K43" t="str" cm="1">
        <f t="array" ref="K43">_xlfn.IFS(tbl_working_sleep[[#This Row],[SleepHours]]&lt;6,"Insufficient Sleep",tbl_working_sleep[[#This Row],[SleepHours]]&lt;7,"Below Recommended",tbl_working_sleep[[#This Row],[SleepHours]]&lt;=9,"Recommended",tbl_working_sleep[[#This Row],[SleepHours]]&gt;9,"Oversleeping")</f>
        <v>Recommended</v>
      </c>
      <c r="L43" t="str">
        <f>tbl_working_sleep[[#This Row],[Id]]&amp;"|"&amp;TEXT(tbl_working_sleep[[#This Row],[SleepDay]],"yyyy-mm-dd")</f>
        <v>2026352035|2016-04-16</v>
      </c>
    </row>
    <row r="44" spans="1:12" x14ac:dyDescent="0.3">
      <c r="A44">
        <v>2026352035</v>
      </c>
      <c r="B44" s="2">
        <v>42477</v>
      </c>
      <c r="C44">
        <v>1</v>
      </c>
      <c r="D44">
        <v>437</v>
      </c>
      <c r="E44">
        <v>498</v>
      </c>
      <c r="F44" t="str">
        <f>TEXT(tbl_working_sleep[[#This Row],[SleepDay]],"dddd")</f>
        <v>Sunday</v>
      </c>
      <c r="G44">
        <f>ROUND(tbl_working_sleep[[#This Row],[TotalMinutesAsleep]]/60,2)</f>
        <v>7.28</v>
      </c>
      <c r="H44">
        <f>ROUND(tbl_working_sleep[[#This Row],[TotalTimeInBed]]/60,2)</f>
        <v>8.3000000000000007</v>
      </c>
      <c r="I44">
        <f>tbl_working_sleep[[#This Row],[TotalTimeInBed]]-tbl_working_sleep[[#This Row],[TotalMinutesAsleep]]</f>
        <v>61</v>
      </c>
      <c r="J44">
        <f>ROUND(tbl_working_sleep[[#This Row],[TotalMinutesAsleep]]/tbl_working_sleep[[#This Row],[TotalTimeInBed]]*100,2)</f>
        <v>87.75</v>
      </c>
      <c r="K44" t="str" cm="1">
        <f t="array" ref="K44">_xlfn.IFS(tbl_working_sleep[[#This Row],[SleepHours]]&lt;6,"Insufficient Sleep",tbl_working_sleep[[#This Row],[SleepHours]]&lt;7,"Below Recommended",tbl_working_sleep[[#This Row],[SleepHours]]&lt;=9,"Recommended",tbl_working_sleep[[#This Row],[SleepHours]]&gt;9,"Oversleeping")</f>
        <v>Recommended</v>
      </c>
      <c r="L44" t="str">
        <f>tbl_working_sleep[[#This Row],[Id]]&amp;"|"&amp;TEXT(tbl_working_sleep[[#This Row],[SleepDay]],"yyyy-mm-dd")</f>
        <v>2026352035|2016-04-17</v>
      </c>
    </row>
    <row r="45" spans="1:12" x14ac:dyDescent="0.3">
      <c r="A45">
        <v>2026352035</v>
      </c>
      <c r="B45" s="2">
        <v>42479</v>
      </c>
      <c r="C45">
        <v>1</v>
      </c>
      <c r="D45">
        <v>498</v>
      </c>
      <c r="E45">
        <v>540</v>
      </c>
      <c r="F45" t="str">
        <f>TEXT(tbl_working_sleep[[#This Row],[SleepDay]],"dddd")</f>
        <v>Tuesday</v>
      </c>
      <c r="G45">
        <f>ROUND(tbl_working_sleep[[#This Row],[TotalMinutesAsleep]]/60,2)</f>
        <v>8.3000000000000007</v>
      </c>
      <c r="H45">
        <f>ROUND(tbl_working_sleep[[#This Row],[TotalTimeInBed]]/60,2)</f>
        <v>9</v>
      </c>
      <c r="I45">
        <f>tbl_working_sleep[[#This Row],[TotalTimeInBed]]-tbl_working_sleep[[#This Row],[TotalMinutesAsleep]]</f>
        <v>42</v>
      </c>
      <c r="J45">
        <f>ROUND(tbl_working_sleep[[#This Row],[TotalMinutesAsleep]]/tbl_working_sleep[[#This Row],[TotalTimeInBed]]*100,2)</f>
        <v>92.22</v>
      </c>
      <c r="K45" t="str" cm="1">
        <f t="array" ref="K45">_xlfn.IFS(tbl_working_sleep[[#This Row],[SleepHours]]&lt;6,"Insufficient Sleep",tbl_working_sleep[[#This Row],[SleepHours]]&lt;7,"Below Recommended",tbl_working_sleep[[#This Row],[SleepHours]]&lt;=9,"Recommended",tbl_working_sleep[[#This Row],[SleepHours]]&gt;9,"Oversleeping")</f>
        <v>Recommended</v>
      </c>
      <c r="L45" t="str">
        <f>tbl_working_sleep[[#This Row],[Id]]&amp;"|"&amp;TEXT(tbl_working_sleep[[#This Row],[SleepDay]],"yyyy-mm-dd")</f>
        <v>2026352035|2016-04-19</v>
      </c>
    </row>
    <row r="46" spans="1:12" x14ac:dyDescent="0.3">
      <c r="A46">
        <v>2026352035</v>
      </c>
      <c r="B46" s="2">
        <v>42480</v>
      </c>
      <c r="C46">
        <v>1</v>
      </c>
      <c r="D46">
        <v>461</v>
      </c>
      <c r="E46">
        <v>510</v>
      </c>
      <c r="F46" t="str">
        <f>TEXT(tbl_working_sleep[[#This Row],[SleepDay]],"dddd")</f>
        <v>Wednesday</v>
      </c>
      <c r="G46">
        <f>ROUND(tbl_working_sleep[[#This Row],[TotalMinutesAsleep]]/60,2)</f>
        <v>7.68</v>
      </c>
      <c r="H46">
        <f>ROUND(tbl_working_sleep[[#This Row],[TotalTimeInBed]]/60,2)</f>
        <v>8.5</v>
      </c>
      <c r="I46">
        <f>tbl_working_sleep[[#This Row],[TotalTimeInBed]]-tbl_working_sleep[[#This Row],[TotalMinutesAsleep]]</f>
        <v>49</v>
      </c>
      <c r="J46">
        <f>ROUND(tbl_working_sleep[[#This Row],[TotalMinutesAsleep]]/tbl_working_sleep[[#This Row],[TotalTimeInBed]]*100,2)</f>
        <v>90.39</v>
      </c>
      <c r="K46" t="str" cm="1">
        <f t="array" ref="K46">_xlfn.IFS(tbl_working_sleep[[#This Row],[SleepHours]]&lt;6,"Insufficient Sleep",tbl_working_sleep[[#This Row],[SleepHours]]&lt;7,"Below Recommended",tbl_working_sleep[[#This Row],[SleepHours]]&lt;=9,"Recommended",tbl_working_sleep[[#This Row],[SleepHours]]&gt;9,"Oversleeping")</f>
        <v>Recommended</v>
      </c>
      <c r="L46" t="str">
        <f>tbl_working_sleep[[#This Row],[Id]]&amp;"|"&amp;TEXT(tbl_working_sleep[[#This Row],[SleepDay]],"yyyy-mm-dd")</f>
        <v>2026352035|2016-04-20</v>
      </c>
    </row>
    <row r="47" spans="1:12" x14ac:dyDescent="0.3">
      <c r="A47">
        <v>2026352035</v>
      </c>
      <c r="B47" s="2">
        <v>42481</v>
      </c>
      <c r="C47">
        <v>1</v>
      </c>
      <c r="D47">
        <v>477</v>
      </c>
      <c r="E47">
        <v>514</v>
      </c>
      <c r="F47" t="str">
        <f>TEXT(tbl_working_sleep[[#This Row],[SleepDay]],"dddd")</f>
        <v>Thursday</v>
      </c>
      <c r="G47">
        <f>ROUND(tbl_working_sleep[[#This Row],[TotalMinutesAsleep]]/60,2)</f>
        <v>7.95</v>
      </c>
      <c r="H47">
        <f>ROUND(tbl_working_sleep[[#This Row],[TotalTimeInBed]]/60,2)</f>
        <v>8.57</v>
      </c>
      <c r="I47">
        <f>tbl_working_sleep[[#This Row],[TotalTimeInBed]]-tbl_working_sleep[[#This Row],[TotalMinutesAsleep]]</f>
        <v>37</v>
      </c>
      <c r="J47">
        <f>ROUND(tbl_working_sleep[[#This Row],[TotalMinutesAsleep]]/tbl_working_sleep[[#This Row],[TotalTimeInBed]]*100,2)</f>
        <v>92.8</v>
      </c>
      <c r="K47" t="str" cm="1">
        <f t="array" ref="K47">_xlfn.IFS(tbl_working_sleep[[#This Row],[SleepHours]]&lt;6,"Insufficient Sleep",tbl_working_sleep[[#This Row],[SleepHours]]&lt;7,"Below Recommended",tbl_working_sleep[[#This Row],[SleepHours]]&lt;=9,"Recommended",tbl_working_sleep[[#This Row],[SleepHours]]&gt;9,"Oversleeping")</f>
        <v>Recommended</v>
      </c>
      <c r="L47" t="str">
        <f>tbl_working_sleep[[#This Row],[Id]]&amp;"|"&amp;TEXT(tbl_working_sleep[[#This Row],[SleepDay]],"yyyy-mm-dd")</f>
        <v>2026352035|2016-04-21</v>
      </c>
    </row>
    <row r="48" spans="1:12" x14ac:dyDescent="0.3">
      <c r="A48">
        <v>2026352035</v>
      </c>
      <c r="B48" s="2">
        <v>42482</v>
      </c>
      <c r="C48">
        <v>1</v>
      </c>
      <c r="D48">
        <v>520</v>
      </c>
      <c r="E48">
        <v>545</v>
      </c>
      <c r="F48" t="str">
        <f>TEXT(tbl_working_sleep[[#This Row],[SleepDay]],"dddd")</f>
        <v>Friday</v>
      </c>
      <c r="G48">
        <f>ROUND(tbl_working_sleep[[#This Row],[TotalMinutesAsleep]]/60,2)</f>
        <v>8.67</v>
      </c>
      <c r="H48">
        <f>ROUND(tbl_working_sleep[[#This Row],[TotalTimeInBed]]/60,2)</f>
        <v>9.08</v>
      </c>
      <c r="I48">
        <f>tbl_working_sleep[[#This Row],[TotalTimeInBed]]-tbl_working_sleep[[#This Row],[TotalMinutesAsleep]]</f>
        <v>25</v>
      </c>
      <c r="J48">
        <f>ROUND(tbl_working_sleep[[#This Row],[TotalMinutesAsleep]]/tbl_working_sleep[[#This Row],[TotalTimeInBed]]*100,2)</f>
        <v>95.41</v>
      </c>
      <c r="K48" t="str" cm="1">
        <f t="array" ref="K48">_xlfn.IFS(tbl_working_sleep[[#This Row],[SleepHours]]&lt;6,"Insufficient Sleep",tbl_working_sleep[[#This Row],[SleepHours]]&lt;7,"Below Recommended",tbl_working_sleep[[#This Row],[SleepHours]]&lt;=9,"Recommended",tbl_working_sleep[[#This Row],[SleepHours]]&gt;9,"Oversleeping")</f>
        <v>Recommended</v>
      </c>
      <c r="L48" t="str">
        <f>tbl_working_sleep[[#This Row],[Id]]&amp;"|"&amp;TEXT(tbl_working_sleep[[#This Row],[SleepDay]],"yyyy-mm-dd")</f>
        <v>2026352035|2016-04-22</v>
      </c>
    </row>
    <row r="49" spans="1:12" x14ac:dyDescent="0.3">
      <c r="A49">
        <v>2026352035</v>
      </c>
      <c r="B49" s="2">
        <v>42483</v>
      </c>
      <c r="C49">
        <v>1</v>
      </c>
      <c r="D49">
        <v>522</v>
      </c>
      <c r="E49">
        <v>554</v>
      </c>
      <c r="F49" t="str">
        <f>TEXT(tbl_working_sleep[[#This Row],[SleepDay]],"dddd")</f>
        <v>Saturday</v>
      </c>
      <c r="G49">
        <f>ROUND(tbl_working_sleep[[#This Row],[TotalMinutesAsleep]]/60,2)</f>
        <v>8.6999999999999993</v>
      </c>
      <c r="H49">
        <f>ROUND(tbl_working_sleep[[#This Row],[TotalTimeInBed]]/60,2)</f>
        <v>9.23</v>
      </c>
      <c r="I49">
        <f>tbl_working_sleep[[#This Row],[TotalTimeInBed]]-tbl_working_sleep[[#This Row],[TotalMinutesAsleep]]</f>
        <v>32</v>
      </c>
      <c r="J49">
        <f>ROUND(tbl_working_sleep[[#This Row],[TotalMinutesAsleep]]/tbl_working_sleep[[#This Row],[TotalTimeInBed]]*100,2)</f>
        <v>94.22</v>
      </c>
      <c r="K49" t="str" cm="1">
        <f t="array" ref="K49">_xlfn.IFS(tbl_working_sleep[[#This Row],[SleepHours]]&lt;6,"Insufficient Sleep",tbl_working_sleep[[#This Row],[SleepHours]]&lt;7,"Below Recommended",tbl_working_sleep[[#This Row],[SleepHours]]&lt;=9,"Recommended",tbl_working_sleep[[#This Row],[SleepHours]]&gt;9,"Oversleeping")</f>
        <v>Recommended</v>
      </c>
      <c r="L49" t="str">
        <f>tbl_working_sleep[[#This Row],[Id]]&amp;"|"&amp;TEXT(tbl_working_sleep[[#This Row],[SleepDay]],"yyyy-mm-dd")</f>
        <v>2026352035|2016-04-23</v>
      </c>
    </row>
    <row r="50" spans="1:12" x14ac:dyDescent="0.3">
      <c r="A50">
        <v>2026352035</v>
      </c>
      <c r="B50" s="2">
        <v>42484</v>
      </c>
      <c r="C50">
        <v>1</v>
      </c>
      <c r="D50">
        <v>555</v>
      </c>
      <c r="E50">
        <v>591</v>
      </c>
      <c r="F50" t="str">
        <f>TEXT(tbl_working_sleep[[#This Row],[SleepDay]],"dddd")</f>
        <v>Sunday</v>
      </c>
      <c r="G50">
        <f>ROUND(tbl_working_sleep[[#This Row],[TotalMinutesAsleep]]/60,2)</f>
        <v>9.25</v>
      </c>
      <c r="H50">
        <f>ROUND(tbl_working_sleep[[#This Row],[TotalTimeInBed]]/60,2)</f>
        <v>9.85</v>
      </c>
      <c r="I50">
        <f>tbl_working_sleep[[#This Row],[TotalTimeInBed]]-tbl_working_sleep[[#This Row],[TotalMinutesAsleep]]</f>
        <v>36</v>
      </c>
      <c r="J50">
        <f>ROUND(tbl_working_sleep[[#This Row],[TotalMinutesAsleep]]/tbl_working_sleep[[#This Row],[TotalTimeInBed]]*100,2)</f>
        <v>93.91</v>
      </c>
      <c r="K50" t="str" cm="1">
        <f t="array" ref="K50">_xlfn.IFS(tbl_working_sleep[[#This Row],[SleepHours]]&lt;6,"Insufficient Sleep",tbl_working_sleep[[#This Row],[SleepHours]]&lt;7,"Below Recommended",tbl_working_sleep[[#This Row],[SleepHours]]&lt;=9,"Recommended",tbl_working_sleep[[#This Row],[SleepHours]]&gt;9,"Oversleeping")</f>
        <v>Oversleeping</v>
      </c>
      <c r="L50" t="str">
        <f>tbl_working_sleep[[#This Row],[Id]]&amp;"|"&amp;TEXT(tbl_working_sleep[[#This Row],[SleepDay]],"yyyy-mm-dd")</f>
        <v>2026352035|2016-04-24</v>
      </c>
    </row>
    <row r="51" spans="1:12" x14ac:dyDescent="0.3">
      <c r="A51">
        <v>2026352035</v>
      </c>
      <c r="B51" s="2">
        <v>42485</v>
      </c>
      <c r="C51">
        <v>1</v>
      </c>
      <c r="D51">
        <v>506</v>
      </c>
      <c r="E51">
        <v>531</v>
      </c>
      <c r="F51" t="str">
        <f>TEXT(tbl_working_sleep[[#This Row],[SleepDay]],"dddd")</f>
        <v>Monday</v>
      </c>
      <c r="G51">
        <f>ROUND(tbl_working_sleep[[#This Row],[TotalMinutesAsleep]]/60,2)</f>
        <v>8.43</v>
      </c>
      <c r="H51">
        <f>ROUND(tbl_working_sleep[[#This Row],[TotalTimeInBed]]/60,2)</f>
        <v>8.85</v>
      </c>
      <c r="I51">
        <f>tbl_working_sleep[[#This Row],[TotalTimeInBed]]-tbl_working_sleep[[#This Row],[TotalMinutesAsleep]]</f>
        <v>25</v>
      </c>
      <c r="J51">
        <f>ROUND(tbl_working_sleep[[#This Row],[TotalMinutesAsleep]]/tbl_working_sleep[[#This Row],[TotalTimeInBed]]*100,2)</f>
        <v>95.29</v>
      </c>
      <c r="K51" t="str" cm="1">
        <f t="array" ref="K51">_xlfn.IFS(tbl_working_sleep[[#This Row],[SleepHours]]&lt;6,"Insufficient Sleep",tbl_working_sleep[[#This Row],[SleepHours]]&lt;7,"Below Recommended",tbl_working_sleep[[#This Row],[SleepHours]]&lt;=9,"Recommended",tbl_working_sleep[[#This Row],[SleepHours]]&gt;9,"Oversleeping")</f>
        <v>Recommended</v>
      </c>
      <c r="L51" t="str">
        <f>tbl_working_sleep[[#This Row],[Id]]&amp;"|"&amp;TEXT(tbl_working_sleep[[#This Row],[SleepDay]],"yyyy-mm-dd")</f>
        <v>2026352035|2016-04-25</v>
      </c>
    </row>
    <row r="52" spans="1:12" x14ac:dyDescent="0.3">
      <c r="A52">
        <v>2026352035</v>
      </c>
      <c r="B52" s="2">
        <v>42487</v>
      </c>
      <c r="C52">
        <v>1</v>
      </c>
      <c r="D52">
        <v>508</v>
      </c>
      <c r="E52">
        <v>545</v>
      </c>
      <c r="F52" t="str">
        <f>TEXT(tbl_working_sleep[[#This Row],[SleepDay]],"dddd")</f>
        <v>Wednesday</v>
      </c>
      <c r="G52">
        <f>ROUND(tbl_working_sleep[[#This Row],[TotalMinutesAsleep]]/60,2)</f>
        <v>8.4700000000000006</v>
      </c>
      <c r="H52">
        <f>ROUND(tbl_working_sleep[[#This Row],[TotalTimeInBed]]/60,2)</f>
        <v>9.08</v>
      </c>
      <c r="I52">
        <f>tbl_working_sleep[[#This Row],[TotalTimeInBed]]-tbl_working_sleep[[#This Row],[TotalMinutesAsleep]]</f>
        <v>37</v>
      </c>
      <c r="J52">
        <f>ROUND(tbl_working_sleep[[#This Row],[TotalMinutesAsleep]]/tbl_working_sleep[[#This Row],[TotalTimeInBed]]*100,2)</f>
        <v>93.21</v>
      </c>
      <c r="K52" t="str" cm="1">
        <f t="array" ref="K52">_xlfn.IFS(tbl_working_sleep[[#This Row],[SleepHours]]&lt;6,"Insufficient Sleep",tbl_working_sleep[[#This Row],[SleepHours]]&lt;7,"Below Recommended",tbl_working_sleep[[#This Row],[SleepHours]]&lt;=9,"Recommended",tbl_working_sleep[[#This Row],[SleepHours]]&gt;9,"Oversleeping")</f>
        <v>Recommended</v>
      </c>
      <c r="L52" t="str">
        <f>tbl_working_sleep[[#This Row],[Id]]&amp;"|"&amp;TEXT(tbl_working_sleep[[#This Row],[SleepDay]],"yyyy-mm-dd")</f>
        <v>2026352035|2016-04-27</v>
      </c>
    </row>
    <row r="53" spans="1:12" x14ac:dyDescent="0.3">
      <c r="A53">
        <v>2026352035</v>
      </c>
      <c r="B53" s="2">
        <v>42488</v>
      </c>
      <c r="C53">
        <v>1</v>
      </c>
      <c r="D53">
        <v>513</v>
      </c>
      <c r="E53">
        <v>545</v>
      </c>
      <c r="F53" t="str">
        <f>TEXT(tbl_working_sleep[[#This Row],[SleepDay]],"dddd")</f>
        <v>Thursday</v>
      </c>
      <c r="G53">
        <f>ROUND(tbl_working_sleep[[#This Row],[TotalMinutesAsleep]]/60,2)</f>
        <v>8.5500000000000007</v>
      </c>
      <c r="H53">
        <f>ROUND(tbl_working_sleep[[#This Row],[TotalTimeInBed]]/60,2)</f>
        <v>9.08</v>
      </c>
      <c r="I53">
        <f>tbl_working_sleep[[#This Row],[TotalTimeInBed]]-tbl_working_sleep[[#This Row],[TotalMinutesAsleep]]</f>
        <v>32</v>
      </c>
      <c r="J53">
        <f>ROUND(tbl_working_sleep[[#This Row],[TotalMinutesAsleep]]/tbl_working_sleep[[#This Row],[TotalTimeInBed]]*100,2)</f>
        <v>94.13</v>
      </c>
      <c r="K53" t="str" cm="1">
        <f t="array" ref="K53">_xlfn.IFS(tbl_working_sleep[[#This Row],[SleepHours]]&lt;6,"Insufficient Sleep",tbl_working_sleep[[#This Row],[SleepHours]]&lt;7,"Below Recommended",tbl_working_sleep[[#This Row],[SleepHours]]&lt;=9,"Recommended",tbl_working_sleep[[#This Row],[SleepHours]]&gt;9,"Oversleeping")</f>
        <v>Recommended</v>
      </c>
      <c r="L53" t="str">
        <f>tbl_working_sleep[[#This Row],[Id]]&amp;"|"&amp;TEXT(tbl_working_sleep[[#This Row],[SleepDay]],"yyyy-mm-dd")</f>
        <v>2026352035|2016-04-28</v>
      </c>
    </row>
    <row r="54" spans="1:12" x14ac:dyDescent="0.3">
      <c r="A54">
        <v>2026352035</v>
      </c>
      <c r="B54" s="2">
        <v>42489</v>
      </c>
      <c r="C54">
        <v>1</v>
      </c>
      <c r="D54">
        <v>490</v>
      </c>
      <c r="E54">
        <v>510</v>
      </c>
      <c r="F54" t="str">
        <f>TEXT(tbl_working_sleep[[#This Row],[SleepDay]],"dddd")</f>
        <v>Friday</v>
      </c>
      <c r="G54">
        <f>ROUND(tbl_working_sleep[[#This Row],[TotalMinutesAsleep]]/60,2)</f>
        <v>8.17</v>
      </c>
      <c r="H54">
        <f>ROUND(tbl_working_sleep[[#This Row],[TotalTimeInBed]]/60,2)</f>
        <v>8.5</v>
      </c>
      <c r="I54">
        <f>tbl_working_sleep[[#This Row],[TotalTimeInBed]]-tbl_working_sleep[[#This Row],[TotalMinutesAsleep]]</f>
        <v>20</v>
      </c>
      <c r="J54">
        <f>ROUND(tbl_working_sleep[[#This Row],[TotalMinutesAsleep]]/tbl_working_sleep[[#This Row],[TotalTimeInBed]]*100,2)</f>
        <v>96.08</v>
      </c>
      <c r="K54" t="str" cm="1">
        <f t="array" ref="K54">_xlfn.IFS(tbl_working_sleep[[#This Row],[SleepHours]]&lt;6,"Insufficient Sleep",tbl_working_sleep[[#This Row],[SleepHours]]&lt;7,"Below Recommended",tbl_working_sleep[[#This Row],[SleepHours]]&lt;=9,"Recommended",tbl_working_sleep[[#This Row],[SleepHours]]&gt;9,"Oversleeping")</f>
        <v>Recommended</v>
      </c>
      <c r="L54" t="str">
        <f>tbl_working_sleep[[#This Row],[Id]]&amp;"|"&amp;TEXT(tbl_working_sleep[[#This Row],[SleepDay]],"yyyy-mm-dd")</f>
        <v>2026352035|2016-04-29</v>
      </c>
    </row>
    <row r="55" spans="1:12" x14ac:dyDescent="0.3">
      <c r="A55">
        <v>2026352035</v>
      </c>
      <c r="B55" s="2">
        <v>42490</v>
      </c>
      <c r="C55">
        <v>1</v>
      </c>
      <c r="D55">
        <v>573</v>
      </c>
      <c r="E55">
        <v>607</v>
      </c>
      <c r="F55" t="str">
        <f>TEXT(tbl_working_sleep[[#This Row],[SleepDay]],"dddd")</f>
        <v>Saturday</v>
      </c>
      <c r="G55">
        <f>ROUND(tbl_working_sleep[[#This Row],[TotalMinutesAsleep]]/60,2)</f>
        <v>9.5500000000000007</v>
      </c>
      <c r="H55">
        <f>ROUND(tbl_working_sleep[[#This Row],[TotalTimeInBed]]/60,2)</f>
        <v>10.119999999999999</v>
      </c>
      <c r="I55">
        <f>tbl_working_sleep[[#This Row],[TotalTimeInBed]]-tbl_working_sleep[[#This Row],[TotalMinutesAsleep]]</f>
        <v>34</v>
      </c>
      <c r="J55">
        <f>ROUND(tbl_working_sleep[[#This Row],[TotalMinutesAsleep]]/tbl_working_sleep[[#This Row],[TotalTimeInBed]]*100,2)</f>
        <v>94.4</v>
      </c>
      <c r="K55" t="str" cm="1">
        <f t="array" ref="K55">_xlfn.IFS(tbl_working_sleep[[#This Row],[SleepHours]]&lt;6,"Insufficient Sleep",tbl_working_sleep[[#This Row],[SleepHours]]&lt;7,"Below Recommended",tbl_working_sleep[[#This Row],[SleepHours]]&lt;=9,"Recommended",tbl_working_sleep[[#This Row],[SleepHours]]&gt;9,"Oversleeping")</f>
        <v>Oversleeping</v>
      </c>
      <c r="L55" t="str">
        <f>tbl_working_sleep[[#This Row],[Id]]&amp;"|"&amp;TEXT(tbl_working_sleep[[#This Row],[SleepDay]],"yyyy-mm-dd")</f>
        <v>2026352035|2016-04-30</v>
      </c>
    </row>
    <row r="56" spans="1:12" x14ac:dyDescent="0.3">
      <c r="A56">
        <v>2026352035</v>
      </c>
      <c r="B56" s="2">
        <v>42491</v>
      </c>
      <c r="C56">
        <v>1</v>
      </c>
      <c r="D56">
        <v>527</v>
      </c>
      <c r="E56">
        <v>546</v>
      </c>
      <c r="F56" t="str">
        <f>TEXT(tbl_working_sleep[[#This Row],[SleepDay]],"dddd")</f>
        <v>Sunday</v>
      </c>
      <c r="G56">
        <f>ROUND(tbl_working_sleep[[#This Row],[TotalMinutesAsleep]]/60,2)</f>
        <v>8.7799999999999994</v>
      </c>
      <c r="H56">
        <f>ROUND(tbl_working_sleep[[#This Row],[TotalTimeInBed]]/60,2)</f>
        <v>9.1</v>
      </c>
      <c r="I56">
        <f>tbl_working_sleep[[#This Row],[TotalTimeInBed]]-tbl_working_sleep[[#This Row],[TotalMinutesAsleep]]</f>
        <v>19</v>
      </c>
      <c r="J56">
        <f>ROUND(tbl_working_sleep[[#This Row],[TotalMinutesAsleep]]/tbl_working_sleep[[#This Row],[TotalTimeInBed]]*100,2)</f>
        <v>96.52</v>
      </c>
      <c r="K56" t="str" cm="1">
        <f t="array" ref="K56">_xlfn.IFS(tbl_working_sleep[[#This Row],[SleepHours]]&lt;6,"Insufficient Sleep",tbl_working_sleep[[#This Row],[SleepHours]]&lt;7,"Below Recommended",tbl_working_sleep[[#This Row],[SleepHours]]&lt;=9,"Recommended",tbl_working_sleep[[#This Row],[SleepHours]]&gt;9,"Oversleeping")</f>
        <v>Recommended</v>
      </c>
      <c r="L56" t="str">
        <f>tbl_working_sleep[[#This Row],[Id]]&amp;"|"&amp;TEXT(tbl_working_sleep[[#This Row],[SleepDay]],"yyyy-mm-dd")</f>
        <v>2026352035|2016-05-01</v>
      </c>
    </row>
    <row r="57" spans="1:12" x14ac:dyDescent="0.3">
      <c r="A57">
        <v>2026352035</v>
      </c>
      <c r="B57" s="2">
        <v>42492</v>
      </c>
      <c r="C57">
        <v>1</v>
      </c>
      <c r="D57">
        <v>511</v>
      </c>
      <c r="E57">
        <v>543</v>
      </c>
      <c r="F57" t="str">
        <f>TEXT(tbl_working_sleep[[#This Row],[SleepDay]],"dddd")</f>
        <v>Monday</v>
      </c>
      <c r="G57">
        <f>ROUND(tbl_working_sleep[[#This Row],[TotalMinutesAsleep]]/60,2)</f>
        <v>8.52</v>
      </c>
      <c r="H57">
        <f>ROUND(tbl_working_sleep[[#This Row],[TotalTimeInBed]]/60,2)</f>
        <v>9.0500000000000007</v>
      </c>
      <c r="I57">
        <f>tbl_working_sleep[[#This Row],[TotalTimeInBed]]-tbl_working_sleep[[#This Row],[TotalMinutesAsleep]]</f>
        <v>32</v>
      </c>
      <c r="J57">
        <f>ROUND(tbl_working_sleep[[#This Row],[TotalMinutesAsleep]]/tbl_working_sleep[[#This Row],[TotalTimeInBed]]*100,2)</f>
        <v>94.11</v>
      </c>
      <c r="K57" t="str" cm="1">
        <f t="array" ref="K57">_xlfn.IFS(tbl_working_sleep[[#This Row],[SleepHours]]&lt;6,"Insufficient Sleep",tbl_working_sleep[[#This Row],[SleepHours]]&lt;7,"Below Recommended",tbl_working_sleep[[#This Row],[SleepHours]]&lt;=9,"Recommended",tbl_working_sleep[[#This Row],[SleepHours]]&gt;9,"Oversleeping")</f>
        <v>Recommended</v>
      </c>
      <c r="L57" t="str">
        <f>tbl_working_sleep[[#This Row],[Id]]&amp;"|"&amp;TEXT(tbl_working_sleep[[#This Row],[SleepDay]],"yyyy-mm-dd")</f>
        <v>2026352035|2016-05-02</v>
      </c>
    </row>
    <row r="58" spans="1:12" x14ac:dyDescent="0.3">
      <c r="A58">
        <v>2026352035</v>
      </c>
      <c r="B58" s="2">
        <v>42494</v>
      </c>
      <c r="C58">
        <v>1</v>
      </c>
      <c r="D58">
        <v>538</v>
      </c>
      <c r="E58">
        <v>560</v>
      </c>
      <c r="F58" t="str">
        <f>TEXT(tbl_working_sleep[[#This Row],[SleepDay]],"dddd")</f>
        <v>Wednesday</v>
      </c>
      <c r="G58">
        <f>ROUND(tbl_working_sleep[[#This Row],[TotalMinutesAsleep]]/60,2)</f>
        <v>8.9700000000000006</v>
      </c>
      <c r="H58">
        <f>ROUND(tbl_working_sleep[[#This Row],[TotalTimeInBed]]/60,2)</f>
        <v>9.33</v>
      </c>
      <c r="I58">
        <f>tbl_working_sleep[[#This Row],[TotalTimeInBed]]-tbl_working_sleep[[#This Row],[TotalMinutesAsleep]]</f>
        <v>22</v>
      </c>
      <c r="J58">
        <f>ROUND(tbl_working_sleep[[#This Row],[TotalMinutesAsleep]]/tbl_working_sleep[[#This Row],[TotalTimeInBed]]*100,2)</f>
        <v>96.07</v>
      </c>
      <c r="K58" t="str" cm="1">
        <f t="array" ref="K58">_xlfn.IFS(tbl_working_sleep[[#This Row],[SleepHours]]&lt;6,"Insufficient Sleep",tbl_working_sleep[[#This Row],[SleepHours]]&lt;7,"Below Recommended",tbl_working_sleep[[#This Row],[SleepHours]]&lt;=9,"Recommended",tbl_working_sleep[[#This Row],[SleepHours]]&gt;9,"Oversleeping")</f>
        <v>Recommended</v>
      </c>
      <c r="L58" t="str">
        <f>tbl_working_sleep[[#This Row],[Id]]&amp;"|"&amp;TEXT(tbl_working_sleep[[#This Row],[SleepDay]],"yyyy-mm-dd")</f>
        <v>2026352035|2016-05-04</v>
      </c>
    </row>
    <row r="59" spans="1:12" x14ac:dyDescent="0.3">
      <c r="A59">
        <v>2026352035</v>
      </c>
      <c r="B59" s="2">
        <v>42495</v>
      </c>
      <c r="C59">
        <v>1</v>
      </c>
      <c r="D59">
        <v>468</v>
      </c>
      <c r="E59">
        <v>485</v>
      </c>
      <c r="F59" t="str">
        <f>TEXT(tbl_working_sleep[[#This Row],[SleepDay]],"dddd")</f>
        <v>Thursday</v>
      </c>
      <c r="G59">
        <f>ROUND(tbl_working_sleep[[#This Row],[TotalMinutesAsleep]]/60,2)</f>
        <v>7.8</v>
      </c>
      <c r="H59">
        <f>ROUND(tbl_working_sleep[[#This Row],[TotalTimeInBed]]/60,2)</f>
        <v>8.08</v>
      </c>
      <c r="I59">
        <f>tbl_working_sleep[[#This Row],[TotalTimeInBed]]-tbl_working_sleep[[#This Row],[TotalMinutesAsleep]]</f>
        <v>17</v>
      </c>
      <c r="J59">
        <f>ROUND(tbl_working_sleep[[#This Row],[TotalMinutesAsleep]]/tbl_working_sleep[[#This Row],[TotalTimeInBed]]*100,2)</f>
        <v>96.49</v>
      </c>
      <c r="K59" t="str" cm="1">
        <f t="array" ref="K59">_xlfn.IFS(tbl_working_sleep[[#This Row],[SleepHours]]&lt;6,"Insufficient Sleep",tbl_working_sleep[[#This Row],[SleepHours]]&lt;7,"Below Recommended",tbl_working_sleep[[#This Row],[SleepHours]]&lt;=9,"Recommended",tbl_working_sleep[[#This Row],[SleepHours]]&gt;9,"Oversleeping")</f>
        <v>Recommended</v>
      </c>
      <c r="L59" t="str">
        <f>tbl_working_sleep[[#This Row],[Id]]&amp;"|"&amp;TEXT(tbl_working_sleep[[#This Row],[SleepDay]],"yyyy-mm-dd")</f>
        <v>2026352035|2016-05-05</v>
      </c>
    </row>
    <row r="60" spans="1:12" x14ac:dyDescent="0.3">
      <c r="A60">
        <v>2026352035</v>
      </c>
      <c r="B60" s="2">
        <v>42496</v>
      </c>
      <c r="C60">
        <v>1</v>
      </c>
      <c r="D60">
        <v>524</v>
      </c>
      <c r="E60">
        <v>548</v>
      </c>
      <c r="F60" t="str">
        <f>TEXT(tbl_working_sleep[[#This Row],[SleepDay]],"dddd")</f>
        <v>Friday</v>
      </c>
      <c r="G60">
        <f>ROUND(tbl_working_sleep[[#This Row],[TotalMinutesAsleep]]/60,2)</f>
        <v>8.73</v>
      </c>
      <c r="H60">
        <f>ROUND(tbl_working_sleep[[#This Row],[TotalTimeInBed]]/60,2)</f>
        <v>9.1300000000000008</v>
      </c>
      <c r="I60">
        <f>tbl_working_sleep[[#This Row],[TotalTimeInBed]]-tbl_working_sleep[[#This Row],[TotalMinutesAsleep]]</f>
        <v>24</v>
      </c>
      <c r="J60">
        <f>ROUND(tbl_working_sleep[[#This Row],[TotalMinutesAsleep]]/tbl_working_sleep[[#This Row],[TotalTimeInBed]]*100,2)</f>
        <v>95.62</v>
      </c>
      <c r="K60" t="str" cm="1">
        <f t="array" ref="K60">_xlfn.IFS(tbl_working_sleep[[#This Row],[SleepHours]]&lt;6,"Insufficient Sleep",tbl_working_sleep[[#This Row],[SleepHours]]&lt;7,"Below Recommended",tbl_working_sleep[[#This Row],[SleepHours]]&lt;=9,"Recommended",tbl_working_sleep[[#This Row],[SleepHours]]&gt;9,"Oversleeping")</f>
        <v>Recommended</v>
      </c>
      <c r="L60" t="str">
        <f>tbl_working_sleep[[#This Row],[Id]]&amp;"|"&amp;TEXT(tbl_working_sleep[[#This Row],[SleepDay]],"yyyy-mm-dd")</f>
        <v>2026352035|2016-05-06</v>
      </c>
    </row>
    <row r="61" spans="1:12" x14ac:dyDescent="0.3">
      <c r="A61">
        <v>2026352035</v>
      </c>
      <c r="B61" s="2">
        <v>42497</v>
      </c>
      <c r="C61">
        <v>1</v>
      </c>
      <c r="D61">
        <v>511</v>
      </c>
      <c r="E61">
        <v>521</v>
      </c>
      <c r="F61" t="str">
        <f>TEXT(tbl_working_sleep[[#This Row],[SleepDay]],"dddd")</f>
        <v>Saturday</v>
      </c>
      <c r="G61">
        <f>ROUND(tbl_working_sleep[[#This Row],[TotalMinutesAsleep]]/60,2)</f>
        <v>8.52</v>
      </c>
      <c r="H61">
        <f>ROUND(tbl_working_sleep[[#This Row],[TotalTimeInBed]]/60,2)</f>
        <v>8.68</v>
      </c>
      <c r="I61">
        <f>tbl_working_sleep[[#This Row],[TotalTimeInBed]]-tbl_working_sleep[[#This Row],[TotalMinutesAsleep]]</f>
        <v>10</v>
      </c>
      <c r="J61">
        <f>ROUND(tbl_working_sleep[[#This Row],[TotalMinutesAsleep]]/tbl_working_sleep[[#This Row],[TotalTimeInBed]]*100,2)</f>
        <v>98.08</v>
      </c>
      <c r="K61" t="str" cm="1">
        <f t="array" ref="K61">_xlfn.IFS(tbl_working_sleep[[#This Row],[SleepHours]]&lt;6,"Insufficient Sleep",tbl_working_sleep[[#This Row],[SleepHours]]&lt;7,"Below Recommended",tbl_working_sleep[[#This Row],[SleepHours]]&lt;=9,"Recommended",tbl_working_sleep[[#This Row],[SleepHours]]&gt;9,"Oversleeping")</f>
        <v>Recommended</v>
      </c>
      <c r="L61" t="str">
        <f>tbl_working_sleep[[#This Row],[Id]]&amp;"|"&amp;TEXT(tbl_working_sleep[[#This Row],[SleepDay]],"yyyy-mm-dd")</f>
        <v>2026352035|2016-05-07</v>
      </c>
    </row>
    <row r="62" spans="1:12" x14ac:dyDescent="0.3">
      <c r="A62">
        <v>2026352035</v>
      </c>
      <c r="B62" s="2">
        <v>42498</v>
      </c>
      <c r="C62">
        <v>1</v>
      </c>
      <c r="D62">
        <v>541</v>
      </c>
      <c r="E62">
        <v>568</v>
      </c>
      <c r="F62" t="str">
        <f>TEXT(tbl_working_sleep[[#This Row],[SleepDay]],"dddd")</f>
        <v>Sunday</v>
      </c>
      <c r="G62">
        <f>ROUND(tbl_working_sleep[[#This Row],[TotalMinutesAsleep]]/60,2)</f>
        <v>9.02</v>
      </c>
      <c r="H62">
        <f>ROUND(tbl_working_sleep[[#This Row],[TotalTimeInBed]]/60,2)</f>
        <v>9.4700000000000006</v>
      </c>
      <c r="I62">
        <f>tbl_working_sleep[[#This Row],[TotalTimeInBed]]-tbl_working_sleep[[#This Row],[TotalMinutesAsleep]]</f>
        <v>27</v>
      </c>
      <c r="J62">
        <f>ROUND(tbl_working_sleep[[#This Row],[TotalMinutesAsleep]]/tbl_working_sleep[[#This Row],[TotalTimeInBed]]*100,2)</f>
        <v>95.25</v>
      </c>
      <c r="K62" t="str" cm="1">
        <f t="array" ref="K62">_xlfn.IFS(tbl_working_sleep[[#This Row],[SleepHours]]&lt;6,"Insufficient Sleep",tbl_working_sleep[[#This Row],[SleepHours]]&lt;7,"Below Recommended",tbl_working_sleep[[#This Row],[SleepHours]]&lt;=9,"Recommended",tbl_working_sleep[[#This Row],[SleepHours]]&gt;9,"Oversleeping")</f>
        <v>Oversleeping</v>
      </c>
      <c r="L62" t="str">
        <f>tbl_working_sleep[[#This Row],[Id]]&amp;"|"&amp;TEXT(tbl_working_sleep[[#This Row],[SleepDay]],"yyyy-mm-dd")</f>
        <v>2026352035|2016-05-08</v>
      </c>
    </row>
    <row r="63" spans="1:12" x14ac:dyDescent="0.3">
      <c r="A63">
        <v>2026352035</v>
      </c>
      <c r="B63" s="2">
        <v>42499</v>
      </c>
      <c r="C63">
        <v>1</v>
      </c>
      <c r="D63">
        <v>531</v>
      </c>
      <c r="E63">
        <v>556</v>
      </c>
      <c r="F63" t="str">
        <f>TEXT(tbl_working_sleep[[#This Row],[SleepDay]],"dddd")</f>
        <v>Monday</v>
      </c>
      <c r="G63">
        <f>ROUND(tbl_working_sleep[[#This Row],[TotalMinutesAsleep]]/60,2)</f>
        <v>8.85</v>
      </c>
      <c r="H63">
        <f>ROUND(tbl_working_sleep[[#This Row],[TotalTimeInBed]]/60,2)</f>
        <v>9.27</v>
      </c>
      <c r="I63">
        <f>tbl_working_sleep[[#This Row],[TotalTimeInBed]]-tbl_working_sleep[[#This Row],[TotalMinutesAsleep]]</f>
        <v>25</v>
      </c>
      <c r="J63">
        <f>ROUND(tbl_working_sleep[[#This Row],[TotalMinutesAsleep]]/tbl_working_sleep[[#This Row],[TotalTimeInBed]]*100,2)</f>
        <v>95.5</v>
      </c>
      <c r="K63" t="str" cm="1">
        <f t="array" ref="K63">_xlfn.IFS(tbl_working_sleep[[#This Row],[SleepHours]]&lt;6,"Insufficient Sleep",tbl_working_sleep[[#This Row],[SleepHours]]&lt;7,"Below Recommended",tbl_working_sleep[[#This Row],[SleepHours]]&lt;=9,"Recommended",tbl_working_sleep[[#This Row],[SleepHours]]&gt;9,"Oversleeping")</f>
        <v>Recommended</v>
      </c>
      <c r="L63" t="str">
        <f>tbl_working_sleep[[#This Row],[Id]]&amp;"|"&amp;TEXT(tbl_working_sleep[[#This Row],[SleepDay]],"yyyy-mm-dd")</f>
        <v>2026352035|2016-05-09</v>
      </c>
    </row>
    <row r="64" spans="1:12" x14ac:dyDescent="0.3">
      <c r="A64">
        <v>2026352035</v>
      </c>
      <c r="B64" s="2">
        <v>42500</v>
      </c>
      <c r="C64">
        <v>1</v>
      </c>
      <c r="D64">
        <v>357</v>
      </c>
      <c r="E64">
        <v>380</v>
      </c>
      <c r="F64" t="str">
        <f>TEXT(tbl_working_sleep[[#This Row],[SleepDay]],"dddd")</f>
        <v>Tuesday</v>
      </c>
      <c r="G64">
        <f>ROUND(tbl_working_sleep[[#This Row],[TotalMinutesAsleep]]/60,2)</f>
        <v>5.95</v>
      </c>
      <c r="H64">
        <f>ROUND(tbl_working_sleep[[#This Row],[TotalTimeInBed]]/60,2)</f>
        <v>6.33</v>
      </c>
      <c r="I64">
        <f>tbl_working_sleep[[#This Row],[TotalTimeInBed]]-tbl_working_sleep[[#This Row],[TotalMinutesAsleep]]</f>
        <v>23</v>
      </c>
      <c r="J64">
        <f>ROUND(tbl_working_sleep[[#This Row],[TotalMinutesAsleep]]/tbl_working_sleep[[#This Row],[TotalTimeInBed]]*100,2)</f>
        <v>93.95</v>
      </c>
      <c r="K64" t="str" cm="1">
        <f t="array" ref="K64">_xlfn.IFS(tbl_working_sleep[[#This Row],[SleepHours]]&lt;6,"Insufficient Sleep",tbl_working_sleep[[#This Row],[SleepHours]]&lt;7,"Below Recommended",tbl_working_sleep[[#This Row],[SleepHours]]&lt;=9,"Recommended",tbl_working_sleep[[#This Row],[SleepHours]]&gt;9,"Oversleeping")</f>
        <v>Insufficient Sleep</v>
      </c>
      <c r="L64" t="str">
        <f>tbl_working_sleep[[#This Row],[Id]]&amp;"|"&amp;TEXT(tbl_working_sleep[[#This Row],[SleepDay]],"yyyy-mm-dd")</f>
        <v>2026352035|2016-05-10</v>
      </c>
    </row>
    <row r="65" spans="1:12" x14ac:dyDescent="0.3">
      <c r="A65">
        <v>2026352035</v>
      </c>
      <c r="B65" s="2">
        <v>42501</v>
      </c>
      <c r="C65">
        <v>1</v>
      </c>
      <c r="D65">
        <v>523</v>
      </c>
      <c r="E65">
        <v>553</v>
      </c>
      <c r="F65" t="str">
        <f>TEXT(tbl_working_sleep[[#This Row],[SleepDay]],"dddd")</f>
        <v>Wednesday</v>
      </c>
      <c r="G65">
        <f>ROUND(tbl_working_sleep[[#This Row],[TotalMinutesAsleep]]/60,2)</f>
        <v>8.7200000000000006</v>
      </c>
      <c r="H65">
        <f>ROUND(tbl_working_sleep[[#This Row],[TotalTimeInBed]]/60,2)</f>
        <v>9.2200000000000006</v>
      </c>
      <c r="I65">
        <f>tbl_working_sleep[[#This Row],[TotalTimeInBed]]-tbl_working_sleep[[#This Row],[TotalMinutesAsleep]]</f>
        <v>30</v>
      </c>
      <c r="J65">
        <f>ROUND(tbl_working_sleep[[#This Row],[TotalMinutesAsleep]]/tbl_working_sleep[[#This Row],[TotalTimeInBed]]*100,2)</f>
        <v>94.58</v>
      </c>
      <c r="K65" t="str" cm="1">
        <f t="array" ref="K65">_xlfn.IFS(tbl_working_sleep[[#This Row],[SleepHours]]&lt;6,"Insufficient Sleep",tbl_working_sleep[[#This Row],[SleepHours]]&lt;7,"Below Recommended",tbl_working_sleep[[#This Row],[SleepHours]]&lt;=9,"Recommended",tbl_working_sleep[[#This Row],[SleepHours]]&gt;9,"Oversleeping")</f>
        <v>Recommended</v>
      </c>
      <c r="L65" t="str">
        <f>tbl_working_sleep[[#This Row],[Id]]&amp;"|"&amp;TEXT(tbl_working_sleep[[#This Row],[SleepDay]],"yyyy-mm-dd")</f>
        <v>2026352035|2016-05-11</v>
      </c>
    </row>
    <row r="66" spans="1:12" x14ac:dyDescent="0.3">
      <c r="A66">
        <v>2026352035</v>
      </c>
      <c r="B66" s="2">
        <v>42502</v>
      </c>
      <c r="C66">
        <v>1</v>
      </c>
      <c r="D66">
        <v>456</v>
      </c>
      <c r="E66">
        <v>485</v>
      </c>
      <c r="F66" t="str">
        <f>TEXT(tbl_working_sleep[[#This Row],[SleepDay]],"dddd")</f>
        <v>Thursday</v>
      </c>
      <c r="G66">
        <f>ROUND(tbl_working_sleep[[#This Row],[TotalMinutesAsleep]]/60,2)</f>
        <v>7.6</v>
      </c>
      <c r="H66">
        <f>ROUND(tbl_working_sleep[[#This Row],[TotalTimeInBed]]/60,2)</f>
        <v>8.08</v>
      </c>
      <c r="I66">
        <f>tbl_working_sleep[[#This Row],[TotalTimeInBed]]-tbl_working_sleep[[#This Row],[TotalMinutesAsleep]]</f>
        <v>29</v>
      </c>
      <c r="J66">
        <f>ROUND(tbl_working_sleep[[#This Row],[TotalMinutesAsleep]]/tbl_working_sleep[[#This Row],[TotalTimeInBed]]*100,2)</f>
        <v>94.02</v>
      </c>
      <c r="K66" t="str" cm="1">
        <f t="array" ref="K66">_xlfn.IFS(tbl_working_sleep[[#This Row],[SleepHours]]&lt;6,"Insufficient Sleep",tbl_working_sleep[[#This Row],[SleepHours]]&lt;7,"Below Recommended",tbl_working_sleep[[#This Row],[SleepHours]]&lt;=9,"Recommended",tbl_working_sleep[[#This Row],[SleepHours]]&gt;9,"Oversleeping")</f>
        <v>Recommended</v>
      </c>
      <c r="L66" t="str">
        <f>tbl_working_sleep[[#This Row],[Id]]&amp;"|"&amp;TEXT(tbl_working_sleep[[#This Row],[SleepDay]],"yyyy-mm-dd")</f>
        <v>2026352035|2016-05-12</v>
      </c>
    </row>
    <row r="67" spans="1:12" x14ac:dyDescent="0.3">
      <c r="A67">
        <v>2320127002</v>
      </c>
      <c r="B67" s="2">
        <v>42483</v>
      </c>
      <c r="C67">
        <v>1</v>
      </c>
      <c r="D67">
        <v>61</v>
      </c>
      <c r="E67">
        <v>69</v>
      </c>
      <c r="F67" t="str">
        <f>TEXT(tbl_working_sleep[[#This Row],[SleepDay]],"dddd")</f>
        <v>Saturday</v>
      </c>
      <c r="G67">
        <f>ROUND(tbl_working_sleep[[#This Row],[TotalMinutesAsleep]]/60,2)</f>
        <v>1.02</v>
      </c>
      <c r="H67">
        <f>ROUND(tbl_working_sleep[[#This Row],[TotalTimeInBed]]/60,2)</f>
        <v>1.1499999999999999</v>
      </c>
      <c r="I67">
        <f>tbl_working_sleep[[#This Row],[TotalTimeInBed]]-tbl_working_sleep[[#This Row],[TotalMinutesAsleep]]</f>
        <v>8</v>
      </c>
      <c r="J67">
        <f>ROUND(tbl_working_sleep[[#This Row],[TotalMinutesAsleep]]/tbl_working_sleep[[#This Row],[TotalTimeInBed]]*100,2)</f>
        <v>88.41</v>
      </c>
      <c r="K67" t="str" cm="1">
        <f t="array" ref="K67">_xlfn.IFS(tbl_working_sleep[[#This Row],[SleepHours]]&lt;6,"Insufficient Sleep",tbl_working_sleep[[#This Row],[SleepHours]]&lt;7,"Below Recommended",tbl_working_sleep[[#This Row],[SleepHours]]&lt;=9,"Recommended",tbl_working_sleep[[#This Row],[SleepHours]]&gt;9,"Oversleeping")</f>
        <v>Insufficient Sleep</v>
      </c>
      <c r="L67" t="str">
        <f>tbl_working_sleep[[#This Row],[Id]]&amp;"|"&amp;TEXT(tbl_working_sleep[[#This Row],[SleepDay]],"yyyy-mm-dd")</f>
        <v>2320127002|2016-04-23</v>
      </c>
    </row>
    <row r="68" spans="1:12" x14ac:dyDescent="0.3">
      <c r="A68">
        <v>2347167796</v>
      </c>
      <c r="B68" s="2">
        <v>42473</v>
      </c>
      <c r="C68">
        <v>1</v>
      </c>
      <c r="D68">
        <v>467</v>
      </c>
      <c r="E68">
        <v>531</v>
      </c>
      <c r="F68" t="str">
        <f>TEXT(tbl_working_sleep[[#This Row],[SleepDay]],"dddd")</f>
        <v>Wednesday</v>
      </c>
      <c r="G68">
        <f>ROUND(tbl_working_sleep[[#This Row],[TotalMinutesAsleep]]/60,2)</f>
        <v>7.78</v>
      </c>
      <c r="H68">
        <f>ROUND(tbl_working_sleep[[#This Row],[TotalTimeInBed]]/60,2)</f>
        <v>8.85</v>
      </c>
      <c r="I68">
        <f>tbl_working_sleep[[#This Row],[TotalTimeInBed]]-tbl_working_sleep[[#This Row],[TotalMinutesAsleep]]</f>
        <v>64</v>
      </c>
      <c r="J68">
        <f>ROUND(tbl_working_sleep[[#This Row],[TotalMinutesAsleep]]/tbl_working_sleep[[#This Row],[TotalTimeInBed]]*100,2)</f>
        <v>87.95</v>
      </c>
      <c r="K68" t="str" cm="1">
        <f t="array" ref="K68">_xlfn.IFS(tbl_working_sleep[[#This Row],[SleepHours]]&lt;6,"Insufficient Sleep",tbl_working_sleep[[#This Row],[SleepHours]]&lt;7,"Below Recommended",tbl_working_sleep[[#This Row],[SleepHours]]&lt;=9,"Recommended",tbl_working_sleep[[#This Row],[SleepHours]]&gt;9,"Oversleeping")</f>
        <v>Recommended</v>
      </c>
      <c r="L68" t="str">
        <f>tbl_working_sleep[[#This Row],[Id]]&amp;"|"&amp;TEXT(tbl_working_sleep[[#This Row],[SleepDay]],"yyyy-mm-dd")</f>
        <v>2347167796|2016-04-13</v>
      </c>
    </row>
    <row r="69" spans="1:12" x14ac:dyDescent="0.3">
      <c r="A69">
        <v>2347167796</v>
      </c>
      <c r="B69" s="2">
        <v>42474</v>
      </c>
      <c r="C69">
        <v>1</v>
      </c>
      <c r="D69">
        <v>445</v>
      </c>
      <c r="E69">
        <v>489</v>
      </c>
      <c r="F69" t="str">
        <f>TEXT(tbl_working_sleep[[#This Row],[SleepDay]],"dddd")</f>
        <v>Thursday</v>
      </c>
      <c r="G69">
        <f>ROUND(tbl_working_sleep[[#This Row],[TotalMinutesAsleep]]/60,2)</f>
        <v>7.42</v>
      </c>
      <c r="H69">
        <f>ROUND(tbl_working_sleep[[#This Row],[TotalTimeInBed]]/60,2)</f>
        <v>8.15</v>
      </c>
      <c r="I69">
        <f>tbl_working_sleep[[#This Row],[TotalTimeInBed]]-tbl_working_sleep[[#This Row],[TotalMinutesAsleep]]</f>
        <v>44</v>
      </c>
      <c r="J69">
        <f>ROUND(tbl_working_sleep[[#This Row],[TotalMinutesAsleep]]/tbl_working_sleep[[#This Row],[TotalTimeInBed]]*100,2)</f>
        <v>91</v>
      </c>
      <c r="K69" t="str" cm="1">
        <f t="array" ref="K69">_xlfn.IFS(tbl_working_sleep[[#This Row],[SleepHours]]&lt;6,"Insufficient Sleep",tbl_working_sleep[[#This Row],[SleepHours]]&lt;7,"Below Recommended",tbl_working_sleep[[#This Row],[SleepHours]]&lt;=9,"Recommended",tbl_working_sleep[[#This Row],[SleepHours]]&gt;9,"Oversleeping")</f>
        <v>Recommended</v>
      </c>
      <c r="L69" t="str">
        <f>tbl_working_sleep[[#This Row],[Id]]&amp;"|"&amp;TEXT(tbl_working_sleep[[#This Row],[SleepDay]],"yyyy-mm-dd")</f>
        <v>2347167796|2016-04-14</v>
      </c>
    </row>
    <row r="70" spans="1:12" x14ac:dyDescent="0.3">
      <c r="A70">
        <v>2347167796</v>
      </c>
      <c r="B70" s="2">
        <v>42475</v>
      </c>
      <c r="C70">
        <v>1</v>
      </c>
      <c r="D70">
        <v>452</v>
      </c>
      <c r="E70">
        <v>504</v>
      </c>
      <c r="F70" t="str">
        <f>TEXT(tbl_working_sleep[[#This Row],[SleepDay]],"dddd")</f>
        <v>Friday</v>
      </c>
      <c r="G70">
        <f>ROUND(tbl_working_sleep[[#This Row],[TotalMinutesAsleep]]/60,2)</f>
        <v>7.53</v>
      </c>
      <c r="H70">
        <f>ROUND(tbl_working_sleep[[#This Row],[TotalTimeInBed]]/60,2)</f>
        <v>8.4</v>
      </c>
      <c r="I70">
        <f>tbl_working_sleep[[#This Row],[TotalTimeInBed]]-tbl_working_sleep[[#This Row],[TotalMinutesAsleep]]</f>
        <v>52</v>
      </c>
      <c r="J70">
        <f>ROUND(tbl_working_sleep[[#This Row],[TotalMinutesAsleep]]/tbl_working_sleep[[#This Row],[TotalTimeInBed]]*100,2)</f>
        <v>89.68</v>
      </c>
      <c r="K70" t="str" cm="1">
        <f t="array" ref="K70">_xlfn.IFS(tbl_working_sleep[[#This Row],[SleepHours]]&lt;6,"Insufficient Sleep",tbl_working_sleep[[#This Row],[SleepHours]]&lt;7,"Below Recommended",tbl_working_sleep[[#This Row],[SleepHours]]&lt;=9,"Recommended",tbl_working_sleep[[#This Row],[SleepHours]]&gt;9,"Oversleeping")</f>
        <v>Recommended</v>
      </c>
      <c r="L70" t="str">
        <f>tbl_working_sleep[[#This Row],[Id]]&amp;"|"&amp;TEXT(tbl_working_sleep[[#This Row],[SleepDay]],"yyyy-mm-dd")</f>
        <v>2347167796|2016-04-15</v>
      </c>
    </row>
    <row r="71" spans="1:12" x14ac:dyDescent="0.3">
      <c r="A71">
        <v>2347167796</v>
      </c>
      <c r="B71" s="2">
        <v>42477</v>
      </c>
      <c r="C71">
        <v>1</v>
      </c>
      <c r="D71">
        <v>556</v>
      </c>
      <c r="E71">
        <v>602</v>
      </c>
      <c r="F71" t="str">
        <f>TEXT(tbl_working_sleep[[#This Row],[SleepDay]],"dddd")</f>
        <v>Sunday</v>
      </c>
      <c r="G71">
        <f>ROUND(tbl_working_sleep[[#This Row],[TotalMinutesAsleep]]/60,2)</f>
        <v>9.27</v>
      </c>
      <c r="H71">
        <f>ROUND(tbl_working_sleep[[#This Row],[TotalTimeInBed]]/60,2)</f>
        <v>10.029999999999999</v>
      </c>
      <c r="I71">
        <f>tbl_working_sleep[[#This Row],[TotalTimeInBed]]-tbl_working_sleep[[#This Row],[TotalMinutesAsleep]]</f>
        <v>46</v>
      </c>
      <c r="J71">
        <f>ROUND(tbl_working_sleep[[#This Row],[TotalMinutesAsleep]]/tbl_working_sleep[[#This Row],[TotalTimeInBed]]*100,2)</f>
        <v>92.36</v>
      </c>
      <c r="K71" t="str" cm="1">
        <f t="array" ref="K71">_xlfn.IFS(tbl_working_sleep[[#This Row],[SleepHours]]&lt;6,"Insufficient Sleep",tbl_working_sleep[[#This Row],[SleepHours]]&lt;7,"Below Recommended",tbl_working_sleep[[#This Row],[SleepHours]]&lt;=9,"Recommended",tbl_working_sleep[[#This Row],[SleepHours]]&gt;9,"Oversleeping")</f>
        <v>Oversleeping</v>
      </c>
      <c r="L71" t="str">
        <f>tbl_working_sleep[[#This Row],[Id]]&amp;"|"&amp;TEXT(tbl_working_sleep[[#This Row],[SleepDay]],"yyyy-mm-dd")</f>
        <v>2347167796|2016-04-17</v>
      </c>
    </row>
    <row r="72" spans="1:12" x14ac:dyDescent="0.3">
      <c r="A72">
        <v>2347167796</v>
      </c>
      <c r="B72" s="2">
        <v>42478</v>
      </c>
      <c r="C72">
        <v>1</v>
      </c>
      <c r="D72">
        <v>500</v>
      </c>
      <c r="E72">
        <v>557</v>
      </c>
      <c r="F72" t="str">
        <f>TEXT(tbl_working_sleep[[#This Row],[SleepDay]],"dddd")</f>
        <v>Monday</v>
      </c>
      <c r="G72">
        <f>ROUND(tbl_working_sleep[[#This Row],[TotalMinutesAsleep]]/60,2)</f>
        <v>8.33</v>
      </c>
      <c r="H72">
        <f>ROUND(tbl_working_sleep[[#This Row],[TotalTimeInBed]]/60,2)</f>
        <v>9.2799999999999994</v>
      </c>
      <c r="I72">
        <f>tbl_working_sleep[[#This Row],[TotalTimeInBed]]-tbl_working_sleep[[#This Row],[TotalMinutesAsleep]]</f>
        <v>57</v>
      </c>
      <c r="J72">
        <f>ROUND(tbl_working_sleep[[#This Row],[TotalMinutesAsleep]]/tbl_working_sleep[[#This Row],[TotalTimeInBed]]*100,2)</f>
        <v>89.77</v>
      </c>
      <c r="K72" t="str" cm="1">
        <f t="array" ref="K72">_xlfn.IFS(tbl_working_sleep[[#This Row],[SleepHours]]&lt;6,"Insufficient Sleep",tbl_working_sleep[[#This Row],[SleepHours]]&lt;7,"Below Recommended",tbl_working_sleep[[#This Row],[SleepHours]]&lt;=9,"Recommended",tbl_working_sleep[[#This Row],[SleepHours]]&gt;9,"Oversleeping")</f>
        <v>Recommended</v>
      </c>
      <c r="L72" t="str">
        <f>tbl_working_sleep[[#This Row],[Id]]&amp;"|"&amp;TEXT(tbl_working_sleep[[#This Row],[SleepDay]],"yyyy-mm-dd")</f>
        <v>2347167796|2016-04-18</v>
      </c>
    </row>
    <row r="73" spans="1:12" x14ac:dyDescent="0.3">
      <c r="A73">
        <v>2347167796</v>
      </c>
      <c r="B73" s="2">
        <v>42479</v>
      </c>
      <c r="C73">
        <v>1</v>
      </c>
      <c r="D73">
        <v>465</v>
      </c>
      <c r="E73">
        <v>514</v>
      </c>
      <c r="F73" t="str">
        <f>TEXT(tbl_working_sleep[[#This Row],[SleepDay]],"dddd")</f>
        <v>Tuesday</v>
      </c>
      <c r="G73">
        <f>ROUND(tbl_working_sleep[[#This Row],[TotalMinutesAsleep]]/60,2)</f>
        <v>7.75</v>
      </c>
      <c r="H73">
        <f>ROUND(tbl_working_sleep[[#This Row],[TotalTimeInBed]]/60,2)</f>
        <v>8.57</v>
      </c>
      <c r="I73">
        <f>tbl_working_sleep[[#This Row],[TotalTimeInBed]]-tbl_working_sleep[[#This Row],[TotalMinutesAsleep]]</f>
        <v>49</v>
      </c>
      <c r="J73">
        <f>ROUND(tbl_working_sleep[[#This Row],[TotalMinutesAsleep]]/tbl_working_sleep[[#This Row],[TotalTimeInBed]]*100,2)</f>
        <v>90.47</v>
      </c>
      <c r="K73" t="str" cm="1">
        <f t="array" ref="K73">_xlfn.IFS(tbl_working_sleep[[#This Row],[SleepHours]]&lt;6,"Insufficient Sleep",tbl_working_sleep[[#This Row],[SleepHours]]&lt;7,"Below Recommended",tbl_working_sleep[[#This Row],[SleepHours]]&lt;=9,"Recommended",tbl_working_sleep[[#This Row],[SleepHours]]&gt;9,"Oversleeping")</f>
        <v>Recommended</v>
      </c>
      <c r="L73" t="str">
        <f>tbl_working_sleep[[#This Row],[Id]]&amp;"|"&amp;TEXT(tbl_working_sleep[[#This Row],[SleepDay]],"yyyy-mm-dd")</f>
        <v>2347167796|2016-04-19</v>
      </c>
    </row>
    <row r="74" spans="1:12" x14ac:dyDescent="0.3">
      <c r="A74">
        <v>2347167796</v>
      </c>
      <c r="B74" s="2">
        <v>42481</v>
      </c>
      <c r="C74">
        <v>1</v>
      </c>
      <c r="D74">
        <v>460</v>
      </c>
      <c r="E74">
        <v>484</v>
      </c>
      <c r="F74" t="str">
        <f>TEXT(tbl_working_sleep[[#This Row],[SleepDay]],"dddd")</f>
        <v>Thursday</v>
      </c>
      <c r="G74">
        <f>ROUND(tbl_working_sleep[[#This Row],[TotalMinutesAsleep]]/60,2)</f>
        <v>7.67</v>
      </c>
      <c r="H74">
        <f>ROUND(tbl_working_sleep[[#This Row],[TotalTimeInBed]]/60,2)</f>
        <v>8.07</v>
      </c>
      <c r="I74">
        <f>tbl_working_sleep[[#This Row],[TotalTimeInBed]]-tbl_working_sleep[[#This Row],[TotalMinutesAsleep]]</f>
        <v>24</v>
      </c>
      <c r="J74">
        <f>ROUND(tbl_working_sleep[[#This Row],[TotalMinutesAsleep]]/tbl_working_sleep[[#This Row],[TotalTimeInBed]]*100,2)</f>
        <v>95.04</v>
      </c>
      <c r="K74" t="str" cm="1">
        <f t="array" ref="K74">_xlfn.IFS(tbl_working_sleep[[#This Row],[SleepHours]]&lt;6,"Insufficient Sleep",tbl_working_sleep[[#This Row],[SleepHours]]&lt;7,"Below Recommended",tbl_working_sleep[[#This Row],[SleepHours]]&lt;=9,"Recommended",tbl_working_sleep[[#This Row],[SleepHours]]&gt;9,"Oversleeping")</f>
        <v>Recommended</v>
      </c>
      <c r="L74" t="str">
        <f>tbl_working_sleep[[#This Row],[Id]]&amp;"|"&amp;TEXT(tbl_working_sleep[[#This Row],[SleepDay]],"yyyy-mm-dd")</f>
        <v>2347167796|2016-04-21</v>
      </c>
    </row>
    <row r="75" spans="1:12" x14ac:dyDescent="0.3">
      <c r="A75">
        <v>2347167796</v>
      </c>
      <c r="B75" s="2">
        <v>42482</v>
      </c>
      <c r="C75">
        <v>1</v>
      </c>
      <c r="D75">
        <v>405</v>
      </c>
      <c r="E75">
        <v>461</v>
      </c>
      <c r="F75" t="str">
        <f>TEXT(tbl_working_sleep[[#This Row],[SleepDay]],"dddd")</f>
        <v>Friday</v>
      </c>
      <c r="G75">
        <f>ROUND(tbl_working_sleep[[#This Row],[TotalMinutesAsleep]]/60,2)</f>
        <v>6.75</v>
      </c>
      <c r="H75">
        <f>ROUND(tbl_working_sleep[[#This Row],[TotalTimeInBed]]/60,2)</f>
        <v>7.68</v>
      </c>
      <c r="I75">
        <f>tbl_working_sleep[[#This Row],[TotalTimeInBed]]-tbl_working_sleep[[#This Row],[TotalMinutesAsleep]]</f>
        <v>56</v>
      </c>
      <c r="J75">
        <f>ROUND(tbl_working_sleep[[#This Row],[TotalMinutesAsleep]]/tbl_working_sleep[[#This Row],[TotalTimeInBed]]*100,2)</f>
        <v>87.85</v>
      </c>
      <c r="K75" t="str" cm="1">
        <f t="array" ref="K75">_xlfn.IFS(tbl_working_sleep[[#This Row],[SleepHours]]&lt;6,"Insufficient Sleep",tbl_working_sleep[[#This Row],[SleepHours]]&lt;7,"Below Recommended",tbl_working_sleep[[#This Row],[SleepHours]]&lt;=9,"Recommended",tbl_working_sleep[[#This Row],[SleepHours]]&gt;9,"Oversleeping")</f>
        <v>Below Recommended</v>
      </c>
      <c r="L75" t="str">
        <f>tbl_working_sleep[[#This Row],[Id]]&amp;"|"&amp;TEXT(tbl_working_sleep[[#This Row],[SleepDay]],"yyyy-mm-dd")</f>
        <v>2347167796|2016-04-22</v>
      </c>
    </row>
    <row r="76" spans="1:12" x14ac:dyDescent="0.3">
      <c r="A76">
        <v>2347167796</v>
      </c>
      <c r="B76" s="2">
        <v>42483</v>
      </c>
      <c r="C76">
        <v>1</v>
      </c>
      <c r="D76">
        <v>374</v>
      </c>
      <c r="E76">
        <v>386</v>
      </c>
      <c r="F76" t="str">
        <f>TEXT(tbl_working_sleep[[#This Row],[SleepDay]],"dddd")</f>
        <v>Saturday</v>
      </c>
      <c r="G76">
        <f>ROUND(tbl_working_sleep[[#This Row],[TotalMinutesAsleep]]/60,2)</f>
        <v>6.23</v>
      </c>
      <c r="H76">
        <f>ROUND(tbl_working_sleep[[#This Row],[TotalTimeInBed]]/60,2)</f>
        <v>6.43</v>
      </c>
      <c r="I76">
        <f>tbl_working_sleep[[#This Row],[TotalTimeInBed]]-tbl_working_sleep[[#This Row],[TotalMinutesAsleep]]</f>
        <v>12</v>
      </c>
      <c r="J76">
        <f>ROUND(tbl_working_sleep[[#This Row],[TotalMinutesAsleep]]/tbl_working_sleep[[#This Row],[TotalTimeInBed]]*100,2)</f>
        <v>96.89</v>
      </c>
      <c r="K76" t="str" cm="1">
        <f t="array" ref="K76">_xlfn.IFS(tbl_working_sleep[[#This Row],[SleepHours]]&lt;6,"Insufficient Sleep",tbl_working_sleep[[#This Row],[SleepHours]]&lt;7,"Below Recommended",tbl_working_sleep[[#This Row],[SleepHours]]&lt;=9,"Recommended",tbl_working_sleep[[#This Row],[SleepHours]]&gt;9,"Oversleeping")</f>
        <v>Below Recommended</v>
      </c>
      <c r="L76" t="str">
        <f>tbl_working_sleep[[#This Row],[Id]]&amp;"|"&amp;TEXT(tbl_working_sleep[[#This Row],[SleepDay]],"yyyy-mm-dd")</f>
        <v>2347167796|2016-04-23</v>
      </c>
    </row>
    <row r="77" spans="1:12" x14ac:dyDescent="0.3">
      <c r="A77">
        <v>2347167796</v>
      </c>
      <c r="B77" s="2">
        <v>42484</v>
      </c>
      <c r="C77">
        <v>1</v>
      </c>
      <c r="D77">
        <v>442</v>
      </c>
      <c r="E77">
        <v>459</v>
      </c>
      <c r="F77" t="str">
        <f>TEXT(tbl_working_sleep[[#This Row],[SleepDay]],"dddd")</f>
        <v>Sunday</v>
      </c>
      <c r="G77">
        <f>ROUND(tbl_working_sleep[[#This Row],[TotalMinutesAsleep]]/60,2)</f>
        <v>7.37</v>
      </c>
      <c r="H77">
        <f>ROUND(tbl_working_sleep[[#This Row],[TotalTimeInBed]]/60,2)</f>
        <v>7.65</v>
      </c>
      <c r="I77">
        <f>tbl_working_sleep[[#This Row],[TotalTimeInBed]]-tbl_working_sleep[[#This Row],[TotalMinutesAsleep]]</f>
        <v>17</v>
      </c>
      <c r="J77">
        <f>ROUND(tbl_working_sleep[[#This Row],[TotalMinutesAsleep]]/tbl_working_sleep[[#This Row],[TotalTimeInBed]]*100,2)</f>
        <v>96.3</v>
      </c>
      <c r="K77" t="str" cm="1">
        <f t="array" ref="K77">_xlfn.IFS(tbl_working_sleep[[#This Row],[SleepHours]]&lt;6,"Insufficient Sleep",tbl_working_sleep[[#This Row],[SleepHours]]&lt;7,"Below Recommended",tbl_working_sleep[[#This Row],[SleepHours]]&lt;=9,"Recommended",tbl_working_sleep[[#This Row],[SleepHours]]&gt;9,"Oversleeping")</f>
        <v>Recommended</v>
      </c>
      <c r="L77" t="str">
        <f>tbl_working_sleep[[#This Row],[Id]]&amp;"|"&amp;TEXT(tbl_working_sleep[[#This Row],[SleepDay]],"yyyy-mm-dd")</f>
        <v>2347167796|2016-04-24</v>
      </c>
    </row>
    <row r="78" spans="1:12" x14ac:dyDescent="0.3">
      <c r="A78">
        <v>2347167796</v>
      </c>
      <c r="B78" s="2">
        <v>42485</v>
      </c>
      <c r="C78">
        <v>1</v>
      </c>
      <c r="D78">
        <v>433</v>
      </c>
      <c r="E78">
        <v>471</v>
      </c>
      <c r="F78" t="str">
        <f>TEXT(tbl_working_sleep[[#This Row],[SleepDay]],"dddd")</f>
        <v>Monday</v>
      </c>
      <c r="G78">
        <f>ROUND(tbl_working_sleep[[#This Row],[TotalMinutesAsleep]]/60,2)</f>
        <v>7.22</v>
      </c>
      <c r="H78">
        <f>ROUND(tbl_working_sleep[[#This Row],[TotalTimeInBed]]/60,2)</f>
        <v>7.85</v>
      </c>
      <c r="I78">
        <f>tbl_working_sleep[[#This Row],[TotalTimeInBed]]-tbl_working_sleep[[#This Row],[TotalMinutesAsleep]]</f>
        <v>38</v>
      </c>
      <c r="J78">
        <f>ROUND(tbl_working_sleep[[#This Row],[TotalMinutesAsleep]]/tbl_working_sleep[[#This Row],[TotalTimeInBed]]*100,2)</f>
        <v>91.93</v>
      </c>
      <c r="K78" t="str" cm="1">
        <f t="array" ref="K78">_xlfn.IFS(tbl_working_sleep[[#This Row],[SleepHours]]&lt;6,"Insufficient Sleep",tbl_working_sleep[[#This Row],[SleepHours]]&lt;7,"Below Recommended",tbl_working_sleep[[#This Row],[SleepHours]]&lt;=9,"Recommended",tbl_working_sleep[[#This Row],[SleepHours]]&gt;9,"Oversleeping")</f>
        <v>Recommended</v>
      </c>
      <c r="L78" t="str">
        <f>tbl_working_sleep[[#This Row],[Id]]&amp;"|"&amp;TEXT(tbl_working_sleep[[#This Row],[SleepDay]],"yyyy-mm-dd")</f>
        <v>2347167796|2016-04-25</v>
      </c>
    </row>
    <row r="79" spans="1:12" x14ac:dyDescent="0.3">
      <c r="A79">
        <v>2347167796</v>
      </c>
      <c r="B79" s="2">
        <v>42486</v>
      </c>
      <c r="C79">
        <v>1</v>
      </c>
      <c r="D79">
        <v>436</v>
      </c>
      <c r="E79">
        <v>490</v>
      </c>
      <c r="F79" t="str">
        <f>TEXT(tbl_working_sleep[[#This Row],[SleepDay]],"dddd")</f>
        <v>Tuesday</v>
      </c>
      <c r="G79">
        <f>ROUND(tbl_working_sleep[[#This Row],[TotalMinutesAsleep]]/60,2)</f>
        <v>7.27</v>
      </c>
      <c r="H79">
        <f>ROUND(tbl_working_sleep[[#This Row],[TotalTimeInBed]]/60,2)</f>
        <v>8.17</v>
      </c>
      <c r="I79">
        <f>tbl_working_sleep[[#This Row],[TotalTimeInBed]]-tbl_working_sleep[[#This Row],[TotalMinutesAsleep]]</f>
        <v>54</v>
      </c>
      <c r="J79">
        <f>ROUND(tbl_working_sleep[[#This Row],[TotalMinutesAsleep]]/tbl_working_sleep[[#This Row],[TotalTimeInBed]]*100,2)</f>
        <v>88.98</v>
      </c>
      <c r="K79" t="str" cm="1">
        <f t="array" ref="K79">_xlfn.IFS(tbl_working_sleep[[#This Row],[SleepHours]]&lt;6,"Insufficient Sleep",tbl_working_sleep[[#This Row],[SleepHours]]&lt;7,"Below Recommended",tbl_working_sleep[[#This Row],[SleepHours]]&lt;=9,"Recommended",tbl_working_sleep[[#This Row],[SleepHours]]&gt;9,"Oversleeping")</f>
        <v>Recommended</v>
      </c>
      <c r="L79" t="str">
        <f>tbl_working_sleep[[#This Row],[Id]]&amp;"|"&amp;TEXT(tbl_working_sleep[[#This Row],[SleepDay]],"yyyy-mm-dd")</f>
        <v>2347167796|2016-04-26</v>
      </c>
    </row>
    <row r="80" spans="1:12" x14ac:dyDescent="0.3">
      <c r="A80">
        <v>2347167796</v>
      </c>
      <c r="B80" s="2">
        <v>42487</v>
      </c>
      <c r="C80">
        <v>1</v>
      </c>
      <c r="D80">
        <v>448</v>
      </c>
      <c r="E80">
        <v>499</v>
      </c>
      <c r="F80" t="str">
        <f>TEXT(tbl_working_sleep[[#This Row],[SleepDay]],"dddd")</f>
        <v>Wednesday</v>
      </c>
      <c r="G80">
        <f>ROUND(tbl_working_sleep[[#This Row],[TotalMinutesAsleep]]/60,2)</f>
        <v>7.47</v>
      </c>
      <c r="H80">
        <f>ROUND(tbl_working_sleep[[#This Row],[TotalTimeInBed]]/60,2)</f>
        <v>8.32</v>
      </c>
      <c r="I80">
        <f>tbl_working_sleep[[#This Row],[TotalTimeInBed]]-tbl_working_sleep[[#This Row],[TotalMinutesAsleep]]</f>
        <v>51</v>
      </c>
      <c r="J80">
        <f>ROUND(tbl_working_sleep[[#This Row],[TotalMinutesAsleep]]/tbl_working_sleep[[#This Row],[TotalTimeInBed]]*100,2)</f>
        <v>89.78</v>
      </c>
      <c r="K80" t="str" cm="1">
        <f t="array" ref="K80">_xlfn.IFS(tbl_working_sleep[[#This Row],[SleepHours]]&lt;6,"Insufficient Sleep",tbl_working_sleep[[#This Row],[SleepHours]]&lt;7,"Below Recommended",tbl_working_sleep[[#This Row],[SleepHours]]&lt;=9,"Recommended",tbl_working_sleep[[#This Row],[SleepHours]]&gt;9,"Oversleeping")</f>
        <v>Recommended</v>
      </c>
      <c r="L80" t="str">
        <f>tbl_working_sleep[[#This Row],[Id]]&amp;"|"&amp;TEXT(tbl_working_sleep[[#This Row],[SleepDay]],"yyyy-mm-dd")</f>
        <v>2347167796|2016-04-27</v>
      </c>
    </row>
    <row r="81" spans="1:12" x14ac:dyDescent="0.3">
      <c r="A81">
        <v>2347167796</v>
      </c>
      <c r="B81" s="2">
        <v>42488</v>
      </c>
      <c r="C81">
        <v>1</v>
      </c>
      <c r="D81">
        <v>408</v>
      </c>
      <c r="E81">
        <v>450</v>
      </c>
      <c r="F81" t="str">
        <f>TEXT(tbl_working_sleep[[#This Row],[SleepDay]],"dddd")</f>
        <v>Thursday</v>
      </c>
      <c r="G81">
        <f>ROUND(tbl_working_sleep[[#This Row],[TotalMinutesAsleep]]/60,2)</f>
        <v>6.8</v>
      </c>
      <c r="H81">
        <f>ROUND(tbl_working_sleep[[#This Row],[TotalTimeInBed]]/60,2)</f>
        <v>7.5</v>
      </c>
      <c r="I81">
        <f>tbl_working_sleep[[#This Row],[TotalTimeInBed]]-tbl_working_sleep[[#This Row],[TotalMinutesAsleep]]</f>
        <v>42</v>
      </c>
      <c r="J81">
        <f>ROUND(tbl_working_sleep[[#This Row],[TotalMinutesAsleep]]/tbl_working_sleep[[#This Row],[TotalTimeInBed]]*100,2)</f>
        <v>90.67</v>
      </c>
      <c r="K81" t="str" cm="1">
        <f t="array" ref="K81">_xlfn.IFS(tbl_working_sleep[[#This Row],[SleepHours]]&lt;6,"Insufficient Sleep",tbl_working_sleep[[#This Row],[SleepHours]]&lt;7,"Below Recommended",tbl_working_sleep[[#This Row],[SleepHours]]&lt;=9,"Recommended",tbl_working_sleep[[#This Row],[SleepHours]]&gt;9,"Oversleeping")</f>
        <v>Below Recommended</v>
      </c>
      <c r="L81" t="str">
        <f>tbl_working_sleep[[#This Row],[Id]]&amp;"|"&amp;TEXT(tbl_working_sleep[[#This Row],[SleepDay]],"yyyy-mm-dd")</f>
        <v>2347167796|2016-04-28</v>
      </c>
    </row>
    <row r="82" spans="1:12" x14ac:dyDescent="0.3">
      <c r="A82">
        <v>2347167796</v>
      </c>
      <c r="B82" s="2">
        <v>42489</v>
      </c>
      <c r="C82">
        <v>1</v>
      </c>
      <c r="D82">
        <v>411</v>
      </c>
      <c r="E82">
        <v>473</v>
      </c>
      <c r="F82" t="str">
        <f>TEXT(tbl_working_sleep[[#This Row],[SleepDay]],"dddd")</f>
        <v>Friday</v>
      </c>
      <c r="G82">
        <f>ROUND(tbl_working_sleep[[#This Row],[TotalMinutesAsleep]]/60,2)</f>
        <v>6.85</v>
      </c>
      <c r="H82">
        <f>ROUND(tbl_working_sleep[[#This Row],[TotalTimeInBed]]/60,2)</f>
        <v>7.88</v>
      </c>
      <c r="I82">
        <f>tbl_working_sleep[[#This Row],[TotalTimeInBed]]-tbl_working_sleep[[#This Row],[TotalMinutesAsleep]]</f>
        <v>62</v>
      </c>
      <c r="J82">
        <f>ROUND(tbl_working_sleep[[#This Row],[TotalMinutesAsleep]]/tbl_working_sleep[[#This Row],[TotalTimeInBed]]*100,2)</f>
        <v>86.89</v>
      </c>
      <c r="K82" t="str" cm="1">
        <f t="array" ref="K82">_xlfn.IFS(tbl_working_sleep[[#This Row],[SleepHours]]&lt;6,"Insufficient Sleep",tbl_working_sleep[[#This Row],[SleepHours]]&lt;7,"Below Recommended",tbl_working_sleep[[#This Row],[SleepHours]]&lt;=9,"Recommended",tbl_working_sleep[[#This Row],[SleepHours]]&gt;9,"Oversleeping")</f>
        <v>Below Recommended</v>
      </c>
      <c r="L82" t="str">
        <f>tbl_working_sleep[[#This Row],[Id]]&amp;"|"&amp;TEXT(tbl_working_sleep[[#This Row],[SleepDay]],"yyyy-mm-dd")</f>
        <v>2347167796|2016-04-29</v>
      </c>
    </row>
    <row r="83" spans="1:12" x14ac:dyDescent="0.3">
      <c r="A83">
        <v>3977333714</v>
      </c>
      <c r="B83" s="2">
        <v>42472</v>
      </c>
      <c r="C83">
        <v>1</v>
      </c>
      <c r="D83">
        <v>274</v>
      </c>
      <c r="E83">
        <v>469</v>
      </c>
      <c r="F83" t="str">
        <f>TEXT(tbl_working_sleep[[#This Row],[SleepDay]],"dddd")</f>
        <v>Tuesday</v>
      </c>
      <c r="G83">
        <f>ROUND(tbl_working_sleep[[#This Row],[TotalMinutesAsleep]]/60,2)</f>
        <v>4.57</v>
      </c>
      <c r="H83">
        <f>ROUND(tbl_working_sleep[[#This Row],[TotalTimeInBed]]/60,2)</f>
        <v>7.82</v>
      </c>
      <c r="I83">
        <f>tbl_working_sleep[[#This Row],[TotalTimeInBed]]-tbl_working_sleep[[#This Row],[TotalMinutesAsleep]]</f>
        <v>195</v>
      </c>
      <c r="J83">
        <f>ROUND(tbl_working_sleep[[#This Row],[TotalMinutesAsleep]]/tbl_working_sleep[[#This Row],[TotalTimeInBed]]*100,2)</f>
        <v>58.42</v>
      </c>
      <c r="K83" t="str" cm="1">
        <f t="array" ref="K83">_xlfn.IFS(tbl_working_sleep[[#This Row],[SleepHours]]&lt;6,"Insufficient Sleep",tbl_working_sleep[[#This Row],[SleepHours]]&lt;7,"Below Recommended",tbl_working_sleep[[#This Row],[SleepHours]]&lt;=9,"Recommended",tbl_working_sleep[[#This Row],[SleepHours]]&gt;9,"Oversleeping")</f>
        <v>Insufficient Sleep</v>
      </c>
      <c r="L83" t="str">
        <f>tbl_working_sleep[[#This Row],[Id]]&amp;"|"&amp;TEXT(tbl_working_sleep[[#This Row],[SleepDay]],"yyyy-mm-dd")</f>
        <v>3977333714|2016-04-12</v>
      </c>
    </row>
    <row r="84" spans="1:12" x14ac:dyDescent="0.3">
      <c r="A84">
        <v>3977333714</v>
      </c>
      <c r="B84" s="2">
        <v>42473</v>
      </c>
      <c r="C84">
        <v>2</v>
      </c>
      <c r="D84">
        <v>295</v>
      </c>
      <c r="E84">
        <v>456</v>
      </c>
      <c r="F84" t="str">
        <f>TEXT(tbl_working_sleep[[#This Row],[SleepDay]],"dddd")</f>
        <v>Wednesday</v>
      </c>
      <c r="G84">
        <f>ROUND(tbl_working_sleep[[#This Row],[TotalMinutesAsleep]]/60,2)</f>
        <v>4.92</v>
      </c>
      <c r="H84">
        <f>ROUND(tbl_working_sleep[[#This Row],[TotalTimeInBed]]/60,2)</f>
        <v>7.6</v>
      </c>
      <c r="I84">
        <f>tbl_working_sleep[[#This Row],[TotalTimeInBed]]-tbl_working_sleep[[#This Row],[TotalMinutesAsleep]]</f>
        <v>161</v>
      </c>
      <c r="J84">
        <f>ROUND(tbl_working_sleep[[#This Row],[TotalMinutesAsleep]]/tbl_working_sleep[[#This Row],[TotalTimeInBed]]*100,2)</f>
        <v>64.69</v>
      </c>
      <c r="K84" t="str" cm="1">
        <f t="array" ref="K84">_xlfn.IFS(tbl_working_sleep[[#This Row],[SleepHours]]&lt;6,"Insufficient Sleep",tbl_working_sleep[[#This Row],[SleepHours]]&lt;7,"Below Recommended",tbl_working_sleep[[#This Row],[SleepHours]]&lt;=9,"Recommended",tbl_working_sleep[[#This Row],[SleepHours]]&gt;9,"Oversleeping")</f>
        <v>Insufficient Sleep</v>
      </c>
      <c r="L84" t="str">
        <f>tbl_working_sleep[[#This Row],[Id]]&amp;"|"&amp;TEXT(tbl_working_sleep[[#This Row],[SleepDay]],"yyyy-mm-dd")</f>
        <v>3977333714|2016-04-13</v>
      </c>
    </row>
    <row r="85" spans="1:12" x14ac:dyDescent="0.3">
      <c r="A85">
        <v>3977333714</v>
      </c>
      <c r="B85" s="2">
        <v>42474</v>
      </c>
      <c r="C85">
        <v>1</v>
      </c>
      <c r="D85">
        <v>291</v>
      </c>
      <c r="E85">
        <v>397</v>
      </c>
      <c r="F85" t="str">
        <f>TEXT(tbl_working_sleep[[#This Row],[SleepDay]],"dddd")</f>
        <v>Thursday</v>
      </c>
      <c r="G85">
        <f>ROUND(tbl_working_sleep[[#This Row],[TotalMinutesAsleep]]/60,2)</f>
        <v>4.8499999999999996</v>
      </c>
      <c r="H85">
        <f>ROUND(tbl_working_sleep[[#This Row],[TotalTimeInBed]]/60,2)</f>
        <v>6.62</v>
      </c>
      <c r="I85">
        <f>tbl_working_sleep[[#This Row],[TotalTimeInBed]]-tbl_working_sleep[[#This Row],[TotalMinutesAsleep]]</f>
        <v>106</v>
      </c>
      <c r="J85">
        <f>ROUND(tbl_working_sleep[[#This Row],[TotalMinutesAsleep]]/tbl_working_sleep[[#This Row],[TotalTimeInBed]]*100,2)</f>
        <v>73.3</v>
      </c>
      <c r="K85" t="str" cm="1">
        <f t="array" ref="K85">_xlfn.IFS(tbl_working_sleep[[#This Row],[SleepHours]]&lt;6,"Insufficient Sleep",tbl_working_sleep[[#This Row],[SleepHours]]&lt;7,"Below Recommended",tbl_working_sleep[[#This Row],[SleepHours]]&lt;=9,"Recommended",tbl_working_sleep[[#This Row],[SleepHours]]&gt;9,"Oversleeping")</f>
        <v>Insufficient Sleep</v>
      </c>
      <c r="L85" t="str">
        <f>tbl_working_sleep[[#This Row],[Id]]&amp;"|"&amp;TEXT(tbl_working_sleep[[#This Row],[SleepDay]],"yyyy-mm-dd")</f>
        <v>3977333714|2016-04-14</v>
      </c>
    </row>
    <row r="86" spans="1:12" x14ac:dyDescent="0.3">
      <c r="A86">
        <v>3977333714</v>
      </c>
      <c r="B86" s="2">
        <v>42475</v>
      </c>
      <c r="C86">
        <v>1</v>
      </c>
      <c r="D86">
        <v>424</v>
      </c>
      <c r="E86">
        <v>556</v>
      </c>
      <c r="F86" t="str">
        <f>TEXT(tbl_working_sleep[[#This Row],[SleepDay]],"dddd")</f>
        <v>Friday</v>
      </c>
      <c r="G86">
        <f>ROUND(tbl_working_sleep[[#This Row],[TotalMinutesAsleep]]/60,2)</f>
        <v>7.07</v>
      </c>
      <c r="H86">
        <f>ROUND(tbl_working_sleep[[#This Row],[TotalTimeInBed]]/60,2)</f>
        <v>9.27</v>
      </c>
      <c r="I86">
        <f>tbl_working_sleep[[#This Row],[TotalTimeInBed]]-tbl_working_sleep[[#This Row],[TotalMinutesAsleep]]</f>
        <v>132</v>
      </c>
      <c r="J86">
        <f>ROUND(tbl_working_sleep[[#This Row],[TotalMinutesAsleep]]/tbl_working_sleep[[#This Row],[TotalTimeInBed]]*100,2)</f>
        <v>76.260000000000005</v>
      </c>
      <c r="K86" t="str" cm="1">
        <f t="array" ref="K86">_xlfn.IFS(tbl_working_sleep[[#This Row],[SleepHours]]&lt;6,"Insufficient Sleep",tbl_working_sleep[[#This Row],[SleepHours]]&lt;7,"Below Recommended",tbl_working_sleep[[#This Row],[SleepHours]]&lt;=9,"Recommended",tbl_working_sleep[[#This Row],[SleepHours]]&gt;9,"Oversleeping")</f>
        <v>Recommended</v>
      </c>
      <c r="L86" t="str">
        <f>tbl_working_sleep[[#This Row],[Id]]&amp;"|"&amp;TEXT(tbl_working_sleep[[#This Row],[SleepDay]],"yyyy-mm-dd")</f>
        <v>3977333714|2016-04-15</v>
      </c>
    </row>
    <row r="87" spans="1:12" x14ac:dyDescent="0.3">
      <c r="A87">
        <v>3977333714</v>
      </c>
      <c r="B87" s="2">
        <v>42476</v>
      </c>
      <c r="C87">
        <v>1</v>
      </c>
      <c r="D87">
        <v>283</v>
      </c>
      <c r="E87">
        <v>510</v>
      </c>
      <c r="F87" t="str">
        <f>TEXT(tbl_working_sleep[[#This Row],[SleepDay]],"dddd")</f>
        <v>Saturday</v>
      </c>
      <c r="G87">
        <f>ROUND(tbl_working_sleep[[#This Row],[TotalMinutesAsleep]]/60,2)</f>
        <v>4.72</v>
      </c>
      <c r="H87">
        <f>ROUND(tbl_working_sleep[[#This Row],[TotalTimeInBed]]/60,2)</f>
        <v>8.5</v>
      </c>
      <c r="I87">
        <f>tbl_working_sleep[[#This Row],[TotalTimeInBed]]-tbl_working_sleep[[#This Row],[TotalMinutesAsleep]]</f>
        <v>227</v>
      </c>
      <c r="J87">
        <f>ROUND(tbl_working_sleep[[#This Row],[TotalMinutesAsleep]]/tbl_working_sleep[[#This Row],[TotalTimeInBed]]*100,2)</f>
        <v>55.49</v>
      </c>
      <c r="K87" t="str" cm="1">
        <f t="array" ref="K87">_xlfn.IFS(tbl_working_sleep[[#This Row],[SleepHours]]&lt;6,"Insufficient Sleep",tbl_working_sleep[[#This Row],[SleepHours]]&lt;7,"Below Recommended",tbl_working_sleep[[#This Row],[SleepHours]]&lt;=9,"Recommended",tbl_working_sleep[[#This Row],[SleepHours]]&gt;9,"Oversleeping")</f>
        <v>Insufficient Sleep</v>
      </c>
      <c r="L87" t="str">
        <f>tbl_working_sleep[[#This Row],[Id]]&amp;"|"&amp;TEXT(tbl_working_sleep[[#This Row],[SleepDay]],"yyyy-mm-dd")</f>
        <v>3977333714|2016-04-16</v>
      </c>
    </row>
    <row r="88" spans="1:12" x14ac:dyDescent="0.3">
      <c r="A88">
        <v>3977333714</v>
      </c>
      <c r="B88" s="2">
        <v>42477</v>
      </c>
      <c r="C88">
        <v>1</v>
      </c>
      <c r="D88">
        <v>381</v>
      </c>
      <c r="E88">
        <v>566</v>
      </c>
      <c r="F88" t="str">
        <f>TEXT(tbl_working_sleep[[#This Row],[SleepDay]],"dddd")</f>
        <v>Sunday</v>
      </c>
      <c r="G88">
        <f>ROUND(tbl_working_sleep[[#This Row],[TotalMinutesAsleep]]/60,2)</f>
        <v>6.35</v>
      </c>
      <c r="H88">
        <f>ROUND(tbl_working_sleep[[#This Row],[TotalTimeInBed]]/60,2)</f>
        <v>9.43</v>
      </c>
      <c r="I88">
        <f>tbl_working_sleep[[#This Row],[TotalTimeInBed]]-tbl_working_sleep[[#This Row],[TotalMinutesAsleep]]</f>
        <v>185</v>
      </c>
      <c r="J88">
        <f>ROUND(tbl_working_sleep[[#This Row],[TotalMinutesAsleep]]/tbl_working_sleep[[#This Row],[TotalTimeInBed]]*100,2)</f>
        <v>67.31</v>
      </c>
      <c r="K88" t="str" cm="1">
        <f t="array" ref="K88">_xlfn.IFS(tbl_working_sleep[[#This Row],[SleepHours]]&lt;6,"Insufficient Sleep",tbl_working_sleep[[#This Row],[SleepHours]]&lt;7,"Below Recommended",tbl_working_sleep[[#This Row],[SleepHours]]&lt;=9,"Recommended",tbl_working_sleep[[#This Row],[SleepHours]]&gt;9,"Oversleeping")</f>
        <v>Below Recommended</v>
      </c>
      <c r="L88" t="str">
        <f>tbl_working_sleep[[#This Row],[Id]]&amp;"|"&amp;TEXT(tbl_working_sleep[[#This Row],[SleepDay]],"yyyy-mm-dd")</f>
        <v>3977333714|2016-04-17</v>
      </c>
    </row>
    <row r="89" spans="1:12" x14ac:dyDescent="0.3">
      <c r="A89">
        <v>3977333714</v>
      </c>
      <c r="B89" s="2">
        <v>42478</v>
      </c>
      <c r="C89">
        <v>2</v>
      </c>
      <c r="D89">
        <v>412</v>
      </c>
      <c r="E89">
        <v>522</v>
      </c>
      <c r="F89" t="str">
        <f>TEXT(tbl_working_sleep[[#This Row],[SleepDay]],"dddd")</f>
        <v>Monday</v>
      </c>
      <c r="G89">
        <f>ROUND(tbl_working_sleep[[#This Row],[TotalMinutesAsleep]]/60,2)</f>
        <v>6.87</v>
      </c>
      <c r="H89">
        <f>ROUND(tbl_working_sleep[[#This Row],[TotalTimeInBed]]/60,2)</f>
        <v>8.6999999999999993</v>
      </c>
      <c r="I89">
        <f>tbl_working_sleep[[#This Row],[TotalTimeInBed]]-tbl_working_sleep[[#This Row],[TotalMinutesAsleep]]</f>
        <v>110</v>
      </c>
      <c r="J89">
        <f>ROUND(tbl_working_sleep[[#This Row],[TotalMinutesAsleep]]/tbl_working_sleep[[#This Row],[TotalTimeInBed]]*100,2)</f>
        <v>78.930000000000007</v>
      </c>
      <c r="K89" t="str" cm="1">
        <f t="array" ref="K89">_xlfn.IFS(tbl_working_sleep[[#This Row],[SleepHours]]&lt;6,"Insufficient Sleep",tbl_working_sleep[[#This Row],[SleepHours]]&lt;7,"Below Recommended",tbl_working_sleep[[#This Row],[SleepHours]]&lt;=9,"Recommended",tbl_working_sleep[[#This Row],[SleepHours]]&gt;9,"Oversleeping")</f>
        <v>Below Recommended</v>
      </c>
      <c r="L89" t="str">
        <f>tbl_working_sleep[[#This Row],[Id]]&amp;"|"&amp;TEXT(tbl_working_sleep[[#This Row],[SleepDay]],"yyyy-mm-dd")</f>
        <v>3977333714|2016-04-18</v>
      </c>
    </row>
    <row r="90" spans="1:12" x14ac:dyDescent="0.3">
      <c r="A90">
        <v>3977333714</v>
      </c>
      <c r="B90" s="2">
        <v>42479</v>
      </c>
      <c r="C90">
        <v>1</v>
      </c>
      <c r="D90">
        <v>219</v>
      </c>
      <c r="E90">
        <v>395</v>
      </c>
      <c r="F90" t="str">
        <f>TEXT(tbl_working_sleep[[#This Row],[SleepDay]],"dddd")</f>
        <v>Tuesday</v>
      </c>
      <c r="G90">
        <f>ROUND(tbl_working_sleep[[#This Row],[TotalMinutesAsleep]]/60,2)</f>
        <v>3.65</v>
      </c>
      <c r="H90">
        <f>ROUND(tbl_working_sleep[[#This Row],[TotalTimeInBed]]/60,2)</f>
        <v>6.58</v>
      </c>
      <c r="I90">
        <f>tbl_working_sleep[[#This Row],[TotalTimeInBed]]-tbl_working_sleep[[#This Row],[TotalMinutesAsleep]]</f>
        <v>176</v>
      </c>
      <c r="J90">
        <f>ROUND(tbl_working_sleep[[#This Row],[TotalMinutesAsleep]]/tbl_working_sleep[[#This Row],[TotalTimeInBed]]*100,2)</f>
        <v>55.44</v>
      </c>
      <c r="K90" t="str" cm="1">
        <f t="array" ref="K90">_xlfn.IFS(tbl_working_sleep[[#This Row],[SleepHours]]&lt;6,"Insufficient Sleep",tbl_working_sleep[[#This Row],[SleepHours]]&lt;7,"Below Recommended",tbl_working_sleep[[#This Row],[SleepHours]]&lt;=9,"Recommended",tbl_working_sleep[[#This Row],[SleepHours]]&gt;9,"Oversleeping")</f>
        <v>Insufficient Sleep</v>
      </c>
      <c r="L90" t="str">
        <f>tbl_working_sleep[[#This Row],[Id]]&amp;"|"&amp;TEXT(tbl_working_sleep[[#This Row],[SleepDay]],"yyyy-mm-dd")</f>
        <v>3977333714|2016-04-19</v>
      </c>
    </row>
    <row r="91" spans="1:12" x14ac:dyDescent="0.3">
      <c r="A91">
        <v>3977333714</v>
      </c>
      <c r="B91" s="2">
        <v>42480</v>
      </c>
      <c r="C91">
        <v>2</v>
      </c>
      <c r="D91">
        <v>152</v>
      </c>
      <c r="E91">
        <v>305</v>
      </c>
      <c r="F91" t="str">
        <f>TEXT(tbl_working_sleep[[#This Row],[SleepDay]],"dddd")</f>
        <v>Wednesday</v>
      </c>
      <c r="G91">
        <f>ROUND(tbl_working_sleep[[#This Row],[TotalMinutesAsleep]]/60,2)</f>
        <v>2.5299999999999998</v>
      </c>
      <c r="H91">
        <f>ROUND(tbl_working_sleep[[#This Row],[TotalTimeInBed]]/60,2)</f>
        <v>5.08</v>
      </c>
      <c r="I91">
        <f>tbl_working_sleep[[#This Row],[TotalTimeInBed]]-tbl_working_sleep[[#This Row],[TotalMinutesAsleep]]</f>
        <v>153</v>
      </c>
      <c r="J91">
        <f>ROUND(tbl_working_sleep[[#This Row],[TotalMinutesAsleep]]/tbl_working_sleep[[#This Row],[TotalTimeInBed]]*100,2)</f>
        <v>49.84</v>
      </c>
      <c r="K91" t="str" cm="1">
        <f t="array" ref="K91">_xlfn.IFS(tbl_working_sleep[[#This Row],[SleepHours]]&lt;6,"Insufficient Sleep",tbl_working_sleep[[#This Row],[SleepHours]]&lt;7,"Below Recommended",tbl_working_sleep[[#This Row],[SleepHours]]&lt;=9,"Recommended",tbl_working_sleep[[#This Row],[SleepHours]]&gt;9,"Oversleeping")</f>
        <v>Insufficient Sleep</v>
      </c>
      <c r="L91" t="str">
        <f>tbl_working_sleep[[#This Row],[Id]]&amp;"|"&amp;TEXT(tbl_working_sleep[[#This Row],[SleepDay]],"yyyy-mm-dd")</f>
        <v>3977333714|2016-04-20</v>
      </c>
    </row>
    <row r="92" spans="1:12" x14ac:dyDescent="0.3">
      <c r="A92">
        <v>3977333714</v>
      </c>
      <c r="B92" s="2">
        <v>42481</v>
      </c>
      <c r="C92">
        <v>1</v>
      </c>
      <c r="D92">
        <v>332</v>
      </c>
      <c r="E92">
        <v>512</v>
      </c>
      <c r="F92" t="str">
        <f>TEXT(tbl_working_sleep[[#This Row],[SleepDay]],"dddd")</f>
        <v>Thursday</v>
      </c>
      <c r="G92">
        <f>ROUND(tbl_working_sleep[[#This Row],[TotalMinutesAsleep]]/60,2)</f>
        <v>5.53</v>
      </c>
      <c r="H92">
        <f>ROUND(tbl_working_sleep[[#This Row],[TotalTimeInBed]]/60,2)</f>
        <v>8.5299999999999994</v>
      </c>
      <c r="I92">
        <f>tbl_working_sleep[[#This Row],[TotalTimeInBed]]-tbl_working_sleep[[#This Row],[TotalMinutesAsleep]]</f>
        <v>180</v>
      </c>
      <c r="J92">
        <f>ROUND(tbl_working_sleep[[#This Row],[TotalMinutesAsleep]]/tbl_working_sleep[[#This Row],[TotalTimeInBed]]*100,2)</f>
        <v>64.84</v>
      </c>
      <c r="K92" t="str" cm="1">
        <f t="array" ref="K92">_xlfn.IFS(tbl_working_sleep[[#This Row],[SleepHours]]&lt;6,"Insufficient Sleep",tbl_working_sleep[[#This Row],[SleepHours]]&lt;7,"Below Recommended",tbl_working_sleep[[#This Row],[SleepHours]]&lt;=9,"Recommended",tbl_working_sleep[[#This Row],[SleepHours]]&gt;9,"Oversleeping")</f>
        <v>Insufficient Sleep</v>
      </c>
      <c r="L92" t="str">
        <f>tbl_working_sleep[[#This Row],[Id]]&amp;"|"&amp;TEXT(tbl_working_sleep[[#This Row],[SleepDay]],"yyyy-mm-dd")</f>
        <v>3977333714|2016-04-21</v>
      </c>
    </row>
    <row r="93" spans="1:12" x14ac:dyDescent="0.3">
      <c r="A93">
        <v>3977333714</v>
      </c>
      <c r="B93" s="2">
        <v>42482</v>
      </c>
      <c r="C93">
        <v>1</v>
      </c>
      <c r="D93">
        <v>355</v>
      </c>
      <c r="E93">
        <v>476</v>
      </c>
      <c r="F93" t="str">
        <f>TEXT(tbl_working_sleep[[#This Row],[SleepDay]],"dddd")</f>
        <v>Friday</v>
      </c>
      <c r="G93">
        <f>ROUND(tbl_working_sleep[[#This Row],[TotalMinutesAsleep]]/60,2)</f>
        <v>5.92</v>
      </c>
      <c r="H93">
        <f>ROUND(tbl_working_sleep[[#This Row],[TotalTimeInBed]]/60,2)</f>
        <v>7.93</v>
      </c>
      <c r="I93">
        <f>tbl_working_sleep[[#This Row],[TotalTimeInBed]]-tbl_working_sleep[[#This Row],[TotalMinutesAsleep]]</f>
        <v>121</v>
      </c>
      <c r="J93">
        <f>ROUND(tbl_working_sleep[[#This Row],[TotalMinutesAsleep]]/tbl_working_sleep[[#This Row],[TotalTimeInBed]]*100,2)</f>
        <v>74.58</v>
      </c>
      <c r="K93" t="str" cm="1">
        <f t="array" ref="K93">_xlfn.IFS(tbl_working_sleep[[#This Row],[SleepHours]]&lt;6,"Insufficient Sleep",tbl_working_sleep[[#This Row],[SleepHours]]&lt;7,"Below Recommended",tbl_working_sleep[[#This Row],[SleepHours]]&lt;=9,"Recommended",tbl_working_sleep[[#This Row],[SleepHours]]&gt;9,"Oversleeping")</f>
        <v>Insufficient Sleep</v>
      </c>
      <c r="L93" t="str">
        <f>tbl_working_sleep[[#This Row],[Id]]&amp;"|"&amp;TEXT(tbl_working_sleep[[#This Row],[SleepDay]],"yyyy-mm-dd")</f>
        <v>3977333714|2016-04-22</v>
      </c>
    </row>
    <row r="94" spans="1:12" x14ac:dyDescent="0.3">
      <c r="A94">
        <v>3977333714</v>
      </c>
      <c r="B94" s="2">
        <v>42483</v>
      </c>
      <c r="C94">
        <v>1</v>
      </c>
      <c r="D94">
        <v>235</v>
      </c>
      <c r="E94">
        <v>372</v>
      </c>
      <c r="F94" t="str">
        <f>TEXT(tbl_working_sleep[[#This Row],[SleepDay]],"dddd")</f>
        <v>Saturday</v>
      </c>
      <c r="G94">
        <f>ROUND(tbl_working_sleep[[#This Row],[TotalMinutesAsleep]]/60,2)</f>
        <v>3.92</v>
      </c>
      <c r="H94">
        <f>ROUND(tbl_working_sleep[[#This Row],[TotalTimeInBed]]/60,2)</f>
        <v>6.2</v>
      </c>
      <c r="I94">
        <f>tbl_working_sleep[[#This Row],[TotalTimeInBed]]-tbl_working_sleep[[#This Row],[TotalMinutesAsleep]]</f>
        <v>137</v>
      </c>
      <c r="J94">
        <f>ROUND(tbl_working_sleep[[#This Row],[TotalMinutesAsleep]]/tbl_working_sleep[[#This Row],[TotalTimeInBed]]*100,2)</f>
        <v>63.17</v>
      </c>
      <c r="K94" t="str" cm="1">
        <f t="array" ref="K94">_xlfn.IFS(tbl_working_sleep[[#This Row],[SleepHours]]&lt;6,"Insufficient Sleep",tbl_working_sleep[[#This Row],[SleepHours]]&lt;7,"Below Recommended",tbl_working_sleep[[#This Row],[SleepHours]]&lt;=9,"Recommended",tbl_working_sleep[[#This Row],[SleepHours]]&gt;9,"Oversleeping")</f>
        <v>Insufficient Sleep</v>
      </c>
      <c r="L94" t="str">
        <f>tbl_working_sleep[[#This Row],[Id]]&amp;"|"&amp;TEXT(tbl_working_sleep[[#This Row],[SleepDay]],"yyyy-mm-dd")</f>
        <v>3977333714|2016-04-23</v>
      </c>
    </row>
    <row r="95" spans="1:12" x14ac:dyDescent="0.3">
      <c r="A95">
        <v>3977333714</v>
      </c>
      <c r="B95" s="2">
        <v>42484</v>
      </c>
      <c r="C95">
        <v>1</v>
      </c>
      <c r="D95">
        <v>310</v>
      </c>
      <c r="E95">
        <v>526</v>
      </c>
      <c r="F95" t="str">
        <f>TEXT(tbl_working_sleep[[#This Row],[SleepDay]],"dddd")</f>
        <v>Sunday</v>
      </c>
      <c r="G95">
        <f>ROUND(tbl_working_sleep[[#This Row],[TotalMinutesAsleep]]/60,2)</f>
        <v>5.17</v>
      </c>
      <c r="H95">
        <f>ROUND(tbl_working_sleep[[#This Row],[TotalTimeInBed]]/60,2)</f>
        <v>8.77</v>
      </c>
      <c r="I95">
        <f>tbl_working_sleep[[#This Row],[TotalTimeInBed]]-tbl_working_sleep[[#This Row],[TotalMinutesAsleep]]</f>
        <v>216</v>
      </c>
      <c r="J95">
        <f>ROUND(tbl_working_sleep[[#This Row],[TotalMinutesAsleep]]/tbl_working_sleep[[#This Row],[TotalTimeInBed]]*100,2)</f>
        <v>58.94</v>
      </c>
      <c r="K95" t="str" cm="1">
        <f t="array" ref="K95">_xlfn.IFS(tbl_working_sleep[[#This Row],[SleepHours]]&lt;6,"Insufficient Sleep",tbl_working_sleep[[#This Row],[SleepHours]]&lt;7,"Below Recommended",tbl_working_sleep[[#This Row],[SleepHours]]&lt;=9,"Recommended",tbl_working_sleep[[#This Row],[SleepHours]]&gt;9,"Oversleeping")</f>
        <v>Insufficient Sleep</v>
      </c>
      <c r="L95" t="str">
        <f>tbl_working_sleep[[#This Row],[Id]]&amp;"|"&amp;TEXT(tbl_working_sleep[[#This Row],[SleepDay]],"yyyy-mm-dd")</f>
        <v>3977333714|2016-04-24</v>
      </c>
    </row>
    <row r="96" spans="1:12" x14ac:dyDescent="0.3">
      <c r="A96">
        <v>3977333714</v>
      </c>
      <c r="B96" s="2">
        <v>42485</v>
      </c>
      <c r="C96">
        <v>1</v>
      </c>
      <c r="D96">
        <v>262</v>
      </c>
      <c r="E96">
        <v>467</v>
      </c>
      <c r="F96" t="str">
        <f>TEXT(tbl_working_sleep[[#This Row],[SleepDay]],"dddd")</f>
        <v>Monday</v>
      </c>
      <c r="G96">
        <f>ROUND(tbl_working_sleep[[#This Row],[TotalMinutesAsleep]]/60,2)</f>
        <v>4.37</v>
      </c>
      <c r="H96">
        <f>ROUND(tbl_working_sleep[[#This Row],[TotalTimeInBed]]/60,2)</f>
        <v>7.78</v>
      </c>
      <c r="I96">
        <f>tbl_working_sleep[[#This Row],[TotalTimeInBed]]-tbl_working_sleep[[#This Row],[TotalMinutesAsleep]]</f>
        <v>205</v>
      </c>
      <c r="J96">
        <f>ROUND(tbl_working_sleep[[#This Row],[TotalMinutesAsleep]]/tbl_working_sleep[[#This Row],[TotalTimeInBed]]*100,2)</f>
        <v>56.1</v>
      </c>
      <c r="K96" t="str" cm="1">
        <f t="array" ref="K96">_xlfn.IFS(tbl_working_sleep[[#This Row],[SleepHours]]&lt;6,"Insufficient Sleep",tbl_working_sleep[[#This Row],[SleepHours]]&lt;7,"Below Recommended",tbl_working_sleep[[#This Row],[SleepHours]]&lt;=9,"Recommended",tbl_working_sleep[[#This Row],[SleepHours]]&gt;9,"Oversleeping")</f>
        <v>Insufficient Sleep</v>
      </c>
      <c r="L96" t="str">
        <f>tbl_working_sleep[[#This Row],[Id]]&amp;"|"&amp;TEXT(tbl_working_sleep[[#This Row],[SleepDay]],"yyyy-mm-dd")</f>
        <v>3977333714|2016-04-25</v>
      </c>
    </row>
    <row r="97" spans="1:12" x14ac:dyDescent="0.3">
      <c r="A97">
        <v>3977333714</v>
      </c>
      <c r="B97" s="2">
        <v>42486</v>
      </c>
      <c r="C97">
        <v>1</v>
      </c>
      <c r="D97">
        <v>250</v>
      </c>
      <c r="E97">
        <v>371</v>
      </c>
      <c r="F97" t="str">
        <f>TEXT(tbl_working_sleep[[#This Row],[SleepDay]],"dddd")</f>
        <v>Tuesday</v>
      </c>
      <c r="G97">
        <f>ROUND(tbl_working_sleep[[#This Row],[TotalMinutesAsleep]]/60,2)</f>
        <v>4.17</v>
      </c>
      <c r="H97">
        <f>ROUND(tbl_working_sleep[[#This Row],[TotalTimeInBed]]/60,2)</f>
        <v>6.18</v>
      </c>
      <c r="I97">
        <f>tbl_working_sleep[[#This Row],[TotalTimeInBed]]-tbl_working_sleep[[#This Row],[TotalMinutesAsleep]]</f>
        <v>121</v>
      </c>
      <c r="J97">
        <f>ROUND(tbl_working_sleep[[#This Row],[TotalMinutesAsleep]]/tbl_working_sleep[[#This Row],[TotalTimeInBed]]*100,2)</f>
        <v>67.39</v>
      </c>
      <c r="K97" t="str" cm="1">
        <f t="array" ref="K97">_xlfn.IFS(tbl_working_sleep[[#This Row],[SleepHours]]&lt;6,"Insufficient Sleep",tbl_working_sleep[[#This Row],[SleepHours]]&lt;7,"Below Recommended",tbl_working_sleep[[#This Row],[SleepHours]]&lt;=9,"Recommended",tbl_working_sleep[[#This Row],[SleepHours]]&gt;9,"Oversleeping")</f>
        <v>Insufficient Sleep</v>
      </c>
      <c r="L97" t="str">
        <f>tbl_working_sleep[[#This Row],[Id]]&amp;"|"&amp;TEXT(tbl_working_sleep[[#This Row],[SleepDay]],"yyyy-mm-dd")</f>
        <v>3977333714|2016-04-26</v>
      </c>
    </row>
    <row r="98" spans="1:12" x14ac:dyDescent="0.3">
      <c r="A98">
        <v>3977333714</v>
      </c>
      <c r="B98" s="2">
        <v>42487</v>
      </c>
      <c r="C98">
        <v>1</v>
      </c>
      <c r="D98">
        <v>349</v>
      </c>
      <c r="E98">
        <v>540</v>
      </c>
      <c r="F98" t="str">
        <f>TEXT(tbl_working_sleep[[#This Row],[SleepDay]],"dddd")</f>
        <v>Wednesday</v>
      </c>
      <c r="G98">
        <f>ROUND(tbl_working_sleep[[#This Row],[TotalMinutesAsleep]]/60,2)</f>
        <v>5.82</v>
      </c>
      <c r="H98">
        <f>ROUND(tbl_working_sleep[[#This Row],[TotalTimeInBed]]/60,2)</f>
        <v>9</v>
      </c>
      <c r="I98">
        <f>tbl_working_sleep[[#This Row],[TotalTimeInBed]]-tbl_working_sleep[[#This Row],[TotalMinutesAsleep]]</f>
        <v>191</v>
      </c>
      <c r="J98">
        <f>ROUND(tbl_working_sleep[[#This Row],[TotalMinutesAsleep]]/tbl_working_sleep[[#This Row],[TotalTimeInBed]]*100,2)</f>
        <v>64.63</v>
      </c>
      <c r="K98" t="str" cm="1">
        <f t="array" ref="K98">_xlfn.IFS(tbl_working_sleep[[#This Row],[SleepHours]]&lt;6,"Insufficient Sleep",tbl_working_sleep[[#This Row],[SleepHours]]&lt;7,"Below Recommended",tbl_working_sleep[[#This Row],[SleepHours]]&lt;=9,"Recommended",tbl_working_sleep[[#This Row],[SleepHours]]&gt;9,"Oversleeping")</f>
        <v>Insufficient Sleep</v>
      </c>
      <c r="L98" t="str">
        <f>tbl_working_sleep[[#This Row],[Id]]&amp;"|"&amp;TEXT(tbl_working_sleep[[#This Row],[SleepDay]],"yyyy-mm-dd")</f>
        <v>3977333714|2016-04-27</v>
      </c>
    </row>
    <row r="99" spans="1:12" x14ac:dyDescent="0.3">
      <c r="A99">
        <v>3977333714</v>
      </c>
      <c r="B99" s="2">
        <v>42488</v>
      </c>
      <c r="C99">
        <v>1</v>
      </c>
      <c r="D99">
        <v>261</v>
      </c>
      <c r="E99">
        <v>423</v>
      </c>
      <c r="F99" t="str">
        <f>TEXT(tbl_working_sleep[[#This Row],[SleepDay]],"dddd")</f>
        <v>Thursday</v>
      </c>
      <c r="G99">
        <f>ROUND(tbl_working_sleep[[#This Row],[TotalMinutesAsleep]]/60,2)</f>
        <v>4.3499999999999996</v>
      </c>
      <c r="H99">
        <f>ROUND(tbl_working_sleep[[#This Row],[TotalTimeInBed]]/60,2)</f>
        <v>7.05</v>
      </c>
      <c r="I99">
        <f>tbl_working_sleep[[#This Row],[TotalTimeInBed]]-tbl_working_sleep[[#This Row],[TotalMinutesAsleep]]</f>
        <v>162</v>
      </c>
      <c r="J99">
        <f>ROUND(tbl_working_sleep[[#This Row],[TotalMinutesAsleep]]/tbl_working_sleep[[#This Row],[TotalTimeInBed]]*100,2)</f>
        <v>61.7</v>
      </c>
      <c r="K99" t="str" cm="1">
        <f t="array" ref="K99">_xlfn.IFS(tbl_working_sleep[[#This Row],[SleepHours]]&lt;6,"Insufficient Sleep",tbl_working_sleep[[#This Row],[SleepHours]]&lt;7,"Below Recommended",tbl_working_sleep[[#This Row],[SleepHours]]&lt;=9,"Recommended",tbl_working_sleep[[#This Row],[SleepHours]]&gt;9,"Oversleeping")</f>
        <v>Insufficient Sleep</v>
      </c>
      <c r="L99" t="str">
        <f>tbl_working_sleep[[#This Row],[Id]]&amp;"|"&amp;TEXT(tbl_working_sleep[[#This Row],[SleepDay]],"yyyy-mm-dd")</f>
        <v>3977333714|2016-04-28</v>
      </c>
    </row>
    <row r="100" spans="1:12" x14ac:dyDescent="0.3">
      <c r="A100">
        <v>3977333714</v>
      </c>
      <c r="B100" s="2">
        <v>42489</v>
      </c>
      <c r="C100">
        <v>1</v>
      </c>
      <c r="D100">
        <v>333</v>
      </c>
      <c r="E100">
        <v>478</v>
      </c>
      <c r="F100" t="str">
        <f>TEXT(tbl_working_sleep[[#This Row],[SleepDay]],"dddd")</f>
        <v>Friday</v>
      </c>
      <c r="G100">
        <f>ROUND(tbl_working_sleep[[#This Row],[TotalMinutesAsleep]]/60,2)</f>
        <v>5.55</v>
      </c>
      <c r="H100">
        <f>ROUND(tbl_working_sleep[[#This Row],[TotalTimeInBed]]/60,2)</f>
        <v>7.97</v>
      </c>
      <c r="I100">
        <f>tbl_working_sleep[[#This Row],[TotalTimeInBed]]-tbl_working_sleep[[#This Row],[TotalMinutesAsleep]]</f>
        <v>145</v>
      </c>
      <c r="J100">
        <f>ROUND(tbl_working_sleep[[#This Row],[TotalMinutesAsleep]]/tbl_working_sleep[[#This Row],[TotalTimeInBed]]*100,2)</f>
        <v>69.67</v>
      </c>
      <c r="K100" t="str" cm="1">
        <f t="array" ref="K100">_xlfn.IFS(tbl_working_sleep[[#This Row],[SleepHours]]&lt;6,"Insufficient Sleep",tbl_working_sleep[[#This Row],[SleepHours]]&lt;7,"Below Recommended",tbl_working_sleep[[#This Row],[SleepHours]]&lt;=9,"Recommended",tbl_working_sleep[[#This Row],[SleepHours]]&gt;9,"Oversleeping")</f>
        <v>Insufficient Sleep</v>
      </c>
      <c r="L100" t="str">
        <f>tbl_working_sleep[[#This Row],[Id]]&amp;"|"&amp;TEXT(tbl_working_sleep[[#This Row],[SleepDay]],"yyyy-mm-dd")</f>
        <v>3977333714|2016-04-29</v>
      </c>
    </row>
    <row r="101" spans="1:12" x14ac:dyDescent="0.3">
      <c r="A101">
        <v>3977333714</v>
      </c>
      <c r="B101" s="2">
        <v>42490</v>
      </c>
      <c r="C101">
        <v>1</v>
      </c>
      <c r="D101">
        <v>237</v>
      </c>
      <c r="E101">
        <v>382</v>
      </c>
      <c r="F101" t="str">
        <f>TEXT(tbl_working_sleep[[#This Row],[SleepDay]],"dddd")</f>
        <v>Saturday</v>
      </c>
      <c r="G101">
        <f>ROUND(tbl_working_sleep[[#This Row],[TotalMinutesAsleep]]/60,2)</f>
        <v>3.95</v>
      </c>
      <c r="H101">
        <f>ROUND(tbl_working_sleep[[#This Row],[TotalTimeInBed]]/60,2)</f>
        <v>6.37</v>
      </c>
      <c r="I101">
        <f>tbl_working_sleep[[#This Row],[TotalTimeInBed]]-tbl_working_sleep[[#This Row],[TotalMinutesAsleep]]</f>
        <v>145</v>
      </c>
      <c r="J101">
        <f>ROUND(tbl_working_sleep[[#This Row],[TotalMinutesAsleep]]/tbl_working_sleep[[#This Row],[TotalTimeInBed]]*100,2)</f>
        <v>62.04</v>
      </c>
      <c r="K101" t="str" cm="1">
        <f t="array" ref="K101">_xlfn.IFS(tbl_working_sleep[[#This Row],[SleepHours]]&lt;6,"Insufficient Sleep",tbl_working_sleep[[#This Row],[SleepHours]]&lt;7,"Below Recommended",tbl_working_sleep[[#This Row],[SleepHours]]&lt;=9,"Recommended",tbl_working_sleep[[#This Row],[SleepHours]]&gt;9,"Oversleeping")</f>
        <v>Insufficient Sleep</v>
      </c>
      <c r="L101" t="str">
        <f>tbl_working_sleep[[#This Row],[Id]]&amp;"|"&amp;TEXT(tbl_working_sleep[[#This Row],[SleepDay]],"yyyy-mm-dd")</f>
        <v>3977333714|2016-04-30</v>
      </c>
    </row>
    <row r="102" spans="1:12" x14ac:dyDescent="0.3">
      <c r="A102">
        <v>3977333714</v>
      </c>
      <c r="B102" s="2">
        <v>42491</v>
      </c>
      <c r="C102">
        <v>1</v>
      </c>
      <c r="D102">
        <v>383</v>
      </c>
      <c r="E102">
        <v>626</v>
      </c>
      <c r="F102" t="str">
        <f>TEXT(tbl_working_sleep[[#This Row],[SleepDay]],"dddd")</f>
        <v>Sunday</v>
      </c>
      <c r="G102">
        <f>ROUND(tbl_working_sleep[[#This Row],[TotalMinutesAsleep]]/60,2)</f>
        <v>6.38</v>
      </c>
      <c r="H102">
        <f>ROUND(tbl_working_sleep[[#This Row],[TotalTimeInBed]]/60,2)</f>
        <v>10.43</v>
      </c>
      <c r="I102">
        <f>tbl_working_sleep[[#This Row],[TotalTimeInBed]]-tbl_working_sleep[[#This Row],[TotalMinutesAsleep]]</f>
        <v>243</v>
      </c>
      <c r="J102">
        <f>ROUND(tbl_working_sleep[[#This Row],[TotalMinutesAsleep]]/tbl_working_sleep[[#This Row],[TotalTimeInBed]]*100,2)</f>
        <v>61.18</v>
      </c>
      <c r="K102" t="str" cm="1">
        <f t="array" ref="K102">_xlfn.IFS(tbl_working_sleep[[#This Row],[SleepHours]]&lt;6,"Insufficient Sleep",tbl_working_sleep[[#This Row],[SleepHours]]&lt;7,"Below Recommended",tbl_working_sleep[[#This Row],[SleepHours]]&lt;=9,"Recommended",tbl_working_sleep[[#This Row],[SleepHours]]&gt;9,"Oversleeping")</f>
        <v>Below Recommended</v>
      </c>
      <c r="L102" t="str">
        <f>tbl_working_sleep[[#This Row],[Id]]&amp;"|"&amp;TEXT(tbl_working_sleep[[#This Row],[SleepDay]],"yyyy-mm-dd")</f>
        <v>3977333714|2016-05-01</v>
      </c>
    </row>
    <row r="103" spans="1:12" x14ac:dyDescent="0.3">
      <c r="A103">
        <v>3977333714</v>
      </c>
      <c r="B103" s="2">
        <v>42492</v>
      </c>
      <c r="C103">
        <v>1</v>
      </c>
      <c r="D103">
        <v>230</v>
      </c>
      <c r="E103">
        <v>384</v>
      </c>
      <c r="F103" t="str">
        <f>TEXT(tbl_working_sleep[[#This Row],[SleepDay]],"dddd")</f>
        <v>Monday</v>
      </c>
      <c r="G103">
        <f>ROUND(tbl_working_sleep[[#This Row],[TotalMinutesAsleep]]/60,2)</f>
        <v>3.83</v>
      </c>
      <c r="H103">
        <f>ROUND(tbl_working_sleep[[#This Row],[TotalTimeInBed]]/60,2)</f>
        <v>6.4</v>
      </c>
      <c r="I103">
        <f>tbl_working_sleep[[#This Row],[TotalTimeInBed]]-tbl_working_sleep[[#This Row],[TotalMinutesAsleep]]</f>
        <v>154</v>
      </c>
      <c r="J103">
        <f>ROUND(tbl_working_sleep[[#This Row],[TotalMinutesAsleep]]/tbl_working_sleep[[#This Row],[TotalTimeInBed]]*100,2)</f>
        <v>59.9</v>
      </c>
      <c r="K103" t="str" cm="1">
        <f t="array" ref="K103">_xlfn.IFS(tbl_working_sleep[[#This Row],[SleepHours]]&lt;6,"Insufficient Sleep",tbl_working_sleep[[#This Row],[SleepHours]]&lt;7,"Below Recommended",tbl_working_sleep[[#This Row],[SleepHours]]&lt;=9,"Recommended",tbl_working_sleep[[#This Row],[SleepHours]]&gt;9,"Oversleeping")</f>
        <v>Insufficient Sleep</v>
      </c>
      <c r="L103" t="str">
        <f>tbl_working_sleep[[#This Row],[Id]]&amp;"|"&amp;TEXT(tbl_working_sleep[[#This Row],[SleepDay]],"yyyy-mm-dd")</f>
        <v>3977333714|2016-05-02</v>
      </c>
    </row>
    <row r="104" spans="1:12" x14ac:dyDescent="0.3">
      <c r="A104">
        <v>3977333714</v>
      </c>
      <c r="B104" s="2">
        <v>42493</v>
      </c>
      <c r="C104">
        <v>1</v>
      </c>
      <c r="D104">
        <v>292</v>
      </c>
      <c r="E104">
        <v>500</v>
      </c>
      <c r="F104" t="str">
        <f>TEXT(tbl_working_sleep[[#This Row],[SleepDay]],"dddd")</f>
        <v>Tuesday</v>
      </c>
      <c r="G104">
        <f>ROUND(tbl_working_sleep[[#This Row],[TotalMinutesAsleep]]/60,2)</f>
        <v>4.87</v>
      </c>
      <c r="H104">
        <f>ROUND(tbl_working_sleep[[#This Row],[TotalTimeInBed]]/60,2)</f>
        <v>8.33</v>
      </c>
      <c r="I104">
        <f>tbl_working_sleep[[#This Row],[TotalTimeInBed]]-tbl_working_sleep[[#This Row],[TotalMinutesAsleep]]</f>
        <v>208</v>
      </c>
      <c r="J104">
        <f>ROUND(tbl_working_sleep[[#This Row],[TotalMinutesAsleep]]/tbl_working_sleep[[#This Row],[TotalTimeInBed]]*100,2)</f>
        <v>58.4</v>
      </c>
      <c r="K104" t="str" cm="1">
        <f t="array" ref="K104">_xlfn.IFS(tbl_working_sleep[[#This Row],[SleepHours]]&lt;6,"Insufficient Sleep",tbl_working_sleep[[#This Row],[SleepHours]]&lt;7,"Below Recommended",tbl_working_sleep[[#This Row],[SleepHours]]&lt;=9,"Recommended",tbl_working_sleep[[#This Row],[SleepHours]]&gt;9,"Oversleeping")</f>
        <v>Insufficient Sleep</v>
      </c>
      <c r="L104" t="str">
        <f>tbl_working_sleep[[#This Row],[Id]]&amp;"|"&amp;TEXT(tbl_working_sleep[[#This Row],[SleepDay]],"yyyy-mm-dd")</f>
        <v>3977333714|2016-05-03</v>
      </c>
    </row>
    <row r="105" spans="1:12" x14ac:dyDescent="0.3">
      <c r="A105">
        <v>3977333714</v>
      </c>
      <c r="B105" s="2">
        <v>42494</v>
      </c>
      <c r="C105">
        <v>1</v>
      </c>
      <c r="D105">
        <v>213</v>
      </c>
      <c r="E105">
        <v>336</v>
      </c>
      <c r="F105" t="str">
        <f>TEXT(tbl_working_sleep[[#This Row],[SleepDay]],"dddd")</f>
        <v>Wednesday</v>
      </c>
      <c r="G105">
        <f>ROUND(tbl_working_sleep[[#This Row],[TotalMinutesAsleep]]/60,2)</f>
        <v>3.55</v>
      </c>
      <c r="H105">
        <f>ROUND(tbl_working_sleep[[#This Row],[TotalTimeInBed]]/60,2)</f>
        <v>5.6</v>
      </c>
      <c r="I105">
        <f>tbl_working_sleep[[#This Row],[TotalTimeInBed]]-tbl_working_sleep[[#This Row],[TotalMinutesAsleep]]</f>
        <v>123</v>
      </c>
      <c r="J105">
        <f>ROUND(tbl_working_sleep[[#This Row],[TotalMinutesAsleep]]/tbl_working_sleep[[#This Row],[TotalTimeInBed]]*100,2)</f>
        <v>63.39</v>
      </c>
      <c r="K105" t="str" cm="1">
        <f t="array" ref="K105">_xlfn.IFS(tbl_working_sleep[[#This Row],[SleepHours]]&lt;6,"Insufficient Sleep",tbl_working_sleep[[#This Row],[SleepHours]]&lt;7,"Below Recommended",tbl_working_sleep[[#This Row],[SleepHours]]&lt;=9,"Recommended",tbl_working_sleep[[#This Row],[SleepHours]]&gt;9,"Oversleeping")</f>
        <v>Insufficient Sleep</v>
      </c>
      <c r="L105" t="str">
        <f>tbl_working_sleep[[#This Row],[Id]]&amp;"|"&amp;TEXT(tbl_working_sleep[[#This Row],[SleepDay]],"yyyy-mm-dd")</f>
        <v>3977333714|2016-05-04</v>
      </c>
    </row>
    <row r="106" spans="1:12" x14ac:dyDescent="0.3">
      <c r="A106">
        <v>3977333714</v>
      </c>
      <c r="B106" s="2">
        <v>42495</v>
      </c>
      <c r="C106">
        <v>1</v>
      </c>
      <c r="D106">
        <v>318</v>
      </c>
      <c r="E106">
        <v>480</v>
      </c>
      <c r="F106" t="str">
        <f>TEXT(tbl_working_sleep[[#This Row],[SleepDay]],"dddd")</f>
        <v>Thursday</v>
      </c>
      <c r="G106">
        <f>ROUND(tbl_working_sleep[[#This Row],[TotalMinutesAsleep]]/60,2)</f>
        <v>5.3</v>
      </c>
      <c r="H106">
        <f>ROUND(tbl_working_sleep[[#This Row],[TotalTimeInBed]]/60,2)</f>
        <v>8</v>
      </c>
      <c r="I106">
        <f>tbl_working_sleep[[#This Row],[TotalTimeInBed]]-tbl_working_sleep[[#This Row],[TotalMinutesAsleep]]</f>
        <v>162</v>
      </c>
      <c r="J106">
        <f>ROUND(tbl_working_sleep[[#This Row],[TotalMinutesAsleep]]/tbl_working_sleep[[#This Row],[TotalTimeInBed]]*100,2)</f>
        <v>66.25</v>
      </c>
      <c r="K106" t="str" cm="1">
        <f t="array" ref="K106">_xlfn.IFS(tbl_working_sleep[[#This Row],[SleepHours]]&lt;6,"Insufficient Sleep",tbl_working_sleep[[#This Row],[SleepHours]]&lt;7,"Below Recommended",tbl_working_sleep[[#This Row],[SleepHours]]&lt;=9,"Recommended",tbl_working_sleep[[#This Row],[SleepHours]]&gt;9,"Oversleeping")</f>
        <v>Insufficient Sleep</v>
      </c>
      <c r="L106" t="str">
        <f>tbl_working_sleep[[#This Row],[Id]]&amp;"|"&amp;TEXT(tbl_working_sleep[[#This Row],[SleepDay]],"yyyy-mm-dd")</f>
        <v>3977333714|2016-05-05</v>
      </c>
    </row>
    <row r="107" spans="1:12" x14ac:dyDescent="0.3">
      <c r="A107">
        <v>3977333714</v>
      </c>
      <c r="B107" s="2">
        <v>42496</v>
      </c>
      <c r="C107">
        <v>1</v>
      </c>
      <c r="D107">
        <v>323</v>
      </c>
      <c r="E107">
        <v>512</v>
      </c>
      <c r="F107" t="str">
        <f>TEXT(tbl_working_sleep[[#This Row],[SleepDay]],"dddd")</f>
        <v>Friday</v>
      </c>
      <c r="G107">
        <f>ROUND(tbl_working_sleep[[#This Row],[TotalMinutesAsleep]]/60,2)</f>
        <v>5.38</v>
      </c>
      <c r="H107">
        <f>ROUND(tbl_working_sleep[[#This Row],[TotalTimeInBed]]/60,2)</f>
        <v>8.5299999999999994</v>
      </c>
      <c r="I107">
        <f>tbl_working_sleep[[#This Row],[TotalTimeInBed]]-tbl_working_sleep[[#This Row],[TotalMinutesAsleep]]</f>
        <v>189</v>
      </c>
      <c r="J107">
        <f>ROUND(tbl_working_sleep[[#This Row],[TotalMinutesAsleep]]/tbl_working_sleep[[#This Row],[TotalTimeInBed]]*100,2)</f>
        <v>63.09</v>
      </c>
      <c r="K107" t="str" cm="1">
        <f t="array" ref="K107">_xlfn.IFS(tbl_working_sleep[[#This Row],[SleepHours]]&lt;6,"Insufficient Sleep",tbl_working_sleep[[#This Row],[SleepHours]]&lt;7,"Below Recommended",tbl_working_sleep[[#This Row],[SleepHours]]&lt;=9,"Recommended",tbl_working_sleep[[#This Row],[SleepHours]]&gt;9,"Oversleeping")</f>
        <v>Insufficient Sleep</v>
      </c>
      <c r="L107" t="str">
        <f>tbl_working_sleep[[#This Row],[Id]]&amp;"|"&amp;TEXT(tbl_working_sleep[[#This Row],[SleepDay]],"yyyy-mm-dd")</f>
        <v>3977333714|2016-05-06</v>
      </c>
    </row>
    <row r="108" spans="1:12" x14ac:dyDescent="0.3">
      <c r="A108">
        <v>3977333714</v>
      </c>
      <c r="B108" s="2">
        <v>42497</v>
      </c>
      <c r="C108">
        <v>1</v>
      </c>
      <c r="D108">
        <v>237</v>
      </c>
      <c r="E108">
        <v>443</v>
      </c>
      <c r="F108" t="str">
        <f>TEXT(tbl_working_sleep[[#This Row],[SleepDay]],"dddd")</f>
        <v>Saturday</v>
      </c>
      <c r="G108">
        <f>ROUND(tbl_working_sleep[[#This Row],[TotalMinutesAsleep]]/60,2)</f>
        <v>3.95</v>
      </c>
      <c r="H108">
        <f>ROUND(tbl_working_sleep[[#This Row],[TotalTimeInBed]]/60,2)</f>
        <v>7.38</v>
      </c>
      <c r="I108">
        <f>tbl_working_sleep[[#This Row],[TotalTimeInBed]]-tbl_working_sleep[[#This Row],[TotalMinutesAsleep]]</f>
        <v>206</v>
      </c>
      <c r="J108">
        <f>ROUND(tbl_working_sleep[[#This Row],[TotalMinutesAsleep]]/tbl_working_sleep[[#This Row],[TotalTimeInBed]]*100,2)</f>
        <v>53.5</v>
      </c>
      <c r="K108" t="str" cm="1">
        <f t="array" ref="K108">_xlfn.IFS(tbl_working_sleep[[#This Row],[SleepHours]]&lt;6,"Insufficient Sleep",tbl_working_sleep[[#This Row],[SleepHours]]&lt;7,"Below Recommended",tbl_working_sleep[[#This Row],[SleepHours]]&lt;=9,"Recommended",tbl_working_sleep[[#This Row],[SleepHours]]&gt;9,"Oversleeping")</f>
        <v>Insufficient Sleep</v>
      </c>
      <c r="L108" t="str">
        <f>tbl_working_sleep[[#This Row],[Id]]&amp;"|"&amp;TEXT(tbl_working_sleep[[#This Row],[SleepDay]],"yyyy-mm-dd")</f>
        <v>3977333714|2016-05-07</v>
      </c>
    </row>
    <row r="109" spans="1:12" x14ac:dyDescent="0.3">
      <c r="A109">
        <v>3977333714</v>
      </c>
      <c r="B109" s="2">
        <v>42498</v>
      </c>
      <c r="C109">
        <v>2</v>
      </c>
      <c r="D109">
        <v>259</v>
      </c>
      <c r="E109">
        <v>456</v>
      </c>
      <c r="F109" t="str">
        <f>TEXT(tbl_working_sleep[[#This Row],[SleepDay]],"dddd")</f>
        <v>Sunday</v>
      </c>
      <c r="G109">
        <f>ROUND(tbl_working_sleep[[#This Row],[TotalMinutesAsleep]]/60,2)</f>
        <v>4.32</v>
      </c>
      <c r="H109">
        <f>ROUND(tbl_working_sleep[[#This Row],[TotalTimeInBed]]/60,2)</f>
        <v>7.6</v>
      </c>
      <c r="I109">
        <f>tbl_working_sleep[[#This Row],[TotalTimeInBed]]-tbl_working_sleep[[#This Row],[TotalMinutesAsleep]]</f>
        <v>197</v>
      </c>
      <c r="J109">
        <f>ROUND(tbl_working_sleep[[#This Row],[TotalMinutesAsleep]]/tbl_working_sleep[[#This Row],[TotalTimeInBed]]*100,2)</f>
        <v>56.8</v>
      </c>
      <c r="K109" t="str" cm="1">
        <f t="array" ref="K109">_xlfn.IFS(tbl_working_sleep[[#This Row],[SleepHours]]&lt;6,"Insufficient Sleep",tbl_working_sleep[[#This Row],[SleepHours]]&lt;7,"Below Recommended",tbl_working_sleep[[#This Row],[SleepHours]]&lt;=9,"Recommended",tbl_working_sleep[[#This Row],[SleepHours]]&gt;9,"Oversleeping")</f>
        <v>Insufficient Sleep</v>
      </c>
      <c r="L109" t="str">
        <f>tbl_working_sleep[[#This Row],[Id]]&amp;"|"&amp;TEXT(tbl_working_sleep[[#This Row],[SleepDay]],"yyyy-mm-dd")</f>
        <v>3977333714|2016-05-08</v>
      </c>
    </row>
    <row r="110" spans="1:12" x14ac:dyDescent="0.3">
      <c r="A110">
        <v>3977333714</v>
      </c>
      <c r="B110" s="2">
        <v>42500</v>
      </c>
      <c r="C110">
        <v>1</v>
      </c>
      <c r="D110">
        <v>312</v>
      </c>
      <c r="E110">
        <v>452</v>
      </c>
      <c r="F110" t="str">
        <f>TEXT(tbl_working_sleep[[#This Row],[SleepDay]],"dddd")</f>
        <v>Tuesday</v>
      </c>
      <c r="G110">
        <f>ROUND(tbl_working_sleep[[#This Row],[TotalMinutesAsleep]]/60,2)</f>
        <v>5.2</v>
      </c>
      <c r="H110">
        <f>ROUND(tbl_working_sleep[[#This Row],[TotalTimeInBed]]/60,2)</f>
        <v>7.53</v>
      </c>
      <c r="I110">
        <f>tbl_working_sleep[[#This Row],[TotalTimeInBed]]-tbl_working_sleep[[#This Row],[TotalMinutesAsleep]]</f>
        <v>140</v>
      </c>
      <c r="J110">
        <f>ROUND(tbl_working_sleep[[#This Row],[TotalMinutesAsleep]]/tbl_working_sleep[[#This Row],[TotalTimeInBed]]*100,2)</f>
        <v>69.03</v>
      </c>
      <c r="K110" t="str" cm="1">
        <f t="array" ref="K110">_xlfn.IFS(tbl_working_sleep[[#This Row],[SleepHours]]&lt;6,"Insufficient Sleep",tbl_working_sleep[[#This Row],[SleepHours]]&lt;7,"Below Recommended",tbl_working_sleep[[#This Row],[SleepHours]]&lt;=9,"Recommended",tbl_working_sleep[[#This Row],[SleepHours]]&gt;9,"Oversleeping")</f>
        <v>Insufficient Sleep</v>
      </c>
      <c r="L110" t="str">
        <f>tbl_working_sleep[[#This Row],[Id]]&amp;"|"&amp;TEXT(tbl_working_sleep[[#This Row],[SleepDay]],"yyyy-mm-dd")</f>
        <v>3977333714|2016-05-10</v>
      </c>
    </row>
    <row r="111" spans="1:12" x14ac:dyDescent="0.3">
      <c r="A111">
        <v>4020332650</v>
      </c>
      <c r="B111" s="2">
        <v>42472</v>
      </c>
      <c r="C111">
        <v>1</v>
      </c>
      <c r="D111">
        <v>501</v>
      </c>
      <c r="E111">
        <v>541</v>
      </c>
      <c r="F111" t="str">
        <f>TEXT(tbl_working_sleep[[#This Row],[SleepDay]],"dddd")</f>
        <v>Tuesday</v>
      </c>
      <c r="G111">
        <f>ROUND(tbl_working_sleep[[#This Row],[TotalMinutesAsleep]]/60,2)</f>
        <v>8.35</v>
      </c>
      <c r="H111">
        <f>ROUND(tbl_working_sleep[[#This Row],[TotalTimeInBed]]/60,2)</f>
        <v>9.02</v>
      </c>
      <c r="I111">
        <f>tbl_working_sleep[[#This Row],[TotalTimeInBed]]-tbl_working_sleep[[#This Row],[TotalMinutesAsleep]]</f>
        <v>40</v>
      </c>
      <c r="J111">
        <f>ROUND(tbl_working_sleep[[#This Row],[TotalMinutesAsleep]]/tbl_working_sleep[[#This Row],[TotalTimeInBed]]*100,2)</f>
        <v>92.61</v>
      </c>
      <c r="K111" t="str" cm="1">
        <f t="array" ref="K111">_xlfn.IFS(tbl_working_sleep[[#This Row],[SleepHours]]&lt;6,"Insufficient Sleep",tbl_working_sleep[[#This Row],[SleepHours]]&lt;7,"Below Recommended",tbl_working_sleep[[#This Row],[SleepHours]]&lt;=9,"Recommended",tbl_working_sleep[[#This Row],[SleepHours]]&gt;9,"Oversleeping")</f>
        <v>Recommended</v>
      </c>
      <c r="L111" t="str">
        <f>tbl_working_sleep[[#This Row],[Id]]&amp;"|"&amp;TEXT(tbl_working_sleep[[#This Row],[SleepDay]],"yyyy-mm-dd")</f>
        <v>4020332650|2016-04-12</v>
      </c>
    </row>
    <row r="112" spans="1:12" x14ac:dyDescent="0.3">
      <c r="A112">
        <v>4020332650</v>
      </c>
      <c r="B112" s="2">
        <v>42476</v>
      </c>
      <c r="C112">
        <v>1</v>
      </c>
      <c r="D112">
        <v>77</v>
      </c>
      <c r="E112">
        <v>77</v>
      </c>
      <c r="F112" t="str">
        <f>TEXT(tbl_working_sleep[[#This Row],[SleepDay]],"dddd")</f>
        <v>Saturday</v>
      </c>
      <c r="G112">
        <f>ROUND(tbl_working_sleep[[#This Row],[TotalMinutesAsleep]]/60,2)</f>
        <v>1.28</v>
      </c>
      <c r="H112">
        <f>ROUND(tbl_working_sleep[[#This Row],[TotalTimeInBed]]/60,2)</f>
        <v>1.28</v>
      </c>
      <c r="I112">
        <f>tbl_working_sleep[[#This Row],[TotalTimeInBed]]-tbl_working_sleep[[#This Row],[TotalMinutesAsleep]]</f>
        <v>0</v>
      </c>
      <c r="J112">
        <f>ROUND(tbl_working_sleep[[#This Row],[TotalMinutesAsleep]]/tbl_working_sleep[[#This Row],[TotalTimeInBed]]*100,2)</f>
        <v>100</v>
      </c>
      <c r="K112" t="str" cm="1">
        <f t="array" ref="K112">_xlfn.IFS(tbl_working_sleep[[#This Row],[SleepHours]]&lt;6,"Insufficient Sleep",tbl_working_sleep[[#This Row],[SleepHours]]&lt;7,"Below Recommended",tbl_working_sleep[[#This Row],[SleepHours]]&lt;=9,"Recommended",tbl_working_sleep[[#This Row],[SleepHours]]&gt;9,"Oversleeping")</f>
        <v>Insufficient Sleep</v>
      </c>
      <c r="L112" t="str">
        <f>tbl_working_sleep[[#This Row],[Id]]&amp;"|"&amp;TEXT(tbl_working_sleep[[#This Row],[SleepDay]],"yyyy-mm-dd")</f>
        <v>4020332650|2016-04-16</v>
      </c>
    </row>
    <row r="113" spans="1:12" x14ac:dyDescent="0.3">
      <c r="A113">
        <v>4020332650</v>
      </c>
      <c r="B113" s="2">
        <v>42493</v>
      </c>
      <c r="C113">
        <v>1</v>
      </c>
      <c r="D113">
        <v>322</v>
      </c>
      <c r="E113">
        <v>332</v>
      </c>
      <c r="F113" t="str">
        <f>TEXT(tbl_working_sleep[[#This Row],[SleepDay]],"dddd")</f>
        <v>Tuesday</v>
      </c>
      <c r="G113">
        <f>ROUND(tbl_working_sleep[[#This Row],[TotalMinutesAsleep]]/60,2)</f>
        <v>5.37</v>
      </c>
      <c r="H113">
        <f>ROUND(tbl_working_sleep[[#This Row],[TotalTimeInBed]]/60,2)</f>
        <v>5.53</v>
      </c>
      <c r="I113">
        <f>tbl_working_sleep[[#This Row],[TotalTimeInBed]]-tbl_working_sleep[[#This Row],[TotalMinutesAsleep]]</f>
        <v>10</v>
      </c>
      <c r="J113">
        <f>ROUND(tbl_working_sleep[[#This Row],[TotalMinutesAsleep]]/tbl_working_sleep[[#This Row],[TotalTimeInBed]]*100,2)</f>
        <v>96.99</v>
      </c>
      <c r="K113" t="str" cm="1">
        <f t="array" ref="K113">_xlfn.IFS(tbl_working_sleep[[#This Row],[SleepHours]]&lt;6,"Insufficient Sleep",tbl_working_sleep[[#This Row],[SleepHours]]&lt;7,"Below Recommended",tbl_working_sleep[[#This Row],[SleepHours]]&lt;=9,"Recommended",tbl_working_sleep[[#This Row],[SleepHours]]&gt;9,"Oversleeping")</f>
        <v>Insufficient Sleep</v>
      </c>
      <c r="L113" t="str">
        <f>tbl_working_sleep[[#This Row],[Id]]&amp;"|"&amp;TEXT(tbl_working_sleep[[#This Row],[SleepDay]],"yyyy-mm-dd")</f>
        <v>4020332650|2016-05-03</v>
      </c>
    </row>
    <row r="114" spans="1:12" x14ac:dyDescent="0.3">
      <c r="A114">
        <v>4020332650</v>
      </c>
      <c r="B114" s="2">
        <v>42494</v>
      </c>
      <c r="C114">
        <v>1</v>
      </c>
      <c r="D114">
        <v>478</v>
      </c>
      <c r="E114">
        <v>536</v>
      </c>
      <c r="F114" t="str">
        <f>TEXT(tbl_working_sleep[[#This Row],[SleepDay]],"dddd")</f>
        <v>Wednesday</v>
      </c>
      <c r="G114">
        <f>ROUND(tbl_working_sleep[[#This Row],[TotalMinutesAsleep]]/60,2)</f>
        <v>7.97</v>
      </c>
      <c r="H114">
        <f>ROUND(tbl_working_sleep[[#This Row],[TotalTimeInBed]]/60,2)</f>
        <v>8.93</v>
      </c>
      <c r="I114">
        <f>tbl_working_sleep[[#This Row],[TotalTimeInBed]]-tbl_working_sleep[[#This Row],[TotalMinutesAsleep]]</f>
        <v>58</v>
      </c>
      <c r="J114">
        <f>ROUND(tbl_working_sleep[[#This Row],[TotalMinutesAsleep]]/tbl_working_sleep[[#This Row],[TotalTimeInBed]]*100,2)</f>
        <v>89.18</v>
      </c>
      <c r="K114" t="str" cm="1">
        <f t="array" ref="K114">_xlfn.IFS(tbl_working_sleep[[#This Row],[SleepHours]]&lt;6,"Insufficient Sleep",tbl_working_sleep[[#This Row],[SleepHours]]&lt;7,"Below Recommended",tbl_working_sleep[[#This Row],[SleepHours]]&lt;=9,"Recommended",tbl_working_sleep[[#This Row],[SleepHours]]&gt;9,"Oversleeping")</f>
        <v>Recommended</v>
      </c>
      <c r="L114" t="str">
        <f>tbl_working_sleep[[#This Row],[Id]]&amp;"|"&amp;TEXT(tbl_working_sleep[[#This Row],[SleepDay]],"yyyy-mm-dd")</f>
        <v>4020332650|2016-05-04</v>
      </c>
    </row>
    <row r="115" spans="1:12" x14ac:dyDescent="0.3">
      <c r="A115">
        <v>4020332650</v>
      </c>
      <c r="B115" s="2">
        <v>42495</v>
      </c>
      <c r="C115">
        <v>1</v>
      </c>
      <c r="D115">
        <v>226</v>
      </c>
      <c r="E115">
        <v>248</v>
      </c>
      <c r="F115" t="str">
        <f>TEXT(tbl_working_sleep[[#This Row],[SleepDay]],"dddd")</f>
        <v>Thursday</v>
      </c>
      <c r="G115">
        <f>ROUND(tbl_working_sleep[[#This Row],[TotalMinutesAsleep]]/60,2)</f>
        <v>3.77</v>
      </c>
      <c r="H115">
        <f>ROUND(tbl_working_sleep[[#This Row],[TotalTimeInBed]]/60,2)</f>
        <v>4.13</v>
      </c>
      <c r="I115">
        <f>tbl_working_sleep[[#This Row],[TotalTimeInBed]]-tbl_working_sleep[[#This Row],[TotalMinutesAsleep]]</f>
        <v>22</v>
      </c>
      <c r="J115">
        <f>ROUND(tbl_working_sleep[[#This Row],[TotalMinutesAsleep]]/tbl_working_sleep[[#This Row],[TotalTimeInBed]]*100,2)</f>
        <v>91.13</v>
      </c>
      <c r="K115" t="str" cm="1">
        <f t="array" ref="K115">_xlfn.IFS(tbl_working_sleep[[#This Row],[SleepHours]]&lt;6,"Insufficient Sleep",tbl_working_sleep[[#This Row],[SleepHours]]&lt;7,"Below Recommended",tbl_working_sleep[[#This Row],[SleepHours]]&lt;=9,"Recommended",tbl_working_sleep[[#This Row],[SleepHours]]&gt;9,"Oversleeping")</f>
        <v>Insufficient Sleep</v>
      </c>
      <c r="L115" t="str">
        <f>tbl_working_sleep[[#This Row],[Id]]&amp;"|"&amp;TEXT(tbl_working_sleep[[#This Row],[SleepDay]],"yyyy-mm-dd")</f>
        <v>4020332650|2016-05-05</v>
      </c>
    </row>
    <row r="116" spans="1:12" x14ac:dyDescent="0.3">
      <c r="A116">
        <v>4020332650</v>
      </c>
      <c r="B116" s="2">
        <v>42496</v>
      </c>
      <c r="C116">
        <v>1</v>
      </c>
      <c r="D116">
        <v>385</v>
      </c>
      <c r="E116">
        <v>408</v>
      </c>
      <c r="F116" t="str">
        <f>TEXT(tbl_working_sleep[[#This Row],[SleepDay]],"dddd")</f>
        <v>Friday</v>
      </c>
      <c r="G116">
        <f>ROUND(tbl_working_sleep[[#This Row],[TotalMinutesAsleep]]/60,2)</f>
        <v>6.42</v>
      </c>
      <c r="H116">
        <f>ROUND(tbl_working_sleep[[#This Row],[TotalTimeInBed]]/60,2)</f>
        <v>6.8</v>
      </c>
      <c r="I116">
        <f>tbl_working_sleep[[#This Row],[TotalTimeInBed]]-tbl_working_sleep[[#This Row],[TotalMinutesAsleep]]</f>
        <v>23</v>
      </c>
      <c r="J116">
        <f>ROUND(tbl_working_sleep[[#This Row],[TotalMinutesAsleep]]/tbl_working_sleep[[#This Row],[TotalTimeInBed]]*100,2)</f>
        <v>94.36</v>
      </c>
      <c r="K116" t="str" cm="1">
        <f t="array" ref="K116">_xlfn.IFS(tbl_working_sleep[[#This Row],[SleepHours]]&lt;6,"Insufficient Sleep",tbl_working_sleep[[#This Row],[SleepHours]]&lt;7,"Below Recommended",tbl_working_sleep[[#This Row],[SleepHours]]&lt;=9,"Recommended",tbl_working_sleep[[#This Row],[SleepHours]]&gt;9,"Oversleeping")</f>
        <v>Below Recommended</v>
      </c>
      <c r="L116" t="str">
        <f>tbl_working_sleep[[#This Row],[Id]]&amp;"|"&amp;TEXT(tbl_working_sleep[[#This Row],[SleepDay]],"yyyy-mm-dd")</f>
        <v>4020332650|2016-05-06</v>
      </c>
    </row>
    <row r="117" spans="1:12" x14ac:dyDescent="0.3">
      <c r="A117">
        <v>4020332650</v>
      </c>
      <c r="B117" s="2">
        <v>42498</v>
      </c>
      <c r="C117">
        <v>1</v>
      </c>
      <c r="D117">
        <v>364</v>
      </c>
      <c r="E117">
        <v>402</v>
      </c>
      <c r="F117" t="str">
        <f>TEXT(tbl_working_sleep[[#This Row],[SleepDay]],"dddd")</f>
        <v>Sunday</v>
      </c>
      <c r="G117">
        <f>ROUND(tbl_working_sleep[[#This Row],[TotalMinutesAsleep]]/60,2)</f>
        <v>6.07</v>
      </c>
      <c r="H117">
        <f>ROUND(tbl_working_sleep[[#This Row],[TotalTimeInBed]]/60,2)</f>
        <v>6.7</v>
      </c>
      <c r="I117">
        <f>tbl_working_sleep[[#This Row],[TotalTimeInBed]]-tbl_working_sleep[[#This Row],[TotalMinutesAsleep]]</f>
        <v>38</v>
      </c>
      <c r="J117">
        <f>ROUND(tbl_working_sleep[[#This Row],[TotalMinutesAsleep]]/tbl_working_sleep[[#This Row],[TotalTimeInBed]]*100,2)</f>
        <v>90.55</v>
      </c>
      <c r="K117" t="str" cm="1">
        <f t="array" ref="K117">_xlfn.IFS(tbl_working_sleep[[#This Row],[SleepHours]]&lt;6,"Insufficient Sleep",tbl_working_sleep[[#This Row],[SleepHours]]&lt;7,"Below Recommended",tbl_working_sleep[[#This Row],[SleepHours]]&lt;=9,"Recommended",tbl_working_sleep[[#This Row],[SleepHours]]&gt;9,"Oversleeping")</f>
        <v>Below Recommended</v>
      </c>
      <c r="L117" t="str">
        <f>tbl_working_sleep[[#This Row],[Id]]&amp;"|"&amp;TEXT(tbl_working_sleep[[#This Row],[SleepDay]],"yyyy-mm-dd")</f>
        <v>4020332650|2016-05-08</v>
      </c>
    </row>
    <row r="118" spans="1:12" x14ac:dyDescent="0.3">
      <c r="A118">
        <v>4020332650</v>
      </c>
      <c r="B118" s="2">
        <v>42500</v>
      </c>
      <c r="C118">
        <v>1</v>
      </c>
      <c r="D118">
        <v>442</v>
      </c>
      <c r="E118">
        <v>494</v>
      </c>
      <c r="F118" t="str">
        <f>TEXT(tbl_working_sleep[[#This Row],[SleepDay]],"dddd")</f>
        <v>Tuesday</v>
      </c>
      <c r="G118">
        <f>ROUND(tbl_working_sleep[[#This Row],[TotalMinutesAsleep]]/60,2)</f>
        <v>7.37</v>
      </c>
      <c r="H118">
        <f>ROUND(tbl_working_sleep[[#This Row],[TotalTimeInBed]]/60,2)</f>
        <v>8.23</v>
      </c>
      <c r="I118">
        <f>tbl_working_sleep[[#This Row],[TotalTimeInBed]]-tbl_working_sleep[[#This Row],[TotalMinutesAsleep]]</f>
        <v>52</v>
      </c>
      <c r="J118">
        <f>ROUND(tbl_working_sleep[[#This Row],[TotalMinutesAsleep]]/tbl_working_sleep[[#This Row],[TotalTimeInBed]]*100,2)</f>
        <v>89.47</v>
      </c>
      <c r="K118" t="str" cm="1">
        <f t="array" ref="K118">_xlfn.IFS(tbl_working_sleep[[#This Row],[SleepHours]]&lt;6,"Insufficient Sleep",tbl_working_sleep[[#This Row],[SleepHours]]&lt;7,"Below Recommended",tbl_working_sleep[[#This Row],[SleepHours]]&lt;=9,"Recommended",tbl_working_sleep[[#This Row],[SleepHours]]&gt;9,"Oversleeping")</f>
        <v>Recommended</v>
      </c>
      <c r="L118" t="str">
        <f>tbl_working_sleep[[#This Row],[Id]]&amp;"|"&amp;TEXT(tbl_working_sleep[[#This Row],[SleepDay]],"yyyy-mm-dd")</f>
        <v>4020332650|2016-05-10</v>
      </c>
    </row>
    <row r="119" spans="1:12" x14ac:dyDescent="0.3">
      <c r="A119">
        <v>4319703577</v>
      </c>
      <c r="B119" s="2">
        <v>42474</v>
      </c>
      <c r="C119">
        <v>1</v>
      </c>
      <c r="D119">
        <v>535</v>
      </c>
      <c r="E119">
        <v>557</v>
      </c>
      <c r="F119" t="str">
        <f>TEXT(tbl_working_sleep[[#This Row],[SleepDay]],"dddd")</f>
        <v>Thursday</v>
      </c>
      <c r="G119">
        <f>ROUND(tbl_working_sleep[[#This Row],[TotalMinutesAsleep]]/60,2)</f>
        <v>8.92</v>
      </c>
      <c r="H119">
        <f>ROUND(tbl_working_sleep[[#This Row],[TotalTimeInBed]]/60,2)</f>
        <v>9.2799999999999994</v>
      </c>
      <c r="I119">
        <f>tbl_working_sleep[[#This Row],[TotalTimeInBed]]-tbl_working_sleep[[#This Row],[TotalMinutesAsleep]]</f>
        <v>22</v>
      </c>
      <c r="J119">
        <f>ROUND(tbl_working_sleep[[#This Row],[TotalMinutesAsleep]]/tbl_working_sleep[[#This Row],[TotalTimeInBed]]*100,2)</f>
        <v>96.05</v>
      </c>
      <c r="K119" t="str" cm="1">
        <f t="array" ref="K119">_xlfn.IFS(tbl_working_sleep[[#This Row],[SleepHours]]&lt;6,"Insufficient Sleep",tbl_working_sleep[[#This Row],[SleepHours]]&lt;7,"Below Recommended",tbl_working_sleep[[#This Row],[SleepHours]]&lt;=9,"Recommended",tbl_working_sleep[[#This Row],[SleepHours]]&gt;9,"Oversleeping")</f>
        <v>Recommended</v>
      </c>
      <c r="L119" t="str">
        <f>tbl_working_sleep[[#This Row],[Id]]&amp;"|"&amp;TEXT(tbl_working_sleep[[#This Row],[SleepDay]],"yyyy-mm-dd")</f>
        <v>4319703577|2016-04-14</v>
      </c>
    </row>
    <row r="120" spans="1:12" x14ac:dyDescent="0.3">
      <c r="A120">
        <v>4319703577</v>
      </c>
      <c r="B120" s="2">
        <v>42475</v>
      </c>
      <c r="C120">
        <v>1</v>
      </c>
      <c r="D120">
        <v>465</v>
      </c>
      <c r="E120">
        <v>491</v>
      </c>
      <c r="F120" t="str">
        <f>TEXT(tbl_working_sleep[[#This Row],[SleepDay]],"dddd")</f>
        <v>Friday</v>
      </c>
      <c r="G120">
        <f>ROUND(tbl_working_sleep[[#This Row],[TotalMinutesAsleep]]/60,2)</f>
        <v>7.75</v>
      </c>
      <c r="H120">
        <f>ROUND(tbl_working_sleep[[#This Row],[TotalTimeInBed]]/60,2)</f>
        <v>8.18</v>
      </c>
      <c r="I120">
        <f>tbl_working_sleep[[#This Row],[TotalTimeInBed]]-tbl_working_sleep[[#This Row],[TotalMinutesAsleep]]</f>
        <v>26</v>
      </c>
      <c r="J120">
        <f>ROUND(tbl_working_sleep[[#This Row],[TotalMinutesAsleep]]/tbl_working_sleep[[#This Row],[TotalTimeInBed]]*100,2)</f>
        <v>94.7</v>
      </c>
      <c r="K120" t="str" cm="1">
        <f t="array" ref="K120">_xlfn.IFS(tbl_working_sleep[[#This Row],[SleepHours]]&lt;6,"Insufficient Sleep",tbl_working_sleep[[#This Row],[SleepHours]]&lt;7,"Below Recommended",tbl_working_sleep[[#This Row],[SleepHours]]&lt;=9,"Recommended",tbl_working_sleep[[#This Row],[SleepHours]]&gt;9,"Oversleeping")</f>
        <v>Recommended</v>
      </c>
      <c r="L120" t="str">
        <f>tbl_working_sleep[[#This Row],[Id]]&amp;"|"&amp;TEXT(tbl_working_sleep[[#This Row],[SleepDay]],"yyyy-mm-dd")</f>
        <v>4319703577|2016-04-15</v>
      </c>
    </row>
    <row r="121" spans="1:12" x14ac:dyDescent="0.3">
      <c r="A121">
        <v>4319703577</v>
      </c>
      <c r="B121" s="2">
        <v>42476</v>
      </c>
      <c r="C121">
        <v>1</v>
      </c>
      <c r="D121">
        <v>506</v>
      </c>
      <c r="E121">
        <v>522</v>
      </c>
      <c r="F121" t="str">
        <f>TEXT(tbl_working_sleep[[#This Row],[SleepDay]],"dddd")</f>
        <v>Saturday</v>
      </c>
      <c r="G121">
        <f>ROUND(tbl_working_sleep[[#This Row],[TotalMinutesAsleep]]/60,2)</f>
        <v>8.43</v>
      </c>
      <c r="H121">
        <f>ROUND(tbl_working_sleep[[#This Row],[TotalTimeInBed]]/60,2)</f>
        <v>8.6999999999999993</v>
      </c>
      <c r="I121">
        <f>tbl_working_sleep[[#This Row],[TotalTimeInBed]]-tbl_working_sleep[[#This Row],[TotalMinutesAsleep]]</f>
        <v>16</v>
      </c>
      <c r="J121">
        <f>ROUND(tbl_working_sleep[[#This Row],[TotalMinutesAsleep]]/tbl_working_sleep[[#This Row],[TotalTimeInBed]]*100,2)</f>
        <v>96.93</v>
      </c>
      <c r="K121" t="str" cm="1">
        <f t="array" ref="K121">_xlfn.IFS(tbl_working_sleep[[#This Row],[SleepHours]]&lt;6,"Insufficient Sleep",tbl_working_sleep[[#This Row],[SleepHours]]&lt;7,"Below Recommended",tbl_working_sleep[[#This Row],[SleepHours]]&lt;=9,"Recommended",tbl_working_sleep[[#This Row],[SleepHours]]&gt;9,"Oversleeping")</f>
        <v>Recommended</v>
      </c>
      <c r="L121" t="str">
        <f>tbl_working_sleep[[#This Row],[Id]]&amp;"|"&amp;TEXT(tbl_working_sleep[[#This Row],[SleepDay]],"yyyy-mm-dd")</f>
        <v>4319703577|2016-04-16</v>
      </c>
    </row>
    <row r="122" spans="1:12" x14ac:dyDescent="0.3">
      <c r="A122">
        <v>4319703577</v>
      </c>
      <c r="B122" s="2">
        <v>42478</v>
      </c>
      <c r="C122">
        <v>1</v>
      </c>
      <c r="D122">
        <v>515</v>
      </c>
      <c r="E122">
        <v>551</v>
      </c>
      <c r="F122" t="str">
        <f>TEXT(tbl_working_sleep[[#This Row],[SleepDay]],"dddd")</f>
        <v>Monday</v>
      </c>
      <c r="G122">
        <f>ROUND(tbl_working_sleep[[#This Row],[TotalMinutesAsleep]]/60,2)</f>
        <v>8.58</v>
      </c>
      <c r="H122">
        <f>ROUND(tbl_working_sleep[[#This Row],[TotalTimeInBed]]/60,2)</f>
        <v>9.18</v>
      </c>
      <c r="I122">
        <f>tbl_working_sleep[[#This Row],[TotalTimeInBed]]-tbl_working_sleep[[#This Row],[TotalMinutesAsleep]]</f>
        <v>36</v>
      </c>
      <c r="J122">
        <f>ROUND(tbl_working_sleep[[#This Row],[TotalMinutesAsleep]]/tbl_working_sleep[[#This Row],[TotalTimeInBed]]*100,2)</f>
        <v>93.47</v>
      </c>
      <c r="K122" t="str" cm="1">
        <f t="array" ref="K122">_xlfn.IFS(tbl_working_sleep[[#This Row],[SleepHours]]&lt;6,"Insufficient Sleep",tbl_working_sleep[[#This Row],[SleepHours]]&lt;7,"Below Recommended",tbl_working_sleep[[#This Row],[SleepHours]]&lt;=9,"Recommended",tbl_working_sleep[[#This Row],[SleepHours]]&gt;9,"Oversleeping")</f>
        <v>Recommended</v>
      </c>
      <c r="L122" t="str">
        <f>tbl_working_sleep[[#This Row],[Id]]&amp;"|"&amp;TEXT(tbl_working_sleep[[#This Row],[SleepDay]],"yyyy-mm-dd")</f>
        <v>4319703577|2016-04-18</v>
      </c>
    </row>
    <row r="123" spans="1:12" x14ac:dyDescent="0.3">
      <c r="A123">
        <v>4319703577</v>
      </c>
      <c r="B123" s="2">
        <v>42479</v>
      </c>
      <c r="C123">
        <v>2</v>
      </c>
      <c r="D123">
        <v>461</v>
      </c>
      <c r="E123">
        <v>498</v>
      </c>
      <c r="F123" t="str">
        <f>TEXT(tbl_working_sleep[[#This Row],[SleepDay]],"dddd")</f>
        <v>Tuesday</v>
      </c>
      <c r="G123">
        <f>ROUND(tbl_working_sleep[[#This Row],[TotalMinutesAsleep]]/60,2)</f>
        <v>7.68</v>
      </c>
      <c r="H123">
        <f>ROUND(tbl_working_sleep[[#This Row],[TotalTimeInBed]]/60,2)</f>
        <v>8.3000000000000007</v>
      </c>
      <c r="I123">
        <f>tbl_working_sleep[[#This Row],[TotalTimeInBed]]-tbl_working_sleep[[#This Row],[TotalMinutesAsleep]]</f>
        <v>37</v>
      </c>
      <c r="J123">
        <f>ROUND(tbl_working_sleep[[#This Row],[TotalMinutesAsleep]]/tbl_working_sleep[[#This Row],[TotalTimeInBed]]*100,2)</f>
        <v>92.57</v>
      </c>
      <c r="K123" t="str" cm="1">
        <f t="array" ref="K123">_xlfn.IFS(tbl_working_sleep[[#This Row],[SleepHours]]&lt;6,"Insufficient Sleep",tbl_working_sleep[[#This Row],[SleepHours]]&lt;7,"Below Recommended",tbl_working_sleep[[#This Row],[SleepHours]]&lt;=9,"Recommended",tbl_working_sleep[[#This Row],[SleepHours]]&gt;9,"Oversleeping")</f>
        <v>Recommended</v>
      </c>
      <c r="L123" t="str">
        <f>tbl_working_sleep[[#This Row],[Id]]&amp;"|"&amp;TEXT(tbl_working_sleep[[#This Row],[SleepDay]],"yyyy-mm-dd")</f>
        <v>4319703577|2016-04-19</v>
      </c>
    </row>
    <row r="124" spans="1:12" x14ac:dyDescent="0.3">
      <c r="A124">
        <v>4319703577</v>
      </c>
      <c r="B124" s="2">
        <v>42480</v>
      </c>
      <c r="C124">
        <v>1</v>
      </c>
      <c r="D124">
        <v>523</v>
      </c>
      <c r="E124">
        <v>543</v>
      </c>
      <c r="F124" t="str">
        <f>TEXT(tbl_working_sleep[[#This Row],[SleepDay]],"dddd")</f>
        <v>Wednesday</v>
      </c>
      <c r="G124">
        <f>ROUND(tbl_working_sleep[[#This Row],[TotalMinutesAsleep]]/60,2)</f>
        <v>8.7200000000000006</v>
      </c>
      <c r="H124">
        <f>ROUND(tbl_working_sleep[[#This Row],[TotalTimeInBed]]/60,2)</f>
        <v>9.0500000000000007</v>
      </c>
      <c r="I124">
        <f>tbl_working_sleep[[#This Row],[TotalTimeInBed]]-tbl_working_sleep[[#This Row],[TotalMinutesAsleep]]</f>
        <v>20</v>
      </c>
      <c r="J124">
        <f>ROUND(tbl_working_sleep[[#This Row],[TotalMinutesAsleep]]/tbl_working_sleep[[#This Row],[TotalTimeInBed]]*100,2)</f>
        <v>96.32</v>
      </c>
      <c r="K124" t="str" cm="1">
        <f t="array" ref="K124">_xlfn.IFS(tbl_working_sleep[[#This Row],[SleepHours]]&lt;6,"Insufficient Sleep",tbl_working_sleep[[#This Row],[SleepHours]]&lt;7,"Below Recommended",tbl_working_sleep[[#This Row],[SleepHours]]&lt;=9,"Recommended",tbl_working_sleep[[#This Row],[SleepHours]]&gt;9,"Oversleeping")</f>
        <v>Recommended</v>
      </c>
      <c r="L124" t="str">
        <f>tbl_working_sleep[[#This Row],[Id]]&amp;"|"&amp;TEXT(tbl_working_sleep[[#This Row],[SleepDay]],"yyyy-mm-dd")</f>
        <v>4319703577|2016-04-20</v>
      </c>
    </row>
    <row r="125" spans="1:12" x14ac:dyDescent="0.3">
      <c r="A125">
        <v>4319703577</v>
      </c>
      <c r="B125" s="2">
        <v>42481</v>
      </c>
      <c r="C125">
        <v>1</v>
      </c>
      <c r="D125">
        <v>59</v>
      </c>
      <c r="E125">
        <v>65</v>
      </c>
      <c r="F125" t="str">
        <f>TEXT(tbl_working_sleep[[#This Row],[SleepDay]],"dddd")</f>
        <v>Thursday</v>
      </c>
      <c r="G125">
        <f>ROUND(tbl_working_sleep[[#This Row],[TotalMinutesAsleep]]/60,2)</f>
        <v>0.98</v>
      </c>
      <c r="H125">
        <f>ROUND(tbl_working_sleep[[#This Row],[TotalTimeInBed]]/60,2)</f>
        <v>1.08</v>
      </c>
      <c r="I125">
        <f>tbl_working_sleep[[#This Row],[TotalTimeInBed]]-tbl_working_sleep[[#This Row],[TotalMinutesAsleep]]</f>
        <v>6</v>
      </c>
      <c r="J125">
        <f>ROUND(tbl_working_sleep[[#This Row],[TotalMinutesAsleep]]/tbl_working_sleep[[#This Row],[TotalTimeInBed]]*100,2)</f>
        <v>90.77</v>
      </c>
      <c r="K125" t="str" cm="1">
        <f t="array" ref="K125">_xlfn.IFS(tbl_working_sleep[[#This Row],[SleepHours]]&lt;6,"Insufficient Sleep",tbl_working_sleep[[#This Row],[SleepHours]]&lt;7,"Below Recommended",tbl_working_sleep[[#This Row],[SleepHours]]&lt;=9,"Recommended",tbl_working_sleep[[#This Row],[SleepHours]]&gt;9,"Oversleeping")</f>
        <v>Insufficient Sleep</v>
      </c>
      <c r="L125" t="str">
        <f>tbl_working_sleep[[#This Row],[Id]]&amp;"|"&amp;TEXT(tbl_working_sleep[[#This Row],[SleepDay]],"yyyy-mm-dd")</f>
        <v>4319703577|2016-04-21</v>
      </c>
    </row>
    <row r="126" spans="1:12" x14ac:dyDescent="0.3">
      <c r="A126">
        <v>4319703577</v>
      </c>
      <c r="B126" s="2">
        <v>42482</v>
      </c>
      <c r="C126">
        <v>1</v>
      </c>
      <c r="D126">
        <v>533</v>
      </c>
      <c r="E126">
        <v>550</v>
      </c>
      <c r="F126" t="str">
        <f>TEXT(tbl_working_sleep[[#This Row],[SleepDay]],"dddd")</f>
        <v>Friday</v>
      </c>
      <c r="G126">
        <f>ROUND(tbl_working_sleep[[#This Row],[TotalMinutesAsleep]]/60,2)</f>
        <v>8.8800000000000008</v>
      </c>
      <c r="H126">
        <f>ROUND(tbl_working_sleep[[#This Row],[TotalTimeInBed]]/60,2)</f>
        <v>9.17</v>
      </c>
      <c r="I126">
        <f>tbl_working_sleep[[#This Row],[TotalTimeInBed]]-tbl_working_sleep[[#This Row],[TotalMinutesAsleep]]</f>
        <v>17</v>
      </c>
      <c r="J126">
        <f>ROUND(tbl_working_sleep[[#This Row],[TotalMinutesAsleep]]/tbl_working_sleep[[#This Row],[TotalTimeInBed]]*100,2)</f>
        <v>96.91</v>
      </c>
      <c r="K126" t="str" cm="1">
        <f t="array" ref="K126">_xlfn.IFS(tbl_working_sleep[[#This Row],[SleepHours]]&lt;6,"Insufficient Sleep",tbl_working_sleep[[#This Row],[SleepHours]]&lt;7,"Below Recommended",tbl_working_sleep[[#This Row],[SleepHours]]&lt;=9,"Recommended",tbl_working_sleep[[#This Row],[SleepHours]]&gt;9,"Oversleeping")</f>
        <v>Recommended</v>
      </c>
      <c r="L126" t="str">
        <f>tbl_working_sleep[[#This Row],[Id]]&amp;"|"&amp;TEXT(tbl_working_sleep[[#This Row],[SleepDay]],"yyyy-mm-dd")</f>
        <v>4319703577|2016-04-22</v>
      </c>
    </row>
    <row r="127" spans="1:12" x14ac:dyDescent="0.3">
      <c r="A127">
        <v>4319703577</v>
      </c>
      <c r="B127" s="2">
        <v>42483</v>
      </c>
      <c r="C127">
        <v>1</v>
      </c>
      <c r="D127">
        <v>692</v>
      </c>
      <c r="E127">
        <v>722</v>
      </c>
      <c r="F127" t="str">
        <f>TEXT(tbl_working_sleep[[#This Row],[SleepDay]],"dddd")</f>
        <v>Saturday</v>
      </c>
      <c r="G127">
        <f>ROUND(tbl_working_sleep[[#This Row],[TotalMinutesAsleep]]/60,2)</f>
        <v>11.53</v>
      </c>
      <c r="H127">
        <f>ROUND(tbl_working_sleep[[#This Row],[TotalTimeInBed]]/60,2)</f>
        <v>12.03</v>
      </c>
      <c r="I127">
        <f>tbl_working_sleep[[#This Row],[TotalTimeInBed]]-tbl_working_sleep[[#This Row],[TotalMinutesAsleep]]</f>
        <v>30</v>
      </c>
      <c r="J127">
        <f>ROUND(tbl_working_sleep[[#This Row],[TotalMinutesAsleep]]/tbl_working_sleep[[#This Row],[TotalTimeInBed]]*100,2)</f>
        <v>95.84</v>
      </c>
      <c r="K127" t="str" cm="1">
        <f t="array" ref="K127">_xlfn.IFS(tbl_working_sleep[[#This Row],[SleepHours]]&lt;6,"Insufficient Sleep",tbl_working_sleep[[#This Row],[SleepHours]]&lt;7,"Below Recommended",tbl_working_sleep[[#This Row],[SleepHours]]&lt;=9,"Recommended",tbl_working_sleep[[#This Row],[SleepHours]]&gt;9,"Oversleeping")</f>
        <v>Oversleeping</v>
      </c>
      <c r="L127" t="str">
        <f>tbl_working_sleep[[#This Row],[Id]]&amp;"|"&amp;TEXT(tbl_working_sleep[[#This Row],[SleepDay]],"yyyy-mm-dd")</f>
        <v>4319703577|2016-04-23</v>
      </c>
    </row>
    <row r="128" spans="1:12" x14ac:dyDescent="0.3">
      <c r="A128">
        <v>4319703577</v>
      </c>
      <c r="B128" s="2">
        <v>42484</v>
      </c>
      <c r="C128">
        <v>1</v>
      </c>
      <c r="D128">
        <v>467</v>
      </c>
      <c r="E128">
        <v>501</v>
      </c>
      <c r="F128" t="str">
        <f>TEXT(tbl_working_sleep[[#This Row],[SleepDay]],"dddd")</f>
        <v>Sunday</v>
      </c>
      <c r="G128">
        <f>ROUND(tbl_working_sleep[[#This Row],[TotalMinutesAsleep]]/60,2)</f>
        <v>7.78</v>
      </c>
      <c r="H128">
        <f>ROUND(tbl_working_sleep[[#This Row],[TotalTimeInBed]]/60,2)</f>
        <v>8.35</v>
      </c>
      <c r="I128">
        <f>tbl_working_sleep[[#This Row],[TotalTimeInBed]]-tbl_working_sleep[[#This Row],[TotalMinutesAsleep]]</f>
        <v>34</v>
      </c>
      <c r="J128">
        <f>ROUND(tbl_working_sleep[[#This Row],[TotalMinutesAsleep]]/tbl_working_sleep[[#This Row],[TotalTimeInBed]]*100,2)</f>
        <v>93.21</v>
      </c>
      <c r="K128" t="str" cm="1">
        <f t="array" ref="K128">_xlfn.IFS(tbl_working_sleep[[#This Row],[SleepHours]]&lt;6,"Insufficient Sleep",tbl_working_sleep[[#This Row],[SleepHours]]&lt;7,"Below Recommended",tbl_working_sleep[[#This Row],[SleepHours]]&lt;=9,"Recommended",tbl_working_sleep[[#This Row],[SleepHours]]&gt;9,"Oversleeping")</f>
        <v>Recommended</v>
      </c>
      <c r="L128" t="str">
        <f>tbl_working_sleep[[#This Row],[Id]]&amp;"|"&amp;TEXT(tbl_working_sleep[[#This Row],[SleepDay]],"yyyy-mm-dd")</f>
        <v>4319703577|2016-04-24</v>
      </c>
    </row>
    <row r="129" spans="1:12" x14ac:dyDescent="0.3">
      <c r="A129">
        <v>4319703577</v>
      </c>
      <c r="B129" s="2">
        <v>42485</v>
      </c>
      <c r="C129">
        <v>1</v>
      </c>
      <c r="D129">
        <v>488</v>
      </c>
      <c r="E129">
        <v>506</v>
      </c>
      <c r="F129" t="str">
        <f>TEXT(tbl_working_sleep[[#This Row],[SleepDay]],"dddd")</f>
        <v>Monday</v>
      </c>
      <c r="G129">
        <f>ROUND(tbl_working_sleep[[#This Row],[TotalMinutesAsleep]]/60,2)</f>
        <v>8.1300000000000008</v>
      </c>
      <c r="H129">
        <f>ROUND(tbl_working_sleep[[#This Row],[TotalTimeInBed]]/60,2)</f>
        <v>8.43</v>
      </c>
      <c r="I129">
        <f>tbl_working_sleep[[#This Row],[TotalTimeInBed]]-tbl_working_sleep[[#This Row],[TotalMinutesAsleep]]</f>
        <v>18</v>
      </c>
      <c r="J129">
        <f>ROUND(tbl_working_sleep[[#This Row],[TotalMinutesAsleep]]/tbl_working_sleep[[#This Row],[TotalTimeInBed]]*100,2)</f>
        <v>96.44</v>
      </c>
      <c r="K129" t="str" cm="1">
        <f t="array" ref="K129">_xlfn.IFS(tbl_working_sleep[[#This Row],[SleepHours]]&lt;6,"Insufficient Sleep",tbl_working_sleep[[#This Row],[SleepHours]]&lt;7,"Below Recommended",tbl_working_sleep[[#This Row],[SleepHours]]&lt;=9,"Recommended",tbl_working_sleep[[#This Row],[SleepHours]]&gt;9,"Oversleeping")</f>
        <v>Recommended</v>
      </c>
      <c r="L129" t="str">
        <f>tbl_working_sleep[[#This Row],[Id]]&amp;"|"&amp;TEXT(tbl_working_sleep[[#This Row],[SleepDay]],"yyyy-mm-dd")</f>
        <v>4319703577|2016-04-25</v>
      </c>
    </row>
    <row r="130" spans="1:12" x14ac:dyDescent="0.3">
      <c r="A130">
        <v>4319703577</v>
      </c>
      <c r="B130" s="2">
        <v>42486</v>
      </c>
      <c r="C130">
        <v>1</v>
      </c>
      <c r="D130">
        <v>505</v>
      </c>
      <c r="E130">
        <v>516</v>
      </c>
      <c r="F130" t="str">
        <f>TEXT(tbl_working_sleep[[#This Row],[SleepDay]],"dddd")</f>
        <v>Tuesday</v>
      </c>
      <c r="G130">
        <f>ROUND(tbl_working_sleep[[#This Row],[TotalMinutesAsleep]]/60,2)</f>
        <v>8.42</v>
      </c>
      <c r="H130">
        <f>ROUND(tbl_working_sleep[[#This Row],[TotalTimeInBed]]/60,2)</f>
        <v>8.6</v>
      </c>
      <c r="I130">
        <f>tbl_working_sleep[[#This Row],[TotalTimeInBed]]-tbl_working_sleep[[#This Row],[TotalMinutesAsleep]]</f>
        <v>11</v>
      </c>
      <c r="J130">
        <f>ROUND(tbl_working_sleep[[#This Row],[TotalMinutesAsleep]]/tbl_working_sleep[[#This Row],[TotalTimeInBed]]*100,2)</f>
        <v>97.87</v>
      </c>
      <c r="K130" t="str" cm="1">
        <f t="array" ref="K130">_xlfn.IFS(tbl_working_sleep[[#This Row],[SleepHours]]&lt;6,"Insufficient Sleep",tbl_working_sleep[[#This Row],[SleepHours]]&lt;7,"Below Recommended",tbl_working_sleep[[#This Row],[SleepHours]]&lt;=9,"Recommended",tbl_working_sleep[[#This Row],[SleepHours]]&gt;9,"Oversleeping")</f>
        <v>Recommended</v>
      </c>
      <c r="L130" t="str">
        <f>tbl_working_sleep[[#This Row],[Id]]&amp;"|"&amp;TEXT(tbl_working_sleep[[#This Row],[SleepDay]],"yyyy-mm-dd")</f>
        <v>4319703577|2016-04-26</v>
      </c>
    </row>
    <row r="131" spans="1:12" x14ac:dyDescent="0.3">
      <c r="A131">
        <v>4319703577</v>
      </c>
      <c r="B131" s="2">
        <v>42487</v>
      </c>
      <c r="C131">
        <v>1</v>
      </c>
      <c r="D131">
        <v>286</v>
      </c>
      <c r="E131">
        <v>307</v>
      </c>
      <c r="F131" t="str">
        <f>TEXT(tbl_working_sleep[[#This Row],[SleepDay]],"dddd")</f>
        <v>Wednesday</v>
      </c>
      <c r="G131">
        <f>ROUND(tbl_working_sleep[[#This Row],[TotalMinutesAsleep]]/60,2)</f>
        <v>4.7699999999999996</v>
      </c>
      <c r="H131">
        <f>ROUND(tbl_working_sleep[[#This Row],[TotalTimeInBed]]/60,2)</f>
        <v>5.12</v>
      </c>
      <c r="I131">
        <f>tbl_working_sleep[[#This Row],[TotalTimeInBed]]-tbl_working_sleep[[#This Row],[TotalMinutesAsleep]]</f>
        <v>21</v>
      </c>
      <c r="J131">
        <f>ROUND(tbl_working_sleep[[#This Row],[TotalMinutesAsleep]]/tbl_working_sleep[[#This Row],[TotalTimeInBed]]*100,2)</f>
        <v>93.16</v>
      </c>
      <c r="K131" t="str" cm="1">
        <f t="array" ref="K131">_xlfn.IFS(tbl_working_sleep[[#This Row],[SleepHours]]&lt;6,"Insufficient Sleep",tbl_working_sleep[[#This Row],[SleepHours]]&lt;7,"Below Recommended",tbl_working_sleep[[#This Row],[SleepHours]]&lt;=9,"Recommended",tbl_working_sleep[[#This Row],[SleepHours]]&gt;9,"Oversleeping")</f>
        <v>Insufficient Sleep</v>
      </c>
      <c r="L131" t="str">
        <f>tbl_working_sleep[[#This Row],[Id]]&amp;"|"&amp;TEXT(tbl_working_sleep[[#This Row],[SleepDay]],"yyyy-mm-dd")</f>
        <v>4319703577|2016-04-27</v>
      </c>
    </row>
    <row r="132" spans="1:12" x14ac:dyDescent="0.3">
      <c r="A132">
        <v>4319703577</v>
      </c>
      <c r="B132" s="2">
        <v>42488</v>
      </c>
      <c r="C132">
        <v>1</v>
      </c>
      <c r="D132">
        <v>497</v>
      </c>
      <c r="E132">
        <v>522</v>
      </c>
      <c r="F132" t="str">
        <f>TEXT(tbl_working_sleep[[#This Row],[SleepDay]],"dddd")</f>
        <v>Thursday</v>
      </c>
      <c r="G132">
        <f>ROUND(tbl_working_sleep[[#This Row],[TotalMinutesAsleep]]/60,2)</f>
        <v>8.2799999999999994</v>
      </c>
      <c r="H132">
        <f>ROUND(tbl_working_sleep[[#This Row],[TotalTimeInBed]]/60,2)</f>
        <v>8.6999999999999993</v>
      </c>
      <c r="I132">
        <f>tbl_working_sleep[[#This Row],[TotalTimeInBed]]-tbl_working_sleep[[#This Row],[TotalMinutesAsleep]]</f>
        <v>25</v>
      </c>
      <c r="J132">
        <f>ROUND(tbl_working_sleep[[#This Row],[TotalMinutesAsleep]]/tbl_working_sleep[[#This Row],[TotalTimeInBed]]*100,2)</f>
        <v>95.21</v>
      </c>
      <c r="K132" t="str" cm="1">
        <f t="array" ref="K132">_xlfn.IFS(tbl_working_sleep[[#This Row],[SleepHours]]&lt;6,"Insufficient Sleep",tbl_working_sleep[[#This Row],[SleepHours]]&lt;7,"Below Recommended",tbl_working_sleep[[#This Row],[SleepHours]]&lt;=9,"Recommended",tbl_working_sleep[[#This Row],[SleepHours]]&gt;9,"Oversleeping")</f>
        <v>Recommended</v>
      </c>
      <c r="L132" t="str">
        <f>tbl_working_sleep[[#This Row],[Id]]&amp;"|"&amp;TEXT(tbl_working_sleep[[#This Row],[SleepDay]],"yyyy-mm-dd")</f>
        <v>4319703577|2016-04-28</v>
      </c>
    </row>
    <row r="133" spans="1:12" x14ac:dyDescent="0.3">
      <c r="A133">
        <v>4319703577</v>
      </c>
      <c r="B133" s="2">
        <v>42489</v>
      </c>
      <c r="C133">
        <v>1</v>
      </c>
      <c r="D133">
        <v>523</v>
      </c>
      <c r="E133">
        <v>546</v>
      </c>
      <c r="F133" t="str">
        <f>TEXT(tbl_working_sleep[[#This Row],[SleepDay]],"dddd")</f>
        <v>Friday</v>
      </c>
      <c r="G133">
        <f>ROUND(tbl_working_sleep[[#This Row],[TotalMinutesAsleep]]/60,2)</f>
        <v>8.7200000000000006</v>
      </c>
      <c r="H133">
        <f>ROUND(tbl_working_sleep[[#This Row],[TotalTimeInBed]]/60,2)</f>
        <v>9.1</v>
      </c>
      <c r="I133">
        <f>tbl_working_sleep[[#This Row],[TotalTimeInBed]]-tbl_working_sleep[[#This Row],[TotalMinutesAsleep]]</f>
        <v>23</v>
      </c>
      <c r="J133">
        <f>ROUND(tbl_working_sleep[[#This Row],[TotalMinutesAsleep]]/tbl_working_sleep[[#This Row],[TotalTimeInBed]]*100,2)</f>
        <v>95.79</v>
      </c>
      <c r="K133" t="str" cm="1">
        <f t="array" ref="K133">_xlfn.IFS(tbl_working_sleep[[#This Row],[SleepHours]]&lt;6,"Insufficient Sleep",tbl_working_sleep[[#This Row],[SleepHours]]&lt;7,"Below Recommended",tbl_working_sleep[[#This Row],[SleepHours]]&lt;=9,"Recommended",tbl_working_sleep[[#This Row],[SleepHours]]&gt;9,"Oversleeping")</f>
        <v>Recommended</v>
      </c>
      <c r="L133" t="str">
        <f>tbl_working_sleep[[#This Row],[Id]]&amp;"|"&amp;TEXT(tbl_working_sleep[[#This Row],[SleepDay]],"yyyy-mm-dd")</f>
        <v>4319703577|2016-04-29</v>
      </c>
    </row>
    <row r="134" spans="1:12" x14ac:dyDescent="0.3">
      <c r="A134">
        <v>4319703577</v>
      </c>
      <c r="B134" s="2">
        <v>42490</v>
      </c>
      <c r="C134">
        <v>1</v>
      </c>
      <c r="D134">
        <v>490</v>
      </c>
      <c r="E134">
        <v>516</v>
      </c>
      <c r="F134" t="str">
        <f>TEXT(tbl_working_sleep[[#This Row],[SleepDay]],"dddd")</f>
        <v>Saturday</v>
      </c>
      <c r="G134">
        <f>ROUND(tbl_working_sleep[[#This Row],[TotalMinutesAsleep]]/60,2)</f>
        <v>8.17</v>
      </c>
      <c r="H134">
        <f>ROUND(tbl_working_sleep[[#This Row],[TotalTimeInBed]]/60,2)</f>
        <v>8.6</v>
      </c>
      <c r="I134">
        <f>tbl_working_sleep[[#This Row],[TotalTimeInBed]]-tbl_working_sleep[[#This Row],[TotalMinutesAsleep]]</f>
        <v>26</v>
      </c>
      <c r="J134">
        <f>ROUND(tbl_working_sleep[[#This Row],[TotalMinutesAsleep]]/tbl_working_sleep[[#This Row],[TotalTimeInBed]]*100,2)</f>
        <v>94.96</v>
      </c>
      <c r="K134" t="str" cm="1">
        <f t="array" ref="K134">_xlfn.IFS(tbl_working_sleep[[#This Row],[SleepHours]]&lt;6,"Insufficient Sleep",tbl_working_sleep[[#This Row],[SleepHours]]&lt;7,"Below Recommended",tbl_working_sleep[[#This Row],[SleepHours]]&lt;=9,"Recommended",tbl_working_sleep[[#This Row],[SleepHours]]&gt;9,"Oversleeping")</f>
        <v>Recommended</v>
      </c>
      <c r="L134" t="str">
        <f>tbl_working_sleep[[#This Row],[Id]]&amp;"|"&amp;TEXT(tbl_working_sleep[[#This Row],[SleepDay]],"yyyy-mm-dd")</f>
        <v>4319703577|2016-04-30</v>
      </c>
    </row>
    <row r="135" spans="1:12" x14ac:dyDescent="0.3">
      <c r="A135">
        <v>4319703577</v>
      </c>
      <c r="B135" s="2">
        <v>42491</v>
      </c>
      <c r="C135">
        <v>1</v>
      </c>
      <c r="D135">
        <v>484</v>
      </c>
      <c r="E135">
        <v>500</v>
      </c>
      <c r="F135" t="str">
        <f>TEXT(tbl_working_sleep[[#This Row],[SleepDay]],"dddd")</f>
        <v>Sunday</v>
      </c>
      <c r="G135">
        <f>ROUND(tbl_working_sleep[[#This Row],[TotalMinutesAsleep]]/60,2)</f>
        <v>8.07</v>
      </c>
      <c r="H135">
        <f>ROUND(tbl_working_sleep[[#This Row],[TotalTimeInBed]]/60,2)</f>
        <v>8.33</v>
      </c>
      <c r="I135">
        <f>tbl_working_sleep[[#This Row],[TotalTimeInBed]]-tbl_working_sleep[[#This Row],[TotalMinutesAsleep]]</f>
        <v>16</v>
      </c>
      <c r="J135">
        <f>ROUND(tbl_working_sleep[[#This Row],[TotalMinutesAsleep]]/tbl_working_sleep[[#This Row],[TotalTimeInBed]]*100,2)</f>
        <v>96.8</v>
      </c>
      <c r="K135" t="str" cm="1">
        <f t="array" ref="K135">_xlfn.IFS(tbl_working_sleep[[#This Row],[SleepHours]]&lt;6,"Insufficient Sleep",tbl_working_sleep[[#This Row],[SleepHours]]&lt;7,"Below Recommended",tbl_working_sleep[[#This Row],[SleepHours]]&lt;=9,"Recommended",tbl_working_sleep[[#This Row],[SleepHours]]&gt;9,"Oversleeping")</f>
        <v>Recommended</v>
      </c>
      <c r="L135" t="str">
        <f>tbl_working_sleep[[#This Row],[Id]]&amp;"|"&amp;TEXT(tbl_working_sleep[[#This Row],[SleepDay]],"yyyy-mm-dd")</f>
        <v>4319703577|2016-05-01</v>
      </c>
    </row>
    <row r="136" spans="1:12" x14ac:dyDescent="0.3">
      <c r="A136">
        <v>4319703577</v>
      </c>
      <c r="B136" s="2">
        <v>42492</v>
      </c>
      <c r="C136">
        <v>1</v>
      </c>
      <c r="D136">
        <v>478</v>
      </c>
      <c r="E136">
        <v>506</v>
      </c>
      <c r="F136" t="str">
        <f>TEXT(tbl_working_sleep[[#This Row],[SleepDay]],"dddd")</f>
        <v>Monday</v>
      </c>
      <c r="G136">
        <f>ROUND(tbl_working_sleep[[#This Row],[TotalMinutesAsleep]]/60,2)</f>
        <v>7.97</v>
      </c>
      <c r="H136">
        <f>ROUND(tbl_working_sleep[[#This Row],[TotalTimeInBed]]/60,2)</f>
        <v>8.43</v>
      </c>
      <c r="I136">
        <f>tbl_working_sleep[[#This Row],[TotalTimeInBed]]-tbl_working_sleep[[#This Row],[TotalMinutesAsleep]]</f>
        <v>28</v>
      </c>
      <c r="J136">
        <f>ROUND(tbl_working_sleep[[#This Row],[TotalMinutesAsleep]]/tbl_working_sleep[[#This Row],[TotalTimeInBed]]*100,2)</f>
        <v>94.47</v>
      </c>
      <c r="K136" t="str" cm="1">
        <f t="array" ref="K136">_xlfn.IFS(tbl_working_sleep[[#This Row],[SleepHours]]&lt;6,"Insufficient Sleep",tbl_working_sleep[[#This Row],[SleepHours]]&lt;7,"Below Recommended",tbl_working_sleep[[#This Row],[SleepHours]]&lt;=9,"Recommended",tbl_working_sleep[[#This Row],[SleepHours]]&gt;9,"Oversleeping")</f>
        <v>Recommended</v>
      </c>
      <c r="L136" t="str">
        <f>tbl_working_sleep[[#This Row],[Id]]&amp;"|"&amp;TEXT(tbl_working_sleep[[#This Row],[SleepDay]],"yyyy-mm-dd")</f>
        <v>4319703577|2016-05-02</v>
      </c>
    </row>
    <row r="137" spans="1:12" x14ac:dyDescent="0.3">
      <c r="A137">
        <v>4319703577</v>
      </c>
      <c r="B137" s="2">
        <v>42493</v>
      </c>
      <c r="C137">
        <v>1</v>
      </c>
      <c r="D137">
        <v>474</v>
      </c>
      <c r="E137">
        <v>512</v>
      </c>
      <c r="F137" t="str">
        <f>TEXT(tbl_working_sleep[[#This Row],[SleepDay]],"dddd")</f>
        <v>Tuesday</v>
      </c>
      <c r="G137">
        <f>ROUND(tbl_working_sleep[[#This Row],[TotalMinutesAsleep]]/60,2)</f>
        <v>7.9</v>
      </c>
      <c r="H137">
        <f>ROUND(tbl_working_sleep[[#This Row],[TotalTimeInBed]]/60,2)</f>
        <v>8.5299999999999994</v>
      </c>
      <c r="I137">
        <f>tbl_working_sleep[[#This Row],[TotalTimeInBed]]-tbl_working_sleep[[#This Row],[TotalMinutesAsleep]]</f>
        <v>38</v>
      </c>
      <c r="J137">
        <f>ROUND(tbl_working_sleep[[#This Row],[TotalMinutesAsleep]]/tbl_working_sleep[[#This Row],[TotalTimeInBed]]*100,2)</f>
        <v>92.58</v>
      </c>
      <c r="K137" t="str" cm="1">
        <f t="array" ref="K137">_xlfn.IFS(tbl_working_sleep[[#This Row],[SleepHours]]&lt;6,"Insufficient Sleep",tbl_working_sleep[[#This Row],[SleepHours]]&lt;7,"Below Recommended",tbl_working_sleep[[#This Row],[SleepHours]]&lt;=9,"Recommended",tbl_working_sleep[[#This Row],[SleepHours]]&gt;9,"Oversleeping")</f>
        <v>Recommended</v>
      </c>
      <c r="L137" t="str">
        <f>tbl_working_sleep[[#This Row],[Id]]&amp;"|"&amp;TEXT(tbl_working_sleep[[#This Row],[SleepDay]],"yyyy-mm-dd")</f>
        <v>4319703577|2016-05-03</v>
      </c>
    </row>
    <row r="138" spans="1:12" x14ac:dyDescent="0.3">
      <c r="A138">
        <v>4319703577</v>
      </c>
      <c r="B138" s="2">
        <v>42496</v>
      </c>
      <c r="C138">
        <v>1</v>
      </c>
      <c r="D138">
        <v>450</v>
      </c>
      <c r="E138">
        <v>491</v>
      </c>
      <c r="F138" t="str">
        <f>TEXT(tbl_working_sleep[[#This Row],[SleepDay]],"dddd")</f>
        <v>Friday</v>
      </c>
      <c r="G138">
        <f>ROUND(tbl_working_sleep[[#This Row],[TotalMinutesAsleep]]/60,2)</f>
        <v>7.5</v>
      </c>
      <c r="H138">
        <f>ROUND(tbl_working_sleep[[#This Row],[TotalTimeInBed]]/60,2)</f>
        <v>8.18</v>
      </c>
      <c r="I138">
        <f>tbl_working_sleep[[#This Row],[TotalTimeInBed]]-tbl_working_sleep[[#This Row],[TotalMinutesAsleep]]</f>
        <v>41</v>
      </c>
      <c r="J138">
        <f>ROUND(tbl_working_sleep[[#This Row],[TotalMinutesAsleep]]/tbl_working_sleep[[#This Row],[TotalTimeInBed]]*100,2)</f>
        <v>91.65</v>
      </c>
      <c r="K138" t="str" cm="1">
        <f t="array" ref="K138">_xlfn.IFS(tbl_working_sleep[[#This Row],[SleepHours]]&lt;6,"Insufficient Sleep",tbl_working_sleep[[#This Row],[SleepHours]]&lt;7,"Below Recommended",tbl_working_sleep[[#This Row],[SleepHours]]&lt;=9,"Recommended",tbl_working_sleep[[#This Row],[SleepHours]]&gt;9,"Oversleeping")</f>
        <v>Recommended</v>
      </c>
      <c r="L138" t="str">
        <f>tbl_working_sleep[[#This Row],[Id]]&amp;"|"&amp;TEXT(tbl_working_sleep[[#This Row],[SleepDay]],"yyyy-mm-dd")</f>
        <v>4319703577|2016-05-06</v>
      </c>
    </row>
    <row r="139" spans="1:12" x14ac:dyDescent="0.3">
      <c r="A139">
        <v>4319703577</v>
      </c>
      <c r="B139" s="2">
        <v>42497</v>
      </c>
      <c r="C139">
        <v>1</v>
      </c>
      <c r="D139">
        <v>507</v>
      </c>
      <c r="E139">
        <v>530</v>
      </c>
      <c r="F139" t="str">
        <f>TEXT(tbl_working_sleep[[#This Row],[SleepDay]],"dddd")</f>
        <v>Saturday</v>
      </c>
      <c r="G139">
        <f>ROUND(tbl_working_sleep[[#This Row],[TotalMinutesAsleep]]/60,2)</f>
        <v>8.4499999999999993</v>
      </c>
      <c r="H139">
        <f>ROUND(tbl_working_sleep[[#This Row],[TotalTimeInBed]]/60,2)</f>
        <v>8.83</v>
      </c>
      <c r="I139">
        <f>tbl_working_sleep[[#This Row],[TotalTimeInBed]]-tbl_working_sleep[[#This Row],[TotalMinutesAsleep]]</f>
        <v>23</v>
      </c>
      <c r="J139">
        <f>ROUND(tbl_working_sleep[[#This Row],[TotalMinutesAsleep]]/tbl_working_sleep[[#This Row],[TotalTimeInBed]]*100,2)</f>
        <v>95.66</v>
      </c>
      <c r="K139" t="str" cm="1">
        <f t="array" ref="K139">_xlfn.IFS(tbl_working_sleep[[#This Row],[SleepHours]]&lt;6,"Insufficient Sleep",tbl_working_sleep[[#This Row],[SleepHours]]&lt;7,"Below Recommended",tbl_working_sleep[[#This Row],[SleepHours]]&lt;=9,"Recommended",tbl_working_sleep[[#This Row],[SleepHours]]&gt;9,"Oversleeping")</f>
        <v>Recommended</v>
      </c>
      <c r="L139" t="str">
        <f>tbl_working_sleep[[#This Row],[Id]]&amp;"|"&amp;TEXT(tbl_working_sleep[[#This Row],[SleepDay]],"yyyy-mm-dd")</f>
        <v>4319703577|2016-05-07</v>
      </c>
    </row>
    <row r="140" spans="1:12" x14ac:dyDescent="0.3">
      <c r="A140">
        <v>4319703577</v>
      </c>
      <c r="B140" s="2">
        <v>42498</v>
      </c>
      <c r="C140">
        <v>1</v>
      </c>
      <c r="D140">
        <v>602</v>
      </c>
      <c r="E140">
        <v>638</v>
      </c>
      <c r="F140" t="str">
        <f>TEXT(tbl_working_sleep[[#This Row],[SleepDay]],"dddd")</f>
        <v>Sunday</v>
      </c>
      <c r="G140">
        <f>ROUND(tbl_working_sleep[[#This Row],[TotalMinutesAsleep]]/60,2)</f>
        <v>10.029999999999999</v>
      </c>
      <c r="H140">
        <f>ROUND(tbl_working_sleep[[#This Row],[TotalTimeInBed]]/60,2)</f>
        <v>10.63</v>
      </c>
      <c r="I140">
        <f>tbl_working_sleep[[#This Row],[TotalTimeInBed]]-tbl_working_sleep[[#This Row],[TotalMinutesAsleep]]</f>
        <v>36</v>
      </c>
      <c r="J140">
        <f>ROUND(tbl_working_sleep[[#This Row],[TotalMinutesAsleep]]/tbl_working_sleep[[#This Row],[TotalTimeInBed]]*100,2)</f>
        <v>94.36</v>
      </c>
      <c r="K140" t="str" cm="1">
        <f t="array" ref="K140">_xlfn.IFS(tbl_working_sleep[[#This Row],[SleepHours]]&lt;6,"Insufficient Sleep",tbl_working_sleep[[#This Row],[SleepHours]]&lt;7,"Below Recommended",tbl_working_sleep[[#This Row],[SleepHours]]&lt;=9,"Recommended",tbl_working_sleep[[#This Row],[SleepHours]]&gt;9,"Oversleeping")</f>
        <v>Oversleeping</v>
      </c>
      <c r="L140" t="str">
        <f>tbl_working_sleep[[#This Row],[Id]]&amp;"|"&amp;TEXT(tbl_working_sleep[[#This Row],[SleepDay]],"yyyy-mm-dd")</f>
        <v>4319703577|2016-05-08</v>
      </c>
    </row>
    <row r="141" spans="1:12" x14ac:dyDescent="0.3">
      <c r="A141">
        <v>4319703577</v>
      </c>
      <c r="B141" s="2">
        <v>42499</v>
      </c>
      <c r="C141">
        <v>1</v>
      </c>
      <c r="D141">
        <v>535</v>
      </c>
      <c r="E141">
        <v>565</v>
      </c>
      <c r="F141" t="str">
        <f>TEXT(tbl_working_sleep[[#This Row],[SleepDay]],"dddd")</f>
        <v>Monday</v>
      </c>
      <c r="G141">
        <f>ROUND(tbl_working_sleep[[#This Row],[TotalMinutesAsleep]]/60,2)</f>
        <v>8.92</v>
      </c>
      <c r="H141">
        <f>ROUND(tbl_working_sleep[[#This Row],[TotalTimeInBed]]/60,2)</f>
        <v>9.42</v>
      </c>
      <c r="I141">
        <f>tbl_working_sleep[[#This Row],[TotalTimeInBed]]-tbl_working_sleep[[#This Row],[TotalMinutesAsleep]]</f>
        <v>30</v>
      </c>
      <c r="J141">
        <f>ROUND(tbl_working_sleep[[#This Row],[TotalMinutesAsleep]]/tbl_working_sleep[[#This Row],[TotalTimeInBed]]*100,2)</f>
        <v>94.69</v>
      </c>
      <c r="K141" t="str" cm="1">
        <f t="array" ref="K141">_xlfn.IFS(tbl_working_sleep[[#This Row],[SleepHours]]&lt;6,"Insufficient Sleep",tbl_working_sleep[[#This Row],[SleepHours]]&lt;7,"Below Recommended",tbl_working_sleep[[#This Row],[SleepHours]]&lt;=9,"Recommended",tbl_working_sleep[[#This Row],[SleepHours]]&gt;9,"Oversleeping")</f>
        <v>Recommended</v>
      </c>
      <c r="L141" t="str">
        <f>tbl_working_sleep[[#This Row],[Id]]&amp;"|"&amp;TEXT(tbl_working_sleep[[#This Row],[SleepDay]],"yyyy-mm-dd")</f>
        <v>4319703577|2016-05-09</v>
      </c>
    </row>
    <row r="142" spans="1:12" x14ac:dyDescent="0.3">
      <c r="A142">
        <v>4319703577</v>
      </c>
      <c r="B142" s="2">
        <v>42500</v>
      </c>
      <c r="C142">
        <v>1</v>
      </c>
      <c r="D142">
        <v>487</v>
      </c>
      <c r="E142">
        <v>517</v>
      </c>
      <c r="F142" t="str">
        <f>TEXT(tbl_working_sleep[[#This Row],[SleepDay]],"dddd")</f>
        <v>Tuesday</v>
      </c>
      <c r="G142">
        <f>ROUND(tbl_working_sleep[[#This Row],[TotalMinutesAsleep]]/60,2)</f>
        <v>8.1199999999999992</v>
      </c>
      <c r="H142">
        <f>ROUND(tbl_working_sleep[[#This Row],[TotalTimeInBed]]/60,2)</f>
        <v>8.6199999999999992</v>
      </c>
      <c r="I142">
        <f>tbl_working_sleep[[#This Row],[TotalTimeInBed]]-tbl_working_sleep[[#This Row],[TotalMinutesAsleep]]</f>
        <v>30</v>
      </c>
      <c r="J142">
        <f>ROUND(tbl_working_sleep[[#This Row],[TotalMinutesAsleep]]/tbl_working_sleep[[#This Row],[TotalTimeInBed]]*100,2)</f>
        <v>94.2</v>
      </c>
      <c r="K142" t="str" cm="1">
        <f t="array" ref="K142">_xlfn.IFS(tbl_working_sleep[[#This Row],[SleepHours]]&lt;6,"Insufficient Sleep",tbl_working_sleep[[#This Row],[SleepHours]]&lt;7,"Below Recommended",tbl_working_sleep[[#This Row],[SleepHours]]&lt;=9,"Recommended",tbl_working_sleep[[#This Row],[SleepHours]]&gt;9,"Oversleeping")</f>
        <v>Recommended</v>
      </c>
      <c r="L142" t="str">
        <f>tbl_working_sleep[[#This Row],[Id]]&amp;"|"&amp;TEXT(tbl_working_sleep[[#This Row],[SleepDay]],"yyyy-mm-dd")</f>
        <v>4319703577|2016-05-10</v>
      </c>
    </row>
    <row r="143" spans="1:12" x14ac:dyDescent="0.3">
      <c r="A143">
        <v>4319703577</v>
      </c>
      <c r="B143" s="2">
        <v>42501</v>
      </c>
      <c r="C143">
        <v>1</v>
      </c>
      <c r="D143">
        <v>529</v>
      </c>
      <c r="E143">
        <v>558</v>
      </c>
      <c r="F143" t="str">
        <f>TEXT(tbl_working_sleep[[#This Row],[SleepDay]],"dddd")</f>
        <v>Wednesday</v>
      </c>
      <c r="G143">
        <f>ROUND(tbl_working_sleep[[#This Row],[TotalMinutesAsleep]]/60,2)</f>
        <v>8.82</v>
      </c>
      <c r="H143">
        <f>ROUND(tbl_working_sleep[[#This Row],[TotalTimeInBed]]/60,2)</f>
        <v>9.3000000000000007</v>
      </c>
      <c r="I143">
        <f>tbl_working_sleep[[#This Row],[TotalTimeInBed]]-tbl_working_sleep[[#This Row],[TotalMinutesAsleep]]</f>
        <v>29</v>
      </c>
      <c r="J143">
        <f>ROUND(tbl_working_sleep[[#This Row],[TotalMinutesAsleep]]/tbl_working_sleep[[#This Row],[TotalTimeInBed]]*100,2)</f>
        <v>94.8</v>
      </c>
      <c r="K143" t="str" cm="1">
        <f t="array" ref="K143">_xlfn.IFS(tbl_working_sleep[[#This Row],[SleepHours]]&lt;6,"Insufficient Sleep",tbl_working_sleep[[#This Row],[SleepHours]]&lt;7,"Below Recommended",tbl_working_sleep[[#This Row],[SleepHours]]&lt;=9,"Recommended",tbl_working_sleep[[#This Row],[SleepHours]]&gt;9,"Oversleeping")</f>
        <v>Recommended</v>
      </c>
      <c r="L143" t="str">
        <f>tbl_working_sleep[[#This Row],[Id]]&amp;"|"&amp;TEXT(tbl_working_sleep[[#This Row],[SleepDay]],"yyyy-mm-dd")</f>
        <v>4319703577|2016-05-11</v>
      </c>
    </row>
    <row r="144" spans="1:12" x14ac:dyDescent="0.3">
      <c r="A144">
        <v>4319703577</v>
      </c>
      <c r="B144" s="2">
        <v>42502</v>
      </c>
      <c r="C144">
        <v>1</v>
      </c>
      <c r="D144">
        <v>302</v>
      </c>
      <c r="E144">
        <v>321</v>
      </c>
      <c r="F144" t="str">
        <f>TEXT(tbl_working_sleep[[#This Row],[SleepDay]],"dddd")</f>
        <v>Thursday</v>
      </c>
      <c r="G144">
        <f>ROUND(tbl_working_sleep[[#This Row],[TotalMinutesAsleep]]/60,2)</f>
        <v>5.03</v>
      </c>
      <c r="H144">
        <f>ROUND(tbl_working_sleep[[#This Row],[TotalTimeInBed]]/60,2)</f>
        <v>5.35</v>
      </c>
      <c r="I144">
        <f>tbl_working_sleep[[#This Row],[TotalTimeInBed]]-tbl_working_sleep[[#This Row],[TotalMinutesAsleep]]</f>
        <v>19</v>
      </c>
      <c r="J144">
        <f>ROUND(tbl_working_sleep[[#This Row],[TotalMinutesAsleep]]/tbl_working_sleep[[#This Row],[TotalTimeInBed]]*100,2)</f>
        <v>94.08</v>
      </c>
      <c r="K144" t="str" cm="1">
        <f t="array" ref="K144">_xlfn.IFS(tbl_working_sleep[[#This Row],[SleepHours]]&lt;6,"Insufficient Sleep",tbl_working_sleep[[#This Row],[SleepHours]]&lt;7,"Below Recommended",tbl_working_sleep[[#This Row],[SleepHours]]&lt;=9,"Recommended",tbl_working_sleep[[#This Row],[SleepHours]]&gt;9,"Oversleeping")</f>
        <v>Insufficient Sleep</v>
      </c>
      <c r="L144" t="str">
        <f>tbl_working_sleep[[#This Row],[Id]]&amp;"|"&amp;TEXT(tbl_working_sleep[[#This Row],[SleepDay]],"yyyy-mm-dd")</f>
        <v>4319703577|2016-05-12</v>
      </c>
    </row>
    <row r="145" spans="1:12" x14ac:dyDescent="0.3">
      <c r="A145">
        <v>4388161847</v>
      </c>
      <c r="B145" s="2">
        <v>42475</v>
      </c>
      <c r="C145">
        <v>1</v>
      </c>
      <c r="D145">
        <v>499</v>
      </c>
      <c r="E145">
        <v>526</v>
      </c>
      <c r="F145" t="str">
        <f>TEXT(tbl_working_sleep[[#This Row],[SleepDay]],"dddd")</f>
        <v>Friday</v>
      </c>
      <c r="G145">
        <f>ROUND(tbl_working_sleep[[#This Row],[TotalMinutesAsleep]]/60,2)</f>
        <v>8.32</v>
      </c>
      <c r="H145">
        <f>ROUND(tbl_working_sleep[[#This Row],[TotalTimeInBed]]/60,2)</f>
        <v>8.77</v>
      </c>
      <c r="I145">
        <f>tbl_working_sleep[[#This Row],[TotalTimeInBed]]-tbl_working_sleep[[#This Row],[TotalMinutesAsleep]]</f>
        <v>27</v>
      </c>
      <c r="J145">
        <f>ROUND(tbl_working_sleep[[#This Row],[TotalMinutesAsleep]]/tbl_working_sleep[[#This Row],[TotalTimeInBed]]*100,2)</f>
        <v>94.87</v>
      </c>
      <c r="K145" t="str" cm="1">
        <f t="array" ref="K145">_xlfn.IFS(tbl_working_sleep[[#This Row],[SleepHours]]&lt;6,"Insufficient Sleep",tbl_working_sleep[[#This Row],[SleepHours]]&lt;7,"Below Recommended",tbl_working_sleep[[#This Row],[SleepHours]]&lt;=9,"Recommended",tbl_working_sleep[[#This Row],[SleepHours]]&gt;9,"Oversleeping")</f>
        <v>Recommended</v>
      </c>
      <c r="L145" t="str">
        <f>tbl_working_sleep[[#This Row],[Id]]&amp;"|"&amp;TEXT(tbl_working_sleep[[#This Row],[SleepDay]],"yyyy-mm-dd")</f>
        <v>4388161847|2016-04-15</v>
      </c>
    </row>
    <row r="146" spans="1:12" x14ac:dyDescent="0.3">
      <c r="A146">
        <v>4388161847</v>
      </c>
      <c r="B146" s="2">
        <v>42476</v>
      </c>
      <c r="C146">
        <v>2</v>
      </c>
      <c r="D146">
        <v>426</v>
      </c>
      <c r="E146">
        <v>448</v>
      </c>
      <c r="F146" t="str">
        <f>TEXT(tbl_working_sleep[[#This Row],[SleepDay]],"dddd")</f>
        <v>Saturday</v>
      </c>
      <c r="G146">
        <f>ROUND(tbl_working_sleep[[#This Row],[TotalMinutesAsleep]]/60,2)</f>
        <v>7.1</v>
      </c>
      <c r="H146">
        <f>ROUND(tbl_working_sleep[[#This Row],[TotalTimeInBed]]/60,2)</f>
        <v>7.47</v>
      </c>
      <c r="I146">
        <f>tbl_working_sleep[[#This Row],[TotalTimeInBed]]-tbl_working_sleep[[#This Row],[TotalMinutesAsleep]]</f>
        <v>22</v>
      </c>
      <c r="J146">
        <f>ROUND(tbl_working_sleep[[#This Row],[TotalMinutesAsleep]]/tbl_working_sleep[[#This Row],[TotalTimeInBed]]*100,2)</f>
        <v>95.09</v>
      </c>
      <c r="K146" t="str" cm="1">
        <f t="array" ref="K146">_xlfn.IFS(tbl_working_sleep[[#This Row],[SleepHours]]&lt;6,"Insufficient Sleep",tbl_working_sleep[[#This Row],[SleepHours]]&lt;7,"Below Recommended",tbl_working_sleep[[#This Row],[SleepHours]]&lt;=9,"Recommended",tbl_working_sleep[[#This Row],[SleepHours]]&gt;9,"Oversleeping")</f>
        <v>Recommended</v>
      </c>
      <c r="L146" t="str">
        <f>tbl_working_sleep[[#This Row],[Id]]&amp;"|"&amp;TEXT(tbl_working_sleep[[#This Row],[SleepDay]],"yyyy-mm-dd")</f>
        <v>4388161847|2016-04-16</v>
      </c>
    </row>
    <row r="147" spans="1:12" x14ac:dyDescent="0.3">
      <c r="A147">
        <v>4388161847</v>
      </c>
      <c r="B147" s="2">
        <v>42477</v>
      </c>
      <c r="C147">
        <v>2</v>
      </c>
      <c r="D147">
        <v>619</v>
      </c>
      <c r="E147">
        <v>641</v>
      </c>
      <c r="F147" t="str">
        <f>TEXT(tbl_working_sleep[[#This Row],[SleepDay]],"dddd")</f>
        <v>Sunday</v>
      </c>
      <c r="G147">
        <f>ROUND(tbl_working_sleep[[#This Row],[TotalMinutesAsleep]]/60,2)</f>
        <v>10.32</v>
      </c>
      <c r="H147">
        <f>ROUND(tbl_working_sleep[[#This Row],[TotalTimeInBed]]/60,2)</f>
        <v>10.68</v>
      </c>
      <c r="I147">
        <f>tbl_working_sleep[[#This Row],[TotalTimeInBed]]-tbl_working_sleep[[#This Row],[TotalMinutesAsleep]]</f>
        <v>22</v>
      </c>
      <c r="J147">
        <f>ROUND(tbl_working_sleep[[#This Row],[TotalMinutesAsleep]]/tbl_working_sleep[[#This Row],[TotalTimeInBed]]*100,2)</f>
        <v>96.57</v>
      </c>
      <c r="K147" t="str" cm="1">
        <f t="array" ref="K147">_xlfn.IFS(tbl_working_sleep[[#This Row],[SleepHours]]&lt;6,"Insufficient Sleep",tbl_working_sleep[[#This Row],[SleepHours]]&lt;7,"Below Recommended",tbl_working_sleep[[#This Row],[SleepHours]]&lt;=9,"Recommended",tbl_working_sleep[[#This Row],[SleepHours]]&gt;9,"Oversleeping")</f>
        <v>Oversleeping</v>
      </c>
      <c r="L147" t="str">
        <f>tbl_working_sleep[[#This Row],[Id]]&amp;"|"&amp;TEXT(tbl_working_sleep[[#This Row],[SleepDay]],"yyyy-mm-dd")</f>
        <v>4388161847|2016-04-17</v>
      </c>
    </row>
    <row r="148" spans="1:12" x14ac:dyDescent="0.3">
      <c r="A148">
        <v>4388161847</v>
      </c>
      <c r="B148" s="2">
        <v>42478</v>
      </c>
      <c r="C148">
        <v>1</v>
      </c>
      <c r="D148">
        <v>99</v>
      </c>
      <c r="E148">
        <v>104</v>
      </c>
      <c r="F148" t="str">
        <f>TEXT(tbl_working_sleep[[#This Row],[SleepDay]],"dddd")</f>
        <v>Monday</v>
      </c>
      <c r="G148">
        <f>ROUND(tbl_working_sleep[[#This Row],[TotalMinutesAsleep]]/60,2)</f>
        <v>1.65</v>
      </c>
      <c r="H148">
        <f>ROUND(tbl_working_sleep[[#This Row],[TotalTimeInBed]]/60,2)</f>
        <v>1.73</v>
      </c>
      <c r="I148">
        <f>tbl_working_sleep[[#This Row],[TotalTimeInBed]]-tbl_working_sleep[[#This Row],[TotalMinutesAsleep]]</f>
        <v>5</v>
      </c>
      <c r="J148">
        <f>ROUND(tbl_working_sleep[[#This Row],[TotalMinutesAsleep]]/tbl_working_sleep[[#This Row],[TotalTimeInBed]]*100,2)</f>
        <v>95.19</v>
      </c>
      <c r="K148" t="str" cm="1">
        <f t="array" ref="K148">_xlfn.IFS(tbl_working_sleep[[#This Row],[SleepHours]]&lt;6,"Insufficient Sleep",tbl_working_sleep[[#This Row],[SleepHours]]&lt;7,"Below Recommended",tbl_working_sleep[[#This Row],[SleepHours]]&lt;=9,"Recommended",tbl_working_sleep[[#This Row],[SleepHours]]&gt;9,"Oversleeping")</f>
        <v>Insufficient Sleep</v>
      </c>
      <c r="L148" t="str">
        <f>tbl_working_sleep[[#This Row],[Id]]&amp;"|"&amp;TEXT(tbl_working_sleep[[#This Row],[SleepDay]],"yyyy-mm-dd")</f>
        <v>4388161847|2016-04-18</v>
      </c>
    </row>
    <row r="149" spans="1:12" x14ac:dyDescent="0.3">
      <c r="A149">
        <v>4388161847</v>
      </c>
      <c r="B149" s="2">
        <v>42479</v>
      </c>
      <c r="C149">
        <v>1</v>
      </c>
      <c r="D149">
        <v>329</v>
      </c>
      <c r="E149">
        <v>338</v>
      </c>
      <c r="F149" t="str">
        <f>TEXT(tbl_working_sleep[[#This Row],[SleepDay]],"dddd")</f>
        <v>Tuesday</v>
      </c>
      <c r="G149">
        <f>ROUND(tbl_working_sleep[[#This Row],[TotalMinutesAsleep]]/60,2)</f>
        <v>5.48</v>
      </c>
      <c r="H149">
        <f>ROUND(tbl_working_sleep[[#This Row],[TotalTimeInBed]]/60,2)</f>
        <v>5.63</v>
      </c>
      <c r="I149">
        <f>tbl_working_sleep[[#This Row],[TotalTimeInBed]]-tbl_working_sleep[[#This Row],[TotalMinutesAsleep]]</f>
        <v>9</v>
      </c>
      <c r="J149">
        <f>ROUND(tbl_working_sleep[[#This Row],[TotalMinutesAsleep]]/tbl_working_sleep[[#This Row],[TotalTimeInBed]]*100,2)</f>
        <v>97.34</v>
      </c>
      <c r="K149" t="str" cm="1">
        <f t="array" ref="K149">_xlfn.IFS(tbl_working_sleep[[#This Row],[SleepHours]]&lt;6,"Insufficient Sleep",tbl_working_sleep[[#This Row],[SleepHours]]&lt;7,"Below Recommended",tbl_working_sleep[[#This Row],[SleepHours]]&lt;=9,"Recommended",tbl_working_sleep[[#This Row],[SleepHours]]&gt;9,"Oversleeping")</f>
        <v>Insufficient Sleep</v>
      </c>
      <c r="L149" t="str">
        <f>tbl_working_sleep[[#This Row],[Id]]&amp;"|"&amp;TEXT(tbl_working_sleep[[#This Row],[SleepDay]],"yyyy-mm-dd")</f>
        <v>4388161847|2016-04-19</v>
      </c>
    </row>
    <row r="150" spans="1:12" x14ac:dyDescent="0.3">
      <c r="A150">
        <v>4388161847</v>
      </c>
      <c r="B150" s="2">
        <v>42480</v>
      </c>
      <c r="C150">
        <v>1</v>
      </c>
      <c r="D150">
        <v>421</v>
      </c>
      <c r="E150">
        <v>451</v>
      </c>
      <c r="F150" t="str">
        <f>TEXT(tbl_working_sleep[[#This Row],[SleepDay]],"dddd")</f>
        <v>Wednesday</v>
      </c>
      <c r="G150">
        <f>ROUND(tbl_working_sleep[[#This Row],[TotalMinutesAsleep]]/60,2)</f>
        <v>7.02</v>
      </c>
      <c r="H150">
        <f>ROUND(tbl_working_sleep[[#This Row],[TotalTimeInBed]]/60,2)</f>
        <v>7.52</v>
      </c>
      <c r="I150">
        <f>tbl_working_sleep[[#This Row],[TotalTimeInBed]]-tbl_working_sleep[[#This Row],[TotalMinutesAsleep]]</f>
        <v>30</v>
      </c>
      <c r="J150">
        <f>ROUND(tbl_working_sleep[[#This Row],[TotalMinutesAsleep]]/tbl_working_sleep[[#This Row],[TotalTimeInBed]]*100,2)</f>
        <v>93.35</v>
      </c>
      <c r="K150" t="str" cm="1">
        <f t="array" ref="K150">_xlfn.IFS(tbl_working_sleep[[#This Row],[SleepHours]]&lt;6,"Insufficient Sleep",tbl_working_sleep[[#This Row],[SleepHours]]&lt;7,"Below Recommended",tbl_working_sleep[[#This Row],[SleepHours]]&lt;=9,"Recommended",tbl_working_sleep[[#This Row],[SleepHours]]&gt;9,"Oversleeping")</f>
        <v>Recommended</v>
      </c>
      <c r="L150" t="str">
        <f>tbl_working_sleep[[#This Row],[Id]]&amp;"|"&amp;TEXT(tbl_working_sleep[[#This Row],[SleepDay]],"yyyy-mm-dd")</f>
        <v>4388161847|2016-04-20</v>
      </c>
    </row>
    <row r="151" spans="1:12" x14ac:dyDescent="0.3">
      <c r="A151">
        <v>4388161847</v>
      </c>
      <c r="B151" s="2">
        <v>42481</v>
      </c>
      <c r="C151">
        <v>1</v>
      </c>
      <c r="D151">
        <v>442</v>
      </c>
      <c r="E151">
        <v>458</v>
      </c>
      <c r="F151" t="str">
        <f>TEXT(tbl_working_sleep[[#This Row],[SleepDay]],"dddd")</f>
        <v>Thursday</v>
      </c>
      <c r="G151">
        <f>ROUND(tbl_working_sleep[[#This Row],[TotalMinutesAsleep]]/60,2)</f>
        <v>7.37</v>
      </c>
      <c r="H151">
        <f>ROUND(tbl_working_sleep[[#This Row],[TotalTimeInBed]]/60,2)</f>
        <v>7.63</v>
      </c>
      <c r="I151">
        <f>tbl_working_sleep[[#This Row],[TotalTimeInBed]]-tbl_working_sleep[[#This Row],[TotalMinutesAsleep]]</f>
        <v>16</v>
      </c>
      <c r="J151">
        <f>ROUND(tbl_working_sleep[[#This Row],[TotalMinutesAsleep]]/tbl_working_sleep[[#This Row],[TotalTimeInBed]]*100,2)</f>
        <v>96.51</v>
      </c>
      <c r="K151" t="str" cm="1">
        <f t="array" ref="K151">_xlfn.IFS(tbl_working_sleep[[#This Row],[SleepHours]]&lt;6,"Insufficient Sleep",tbl_working_sleep[[#This Row],[SleepHours]]&lt;7,"Below Recommended",tbl_working_sleep[[#This Row],[SleepHours]]&lt;=9,"Recommended",tbl_working_sleep[[#This Row],[SleepHours]]&gt;9,"Oversleeping")</f>
        <v>Recommended</v>
      </c>
      <c r="L151" t="str">
        <f>tbl_working_sleep[[#This Row],[Id]]&amp;"|"&amp;TEXT(tbl_working_sleep[[#This Row],[SleepDay]],"yyyy-mm-dd")</f>
        <v>4388161847|2016-04-21</v>
      </c>
    </row>
    <row r="152" spans="1:12" x14ac:dyDescent="0.3">
      <c r="A152">
        <v>4388161847</v>
      </c>
      <c r="B152" s="2">
        <v>42482</v>
      </c>
      <c r="C152">
        <v>1</v>
      </c>
      <c r="D152">
        <v>82</v>
      </c>
      <c r="E152">
        <v>85</v>
      </c>
      <c r="F152" t="str">
        <f>TEXT(tbl_working_sleep[[#This Row],[SleepDay]],"dddd")</f>
        <v>Friday</v>
      </c>
      <c r="G152">
        <f>ROUND(tbl_working_sleep[[#This Row],[TotalMinutesAsleep]]/60,2)</f>
        <v>1.37</v>
      </c>
      <c r="H152">
        <f>ROUND(tbl_working_sleep[[#This Row],[TotalTimeInBed]]/60,2)</f>
        <v>1.42</v>
      </c>
      <c r="I152">
        <f>tbl_working_sleep[[#This Row],[TotalTimeInBed]]-tbl_working_sleep[[#This Row],[TotalMinutesAsleep]]</f>
        <v>3</v>
      </c>
      <c r="J152">
        <f>ROUND(tbl_working_sleep[[#This Row],[TotalMinutesAsleep]]/tbl_working_sleep[[#This Row],[TotalTimeInBed]]*100,2)</f>
        <v>96.47</v>
      </c>
      <c r="K152" t="str" cm="1">
        <f t="array" ref="K152">_xlfn.IFS(tbl_working_sleep[[#This Row],[SleepHours]]&lt;6,"Insufficient Sleep",tbl_working_sleep[[#This Row],[SleepHours]]&lt;7,"Below Recommended",tbl_working_sleep[[#This Row],[SleepHours]]&lt;=9,"Recommended",tbl_working_sleep[[#This Row],[SleepHours]]&gt;9,"Oversleeping")</f>
        <v>Insufficient Sleep</v>
      </c>
      <c r="L152" t="str">
        <f>tbl_working_sleep[[#This Row],[Id]]&amp;"|"&amp;TEXT(tbl_working_sleep[[#This Row],[SleepDay]],"yyyy-mm-dd")</f>
        <v>4388161847|2016-04-22</v>
      </c>
    </row>
    <row r="153" spans="1:12" x14ac:dyDescent="0.3">
      <c r="A153">
        <v>4388161847</v>
      </c>
      <c r="B153" s="2">
        <v>42483</v>
      </c>
      <c r="C153">
        <v>1</v>
      </c>
      <c r="D153">
        <v>478</v>
      </c>
      <c r="E153">
        <v>501</v>
      </c>
      <c r="F153" t="str">
        <f>TEXT(tbl_working_sleep[[#This Row],[SleepDay]],"dddd")</f>
        <v>Saturday</v>
      </c>
      <c r="G153">
        <f>ROUND(tbl_working_sleep[[#This Row],[TotalMinutesAsleep]]/60,2)</f>
        <v>7.97</v>
      </c>
      <c r="H153">
        <f>ROUND(tbl_working_sleep[[#This Row],[TotalTimeInBed]]/60,2)</f>
        <v>8.35</v>
      </c>
      <c r="I153">
        <f>tbl_working_sleep[[#This Row],[TotalTimeInBed]]-tbl_working_sleep[[#This Row],[TotalMinutesAsleep]]</f>
        <v>23</v>
      </c>
      <c r="J153">
        <f>ROUND(tbl_working_sleep[[#This Row],[TotalMinutesAsleep]]/tbl_working_sleep[[#This Row],[TotalTimeInBed]]*100,2)</f>
        <v>95.41</v>
      </c>
      <c r="K153" t="str" cm="1">
        <f t="array" ref="K153">_xlfn.IFS(tbl_working_sleep[[#This Row],[SleepHours]]&lt;6,"Insufficient Sleep",tbl_working_sleep[[#This Row],[SleepHours]]&lt;7,"Below Recommended",tbl_working_sleep[[#This Row],[SleepHours]]&lt;=9,"Recommended",tbl_working_sleep[[#This Row],[SleepHours]]&gt;9,"Oversleeping")</f>
        <v>Recommended</v>
      </c>
      <c r="L153" t="str">
        <f>tbl_working_sleep[[#This Row],[Id]]&amp;"|"&amp;TEXT(tbl_working_sleep[[#This Row],[SleepDay]],"yyyy-mm-dd")</f>
        <v>4388161847|2016-04-23</v>
      </c>
    </row>
    <row r="154" spans="1:12" x14ac:dyDescent="0.3">
      <c r="A154">
        <v>4388161847</v>
      </c>
      <c r="B154" s="2">
        <v>42484</v>
      </c>
      <c r="C154">
        <v>3</v>
      </c>
      <c r="D154">
        <v>552</v>
      </c>
      <c r="E154">
        <v>595</v>
      </c>
      <c r="F154" t="str">
        <f>TEXT(tbl_working_sleep[[#This Row],[SleepDay]],"dddd")</f>
        <v>Sunday</v>
      </c>
      <c r="G154">
        <f>ROUND(tbl_working_sleep[[#This Row],[TotalMinutesAsleep]]/60,2)</f>
        <v>9.1999999999999993</v>
      </c>
      <c r="H154">
        <f>ROUND(tbl_working_sleep[[#This Row],[TotalTimeInBed]]/60,2)</f>
        <v>9.92</v>
      </c>
      <c r="I154">
        <f>tbl_working_sleep[[#This Row],[TotalTimeInBed]]-tbl_working_sleep[[#This Row],[TotalMinutesAsleep]]</f>
        <v>43</v>
      </c>
      <c r="J154">
        <f>ROUND(tbl_working_sleep[[#This Row],[TotalMinutesAsleep]]/tbl_working_sleep[[#This Row],[TotalTimeInBed]]*100,2)</f>
        <v>92.77</v>
      </c>
      <c r="K154" t="str" cm="1">
        <f t="array" ref="K154">_xlfn.IFS(tbl_working_sleep[[#This Row],[SleepHours]]&lt;6,"Insufficient Sleep",tbl_working_sleep[[#This Row],[SleepHours]]&lt;7,"Below Recommended",tbl_working_sleep[[#This Row],[SleepHours]]&lt;=9,"Recommended",tbl_working_sleep[[#This Row],[SleepHours]]&gt;9,"Oversleeping")</f>
        <v>Oversleeping</v>
      </c>
      <c r="L154" t="str">
        <f>tbl_working_sleep[[#This Row],[Id]]&amp;"|"&amp;TEXT(tbl_working_sleep[[#This Row],[SleepDay]],"yyyy-mm-dd")</f>
        <v>4388161847|2016-04-24</v>
      </c>
    </row>
    <row r="155" spans="1:12" x14ac:dyDescent="0.3">
      <c r="A155">
        <v>4388161847</v>
      </c>
      <c r="B155" s="2">
        <v>42486</v>
      </c>
      <c r="C155">
        <v>1</v>
      </c>
      <c r="D155">
        <v>319</v>
      </c>
      <c r="E155">
        <v>346</v>
      </c>
      <c r="F155" t="str">
        <f>TEXT(tbl_working_sleep[[#This Row],[SleepDay]],"dddd")</f>
        <v>Tuesday</v>
      </c>
      <c r="G155">
        <f>ROUND(tbl_working_sleep[[#This Row],[TotalMinutesAsleep]]/60,2)</f>
        <v>5.32</v>
      </c>
      <c r="H155">
        <f>ROUND(tbl_working_sleep[[#This Row],[TotalTimeInBed]]/60,2)</f>
        <v>5.77</v>
      </c>
      <c r="I155">
        <f>tbl_working_sleep[[#This Row],[TotalTimeInBed]]-tbl_working_sleep[[#This Row],[TotalMinutesAsleep]]</f>
        <v>27</v>
      </c>
      <c r="J155">
        <f>ROUND(tbl_working_sleep[[#This Row],[TotalMinutesAsleep]]/tbl_working_sleep[[#This Row],[TotalTimeInBed]]*100,2)</f>
        <v>92.2</v>
      </c>
      <c r="K155" t="str" cm="1">
        <f t="array" ref="K155">_xlfn.IFS(tbl_working_sleep[[#This Row],[SleepHours]]&lt;6,"Insufficient Sleep",tbl_working_sleep[[#This Row],[SleepHours]]&lt;7,"Below Recommended",tbl_working_sleep[[#This Row],[SleepHours]]&lt;=9,"Recommended",tbl_working_sleep[[#This Row],[SleepHours]]&gt;9,"Oversleeping")</f>
        <v>Insufficient Sleep</v>
      </c>
      <c r="L155" t="str">
        <f>tbl_working_sleep[[#This Row],[Id]]&amp;"|"&amp;TEXT(tbl_working_sleep[[#This Row],[SleepDay]],"yyyy-mm-dd")</f>
        <v>4388161847|2016-04-26</v>
      </c>
    </row>
    <row r="156" spans="1:12" x14ac:dyDescent="0.3">
      <c r="A156">
        <v>4388161847</v>
      </c>
      <c r="B156" s="2">
        <v>42487</v>
      </c>
      <c r="C156">
        <v>1</v>
      </c>
      <c r="D156">
        <v>439</v>
      </c>
      <c r="E156">
        <v>500</v>
      </c>
      <c r="F156" t="str">
        <f>TEXT(tbl_working_sleep[[#This Row],[SleepDay]],"dddd")</f>
        <v>Wednesday</v>
      </c>
      <c r="G156">
        <f>ROUND(tbl_working_sleep[[#This Row],[TotalMinutesAsleep]]/60,2)</f>
        <v>7.32</v>
      </c>
      <c r="H156">
        <f>ROUND(tbl_working_sleep[[#This Row],[TotalTimeInBed]]/60,2)</f>
        <v>8.33</v>
      </c>
      <c r="I156">
        <f>tbl_working_sleep[[#This Row],[TotalTimeInBed]]-tbl_working_sleep[[#This Row],[TotalMinutesAsleep]]</f>
        <v>61</v>
      </c>
      <c r="J156">
        <f>ROUND(tbl_working_sleep[[#This Row],[TotalMinutesAsleep]]/tbl_working_sleep[[#This Row],[TotalTimeInBed]]*100,2)</f>
        <v>87.8</v>
      </c>
      <c r="K156" t="str" cm="1">
        <f t="array" ref="K156">_xlfn.IFS(tbl_working_sleep[[#This Row],[SleepHours]]&lt;6,"Insufficient Sleep",tbl_working_sleep[[#This Row],[SleepHours]]&lt;7,"Below Recommended",tbl_working_sleep[[#This Row],[SleepHours]]&lt;=9,"Recommended",tbl_working_sleep[[#This Row],[SleepHours]]&gt;9,"Oversleeping")</f>
        <v>Recommended</v>
      </c>
      <c r="L156" t="str">
        <f>tbl_working_sleep[[#This Row],[Id]]&amp;"|"&amp;TEXT(tbl_working_sleep[[#This Row],[SleepDay]],"yyyy-mm-dd")</f>
        <v>4388161847|2016-04-27</v>
      </c>
    </row>
    <row r="157" spans="1:12" x14ac:dyDescent="0.3">
      <c r="A157">
        <v>4388161847</v>
      </c>
      <c r="B157" s="2">
        <v>42488</v>
      </c>
      <c r="C157">
        <v>1</v>
      </c>
      <c r="D157">
        <v>428</v>
      </c>
      <c r="E157">
        <v>458</v>
      </c>
      <c r="F157" t="str">
        <f>TEXT(tbl_working_sleep[[#This Row],[SleepDay]],"dddd")</f>
        <v>Thursday</v>
      </c>
      <c r="G157">
        <f>ROUND(tbl_working_sleep[[#This Row],[TotalMinutesAsleep]]/60,2)</f>
        <v>7.13</v>
      </c>
      <c r="H157">
        <f>ROUND(tbl_working_sleep[[#This Row],[TotalTimeInBed]]/60,2)</f>
        <v>7.63</v>
      </c>
      <c r="I157">
        <f>tbl_working_sleep[[#This Row],[TotalTimeInBed]]-tbl_working_sleep[[#This Row],[TotalMinutesAsleep]]</f>
        <v>30</v>
      </c>
      <c r="J157">
        <f>ROUND(tbl_working_sleep[[#This Row],[TotalMinutesAsleep]]/tbl_working_sleep[[#This Row],[TotalTimeInBed]]*100,2)</f>
        <v>93.45</v>
      </c>
      <c r="K157" t="str" cm="1">
        <f t="array" ref="K157">_xlfn.IFS(tbl_working_sleep[[#This Row],[SleepHours]]&lt;6,"Insufficient Sleep",tbl_working_sleep[[#This Row],[SleepHours]]&lt;7,"Below Recommended",tbl_working_sleep[[#This Row],[SleepHours]]&lt;=9,"Recommended",tbl_working_sleep[[#This Row],[SleepHours]]&gt;9,"Oversleeping")</f>
        <v>Recommended</v>
      </c>
      <c r="L157" t="str">
        <f>tbl_working_sleep[[#This Row],[Id]]&amp;"|"&amp;TEXT(tbl_working_sleep[[#This Row],[SleepDay]],"yyyy-mm-dd")</f>
        <v>4388161847|2016-04-28</v>
      </c>
    </row>
    <row r="158" spans="1:12" x14ac:dyDescent="0.3">
      <c r="A158">
        <v>4388161847</v>
      </c>
      <c r="B158" s="2">
        <v>42490</v>
      </c>
      <c r="C158">
        <v>2</v>
      </c>
      <c r="D158">
        <v>409</v>
      </c>
      <c r="E158">
        <v>430</v>
      </c>
      <c r="F158" t="str">
        <f>TEXT(tbl_working_sleep[[#This Row],[SleepDay]],"dddd")</f>
        <v>Saturday</v>
      </c>
      <c r="G158">
        <f>ROUND(tbl_working_sleep[[#This Row],[TotalMinutesAsleep]]/60,2)</f>
        <v>6.82</v>
      </c>
      <c r="H158">
        <f>ROUND(tbl_working_sleep[[#This Row],[TotalTimeInBed]]/60,2)</f>
        <v>7.17</v>
      </c>
      <c r="I158">
        <f>tbl_working_sleep[[#This Row],[TotalTimeInBed]]-tbl_working_sleep[[#This Row],[TotalMinutesAsleep]]</f>
        <v>21</v>
      </c>
      <c r="J158">
        <f>ROUND(tbl_working_sleep[[#This Row],[TotalMinutesAsleep]]/tbl_working_sleep[[#This Row],[TotalTimeInBed]]*100,2)</f>
        <v>95.12</v>
      </c>
      <c r="K158" t="str" cm="1">
        <f t="array" ref="K158">_xlfn.IFS(tbl_working_sleep[[#This Row],[SleepHours]]&lt;6,"Insufficient Sleep",tbl_working_sleep[[#This Row],[SleepHours]]&lt;7,"Below Recommended",tbl_working_sleep[[#This Row],[SleepHours]]&lt;=9,"Recommended",tbl_working_sleep[[#This Row],[SleepHours]]&gt;9,"Oversleeping")</f>
        <v>Below Recommended</v>
      </c>
      <c r="L158" t="str">
        <f>tbl_working_sleep[[#This Row],[Id]]&amp;"|"&amp;TEXT(tbl_working_sleep[[#This Row],[SleepDay]],"yyyy-mm-dd")</f>
        <v>4388161847|2016-04-30</v>
      </c>
    </row>
    <row r="159" spans="1:12" x14ac:dyDescent="0.3">
      <c r="A159">
        <v>4388161847</v>
      </c>
      <c r="B159" s="2">
        <v>42491</v>
      </c>
      <c r="C159">
        <v>1</v>
      </c>
      <c r="D159">
        <v>547</v>
      </c>
      <c r="E159">
        <v>597</v>
      </c>
      <c r="F159" t="str">
        <f>TEXT(tbl_working_sleep[[#This Row],[SleepDay]],"dddd")</f>
        <v>Sunday</v>
      </c>
      <c r="G159">
        <f>ROUND(tbl_working_sleep[[#This Row],[TotalMinutesAsleep]]/60,2)</f>
        <v>9.1199999999999992</v>
      </c>
      <c r="H159">
        <f>ROUND(tbl_working_sleep[[#This Row],[TotalTimeInBed]]/60,2)</f>
        <v>9.9499999999999993</v>
      </c>
      <c r="I159">
        <f>tbl_working_sleep[[#This Row],[TotalTimeInBed]]-tbl_working_sleep[[#This Row],[TotalMinutesAsleep]]</f>
        <v>50</v>
      </c>
      <c r="J159">
        <f>ROUND(tbl_working_sleep[[#This Row],[TotalMinutesAsleep]]/tbl_working_sleep[[#This Row],[TotalTimeInBed]]*100,2)</f>
        <v>91.62</v>
      </c>
      <c r="K159" t="str" cm="1">
        <f t="array" ref="K159">_xlfn.IFS(tbl_working_sleep[[#This Row],[SleepHours]]&lt;6,"Insufficient Sleep",tbl_working_sleep[[#This Row],[SleepHours]]&lt;7,"Below Recommended",tbl_working_sleep[[#This Row],[SleepHours]]&lt;=9,"Recommended",tbl_working_sleep[[#This Row],[SleepHours]]&gt;9,"Oversleeping")</f>
        <v>Oversleeping</v>
      </c>
      <c r="L159" t="str">
        <f>tbl_working_sleep[[#This Row],[Id]]&amp;"|"&amp;TEXT(tbl_working_sleep[[#This Row],[SleepDay]],"yyyy-mm-dd")</f>
        <v>4388161847|2016-05-01</v>
      </c>
    </row>
    <row r="160" spans="1:12" x14ac:dyDescent="0.3">
      <c r="A160">
        <v>4388161847</v>
      </c>
      <c r="B160" s="2">
        <v>42492</v>
      </c>
      <c r="C160">
        <v>2</v>
      </c>
      <c r="D160">
        <v>368</v>
      </c>
      <c r="E160">
        <v>376</v>
      </c>
      <c r="F160" t="str">
        <f>TEXT(tbl_working_sleep[[#This Row],[SleepDay]],"dddd")</f>
        <v>Monday</v>
      </c>
      <c r="G160">
        <f>ROUND(tbl_working_sleep[[#This Row],[TotalMinutesAsleep]]/60,2)</f>
        <v>6.13</v>
      </c>
      <c r="H160">
        <f>ROUND(tbl_working_sleep[[#This Row],[TotalTimeInBed]]/60,2)</f>
        <v>6.27</v>
      </c>
      <c r="I160">
        <f>tbl_working_sleep[[#This Row],[TotalTimeInBed]]-tbl_working_sleep[[#This Row],[TotalMinutesAsleep]]</f>
        <v>8</v>
      </c>
      <c r="J160">
        <f>ROUND(tbl_working_sleep[[#This Row],[TotalMinutesAsleep]]/tbl_working_sleep[[#This Row],[TotalTimeInBed]]*100,2)</f>
        <v>97.87</v>
      </c>
      <c r="K160" t="str" cm="1">
        <f t="array" ref="K160">_xlfn.IFS(tbl_working_sleep[[#This Row],[SleepHours]]&lt;6,"Insufficient Sleep",tbl_working_sleep[[#This Row],[SleepHours]]&lt;7,"Below Recommended",tbl_working_sleep[[#This Row],[SleepHours]]&lt;=9,"Recommended",tbl_working_sleep[[#This Row],[SleepHours]]&gt;9,"Oversleeping")</f>
        <v>Below Recommended</v>
      </c>
      <c r="L160" t="str">
        <f>tbl_working_sleep[[#This Row],[Id]]&amp;"|"&amp;TEXT(tbl_working_sleep[[#This Row],[SleepDay]],"yyyy-mm-dd")</f>
        <v>4388161847|2016-05-02</v>
      </c>
    </row>
    <row r="161" spans="1:12" x14ac:dyDescent="0.3">
      <c r="A161">
        <v>4388161847</v>
      </c>
      <c r="B161" s="2">
        <v>42494</v>
      </c>
      <c r="C161">
        <v>1</v>
      </c>
      <c r="D161">
        <v>390</v>
      </c>
      <c r="E161">
        <v>414</v>
      </c>
      <c r="F161" t="str">
        <f>TEXT(tbl_working_sleep[[#This Row],[SleepDay]],"dddd")</f>
        <v>Wednesday</v>
      </c>
      <c r="G161">
        <f>ROUND(tbl_working_sleep[[#This Row],[TotalMinutesAsleep]]/60,2)</f>
        <v>6.5</v>
      </c>
      <c r="H161">
        <f>ROUND(tbl_working_sleep[[#This Row],[TotalTimeInBed]]/60,2)</f>
        <v>6.9</v>
      </c>
      <c r="I161">
        <f>tbl_working_sleep[[#This Row],[TotalTimeInBed]]-tbl_working_sleep[[#This Row],[TotalMinutesAsleep]]</f>
        <v>24</v>
      </c>
      <c r="J161">
        <f>ROUND(tbl_working_sleep[[#This Row],[TotalMinutesAsleep]]/tbl_working_sleep[[#This Row],[TotalTimeInBed]]*100,2)</f>
        <v>94.2</v>
      </c>
      <c r="K161" t="str" cm="1">
        <f t="array" ref="K161">_xlfn.IFS(tbl_working_sleep[[#This Row],[SleepHours]]&lt;6,"Insufficient Sleep",tbl_working_sleep[[#This Row],[SleepHours]]&lt;7,"Below Recommended",tbl_working_sleep[[#This Row],[SleepHours]]&lt;=9,"Recommended",tbl_working_sleep[[#This Row],[SleepHours]]&gt;9,"Oversleeping")</f>
        <v>Below Recommended</v>
      </c>
      <c r="L161" t="str">
        <f>tbl_working_sleep[[#This Row],[Id]]&amp;"|"&amp;TEXT(tbl_working_sleep[[#This Row],[SleepDay]],"yyyy-mm-dd")</f>
        <v>4388161847|2016-05-04</v>
      </c>
    </row>
    <row r="162" spans="1:12" x14ac:dyDescent="0.3">
      <c r="A162">
        <v>4388161847</v>
      </c>
      <c r="B162" s="2">
        <v>42495</v>
      </c>
      <c r="C162">
        <v>1</v>
      </c>
      <c r="D162">
        <v>471</v>
      </c>
      <c r="E162">
        <v>495</v>
      </c>
      <c r="F162" t="str">
        <f>TEXT(tbl_working_sleep[[#This Row],[SleepDay]],"dddd")</f>
        <v>Thursday</v>
      </c>
      <c r="G162">
        <f>ROUND(tbl_working_sleep[[#This Row],[TotalMinutesAsleep]]/60,2)</f>
        <v>7.85</v>
      </c>
      <c r="H162">
        <f>ROUND(tbl_working_sleep[[#This Row],[TotalTimeInBed]]/60,2)</f>
        <v>8.25</v>
      </c>
      <c r="I162">
        <f>tbl_working_sleep[[#This Row],[TotalTimeInBed]]-tbl_working_sleep[[#This Row],[TotalMinutesAsleep]]</f>
        <v>24</v>
      </c>
      <c r="J162">
        <f>ROUND(tbl_working_sleep[[#This Row],[TotalMinutesAsleep]]/tbl_working_sleep[[#This Row],[TotalTimeInBed]]*100,2)</f>
        <v>95.15</v>
      </c>
      <c r="K162" t="str" cm="1">
        <f t="array" ref="K162">_xlfn.IFS(tbl_working_sleep[[#This Row],[SleepHours]]&lt;6,"Insufficient Sleep",tbl_working_sleep[[#This Row],[SleepHours]]&lt;7,"Below Recommended",tbl_working_sleep[[#This Row],[SleepHours]]&lt;=9,"Recommended",tbl_working_sleep[[#This Row],[SleepHours]]&gt;9,"Oversleeping")</f>
        <v>Recommended</v>
      </c>
      <c r="L162" t="str">
        <f>tbl_working_sleep[[#This Row],[Id]]&amp;"|"&amp;TEXT(tbl_working_sleep[[#This Row],[SleepDay]],"yyyy-mm-dd")</f>
        <v>4388161847|2016-05-05</v>
      </c>
    </row>
    <row r="163" spans="1:12" x14ac:dyDescent="0.3">
      <c r="A163">
        <v>4388161847</v>
      </c>
      <c r="B163" s="2">
        <v>42497</v>
      </c>
      <c r="C163">
        <v>1</v>
      </c>
      <c r="D163">
        <v>472</v>
      </c>
      <c r="E163">
        <v>496</v>
      </c>
      <c r="F163" t="str">
        <f>TEXT(tbl_working_sleep[[#This Row],[SleepDay]],"dddd")</f>
        <v>Saturday</v>
      </c>
      <c r="G163">
        <f>ROUND(tbl_working_sleep[[#This Row],[TotalMinutesAsleep]]/60,2)</f>
        <v>7.87</v>
      </c>
      <c r="H163">
        <f>ROUND(tbl_working_sleep[[#This Row],[TotalTimeInBed]]/60,2)</f>
        <v>8.27</v>
      </c>
      <c r="I163">
        <f>tbl_working_sleep[[#This Row],[TotalTimeInBed]]-tbl_working_sleep[[#This Row],[TotalMinutesAsleep]]</f>
        <v>24</v>
      </c>
      <c r="J163">
        <f>ROUND(tbl_working_sleep[[#This Row],[TotalMinutesAsleep]]/tbl_working_sleep[[#This Row],[TotalTimeInBed]]*100,2)</f>
        <v>95.16</v>
      </c>
      <c r="K163" t="str" cm="1">
        <f t="array" ref="K163">_xlfn.IFS(tbl_working_sleep[[#This Row],[SleepHours]]&lt;6,"Insufficient Sleep",tbl_working_sleep[[#This Row],[SleepHours]]&lt;7,"Below Recommended",tbl_working_sleep[[#This Row],[SleepHours]]&lt;=9,"Recommended",tbl_working_sleep[[#This Row],[SleepHours]]&gt;9,"Oversleeping")</f>
        <v>Recommended</v>
      </c>
      <c r="L163" t="str">
        <f>tbl_working_sleep[[#This Row],[Id]]&amp;"|"&amp;TEXT(tbl_working_sleep[[#This Row],[SleepDay]],"yyyy-mm-dd")</f>
        <v>4388161847|2016-05-07</v>
      </c>
    </row>
    <row r="164" spans="1:12" x14ac:dyDescent="0.3">
      <c r="A164">
        <v>4388161847</v>
      </c>
      <c r="B164" s="2">
        <v>42498</v>
      </c>
      <c r="C164">
        <v>2</v>
      </c>
      <c r="D164">
        <v>529</v>
      </c>
      <c r="E164">
        <v>541</v>
      </c>
      <c r="F164" t="str">
        <f>TEXT(tbl_working_sleep[[#This Row],[SleepDay]],"dddd")</f>
        <v>Sunday</v>
      </c>
      <c r="G164">
        <f>ROUND(tbl_working_sleep[[#This Row],[TotalMinutesAsleep]]/60,2)</f>
        <v>8.82</v>
      </c>
      <c r="H164">
        <f>ROUND(tbl_working_sleep[[#This Row],[TotalTimeInBed]]/60,2)</f>
        <v>9.02</v>
      </c>
      <c r="I164">
        <f>tbl_working_sleep[[#This Row],[TotalTimeInBed]]-tbl_working_sleep[[#This Row],[TotalMinutesAsleep]]</f>
        <v>12</v>
      </c>
      <c r="J164">
        <f>ROUND(tbl_working_sleep[[#This Row],[TotalMinutesAsleep]]/tbl_working_sleep[[#This Row],[TotalTimeInBed]]*100,2)</f>
        <v>97.78</v>
      </c>
      <c r="K164" t="str" cm="1">
        <f t="array" ref="K164">_xlfn.IFS(tbl_working_sleep[[#This Row],[SleepHours]]&lt;6,"Insufficient Sleep",tbl_working_sleep[[#This Row],[SleepHours]]&lt;7,"Below Recommended",tbl_working_sleep[[#This Row],[SleepHours]]&lt;=9,"Recommended",tbl_working_sleep[[#This Row],[SleepHours]]&gt;9,"Oversleeping")</f>
        <v>Recommended</v>
      </c>
      <c r="L164" t="str">
        <f>tbl_working_sleep[[#This Row],[Id]]&amp;"|"&amp;TEXT(tbl_working_sleep[[#This Row],[SleepDay]],"yyyy-mm-dd")</f>
        <v>4388161847|2016-05-08</v>
      </c>
    </row>
    <row r="165" spans="1:12" x14ac:dyDescent="0.3">
      <c r="A165">
        <v>4388161847</v>
      </c>
      <c r="B165" s="2">
        <v>42499</v>
      </c>
      <c r="C165">
        <v>1</v>
      </c>
      <c r="D165">
        <v>62</v>
      </c>
      <c r="E165">
        <v>65</v>
      </c>
      <c r="F165" t="str">
        <f>TEXT(tbl_working_sleep[[#This Row],[SleepDay]],"dddd")</f>
        <v>Monday</v>
      </c>
      <c r="G165">
        <f>ROUND(tbl_working_sleep[[#This Row],[TotalMinutesAsleep]]/60,2)</f>
        <v>1.03</v>
      </c>
      <c r="H165">
        <f>ROUND(tbl_working_sleep[[#This Row],[TotalTimeInBed]]/60,2)</f>
        <v>1.08</v>
      </c>
      <c r="I165">
        <f>tbl_working_sleep[[#This Row],[TotalTimeInBed]]-tbl_working_sleep[[#This Row],[TotalMinutesAsleep]]</f>
        <v>3</v>
      </c>
      <c r="J165">
        <f>ROUND(tbl_working_sleep[[#This Row],[TotalMinutesAsleep]]/tbl_working_sleep[[#This Row],[TotalTimeInBed]]*100,2)</f>
        <v>95.38</v>
      </c>
      <c r="K165" t="str" cm="1">
        <f t="array" ref="K165">_xlfn.IFS(tbl_working_sleep[[#This Row],[SleepHours]]&lt;6,"Insufficient Sleep",tbl_working_sleep[[#This Row],[SleepHours]]&lt;7,"Below Recommended",tbl_working_sleep[[#This Row],[SleepHours]]&lt;=9,"Recommended",tbl_working_sleep[[#This Row],[SleepHours]]&gt;9,"Oversleeping")</f>
        <v>Insufficient Sleep</v>
      </c>
      <c r="L165" t="str">
        <f>tbl_working_sleep[[#This Row],[Id]]&amp;"|"&amp;TEXT(tbl_working_sleep[[#This Row],[SleepDay]],"yyyy-mm-dd")</f>
        <v>4388161847|2016-05-09</v>
      </c>
    </row>
    <row r="166" spans="1:12" x14ac:dyDescent="0.3">
      <c r="A166">
        <v>4388161847</v>
      </c>
      <c r="B166" s="2">
        <v>42500</v>
      </c>
      <c r="C166">
        <v>1</v>
      </c>
      <c r="D166">
        <v>354</v>
      </c>
      <c r="E166">
        <v>375</v>
      </c>
      <c r="F166" t="str">
        <f>TEXT(tbl_working_sleep[[#This Row],[SleepDay]],"dddd")</f>
        <v>Tuesday</v>
      </c>
      <c r="G166">
        <f>ROUND(tbl_working_sleep[[#This Row],[TotalMinutesAsleep]]/60,2)</f>
        <v>5.9</v>
      </c>
      <c r="H166">
        <f>ROUND(tbl_working_sleep[[#This Row],[TotalTimeInBed]]/60,2)</f>
        <v>6.25</v>
      </c>
      <c r="I166">
        <f>tbl_working_sleep[[#This Row],[TotalTimeInBed]]-tbl_working_sleep[[#This Row],[TotalMinutesAsleep]]</f>
        <v>21</v>
      </c>
      <c r="J166">
        <f>ROUND(tbl_working_sleep[[#This Row],[TotalMinutesAsleep]]/tbl_working_sleep[[#This Row],[TotalTimeInBed]]*100,2)</f>
        <v>94.4</v>
      </c>
      <c r="K166" t="str" cm="1">
        <f t="array" ref="K166">_xlfn.IFS(tbl_working_sleep[[#This Row],[SleepHours]]&lt;6,"Insufficient Sleep",tbl_working_sleep[[#This Row],[SleepHours]]&lt;7,"Below Recommended",tbl_working_sleep[[#This Row],[SleepHours]]&lt;=9,"Recommended",tbl_working_sleep[[#This Row],[SleepHours]]&gt;9,"Oversleeping")</f>
        <v>Insufficient Sleep</v>
      </c>
      <c r="L166" t="str">
        <f>tbl_working_sleep[[#This Row],[Id]]&amp;"|"&amp;TEXT(tbl_working_sleep[[#This Row],[SleepDay]],"yyyy-mm-dd")</f>
        <v>4388161847|2016-05-10</v>
      </c>
    </row>
    <row r="167" spans="1:12" x14ac:dyDescent="0.3">
      <c r="A167">
        <v>4388161847</v>
      </c>
      <c r="B167" s="2">
        <v>42501</v>
      </c>
      <c r="C167">
        <v>1</v>
      </c>
      <c r="D167">
        <v>469</v>
      </c>
      <c r="E167">
        <v>494</v>
      </c>
      <c r="F167" t="str">
        <f>TEXT(tbl_working_sleep[[#This Row],[SleepDay]],"dddd")</f>
        <v>Wednesday</v>
      </c>
      <c r="G167">
        <f>ROUND(tbl_working_sleep[[#This Row],[TotalMinutesAsleep]]/60,2)</f>
        <v>7.82</v>
      </c>
      <c r="H167">
        <f>ROUND(tbl_working_sleep[[#This Row],[TotalTimeInBed]]/60,2)</f>
        <v>8.23</v>
      </c>
      <c r="I167">
        <f>tbl_working_sleep[[#This Row],[TotalTimeInBed]]-tbl_working_sleep[[#This Row],[TotalMinutesAsleep]]</f>
        <v>25</v>
      </c>
      <c r="J167">
        <f>ROUND(tbl_working_sleep[[#This Row],[TotalMinutesAsleep]]/tbl_working_sleep[[#This Row],[TotalTimeInBed]]*100,2)</f>
        <v>94.94</v>
      </c>
      <c r="K167" t="str" cm="1">
        <f t="array" ref="K167">_xlfn.IFS(tbl_working_sleep[[#This Row],[SleepHours]]&lt;6,"Insufficient Sleep",tbl_working_sleep[[#This Row],[SleepHours]]&lt;7,"Below Recommended",tbl_working_sleep[[#This Row],[SleepHours]]&lt;=9,"Recommended",tbl_working_sleep[[#This Row],[SleepHours]]&gt;9,"Oversleeping")</f>
        <v>Recommended</v>
      </c>
      <c r="L167" t="str">
        <f>tbl_working_sleep[[#This Row],[Id]]&amp;"|"&amp;TEXT(tbl_working_sleep[[#This Row],[SleepDay]],"yyyy-mm-dd")</f>
        <v>4388161847|2016-05-11</v>
      </c>
    </row>
    <row r="168" spans="1:12" x14ac:dyDescent="0.3">
      <c r="A168">
        <v>4445114986</v>
      </c>
      <c r="B168" s="2">
        <v>42472</v>
      </c>
      <c r="C168">
        <v>2</v>
      </c>
      <c r="D168">
        <v>429</v>
      </c>
      <c r="E168">
        <v>457</v>
      </c>
      <c r="F168" t="str">
        <f>TEXT(tbl_working_sleep[[#This Row],[SleepDay]],"dddd")</f>
        <v>Tuesday</v>
      </c>
      <c r="G168">
        <f>ROUND(tbl_working_sleep[[#This Row],[TotalMinutesAsleep]]/60,2)</f>
        <v>7.15</v>
      </c>
      <c r="H168">
        <f>ROUND(tbl_working_sleep[[#This Row],[TotalTimeInBed]]/60,2)</f>
        <v>7.62</v>
      </c>
      <c r="I168">
        <f>tbl_working_sleep[[#This Row],[TotalTimeInBed]]-tbl_working_sleep[[#This Row],[TotalMinutesAsleep]]</f>
        <v>28</v>
      </c>
      <c r="J168">
        <f>ROUND(tbl_working_sleep[[#This Row],[TotalMinutesAsleep]]/tbl_working_sleep[[#This Row],[TotalTimeInBed]]*100,2)</f>
        <v>93.87</v>
      </c>
      <c r="K168" t="str" cm="1">
        <f t="array" ref="K168">_xlfn.IFS(tbl_working_sleep[[#This Row],[SleepHours]]&lt;6,"Insufficient Sleep",tbl_working_sleep[[#This Row],[SleepHours]]&lt;7,"Below Recommended",tbl_working_sleep[[#This Row],[SleepHours]]&lt;=9,"Recommended",tbl_working_sleep[[#This Row],[SleepHours]]&gt;9,"Oversleeping")</f>
        <v>Recommended</v>
      </c>
      <c r="L168" t="str">
        <f>tbl_working_sleep[[#This Row],[Id]]&amp;"|"&amp;TEXT(tbl_working_sleep[[#This Row],[SleepDay]],"yyyy-mm-dd")</f>
        <v>4445114986|2016-04-12</v>
      </c>
    </row>
    <row r="169" spans="1:12" x14ac:dyDescent="0.3">
      <c r="A169">
        <v>4445114986</v>
      </c>
      <c r="B169" s="2">
        <v>42473</v>
      </c>
      <c r="C169">
        <v>2</v>
      </c>
      <c r="D169">
        <v>370</v>
      </c>
      <c r="E169">
        <v>406</v>
      </c>
      <c r="F169" t="str">
        <f>TEXT(tbl_working_sleep[[#This Row],[SleepDay]],"dddd")</f>
        <v>Wednesday</v>
      </c>
      <c r="G169">
        <f>ROUND(tbl_working_sleep[[#This Row],[TotalMinutesAsleep]]/60,2)</f>
        <v>6.17</v>
      </c>
      <c r="H169">
        <f>ROUND(tbl_working_sleep[[#This Row],[TotalTimeInBed]]/60,2)</f>
        <v>6.77</v>
      </c>
      <c r="I169">
        <f>tbl_working_sleep[[#This Row],[TotalTimeInBed]]-tbl_working_sleep[[#This Row],[TotalMinutesAsleep]]</f>
        <v>36</v>
      </c>
      <c r="J169">
        <f>ROUND(tbl_working_sleep[[#This Row],[TotalMinutesAsleep]]/tbl_working_sleep[[#This Row],[TotalTimeInBed]]*100,2)</f>
        <v>91.13</v>
      </c>
      <c r="K169" t="str" cm="1">
        <f t="array" ref="K169">_xlfn.IFS(tbl_working_sleep[[#This Row],[SleepHours]]&lt;6,"Insufficient Sleep",tbl_working_sleep[[#This Row],[SleepHours]]&lt;7,"Below Recommended",tbl_working_sleep[[#This Row],[SleepHours]]&lt;=9,"Recommended",tbl_working_sleep[[#This Row],[SleepHours]]&gt;9,"Oversleeping")</f>
        <v>Below Recommended</v>
      </c>
      <c r="L169" t="str">
        <f>tbl_working_sleep[[#This Row],[Id]]&amp;"|"&amp;TEXT(tbl_working_sleep[[#This Row],[SleepDay]],"yyyy-mm-dd")</f>
        <v>4445114986|2016-04-13</v>
      </c>
    </row>
    <row r="170" spans="1:12" x14ac:dyDescent="0.3">
      <c r="A170">
        <v>4445114986</v>
      </c>
      <c r="B170" s="2">
        <v>42474</v>
      </c>
      <c r="C170">
        <v>1</v>
      </c>
      <c r="D170">
        <v>441</v>
      </c>
      <c r="E170">
        <v>492</v>
      </c>
      <c r="F170" t="str">
        <f>TEXT(tbl_working_sleep[[#This Row],[SleepDay]],"dddd")</f>
        <v>Thursday</v>
      </c>
      <c r="G170">
        <f>ROUND(tbl_working_sleep[[#This Row],[TotalMinutesAsleep]]/60,2)</f>
        <v>7.35</v>
      </c>
      <c r="H170">
        <f>ROUND(tbl_working_sleep[[#This Row],[TotalTimeInBed]]/60,2)</f>
        <v>8.1999999999999993</v>
      </c>
      <c r="I170">
        <f>tbl_working_sleep[[#This Row],[TotalTimeInBed]]-tbl_working_sleep[[#This Row],[TotalMinutesAsleep]]</f>
        <v>51</v>
      </c>
      <c r="J170">
        <f>ROUND(tbl_working_sleep[[#This Row],[TotalMinutesAsleep]]/tbl_working_sleep[[#This Row],[TotalTimeInBed]]*100,2)</f>
        <v>89.63</v>
      </c>
      <c r="K170" t="str" cm="1">
        <f t="array" ref="K170">_xlfn.IFS(tbl_working_sleep[[#This Row],[SleepHours]]&lt;6,"Insufficient Sleep",tbl_working_sleep[[#This Row],[SleepHours]]&lt;7,"Below Recommended",tbl_working_sleep[[#This Row],[SleepHours]]&lt;=9,"Recommended",tbl_working_sleep[[#This Row],[SleepHours]]&gt;9,"Oversleeping")</f>
        <v>Recommended</v>
      </c>
      <c r="L170" t="str">
        <f>tbl_working_sleep[[#This Row],[Id]]&amp;"|"&amp;TEXT(tbl_working_sleep[[#This Row],[SleepDay]],"yyyy-mm-dd")</f>
        <v>4445114986|2016-04-14</v>
      </c>
    </row>
    <row r="171" spans="1:12" x14ac:dyDescent="0.3">
      <c r="A171">
        <v>4445114986</v>
      </c>
      <c r="B171" s="2">
        <v>42475</v>
      </c>
      <c r="C171">
        <v>2</v>
      </c>
      <c r="D171">
        <v>337</v>
      </c>
      <c r="E171">
        <v>379</v>
      </c>
      <c r="F171" t="str">
        <f>TEXT(tbl_working_sleep[[#This Row],[SleepDay]],"dddd")</f>
        <v>Friday</v>
      </c>
      <c r="G171">
        <f>ROUND(tbl_working_sleep[[#This Row],[TotalMinutesAsleep]]/60,2)</f>
        <v>5.62</v>
      </c>
      <c r="H171">
        <f>ROUND(tbl_working_sleep[[#This Row],[TotalTimeInBed]]/60,2)</f>
        <v>6.32</v>
      </c>
      <c r="I171">
        <f>tbl_working_sleep[[#This Row],[TotalTimeInBed]]-tbl_working_sleep[[#This Row],[TotalMinutesAsleep]]</f>
        <v>42</v>
      </c>
      <c r="J171">
        <f>ROUND(tbl_working_sleep[[#This Row],[TotalMinutesAsleep]]/tbl_working_sleep[[#This Row],[TotalTimeInBed]]*100,2)</f>
        <v>88.92</v>
      </c>
      <c r="K171" t="str" cm="1">
        <f t="array" ref="K171">_xlfn.IFS(tbl_working_sleep[[#This Row],[SleepHours]]&lt;6,"Insufficient Sleep",tbl_working_sleep[[#This Row],[SleepHours]]&lt;7,"Below Recommended",tbl_working_sleep[[#This Row],[SleepHours]]&lt;=9,"Recommended",tbl_working_sleep[[#This Row],[SleepHours]]&gt;9,"Oversleeping")</f>
        <v>Insufficient Sleep</v>
      </c>
      <c r="L171" t="str">
        <f>tbl_working_sleep[[#This Row],[Id]]&amp;"|"&amp;TEXT(tbl_working_sleep[[#This Row],[SleepDay]],"yyyy-mm-dd")</f>
        <v>4445114986|2016-04-15</v>
      </c>
    </row>
    <row r="172" spans="1:12" x14ac:dyDescent="0.3">
      <c r="A172">
        <v>4445114986</v>
      </c>
      <c r="B172" s="2">
        <v>42476</v>
      </c>
      <c r="C172">
        <v>1</v>
      </c>
      <c r="D172">
        <v>462</v>
      </c>
      <c r="E172">
        <v>499</v>
      </c>
      <c r="F172" t="str">
        <f>TEXT(tbl_working_sleep[[#This Row],[SleepDay]],"dddd")</f>
        <v>Saturday</v>
      </c>
      <c r="G172">
        <f>ROUND(tbl_working_sleep[[#This Row],[TotalMinutesAsleep]]/60,2)</f>
        <v>7.7</v>
      </c>
      <c r="H172">
        <f>ROUND(tbl_working_sleep[[#This Row],[TotalTimeInBed]]/60,2)</f>
        <v>8.32</v>
      </c>
      <c r="I172">
        <f>tbl_working_sleep[[#This Row],[TotalTimeInBed]]-tbl_working_sleep[[#This Row],[TotalMinutesAsleep]]</f>
        <v>37</v>
      </c>
      <c r="J172">
        <f>ROUND(tbl_working_sleep[[#This Row],[TotalMinutesAsleep]]/tbl_working_sleep[[#This Row],[TotalTimeInBed]]*100,2)</f>
        <v>92.59</v>
      </c>
      <c r="K172" t="str" cm="1">
        <f t="array" ref="K172">_xlfn.IFS(tbl_working_sleep[[#This Row],[SleepHours]]&lt;6,"Insufficient Sleep",tbl_working_sleep[[#This Row],[SleepHours]]&lt;7,"Below Recommended",tbl_working_sleep[[#This Row],[SleepHours]]&lt;=9,"Recommended",tbl_working_sleep[[#This Row],[SleepHours]]&gt;9,"Oversleeping")</f>
        <v>Recommended</v>
      </c>
      <c r="L172" t="str">
        <f>tbl_working_sleep[[#This Row],[Id]]&amp;"|"&amp;TEXT(tbl_working_sleep[[#This Row],[SleepDay]],"yyyy-mm-dd")</f>
        <v>4445114986|2016-04-16</v>
      </c>
    </row>
    <row r="173" spans="1:12" x14ac:dyDescent="0.3">
      <c r="A173">
        <v>4445114986</v>
      </c>
      <c r="B173" s="2">
        <v>42477</v>
      </c>
      <c r="C173">
        <v>1</v>
      </c>
      <c r="D173">
        <v>98</v>
      </c>
      <c r="E173">
        <v>107</v>
      </c>
      <c r="F173" t="str">
        <f>TEXT(tbl_working_sleep[[#This Row],[SleepDay]],"dddd")</f>
        <v>Sunday</v>
      </c>
      <c r="G173">
        <f>ROUND(tbl_working_sleep[[#This Row],[TotalMinutesAsleep]]/60,2)</f>
        <v>1.63</v>
      </c>
      <c r="H173">
        <f>ROUND(tbl_working_sleep[[#This Row],[TotalTimeInBed]]/60,2)</f>
        <v>1.78</v>
      </c>
      <c r="I173">
        <f>tbl_working_sleep[[#This Row],[TotalTimeInBed]]-tbl_working_sleep[[#This Row],[TotalMinutesAsleep]]</f>
        <v>9</v>
      </c>
      <c r="J173">
        <f>ROUND(tbl_working_sleep[[#This Row],[TotalMinutesAsleep]]/tbl_working_sleep[[#This Row],[TotalTimeInBed]]*100,2)</f>
        <v>91.59</v>
      </c>
      <c r="K173" t="str" cm="1">
        <f t="array" ref="K173">_xlfn.IFS(tbl_working_sleep[[#This Row],[SleepHours]]&lt;6,"Insufficient Sleep",tbl_working_sleep[[#This Row],[SleepHours]]&lt;7,"Below Recommended",tbl_working_sleep[[#This Row],[SleepHours]]&lt;=9,"Recommended",tbl_working_sleep[[#This Row],[SleepHours]]&gt;9,"Oversleeping")</f>
        <v>Insufficient Sleep</v>
      </c>
      <c r="L173" t="str">
        <f>tbl_working_sleep[[#This Row],[Id]]&amp;"|"&amp;TEXT(tbl_working_sleep[[#This Row],[SleepDay]],"yyyy-mm-dd")</f>
        <v>4445114986|2016-04-17</v>
      </c>
    </row>
    <row r="174" spans="1:12" x14ac:dyDescent="0.3">
      <c r="A174">
        <v>4445114986</v>
      </c>
      <c r="B174" s="2">
        <v>42479</v>
      </c>
      <c r="C174">
        <v>2</v>
      </c>
      <c r="D174">
        <v>388</v>
      </c>
      <c r="E174">
        <v>424</v>
      </c>
      <c r="F174" t="str">
        <f>TEXT(tbl_working_sleep[[#This Row],[SleepDay]],"dddd")</f>
        <v>Tuesday</v>
      </c>
      <c r="G174">
        <f>ROUND(tbl_working_sleep[[#This Row],[TotalMinutesAsleep]]/60,2)</f>
        <v>6.47</v>
      </c>
      <c r="H174">
        <f>ROUND(tbl_working_sleep[[#This Row],[TotalTimeInBed]]/60,2)</f>
        <v>7.07</v>
      </c>
      <c r="I174">
        <f>tbl_working_sleep[[#This Row],[TotalTimeInBed]]-tbl_working_sleep[[#This Row],[TotalMinutesAsleep]]</f>
        <v>36</v>
      </c>
      <c r="J174">
        <f>ROUND(tbl_working_sleep[[#This Row],[TotalMinutesAsleep]]/tbl_working_sleep[[#This Row],[TotalTimeInBed]]*100,2)</f>
        <v>91.51</v>
      </c>
      <c r="K174" t="str" cm="1">
        <f t="array" ref="K174">_xlfn.IFS(tbl_working_sleep[[#This Row],[SleepHours]]&lt;6,"Insufficient Sleep",tbl_working_sleep[[#This Row],[SleepHours]]&lt;7,"Below Recommended",tbl_working_sleep[[#This Row],[SleepHours]]&lt;=9,"Recommended",tbl_working_sleep[[#This Row],[SleepHours]]&gt;9,"Oversleeping")</f>
        <v>Below Recommended</v>
      </c>
      <c r="L174" t="str">
        <f>tbl_working_sleep[[#This Row],[Id]]&amp;"|"&amp;TEXT(tbl_working_sleep[[#This Row],[SleepDay]],"yyyy-mm-dd")</f>
        <v>4445114986|2016-04-19</v>
      </c>
    </row>
    <row r="175" spans="1:12" x14ac:dyDescent="0.3">
      <c r="A175">
        <v>4445114986</v>
      </c>
      <c r="B175" s="2">
        <v>42480</v>
      </c>
      <c r="C175">
        <v>1</v>
      </c>
      <c r="D175">
        <v>439</v>
      </c>
      <c r="E175">
        <v>462</v>
      </c>
      <c r="F175" t="str">
        <f>TEXT(tbl_working_sleep[[#This Row],[SleepDay]],"dddd")</f>
        <v>Wednesday</v>
      </c>
      <c r="G175">
        <f>ROUND(tbl_working_sleep[[#This Row],[TotalMinutesAsleep]]/60,2)</f>
        <v>7.32</v>
      </c>
      <c r="H175">
        <f>ROUND(tbl_working_sleep[[#This Row],[TotalTimeInBed]]/60,2)</f>
        <v>7.7</v>
      </c>
      <c r="I175">
        <f>tbl_working_sleep[[#This Row],[TotalTimeInBed]]-tbl_working_sleep[[#This Row],[TotalMinutesAsleep]]</f>
        <v>23</v>
      </c>
      <c r="J175">
        <f>ROUND(tbl_working_sleep[[#This Row],[TotalMinutesAsleep]]/tbl_working_sleep[[#This Row],[TotalTimeInBed]]*100,2)</f>
        <v>95.02</v>
      </c>
      <c r="K175" t="str" cm="1">
        <f t="array" ref="K175">_xlfn.IFS(tbl_working_sleep[[#This Row],[SleepHours]]&lt;6,"Insufficient Sleep",tbl_working_sleep[[#This Row],[SleepHours]]&lt;7,"Below Recommended",tbl_working_sleep[[#This Row],[SleepHours]]&lt;=9,"Recommended",tbl_working_sleep[[#This Row],[SleepHours]]&gt;9,"Oversleeping")</f>
        <v>Recommended</v>
      </c>
      <c r="L175" t="str">
        <f>tbl_working_sleep[[#This Row],[Id]]&amp;"|"&amp;TEXT(tbl_working_sleep[[#This Row],[SleepDay]],"yyyy-mm-dd")</f>
        <v>4445114986|2016-04-20</v>
      </c>
    </row>
    <row r="176" spans="1:12" x14ac:dyDescent="0.3">
      <c r="A176">
        <v>4445114986</v>
      </c>
      <c r="B176" s="2">
        <v>42481</v>
      </c>
      <c r="C176">
        <v>1</v>
      </c>
      <c r="D176">
        <v>436</v>
      </c>
      <c r="E176">
        <v>469</v>
      </c>
      <c r="F176" t="str">
        <f>TEXT(tbl_working_sleep[[#This Row],[SleepDay]],"dddd")</f>
        <v>Thursday</v>
      </c>
      <c r="G176">
        <f>ROUND(tbl_working_sleep[[#This Row],[TotalMinutesAsleep]]/60,2)</f>
        <v>7.27</v>
      </c>
      <c r="H176">
        <f>ROUND(tbl_working_sleep[[#This Row],[TotalTimeInBed]]/60,2)</f>
        <v>7.82</v>
      </c>
      <c r="I176">
        <f>tbl_working_sleep[[#This Row],[TotalTimeInBed]]-tbl_working_sleep[[#This Row],[TotalMinutesAsleep]]</f>
        <v>33</v>
      </c>
      <c r="J176">
        <f>ROUND(tbl_working_sleep[[#This Row],[TotalMinutesAsleep]]/tbl_working_sleep[[#This Row],[TotalTimeInBed]]*100,2)</f>
        <v>92.96</v>
      </c>
      <c r="K176" t="str" cm="1">
        <f t="array" ref="K176">_xlfn.IFS(tbl_working_sleep[[#This Row],[SleepHours]]&lt;6,"Insufficient Sleep",tbl_working_sleep[[#This Row],[SleepHours]]&lt;7,"Below Recommended",tbl_working_sleep[[#This Row],[SleepHours]]&lt;=9,"Recommended",tbl_working_sleep[[#This Row],[SleepHours]]&gt;9,"Oversleeping")</f>
        <v>Recommended</v>
      </c>
      <c r="L176" t="str">
        <f>tbl_working_sleep[[#This Row],[Id]]&amp;"|"&amp;TEXT(tbl_working_sleep[[#This Row],[SleepDay]],"yyyy-mm-dd")</f>
        <v>4445114986|2016-04-21</v>
      </c>
    </row>
    <row r="177" spans="1:12" x14ac:dyDescent="0.3">
      <c r="A177">
        <v>4445114986</v>
      </c>
      <c r="B177" s="2">
        <v>42482</v>
      </c>
      <c r="C177">
        <v>1</v>
      </c>
      <c r="D177">
        <v>388</v>
      </c>
      <c r="E177">
        <v>417</v>
      </c>
      <c r="F177" t="str">
        <f>TEXT(tbl_working_sleep[[#This Row],[SleepDay]],"dddd")</f>
        <v>Friday</v>
      </c>
      <c r="G177">
        <f>ROUND(tbl_working_sleep[[#This Row],[TotalMinutesAsleep]]/60,2)</f>
        <v>6.47</v>
      </c>
      <c r="H177">
        <f>ROUND(tbl_working_sleep[[#This Row],[TotalTimeInBed]]/60,2)</f>
        <v>6.95</v>
      </c>
      <c r="I177">
        <f>tbl_working_sleep[[#This Row],[TotalTimeInBed]]-tbl_working_sleep[[#This Row],[TotalMinutesAsleep]]</f>
        <v>29</v>
      </c>
      <c r="J177">
        <f>ROUND(tbl_working_sleep[[#This Row],[TotalMinutesAsleep]]/tbl_working_sleep[[#This Row],[TotalTimeInBed]]*100,2)</f>
        <v>93.05</v>
      </c>
      <c r="K177" t="str" cm="1">
        <f t="array" ref="K177">_xlfn.IFS(tbl_working_sleep[[#This Row],[SleepHours]]&lt;6,"Insufficient Sleep",tbl_working_sleep[[#This Row],[SleepHours]]&lt;7,"Below Recommended",tbl_working_sleep[[#This Row],[SleepHours]]&lt;=9,"Recommended",tbl_working_sleep[[#This Row],[SleepHours]]&gt;9,"Oversleeping")</f>
        <v>Below Recommended</v>
      </c>
      <c r="L177" t="str">
        <f>tbl_working_sleep[[#This Row],[Id]]&amp;"|"&amp;TEXT(tbl_working_sleep[[#This Row],[SleepDay]],"yyyy-mm-dd")</f>
        <v>4445114986|2016-04-22</v>
      </c>
    </row>
    <row r="178" spans="1:12" x14ac:dyDescent="0.3">
      <c r="A178">
        <v>4445114986</v>
      </c>
      <c r="B178" s="2">
        <v>42485</v>
      </c>
      <c r="C178">
        <v>1</v>
      </c>
      <c r="D178">
        <v>328</v>
      </c>
      <c r="E178">
        <v>345</v>
      </c>
      <c r="F178" t="str">
        <f>TEXT(tbl_working_sleep[[#This Row],[SleepDay]],"dddd")</f>
        <v>Monday</v>
      </c>
      <c r="G178">
        <f>ROUND(tbl_working_sleep[[#This Row],[TotalMinutesAsleep]]/60,2)</f>
        <v>5.47</v>
      </c>
      <c r="H178">
        <f>ROUND(tbl_working_sleep[[#This Row],[TotalTimeInBed]]/60,2)</f>
        <v>5.75</v>
      </c>
      <c r="I178">
        <f>tbl_working_sleep[[#This Row],[TotalTimeInBed]]-tbl_working_sleep[[#This Row],[TotalMinutesAsleep]]</f>
        <v>17</v>
      </c>
      <c r="J178">
        <f>ROUND(tbl_working_sleep[[#This Row],[TotalMinutesAsleep]]/tbl_working_sleep[[#This Row],[TotalTimeInBed]]*100,2)</f>
        <v>95.07</v>
      </c>
      <c r="K178" t="str" cm="1">
        <f t="array" ref="K178">_xlfn.IFS(tbl_working_sleep[[#This Row],[SleepHours]]&lt;6,"Insufficient Sleep",tbl_working_sleep[[#This Row],[SleepHours]]&lt;7,"Below Recommended",tbl_working_sleep[[#This Row],[SleepHours]]&lt;=9,"Recommended",tbl_working_sleep[[#This Row],[SleepHours]]&gt;9,"Oversleeping")</f>
        <v>Insufficient Sleep</v>
      </c>
      <c r="L178" t="str">
        <f>tbl_working_sleep[[#This Row],[Id]]&amp;"|"&amp;TEXT(tbl_working_sleep[[#This Row],[SleepDay]],"yyyy-mm-dd")</f>
        <v>4445114986|2016-04-25</v>
      </c>
    </row>
    <row r="179" spans="1:12" x14ac:dyDescent="0.3">
      <c r="A179">
        <v>4445114986</v>
      </c>
      <c r="B179" s="2">
        <v>42486</v>
      </c>
      <c r="C179">
        <v>2</v>
      </c>
      <c r="D179">
        <v>353</v>
      </c>
      <c r="E179">
        <v>391</v>
      </c>
      <c r="F179" t="str">
        <f>TEXT(tbl_working_sleep[[#This Row],[SleepDay]],"dddd")</f>
        <v>Tuesday</v>
      </c>
      <c r="G179">
        <f>ROUND(tbl_working_sleep[[#This Row],[TotalMinutesAsleep]]/60,2)</f>
        <v>5.88</v>
      </c>
      <c r="H179">
        <f>ROUND(tbl_working_sleep[[#This Row],[TotalTimeInBed]]/60,2)</f>
        <v>6.52</v>
      </c>
      <c r="I179">
        <f>tbl_working_sleep[[#This Row],[TotalTimeInBed]]-tbl_working_sleep[[#This Row],[TotalMinutesAsleep]]</f>
        <v>38</v>
      </c>
      <c r="J179">
        <f>ROUND(tbl_working_sleep[[#This Row],[TotalMinutesAsleep]]/tbl_working_sleep[[#This Row],[TotalTimeInBed]]*100,2)</f>
        <v>90.28</v>
      </c>
      <c r="K179" t="str" cm="1">
        <f t="array" ref="K179">_xlfn.IFS(tbl_working_sleep[[#This Row],[SleepHours]]&lt;6,"Insufficient Sleep",tbl_working_sleep[[#This Row],[SleepHours]]&lt;7,"Below Recommended",tbl_working_sleep[[#This Row],[SleepHours]]&lt;=9,"Recommended",tbl_working_sleep[[#This Row],[SleepHours]]&gt;9,"Oversleeping")</f>
        <v>Insufficient Sleep</v>
      </c>
      <c r="L179" t="str">
        <f>tbl_working_sleep[[#This Row],[Id]]&amp;"|"&amp;TEXT(tbl_working_sleep[[#This Row],[SleepDay]],"yyyy-mm-dd")</f>
        <v>4445114986|2016-04-26</v>
      </c>
    </row>
    <row r="180" spans="1:12" x14ac:dyDescent="0.3">
      <c r="A180">
        <v>4445114986</v>
      </c>
      <c r="B180" s="2">
        <v>42487</v>
      </c>
      <c r="C180">
        <v>1</v>
      </c>
      <c r="D180">
        <v>332</v>
      </c>
      <c r="E180">
        <v>374</v>
      </c>
      <c r="F180" t="str">
        <f>TEXT(tbl_working_sleep[[#This Row],[SleepDay]],"dddd")</f>
        <v>Wednesday</v>
      </c>
      <c r="G180">
        <f>ROUND(tbl_working_sleep[[#This Row],[TotalMinutesAsleep]]/60,2)</f>
        <v>5.53</v>
      </c>
      <c r="H180">
        <f>ROUND(tbl_working_sleep[[#This Row],[TotalTimeInBed]]/60,2)</f>
        <v>6.23</v>
      </c>
      <c r="I180">
        <f>tbl_working_sleep[[#This Row],[TotalTimeInBed]]-tbl_working_sleep[[#This Row],[TotalMinutesAsleep]]</f>
        <v>42</v>
      </c>
      <c r="J180">
        <f>ROUND(tbl_working_sleep[[#This Row],[TotalMinutesAsleep]]/tbl_working_sleep[[#This Row],[TotalTimeInBed]]*100,2)</f>
        <v>88.77</v>
      </c>
      <c r="K180" t="str" cm="1">
        <f t="array" ref="K180">_xlfn.IFS(tbl_working_sleep[[#This Row],[SleepHours]]&lt;6,"Insufficient Sleep",tbl_working_sleep[[#This Row],[SleepHours]]&lt;7,"Below Recommended",tbl_working_sleep[[#This Row],[SleepHours]]&lt;=9,"Recommended",tbl_working_sleep[[#This Row],[SleepHours]]&gt;9,"Oversleeping")</f>
        <v>Insufficient Sleep</v>
      </c>
      <c r="L180" t="str">
        <f>tbl_working_sleep[[#This Row],[Id]]&amp;"|"&amp;TEXT(tbl_working_sleep[[#This Row],[SleepDay]],"yyyy-mm-dd")</f>
        <v>4445114986|2016-04-27</v>
      </c>
    </row>
    <row r="181" spans="1:12" x14ac:dyDescent="0.3">
      <c r="A181">
        <v>4445114986</v>
      </c>
      <c r="B181" s="2">
        <v>42488</v>
      </c>
      <c r="C181">
        <v>1</v>
      </c>
      <c r="D181">
        <v>419</v>
      </c>
      <c r="E181">
        <v>442</v>
      </c>
      <c r="F181" t="str">
        <f>TEXT(tbl_working_sleep[[#This Row],[SleepDay]],"dddd")</f>
        <v>Thursday</v>
      </c>
      <c r="G181">
        <f>ROUND(tbl_working_sleep[[#This Row],[TotalMinutesAsleep]]/60,2)</f>
        <v>6.98</v>
      </c>
      <c r="H181">
        <f>ROUND(tbl_working_sleep[[#This Row],[TotalTimeInBed]]/60,2)</f>
        <v>7.37</v>
      </c>
      <c r="I181">
        <f>tbl_working_sleep[[#This Row],[TotalTimeInBed]]-tbl_working_sleep[[#This Row],[TotalMinutesAsleep]]</f>
        <v>23</v>
      </c>
      <c r="J181">
        <f>ROUND(tbl_working_sleep[[#This Row],[TotalMinutesAsleep]]/tbl_working_sleep[[#This Row],[TotalTimeInBed]]*100,2)</f>
        <v>94.8</v>
      </c>
      <c r="K181" t="str" cm="1">
        <f t="array" ref="K181">_xlfn.IFS(tbl_working_sleep[[#This Row],[SleepHours]]&lt;6,"Insufficient Sleep",tbl_working_sleep[[#This Row],[SleepHours]]&lt;7,"Below Recommended",tbl_working_sleep[[#This Row],[SleepHours]]&lt;=9,"Recommended",tbl_working_sleep[[#This Row],[SleepHours]]&gt;9,"Oversleeping")</f>
        <v>Below Recommended</v>
      </c>
      <c r="L181" t="str">
        <f>tbl_working_sleep[[#This Row],[Id]]&amp;"|"&amp;TEXT(tbl_working_sleep[[#This Row],[SleepDay]],"yyyy-mm-dd")</f>
        <v>4445114986|2016-04-28</v>
      </c>
    </row>
    <row r="182" spans="1:12" x14ac:dyDescent="0.3">
      <c r="A182">
        <v>4445114986</v>
      </c>
      <c r="B182" s="2">
        <v>42489</v>
      </c>
      <c r="C182">
        <v>1</v>
      </c>
      <c r="D182">
        <v>106</v>
      </c>
      <c r="E182">
        <v>108</v>
      </c>
      <c r="F182" t="str">
        <f>TEXT(tbl_working_sleep[[#This Row],[SleepDay]],"dddd")</f>
        <v>Friday</v>
      </c>
      <c r="G182">
        <f>ROUND(tbl_working_sleep[[#This Row],[TotalMinutesAsleep]]/60,2)</f>
        <v>1.77</v>
      </c>
      <c r="H182">
        <f>ROUND(tbl_working_sleep[[#This Row],[TotalTimeInBed]]/60,2)</f>
        <v>1.8</v>
      </c>
      <c r="I182">
        <f>tbl_working_sleep[[#This Row],[TotalTimeInBed]]-tbl_working_sleep[[#This Row],[TotalMinutesAsleep]]</f>
        <v>2</v>
      </c>
      <c r="J182">
        <f>ROUND(tbl_working_sleep[[#This Row],[TotalMinutesAsleep]]/tbl_working_sleep[[#This Row],[TotalTimeInBed]]*100,2)</f>
        <v>98.15</v>
      </c>
      <c r="K182" t="str" cm="1">
        <f t="array" ref="K182">_xlfn.IFS(tbl_working_sleep[[#This Row],[SleepHours]]&lt;6,"Insufficient Sleep",tbl_working_sleep[[#This Row],[SleepHours]]&lt;7,"Below Recommended",tbl_working_sleep[[#This Row],[SleepHours]]&lt;=9,"Recommended",tbl_working_sleep[[#This Row],[SleepHours]]&gt;9,"Oversleeping")</f>
        <v>Insufficient Sleep</v>
      </c>
      <c r="L182" t="str">
        <f>tbl_working_sleep[[#This Row],[Id]]&amp;"|"&amp;TEXT(tbl_working_sleep[[#This Row],[SleepDay]],"yyyy-mm-dd")</f>
        <v>4445114986|2016-04-29</v>
      </c>
    </row>
    <row r="183" spans="1:12" x14ac:dyDescent="0.3">
      <c r="A183">
        <v>4445114986</v>
      </c>
      <c r="B183" s="2">
        <v>42490</v>
      </c>
      <c r="C183">
        <v>1</v>
      </c>
      <c r="D183">
        <v>322</v>
      </c>
      <c r="E183">
        <v>353</v>
      </c>
      <c r="F183" t="str">
        <f>TEXT(tbl_working_sleep[[#This Row],[SleepDay]],"dddd")</f>
        <v>Saturday</v>
      </c>
      <c r="G183">
        <f>ROUND(tbl_working_sleep[[#This Row],[TotalMinutesAsleep]]/60,2)</f>
        <v>5.37</v>
      </c>
      <c r="H183">
        <f>ROUND(tbl_working_sleep[[#This Row],[TotalTimeInBed]]/60,2)</f>
        <v>5.88</v>
      </c>
      <c r="I183">
        <f>tbl_working_sleep[[#This Row],[TotalTimeInBed]]-tbl_working_sleep[[#This Row],[TotalMinutesAsleep]]</f>
        <v>31</v>
      </c>
      <c r="J183">
        <f>ROUND(tbl_working_sleep[[#This Row],[TotalMinutesAsleep]]/tbl_working_sleep[[#This Row],[TotalTimeInBed]]*100,2)</f>
        <v>91.22</v>
      </c>
      <c r="K183" t="str" cm="1">
        <f t="array" ref="K183">_xlfn.IFS(tbl_working_sleep[[#This Row],[SleepHours]]&lt;6,"Insufficient Sleep",tbl_working_sleep[[#This Row],[SleepHours]]&lt;7,"Below Recommended",tbl_working_sleep[[#This Row],[SleepHours]]&lt;=9,"Recommended",tbl_working_sleep[[#This Row],[SleepHours]]&gt;9,"Oversleeping")</f>
        <v>Insufficient Sleep</v>
      </c>
      <c r="L183" t="str">
        <f>tbl_working_sleep[[#This Row],[Id]]&amp;"|"&amp;TEXT(tbl_working_sleep[[#This Row],[SleepDay]],"yyyy-mm-dd")</f>
        <v>4445114986|2016-04-30</v>
      </c>
    </row>
    <row r="184" spans="1:12" x14ac:dyDescent="0.3">
      <c r="A184">
        <v>4445114986</v>
      </c>
      <c r="B184" s="2">
        <v>42491</v>
      </c>
      <c r="C184">
        <v>2</v>
      </c>
      <c r="D184">
        <v>439</v>
      </c>
      <c r="E184">
        <v>459</v>
      </c>
      <c r="F184" t="str">
        <f>TEXT(tbl_working_sleep[[#This Row],[SleepDay]],"dddd")</f>
        <v>Sunday</v>
      </c>
      <c r="G184">
        <f>ROUND(tbl_working_sleep[[#This Row],[TotalMinutesAsleep]]/60,2)</f>
        <v>7.32</v>
      </c>
      <c r="H184">
        <f>ROUND(tbl_working_sleep[[#This Row],[TotalTimeInBed]]/60,2)</f>
        <v>7.65</v>
      </c>
      <c r="I184">
        <f>tbl_working_sleep[[#This Row],[TotalTimeInBed]]-tbl_working_sleep[[#This Row],[TotalMinutesAsleep]]</f>
        <v>20</v>
      </c>
      <c r="J184">
        <f>ROUND(tbl_working_sleep[[#This Row],[TotalMinutesAsleep]]/tbl_working_sleep[[#This Row],[TotalTimeInBed]]*100,2)</f>
        <v>95.64</v>
      </c>
      <c r="K184" t="str" cm="1">
        <f t="array" ref="K184">_xlfn.IFS(tbl_working_sleep[[#This Row],[SleepHours]]&lt;6,"Insufficient Sleep",tbl_working_sleep[[#This Row],[SleepHours]]&lt;7,"Below Recommended",tbl_working_sleep[[#This Row],[SleepHours]]&lt;=9,"Recommended",tbl_working_sleep[[#This Row],[SleepHours]]&gt;9,"Oversleeping")</f>
        <v>Recommended</v>
      </c>
      <c r="L184" t="str">
        <f>tbl_working_sleep[[#This Row],[Id]]&amp;"|"&amp;TEXT(tbl_working_sleep[[#This Row],[SleepDay]],"yyyy-mm-dd")</f>
        <v>4445114986|2016-05-01</v>
      </c>
    </row>
    <row r="185" spans="1:12" x14ac:dyDescent="0.3">
      <c r="A185">
        <v>4445114986</v>
      </c>
      <c r="B185" s="2">
        <v>42492</v>
      </c>
      <c r="C185">
        <v>1</v>
      </c>
      <c r="D185">
        <v>502</v>
      </c>
      <c r="E185">
        <v>542</v>
      </c>
      <c r="F185" t="str">
        <f>TEXT(tbl_working_sleep[[#This Row],[SleepDay]],"dddd")</f>
        <v>Monday</v>
      </c>
      <c r="G185">
        <f>ROUND(tbl_working_sleep[[#This Row],[TotalMinutesAsleep]]/60,2)</f>
        <v>8.3699999999999992</v>
      </c>
      <c r="H185">
        <f>ROUND(tbl_working_sleep[[#This Row],[TotalTimeInBed]]/60,2)</f>
        <v>9.0299999999999994</v>
      </c>
      <c r="I185">
        <f>tbl_working_sleep[[#This Row],[TotalTimeInBed]]-tbl_working_sleep[[#This Row],[TotalMinutesAsleep]]</f>
        <v>40</v>
      </c>
      <c r="J185">
        <f>ROUND(tbl_working_sleep[[#This Row],[TotalMinutesAsleep]]/tbl_working_sleep[[#This Row],[TotalTimeInBed]]*100,2)</f>
        <v>92.62</v>
      </c>
      <c r="K185" t="str" cm="1">
        <f t="array" ref="K185">_xlfn.IFS(tbl_working_sleep[[#This Row],[SleepHours]]&lt;6,"Insufficient Sleep",tbl_working_sleep[[#This Row],[SleepHours]]&lt;7,"Below Recommended",tbl_working_sleep[[#This Row],[SleepHours]]&lt;=9,"Recommended",tbl_working_sleep[[#This Row],[SleepHours]]&gt;9,"Oversleeping")</f>
        <v>Recommended</v>
      </c>
      <c r="L185" t="str">
        <f>tbl_working_sleep[[#This Row],[Id]]&amp;"|"&amp;TEXT(tbl_working_sleep[[#This Row],[SleepDay]],"yyyy-mm-dd")</f>
        <v>4445114986|2016-05-02</v>
      </c>
    </row>
    <row r="186" spans="1:12" x14ac:dyDescent="0.3">
      <c r="A186">
        <v>4445114986</v>
      </c>
      <c r="B186" s="2">
        <v>42493</v>
      </c>
      <c r="C186">
        <v>2</v>
      </c>
      <c r="D186">
        <v>417</v>
      </c>
      <c r="E186">
        <v>450</v>
      </c>
      <c r="F186" t="str">
        <f>TEXT(tbl_working_sleep[[#This Row],[SleepDay]],"dddd")</f>
        <v>Tuesday</v>
      </c>
      <c r="G186">
        <f>ROUND(tbl_working_sleep[[#This Row],[TotalMinutesAsleep]]/60,2)</f>
        <v>6.95</v>
      </c>
      <c r="H186">
        <f>ROUND(tbl_working_sleep[[#This Row],[TotalTimeInBed]]/60,2)</f>
        <v>7.5</v>
      </c>
      <c r="I186">
        <f>tbl_working_sleep[[#This Row],[TotalTimeInBed]]-tbl_working_sleep[[#This Row],[TotalMinutesAsleep]]</f>
        <v>33</v>
      </c>
      <c r="J186">
        <f>ROUND(tbl_working_sleep[[#This Row],[TotalMinutesAsleep]]/tbl_working_sleep[[#This Row],[TotalTimeInBed]]*100,2)</f>
        <v>92.67</v>
      </c>
      <c r="K186" t="str" cm="1">
        <f t="array" ref="K186">_xlfn.IFS(tbl_working_sleep[[#This Row],[SleepHours]]&lt;6,"Insufficient Sleep",tbl_working_sleep[[#This Row],[SleepHours]]&lt;7,"Below Recommended",tbl_working_sleep[[#This Row],[SleepHours]]&lt;=9,"Recommended",tbl_working_sleep[[#This Row],[SleepHours]]&gt;9,"Oversleeping")</f>
        <v>Below Recommended</v>
      </c>
      <c r="L186" t="str">
        <f>tbl_working_sleep[[#This Row],[Id]]&amp;"|"&amp;TEXT(tbl_working_sleep[[#This Row],[SleepDay]],"yyyy-mm-dd")</f>
        <v>4445114986|2016-05-03</v>
      </c>
    </row>
    <row r="187" spans="1:12" x14ac:dyDescent="0.3">
      <c r="A187">
        <v>4445114986</v>
      </c>
      <c r="B187" s="2">
        <v>42494</v>
      </c>
      <c r="C187">
        <v>2</v>
      </c>
      <c r="D187">
        <v>337</v>
      </c>
      <c r="E187">
        <v>363</v>
      </c>
      <c r="F187" t="str">
        <f>TEXT(tbl_working_sleep[[#This Row],[SleepDay]],"dddd")</f>
        <v>Wednesday</v>
      </c>
      <c r="G187">
        <f>ROUND(tbl_working_sleep[[#This Row],[TotalMinutesAsleep]]/60,2)</f>
        <v>5.62</v>
      </c>
      <c r="H187">
        <f>ROUND(tbl_working_sleep[[#This Row],[TotalTimeInBed]]/60,2)</f>
        <v>6.05</v>
      </c>
      <c r="I187">
        <f>tbl_working_sleep[[#This Row],[TotalTimeInBed]]-tbl_working_sleep[[#This Row],[TotalMinutesAsleep]]</f>
        <v>26</v>
      </c>
      <c r="J187">
        <f>ROUND(tbl_working_sleep[[#This Row],[TotalMinutesAsleep]]/tbl_working_sleep[[#This Row],[TotalTimeInBed]]*100,2)</f>
        <v>92.84</v>
      </c>
      <c r="K187" t="str" cm="1">
        <f t="array" ref="K187">_xlfn.IFS(tbl_working_sleep[[#This Row],[SleepHours]]&lt;6,"Insufficient Sleep",tbl_working_sleep[[#This Row],[SleepHours]]&lt;7,"Below Recommended",tbl_working_sleep[[#This Row],[SleepHours]]&lt;=9,"Recommended",tbl_working_sleep[[#This Row],[SleepHours]]&gt;9,"Oversleeping")</f>
        <v>Insufficient Sleep</v>
      </c>
      <c r="L187" t="str">
        <f>tbl_working_sleep[[#This Row],[Id]]&amp;"|"&amp;TEXT(tbl_working_sleep[[#This Row],[SleepDay]],"yyyy-mm-dd")</f>
        <v>4445114986|2016-05-04</v>
      </c>
    </row>
    <row r="188" spans="1:12" x14ac:dyDescent="0.3">
      <c r="A188">
        <v>4445114986</v>
      </c>
      <c r="B188" s="2">
        <v>42495</v>
      </c>
      <c r="C188">
        <v>2</v>
      </c>
      <c r="D188">
        <v>462</v>
      </c>
      <c r="E188">
        <v>513</v>
      </c>
      <c r="F188" t="str">
        <f>TEXT(tbl_working_sleep[[#This Row],[SleepDay]],"dddd")</f>
        <v>Thursday</v>
      </c>
      <c r="G188">
        <f>ROUND(tbl_working_sleep[[#This Row],[TotalMinutesAsleep]]/60,2)</f>
        <v>7.7</v>
      </c>
      <c r="H188">
        <f>ROUND(tbl_working_sleep[[#This Row],[TotalTimeInBed]]/60,2)</f>
        <v>8.5500000000000007</v>
      </c>
      <c r="I188">
        <f>tbl_working_sleep[[#This Row],[TotalTimeInBed]]-tbl_working_sleep[[#This Row],[TotalMinutesAsleep]]</f>
        <v>51</v>
      </c>
      <c r="J188">
        <f>ROUND(tbl_working_sleep[[#This Row],[TotalMinutesAsleep]]/tbl_working_sleep[[#This Row],[TotalTimeInBed]]*100,2)</f>
        <v>90.06</v>
      </c>
      <c r="K188" t="str" cm="1">
        <f t="array" ref="K188">_xlfn.IFS(tbl_working_sleep[[#This Row],[SleepHours]]&lt;6,"Insufficient Sleep",tbl_working_sleep[[#This Row],[SleepHours]]&lt;7,"Below Recommended",tbl_working_sleep[[#This Row],[SleepHours]]&lt;=9,"Recommended",tbl_working_sleep[[#This Row],[SleepHours]]&gt;9,"Oversleeping")</f>
        <v>Recommended</v>
      </c>
      <c r="L188" t="str">
        <f>tbl_working_sleep[[#This Row],[Id]]&amp;"|"&amp;TEXT(tbl_working_sleep[[#This Row],[SleepDay]],"yyyy-mm-dd")</f>
        <v>4445114986|2016-05-05</v>
      </c>
    </row>
    <row r="189" spans="1:12" x14ac:dyDescent="0.3">
      <c r="A189">
        <v>4445114986</v>
      </c>
      <c r="B189" s="2">
        <v>42496</v>
      </c>
      <c r="C189">
        <v>2</v>
      </c>
      <c r="D189">
        <v>374</v>
      </c>
      <c r="E189">
        <v>402</v>
      </c>
      <c r="F189" t="str">
        <f>TEXT(tbl_working_sleep[[#This Row],[SleepDay]],"dddd")</f>
        <v>Friday</v>
      </c>
      <c r="G189">
        <f>ROUND(tbl_working_sleep[[#This Row],[TotalMinutesAsleep]]/60,2)</f>
        <v>6.23</v>
      </c>
      <c r="H189">
        <f>ROUND(tbl_working_sleep[[#This Row],[TotalTimeInBed]]/60,2)</f>
        <v>6.7</v>
      </c>
      <c r="I189">
        <f>tbl_working_sleep[[#This Row],[TotalTimeInBed]]-tbl_working_sleep[[#This Row],[TotalMinutesAsleep]]</f>
        <v>28</v>
      </c>
      <c r="J189">
        <f>ROUND(tbl_working_sleep[[#This Row],[TotalMinutesAsleep]]/tbl_working_sleep[[#This Row],[TotalTimeInBed]]*100,2)</f>
        <v>93.03</v>
      </c>
      <c r="K189" t="str" cm="1">
        <f t="array" ref="K189">_xlfn.IFS(tbl_working_sleep[[#This Row],[SleepHours]]&lt;6,"Insufficient Sleep",tbl_working_sleep[[#This Row],[SleepHours]]&lt;7,"Below Recommended",tbl_working_sleep[[#This Row],[SleepHours]]&lt;=9,"Recommended",tbl_working_sleep[[#This Row],[SleepHours]]&gt;9,"Oversleeping")</f>
        <v>Below Recommended</v>
      </c>
      <c r="L189" t="str">
        <f>tbl_working_sleep[[#This Row],[Id]]&amp;"|"&amp;TEXT(tbl_working_sleep[[#This Row],[SleepDay]],"yyyy-mm-dd")</f>
        <v>4445114986|2016-05-06</v>
      </c>
    </row>
    <row r="190" spans="1:12" x14ac:dyDescent="0.3">
      <c r="A190">
        <v>4445114986</v>
      </c>
      <c r="B190" s="2">
        <v>42497</v>
      </c>
      <c r="C190">
        <v>2</v>
      </c>
      <c r="D190">
        <v>401</v>
      </c>
      <c r="E190">
        <v>436</v>
      </c>
      <c r="F190" t="str">
        <f>TEXT(tbl_working_sleep[[#This Row],[SleepDay]],"dddd")</f>
        <v>Saturday</v>
      </c>
      <c r="G190">
        <f>ROUND(tbl_working_sleep[[#This Row],[TotalMinutesAsleep]]/60,2)</f>
        <v>6.68</v>
      </c>
      <c r="H190">
        <f>ROUND(tbl_working_sleep[[#This Row],[TotalTimeInBed]]/60,2)</f>
        <v>7.27</v>
      </c>
      <c r="I190">
        <f>tbl_working_sleep[[#This Row],[TotalTimeInBed]]-tbl_working_sleep[[#This Row],[TotalMinutesAsleep]]</f>
        <v>35</v>
      </c>
      <c r="J190">
        <f>ROUND(tbl_working_sleep[[#This Row],[TotalMinutesAsleep]]/tbl_working_sleep[[#This Row],[TotalTimeInBed]]*100,2)</f>
        <v>91.97</v>
      </c>
      <c r="K190" t="str" cm="1">
        <f t="array" ref="K190">_xlfn.IFS(tbl_working_sleep[[#This Row],[SleepHours]]&lt;6,"Insufficient Sleep",tbl_working_sleep[[#This Row],[SleepHours]]&lt;7,"Below Recommended",tbl_working_sleep[[#This Row],[SleepHours]]&lt;=9,"Recommended",tbl_working_sleep[[#This Row],[SleepHours]]&gt;9,"Oversleeping")</f>
        <v>Below Recommended</v>
      </c>
      <c r="L190" t="str">
        <f>tbl_working_sleep[[#This Row],[Id]]&amp;"|"&amp;TEXT(tbl_working_sleep[[#This Row],[SleepDay]],"yyyy-mm-dd")</f>
        <v>4445114986|2016-05-07</v>
      </c>
    </row>
    <row r="191" spans="1:12" x14ac:dyDescent="0.3">
      <c r="A191">
        <v>4445114986</v>
      </c>
      <c r="B191" s="2">
        <v>42498</v>
      </c>
      <c r="C191">
        <v>1</v>
      </c>
      <c r="D191">
        <v>361</v>
      </c>
      <c r="E191">
        <v>391</v>
      </c>
      <c r="F191" t="str">
        <f>TEXT(tbl_working_sleep[[#This Row],[SleepDay]],"dddd")</f>
        <v>Sunday</v>
      </c>
      <c r="G191">
        <f>ROUND(tbl_working_sleep[[#This Row],[TotalMinutesAsleep]]/60,2)</f>
        <v>6.02</v>
      </c>
      <c r="H191">
        <f>ROUND(tbl_working_sleep[[#This Row],[TotalTimeInBed]]/60,2)</f>
        <v>6.52</v>
      </c>
      <c r="I191">
        <f>tbl_working_sleep[[#This Row],[TotalTimeInBed]]-tbl_working_sleep[[#This Row],[TotalMinutesAsleep]]</f>
        <v>30</v>
      </c>
      <c r="J191">
        <f>ROUND(tbl_working_sleep[[#This Row],[TotalMinutesAsleep]]/tbl_working_sleep[[#This Row],[TotalTimeInBed]]*100,2)</f>
        <v>92.33</v>
      </c>
      <c r="K191" t="str" cm="1">
        <f t="array" ref="K191">_xlfn.IFS(tbl_working_sleep[[#This Row],[SleepHours]]&lt;6,"Insufficient Sleep",tbl_working_sleep[[#This Row],[SleepHours]]&lt;7,"Below Recommended",tbl_working_sleep[[#This Row],[SleepHours]]&lt;=9,"Recommended",tbl_working_sleep[[#This Row],[SleepHours]]&gt;9,"Oversleeping")</f>
        <v>Below Recommended</v>
      </c>
      <c r="L191" t="str">
        <f>tbl_working_sleep[[#This Row],[Id]]&amp;"|"&amp;TEXT(tbl_working_sleep[[#This Row],[SleepDay]],"yyyy-mm-dd")</f>
        <v>4445114986|2016-05-08</v>
      </c>
    </row>
    <row r="192" spans="1:12" x14ac:dyDescent="0.3">
      <c r="A192">
        <v>4445114986</v>
      </c>
      <c r="B192" s="2">
        <v>42499</v>
      </c>
      <c r="C192">
        <v>1</v>
      </c>
      <c r="D192">
        <v>457</v>
      </c>
      <c r="E192">
        <v>533</v>
      </c>
      <c r="F192" t="str">
        <f>TEXT(tbl_working_sleep[[#This Row],[SleepDay]],"dddd")</f>
        <v>Monday</v>
      </c>
      <c r="G192">
        <f>ROUND(tbl_working_sleep[[#This Row],[TotalMinutesAsleep]]/60,2)</f>
        <v>7.62</v>
      </c>
      <c r="H192">
        <f>ROUND(tbl_working_sleep[[#This Row],[TotalTimeInBed]]/60,2)</f>
        <v>8.8800000000000008</v>
      </c>
      <c r="I192">
        <f>tbl_working_sleep[[#This Row],[TotalTimeInBed]]-tbl_working_sleep[[#This Row],[TotalMinutesAsleep]]</f>
        <v>76</v>
      </c>
      <c r="J192">
        <f>ROUND(tbl_working_sleep[[#This Row],[TotalMinutesAsleep]]/tbl_working_sleep[[#This Row],[TotalTimeInBed]]*100,2)</f>
        <v>85.74</v>
      </c>
      <c r="K192" t="str" cm="1">
        <f t="array" ref="K192">_xlfn.IFS(tbl_working_sleep[[#This Row],[SleepHours]]&lt;6,"Insufficient Sleep",tbl_working_sleep[[#This Row],[SleepHours]]&lt;7,"Below Recommended",tbl_working_sleep[[#This Row],[SleepHours]]&lt;=9,"Recommended",tbl_working_sleep[[#This Row],[SleepHours]]&gt;9,"Oversleeping")</f>
        <v>Recommended</v>
      </c>
      <c r="L192" t="str">
        <f>tbl_working_sleep[[#This Row],[Id]]&amp;"|"&amp;TEXT(tbl_working_sleep[[#This Row],[SleepDay]],"yyyy-mm-dd")</f>
        <v>4445114986|2016-05-09</v>
      </c>
    </row>
    <row r="193" spans="1:12" x14ac:dyDescent="0.3">
      <c r="A193">
        <v>4445114986</v>
      </c>
      <c r="B193" s="2">
        <v>42500</v>
      </c>
      <c r="C193">
        <v>1</v>
      </c>
      <c r="D193">
        <v>405</v>
      </c>
      <c r="E193">
        <v>426</v>
      </c>
      <c r="F193" t="str">
        <f>TEXT(tbl_working_sleep[[#This Row],[SleepDay]],"dddd")</f>
        <v>Tuesday</v>
      </c>
      <c r="G193">
        <f>ROUND(tbl_working_sleep[[#This Row],[TotalMinutesAsleep]]/60,2)</f>
        <v>6.75</v>
      </c>
      <c r="H193">
        <f>ROUND(tbl_working_sleep[[#This Row],[TotalTimeInBed]]/60,2)</f>
        <v>7.1</v>
      </c>
      <c r="I193">
        <f>tbl_working_sleep[[#This Row],[TotalTimeInBed]]-tbl_working_sleep[[#This Row],[TotalMinutesAsleep]]</f>
        <v>21</v>
      </c>
      <c r="J193">
        <f>ROUND(tbl_working_sleep[[#This Row],[TotalMinutesAsleep]]/tbl_working_sleep[[#This Row],[TotalTimeInBed]]*100,2)</f>
        <v>95.07</v>
      </c>
      <c r="K193" t="str" cm="1">
        <f t="array" ref="K193">_xlfn.IFS(tbl_working_sleep[[#This Row],[SleepHours]]&lt;6,"Insufficient Sleep",tbl_working_sleep[[#This Row],[SleepHours]]&lt;7,"Below Recommended",tbl_working_sleep[[#This Row],[SleepHours]]&lt;=9,"Recommended",tbl_working_sleep[[#This Row],[SleepHours]]&gt;9,"Oversleeping")</f>
        <v>Below Recommended</v>
      </c>
      <c r="L193" t="str">
        <f>tbl_working_sleep[[#This Row],[Id]]&amp;"|"&amp;TEXT(tbl_working_sleep[[#This Row],[SleepDay]],"yyyy-mm-dd")</f>
        <v>4445114986|2016-05-10</v>
      </c>
    </row>
    <row r="194" spans="1:12" x14ac:dyDescent="0.3">
      <c r="A194">
        <v>4445114986</v>
      </c>
      <c r="B194" s="2">
        <v>42501</v>
      </c>
      <c r="C194">
        <v>1</v>
      </c>
      <c r="D194">
        <v>499</v>
      </c>
      <c r="E194">
        <v>530</v>
      </c>
      <c r="F194" t="str">
        <f>TEXT(tbl_working_sleep[[#This Row],[SleepDay]],"dddd")</f>
        <v>Wednesday</v>
      </c>
      <c r="G194">
        <f>ROUND(tbl_working_sleep[[#This Row],[TotalMinutesAsleep]]/60,2)</f>
        <v>8.32</v>
      </c>
      <c r="H194">
        <f>ROUND(tbl_working_sleep[[#This Row],[TotalTimeInBed]]/60,2)</f>
        <v>8.83</v>
      </c>
      <c r="I194">
        <f>tbl_working_sleep[[#This Row],[TotalTimeInBed]]-tbl_working_sleep[[#This Row],[TotalMinutesAsleep]]</f>
        <v>31</v>
      </c>
      <c r="J194">
        <f>ROUND(tbl_working_sleep[[#This Row],[TotalMinutesAsleep]]/tbl_working_sleep[[#This Row],[TotalTimeInBed]]*100,2)</f>
        <v>94.15</v>
      </c>
      <c r="K194" t="str" cm="1">
        <f t="array" ref="K194">_xlfn.IFS(tbl_working_sleep[[#This Row],[SleepHours]]&lt;6,"Insufficient Sleep",tbl_working_sleep[[#This Row],[SleepHours]]&lt;7,"Below Recommended",tbl_working_sleep[[#This Row],[SleepHours]]&lt;=9,"Recommended",tbl_working_sleep[[#This Row],[SleepHours]]&gt;9,"Oversleeping")</f>
        <v>Recommended</v>
      </c>
      <c r="L194" t="str">
        <f>tbl_working_sleep[[#This Row],[Id]]&amp;"|"&amp;TEXT(tbl_working_sleep[[#This Row],[SleepDay]],"yyyy-mm-dd")</f>
        <v>4445114986|2016-05-11</v>
      </c>
    </row>
    <row r="195" spans="1:12" x14ac:dyDescent="0.3">
      <c r="A195">
        <v>4445114986</v>
      </c>
      <c r="B195" s="2">
        <v>42502</v>
      </c>
      <c r="C195">
        <v>1</v>
      </c>
      <c r="D195">
        <v>483</v>
      </c>
      <c r="E195">
        <v>501</v>
      </c>
      <c r="F195" t="str">
        <f>TEXT(tbl_working_sleep[[#This Row],[SleepDay]],"dddd")</f>
        <v>Thursday</v>
      </c>
      <c r="G195">
        <f>ROUND(tbl_working_sleep[[#This Row],[TotalMinutesAsleep]]/60,2)</f>
        <v>8.0500000000000007</v>
      </c>
      <c r="H195">
        <f>ROUND(tbl_working_sleep[[#This Row],[TotalTimeInBed]]/60,2)</f>
        <v>8.35</v>
      </c>
      <c r="I195">
        <f>tbl_working_sleep[[#This Row],[TotalTimeInBed]]-tbl_working_sleep[[#This Row],[TotalMinutesAsleep]]</f>
        <v>18</v>
      </c>
      <c r="J195">
        <f>ROUND(tbl_working_sleep[[#This Row],[TotalMinutesAsleep]]/tbl_working_sleep[[#This Row],[TotalTimeInBed]]*100,2)</f>
        <v>96.41</v>
      </c>
      <c r="K195" t="str" cm="1">
        <f t="array" ref="K195">_xlfn.IFS(tbl_working_sleep[[#This Row],[SleepHours]]&lt;6,"Insufficient Sleep",tbl_working_sleep[[#This Row],[SleepHours]]&lt;7,"Below Recommended",tbl_working_sleep[[#This Row],[SleepHours]]&lt;=9,"Recommended",tbl_working_sleep[[#This Row],[SleepHours]]&gt;9,"Oversleeping")</f>
        <v>Recommended</v>
      </c>
      <c r="L195" t="str">
        <f>tbl_working_sleep[[#This Row],[Id]]&amp;"|"&amp;TEXT(tbl_working_sleep[[#This Row],[SleepDay]],"yyyy-mm-dd")</f>
        <v>4445114986|2016-05-12</v>
      </c>
    </row>
    <row r="196" spans="1:12" x14ac:dyDescent="0.3">
      <c r="A196">
        <v>4558609924</v>
      </c>
      <c r="B196" s="2">
        <v>42481</v>
      </c>
      <c r="C196">
        <v>1</v>
      </c>
      <c r="D196">
        <v>126</v>
      </c>
      <c r="E196">
        <v>137</v>
      </c>
      <c r="F196" t="str">
        <f>TEXT(tbl_working_sleep[[#This Row],[SleepDay]],"dddd")</f>
        <v>Thursday</v>
      </c>
      <c r="G196">
        <f>ROUND(tbl_working_sleep[[#This Row],[TotalMinutesAsleep]]/60,2)</f>
        <v>2.1</v>
      </c>
      <c r="H196">
        <f>ROUND(tbl_working_sleep[[#This Row],[TotalTimeInBed]]/60,2)</f>
        <v>2.2799999999999998</v>
      </c>
      <c r="I196">
        <f>tbl_working_sleep[[#This Row],[TotalTimeInBed]]-tbl_working_sleep[[#This Row],[TotalMinutesAsleep]]</f>
        <v>11</v>
      </c>
      <c r="J196">
        <f>ROUND(tbl_working_sleep[[#This Row],[TotalMinutesAsleep]]/tbl_working_sleep[[#This Row],[TotalTimeInBed]]*100,2)</f>
        <v>91.97</v>
      </c>
      <c r="K196" t="str" cm="1">
        <f t="array" ref="K196">_xlfn.IFS(tbl_working_sleep[[#This Row],[SleepHours]]&lt;6,"Insufficient Sleep",tbl_working_sleep[[#This Row],[SleepHours]]&lt;7,"Below Recommended",tbl_working_sleep[[#This Row],[SleepHours]]&lt;=9,"Recommended",tbl_working_sleep[[#This Row],[SleepHours]]&gt;9,"Oversleeping")</f>
        <v>Insufficient Sleep</v>
      </c>
      <c r="L196" t="str">
        <f>tbl_working_sleep[[#This Row],[Id]]&amp;"|"&amp;TEXT(tbl_working_sleep[[#This Row],[SleepDay]],"yyyy-mm-dd")</f>
        <v>4558609924|2016-04-21</v>
      </c>
    </row>
    <row r="197" spans="1:12" x14ac:dyDescent="0.3">
      <c r="A197">
        <v>4558609924</v>
      </c>
      <c r="B197" s="2">
        <v>42486</v>
      </c>
      <c r="C197">
        <v>1</v>
      </c>
      <c r="D197">
        <v>103</v>
      </c>
      <c r="E197">
        <v>121</v>
      </c>
      <c r="F197" t="str">
        <f>TEXT(tbl_working_sleep[[#This Row],[SleepDay]],"dddd")</f>
        <v>Tuesday</v>
      </c>
      <c r="G197">
        <f>ROUND(tbl_working_sleep[[#This Row],[TotalMinutesAsleep]]/60,2)</f>
        <v>1.72</v>
      </c>
      <c r="H197">
        <f>ROUND(tbl_working_sleep[[#This Row],[TotalTimeInBed]]/60,2)</f>
        <v>2.02</v>
      </c>
      <c r="I197">
        <f>tbl_working_sleep[[#This Row],[TotalTimeInBed]]-tbl_working_sleep[[#This Row],[TotalMinutesAsleep]]</f>
        <v>18</v>
      </c>
      <c r="J197">
        <f>ROUND(tbl_working_sleep[[#This Row],[TotalMinutesAsleep]]/tbl_working_sleep[[#This Row],[TotalTimeInBed]]*100,2)</f>
        <v>85.12</v>
      </c>
      <c r="K197" t="str" cm="1">
        <f t="array" ref="K197">_xlfn.IFS(tbl_working_sleep[[#This Row],[SleepHours]]&lt;6,"Insufficient Sleep",tbl_working_sleep[[#This Row],[SleepHours]]&lt;7,"Below Recommended",tbl_working_sleep[[#This Row],[SleepHours]]&lt;=9,"Recommended",tbl_working_sleep[[#This Row],[SleepHours]]&gt;9,"Oversleeping")</f>
        <v>Insufficient Sleep</v>
      </c>
      <c r="L197" t="str">
        <f>tbl_working_sleep[[#This Row],[Id]]&amp;"|"&amp;TEXT(tbl_working_sleep[[#This Row],[SleepDay]],"yyyy-mm-dd")</f>
        <v>4558609924|2016-04-26</v>
      </c>
    </row>
    <row r="198" spans="1:12" x14ac:dyDescent="0.3">
      <c r="A198">
        <v>4558609924</v>
      </c>
      <c r="B198" s="2">
        <v>42489</v>
      </c>
      <c r="C198">
        <v>1</v>
      </c>
      <c r="D198">
        <v>171</v>
      </c>
      <c r="E198">
        <v>179</v>
      </c>
      <c r="F198" t="str">
        <f>TEXT(tbl_working_sleep[[#This Row],[SleepDay]],"dddd")</f>
        <v>Friday</v>
      </c>
      <c r="G198">
        <f>ROUND(tbl_working_sleep[[#This Row],[TotalMinutesAsleep]]/60,2)</f>
        <v>2.85</v>
      </c>
      <c r="H198">
        <f>ROUND(tbl_working_sleep[[#This Row],[TotalTimeInBed]]/60,2)</f>
        <v>2.98</v>
      </c>
      <c r="I198">
        <f>tbl_working_sleep[[#This Row],[TotalTimeInBed]]-tbl_working_sleep[[#This Row],[TotalMinutesAsleep]]</f>
        <v>8</v>
      </c>
      <c r="J198">
        <f>ROUND(tbl_working_sleep[[#This Row],[TotalMinutesAsleep]]/tbl_working_sleep[[#This Row],[TotalTimeInBed]]*100,2)</f>
        <v>95.53</v>
      </c>
      <c r="K198" t="str" cm="1">
        <f t="array" ref="K198">_xlfn.IFS(tbl_working_sleep[[#This Row],[SleepHours]]&lt;6,"Insufficient Sleep",tbl_working_sleep[[#This Row],[SleepHours]]&lt;7,"Below Recommended",tbl_working_sleep[[#This Row],[SleepHours]]&lt;=9,"Recommended",tbl_working_sleep[[#This Row],[SleepHours]]&gt;9,"Oversleeping")</f>
        <v>Insufficient Sleep</v>
      </c>
      <c r="L198" t="str">
        <f>tbl_working_sleep[[#This Row],[Id]]&amp;"|"&amp;TEXT(tbl_working_sleep[[#This Row],[SleepDay]],"yyyy-mm-dd")</f>
        <v>4558609924|2016-04-29</v>
      </c>
    </row>
    <row r="199" spans="1:12" x14ac:dyDescent="0.3">
      <c r="A199">
        <v>4558609924</v>
      </c>
      <c r="B199" s="2">
        <v>42491</v>
      </c>
      <c r="C199">
        <v>1</v>
      </c>
      <c r="D199">
        <v>115</v>
      </c>
      <c r="E199">
        <v>129</v>
      </c>
      <c r="F199" t="str">
        <f>TEXT(tbl_working_sleep[[#This Row],[SleepDay]],"dddd")</f>
        <v>Sunday</v>
      </c>
      <c r="G199">
        <f>ROUND(tbl_working_sleep[[#This Row],[TotalMinutesAsleep]]/60,2)</f>
        <v>1.92</v>
      </c>
      <c r="H199">
        <f>ROUND(tbl_working_sleep[[#This Row],[TotalTimeInBed]]/60,2)</f>
        <v>2.15</v>
      </c>
      <c r="I199">
        <f>tbl_working_sleep[[#This Row],[TotalTimeInBed]]-tbl_working_sleep[[#This Row],[TotalMinutesAsleep]]</f>
        <v>14</v>
      </c>
      <c r="J199">
        <f>ROUND(tbl_working_sleep[[#This Row],[TotalMinutesAsleep]]/tbl_working_sleep[[#This Row],[TotalTimeInBed]]*100,2)</f>
        <v>89.15</v>
      </c>
      <c r="K199" t="str" cm="1">
        <f t="array" ref="K199">_xlfn.IFS(tbl_working_sleep[[#This Row],[SleepHours]]&lt;6,"Insufficient Sleep",tbl_working_sleep[[#This Row],[SleepHours]]&lt;7,"Below Recommended",tbl_working_sleep[[#This Row],[SleepHours]]&lt;=9,"Recommended",tbl_working_sleep[[#This Row],[SleepHours]]&gt;9,"Oversleeping")</f>
        <v>Insufficient Sleep</v>
      </c>
      <c r="L199" t="str">
        <f>tbl_working_sleep[[#This Row],[Id]]&amp;"|"&amp;TEXT(tbl_working_sleep[[#This Row],[SleepDay]],"yyyy-mm-dd")</f>
        <v>4558609924|2016-05-01</v>
      </c>
    </row>
    <row r="200" spans="1:12" x14ac:dyDescent="0.3">
      <c r="A200">
        <v>4558609924</v>
      </c>
      <c r="B200" s="2">
        <v>42498</v>
      </c>
      <c r="C200">
        <v>1</v>
      </c>
      <c r="D200">
        <v>123</v>
      </c>
      <c r="E200">
        <v>134</v>
      </c>
      <c r="F200" t="str">
        <f>TEXT(tbl_working_sleep[[#This Row],[SleepDay]],"dddd")</f>
        <v>Sunday</v>
      </c>
      <c r="G200">
        <f>ROUND(tbl_working_sleep[[#This Row],[TotalMinutesAsleep]]/60,2)</f>
        <v>2.0499999999999998</v>
      </c>
      <c r="H200">
        <f>ROUND(tbl_working_sleep[[#This Row],[TotalTimeInBed]]/60,2)</f>
        <v>2.23</v>
      </c>
      <c r="I200">
        <f>tbl_working_sleep[[#This Row],[TotalTimeInBed]]-tbl_working_sleep[[#This Row],[TotalMinutesAsleep]]</f>
        <v>11</v>
      </c>
      <c r="J200">
        <f>ROUND(tbl_working_sleep[[#This Row],[TotalMinutesAsleep]]/tbl_working_sleep[[#This Row],[TotalTimeInBed]]*100,2)</f>
        <v>91.79</v>
      </c>
      <c r="K200" t="str" cm="1">
        <f t="array" ref="K200">_xlfn.IFS(tbl_working_sleep[[#This Row],[SleepHours]]&lt;6,"Insufficient Sleep",tbl_working_sleep[[#This Row],[SleepHours]]&lt;7,"Below Recommended",tbl_working_sleep[[#This Row],[SleepHours]]&lt;=9,"Recommended",tbl_working_sleep[[#This Row],[SleepHours]]&gt;9,"Oversleeping")</f>
        <v>Insufficient Sleep</v>
      </c>
      <c r="L200" t="str">
        <f>tbl_working_sleep[[#This Row],[Id]]&amp;"|"&amp;TEXT(tbl_working_sleep[[#This Row],[SleepDay]],"yyyy-mm-dd")</f>
        <v>4558609924|2016-05-08</v>
      </c>
    </row>
    <row r="201" spans="1:12" x14ac:dyDescent="0.3">
      <c r="A201">
        <v>4702921684</v>
      </c>
      <c r="B201" s="2">
        <v>42472</v>
      </c>
      <c r="C201">
        <v>1</v>
      </c>
      <c r="D201">
        <v>425</v>
      </c>
      <c r="E201">
        <v>439</v>
      </c>
      <c r="F201" t="str">
        <f>TEXT(tbl_working_sleep[[#This Row],[SleepDay]],"dddd")</f>
        <v>Tuesday</v>
      </c>
      <c r="G201">
        <f>ROUND(tbl_working_sleep[[#This Row],[TotalMinutesAsleep]]/60,2)</f>
        <v>7.08</v>
      </c>
      <c r="H201">
        <f>ROUND(tbl_working_sleep[[#This Row],[TotalTimeInBed]]/60,2)</f>
        <v>7.32</v>
      </c>
      <c r="I201">
        <f>tbl_working_sleep[[#This Row],[TotalTimeInBed]]-tbl_working_sleep[[#This Row],[TotalMinutesAsleep]]</f>
        <v>14</v>
      </c>
      <c r="J201">
        <f>ROUND(tbl_working_sleep[[#This Row],[TotalMinutesAsleep]]/tbl_working_sleep[[#This Row],[TotalTimeInBed]]*100,2)</f>
        <v>96.81</v>
      </c>
      <c r="K201" t="str" cm="1">
        <f t="array" ref="K201">_xlfn.IFS(tbl_working_sleep[[#This Row],[SleepHours]]&lt;6,"Insufficient Sleep",tbl_working_sleep[[#This Row],[SleepHours]]&lt;7,"Below Recommended",tbl_working_sleep[[#This Row],[SleepHours]]&lt;=9,"Recommended",tbl_working_sleep[[#This Row],[SleepHours]]&gt;9,"Oversleeping")</f>
        <v>Recommended</v>
      </c>
      <c r="L201" t="str">
        <f>tbl_working_sleep[[#This Row],[Id]]&amp;"|"&amp;TEXT(tbl_working_sleep[[#This Row],[SleepDay]],"yyyy-mm-dd")</f>
        <v>4702921684|2016-04-12</v>
      </c>
    </row>
    <row r="202" spans="1:12" x14ac:dyDescent="0.3">
      <c r="A202">
        <v>4702921684</v>
      </c>
      <c r="B202" s="2">
        <v>42473</v>
      </c>
      <c r="C202">
        <v>2</v>
      </c>
      <c r="D202">
        <v>400</v>
      </c>
      <c r="E202">
        <v>430</v>
      </c>
      <c r="F202" t="str">
        <f>TEXT(tbl_working_sleep[[#This Row],[SleepDay]],"dddd")</f>
        <v>Wednesday</v>
      </c>
      <c r="G202">
        <f>ROUND(tbl_working_sleep[[#This Row],[TotalMinutesAsleep]]/60,2)</f>
        <v>6.67</v>
      </c>
      <c r="H202">
        <f>ROUND(tbl_working_sleep[[#This Row],[TotalTimeInBed]]/60,2)</f>
        <v>7.17</v>
      </c>
      <c r="I202">
        <f>tbl_working_sleep[[#This Row],[TotalTimeInBed]]-tbl_working_sleep[[#This Row],[TotalMinutesAsleep]]</f>
        <v>30</v>
      </c>
      <c r="J202">
        <f>ROUND(tbl_working_sleep[[#This Row],[TotalMinutesAsleep]]/tbl_working_sleep[[#This Row],[TotalTimeInBed]]*100,2)</f>
        <v>93.02</v>
      </c>
      <c r="K202" t="str" cm="1">
        <f t="array" ref="K202">_xlfn.IFS(tbl_working_sleep[[#This Row],[SleepHours]]&lt;6,"Insufficient Sleep",tbl_working_sleep[[#This Row],[SleepHours]]&lt;7,"Below Recommended",tbl_working_sleep[[#This Row],[SleepHours]]&lt;=9,"Recommended",tbl_working_sleep[[#This Row],[SleepHours]]&gt;9,"Oversleeping")</f>
        <v>Below Recommended</v>
      </c>
      <c r="L202" t="str">
        <f>tbl_working_sleep[[#This Row],[Id]]&amp;"|"&amp;TEXT(tbl_working_sleep[[#This Row],[SleepDay]],"yyyy-mm-dd")</f>
        <v>4702921684|2016-04-13</v>
      </c>
    </row>
    <row r="203" spans="1:12" x14ac:dyDescent="0.3">
      <c r="A203">
        <v>4702921684</v>
      </c>
      <c r="B203" s="2">
        <v>42474</v>
      </c>
      <c r="C203">
        <v>1</v>
      </c>
      <c r="D203">
        <v>384</v>
      </c>
      <c r="E203">
        <v>415</v>
      </c>
      <c r="F203" t="str">
        <f>TEXT(tbl_working_sleep[[#This Row],[SleepDay]],"dddd")</f>
        <v>Thursday</v>
      </c>
      <c r="G203">
        <f>ROUND(tbl_working_sleep[[#This Row],[TotalMinutesAsleep]]/60,2)</f>
        <v>6.4</v>
      </c>
      <c r="H203">
        <f>ROUND(tbl_working_sleep[[#This Row],[TotalTimeInBed]]/60,2)</f>
        <v>6.92</v>
      </c>
      <c r="I203">
        <f>tbl_working_sleep[[#This Row],[TotalTimeInBed]]-tbl_working_sleep[[#This Row],[TotalMinutesAsleep]]</f>
        <v>31</v>
      </c>
      <c r="J203">
        <f>ROUND(tbl_working_sleep[[#This Row],[TotalMinutesAsleep]]/tbl_working_sleep[[#This Row],[TotalTimeInBed]]*100,2)</f>
        <v>92.53</v>
      </c>
      <c r="K203" t="str" cm="1">
        <f t="array" ref="K203">_xlfn.IFS(tbl_working_sleep[[#This Row],[SleepHours]]&lt;6,"Insufficient Sleep",tbl_working_sleep[[#This Row],[SleepHours]]&lt;7,"Below Recommended",tbl_working_sleep[[#This Row],[SleepHours]]&lt;=9,"Recommended",tbl_working_sleep[[#This Row],[SleepHours]]&gt;9,"Oversleeping")</f>
        <v>Below Recommended</v>
      </c>
      <c r="L203" t="str">
        <f>tbl_working_sleep[[#This Row],[Id]]&amp;"|"&amp;TEXT(tbl_working_sleep[[#This Row],[SleepDay]],"yyyy-mm-dd")</f>
        <v>4702921684|2016-04-14</v>
      </c>
    </row>
    <row r="204" spans="1:12" x14ac:dyDescent="0.3">
      <c r="A204">
        <v>4702921684</v>
      </c>
      <c r="B204" s="2">
        <v>42475</v>
      </c>
      <c r="C204">
        <v>1</v>
      </c>
      <c r="D204">
        <v>253</v>
      </c>
      <c r="E204">
        <v>257</v>
      </c>
      <c r="F204" t="str">
        <f>TEXT(tbl_working_sleep[[#This Row],[SleepDay]],"dddd")</f>
        <v>Friday</v>
      </c>
      <c r="G204">
        <f>ROUND(tbl_working_sleep[[#This Row],[TotalMinutesAsleep]]/60,2)</f>
        <v>4.22</v>
      </c>
      <c r="H204">
        <f>ROUND(tbl_working_sleep[[#This Row],[TotalTimeInBed]]/60,2)</f>
        <v>4.28</v>
      </c>
      <c r="I204">
        <f>tbl_working_sleep[[#This Row],[TotalTimeInBed]]-tbl_working_sleep[[#This Row],[TotalMinutesAsleep]]</f>
        <v>4</v>
      </c>
      <c r="J204">
        <f>ROUND(tbl_working_sleep[[#This Row],[TotalMinutesAsleep]]/tbl_working_sleep[[#This Row],[TotalTimeInBed]]*100,2)</f>
        <v>98.44</v>
      </c>
      <c r="K204" t="str" cm="1">
        <f t="array" ref="K204">_xlfn.IFS(tbl_working_sleep[[#This Row],[SleepHours]]&lt;6,"Insufficient Sleep",tbl_working_sleep[[#This Row],[SleepHours]]&lt;7,"Below Recommended",tbl_working_sleep[[#This Row],[SleepHours]]&lt;=9,"Recommended",tbl_working_sleep[[#This Row],[SleepHours]]&gt;9,"Oversleeping")</f>
        <v>Insufficient Sleep</v>
      </c>
      <c r="L204" t="str">
        <f>tbl_working_sleep[[#This Row],[Id]]&amp;"|"&amp;TEXT(tbl_working_sleep[[#This Row],[SleepDay]],"yyyy-mm-dd")</f>
        <v>4702921684|2016-04-15</v>
      </c>
    </row>
    <row r="205" spans="1:12" x14ac:dyDescent="0.3">
      <c r="A205">
        <v>4702921684</v>
      </c>
      <c r="B205" s="2">
        <v>42476</v>
      </c>
      <c r="C205">
        <v>2</v>
      </c>
      <c r="D205">
        <v>382</v>
      </c>
      <c r="E205">
        <v>406</v>
      </c>
      <c r="F205" t="str">
        <f>TEXT(tbl_working_sleep[[#This Row],[SleepDay]],"dddd")</f>
        <v>Saturday</v>
      </c>
      <c r="G205">
        <f>ROUND(tbl_working_sleep[[#This Row],[TotalMinutesAsleep]]/60,2)</f>
        <v>6.37</v>
      </c>
      <c r="H205">
        <f>ROUND(tbl_working_sleep[[#This Row],[TotalTimeInBed]]/60,2)</f>
        <v>6.77</v>
      </c>
      <c r="I205">
        <f>tbl_working_sleep[[#This Row],[TotalTimeInBed]]-tbl_working_sleep[[#This Row],[TotalMinutesAsleep]]</f>
        <v>24</v>
      </c>
      <c r="J205">
        <f>ROUND(tbl_working_sleep[[#This Row],[TotalMinutesAsleep]]/tbl_working_sleep[[#This Row],[TotalTimeInBed]]*100,2)</f>
        <v>94.09</v>
      </c>
      <c r="K205" t="str" cm="1">
        <f t="array" ref="K205">_xlfn.IFS(tbl_working_sleep[[#This Row],[SleepHours]]&lt;6,"Insufficient Sleep",tbl_working_sleep[[#This Row],[SleepHours]]&lt;7,"Below Recommended",tbl_working_sleep[[#This Row],[SleepHours]]&lt;=9,"Recommended",tbl_working_sleep[[#This Row],[SleepHours]]&gt;9,"Oversleeping")</f>
        <v>Below Recommended</v>
      </c>
      <c r="L205" t="str">
        <f>tbl_working_sleep[[#This Row],[Id]]&amp;"|"&amp;TEXT(tbl_working_sleep[[#This Row],[SleepDay]],"yyyy-mm-dd")</f>
        <v>4702921684|2016-04-16</v>
      </c>
    </row>
    <row r="206" spans="1:12" x14ac:dyDescent="0.3">
      <c r="A206">
        <v>4702921684</v>
      </c>
      <c r="B206" s="2">
        <v>42477</v>
      </c>
      <c r="C206">
        <v>1</v>
      </c>
      <c r="D206">
        <v>591</v>
      </c>
      <c r="E206">
        <v>612</v>
      </c>
      <c r="F206" t="str">
        <f>TEXT(tbl_working_sleep[[#This Row],[SleepDay]],"dddd")</f>
        <v>Sunday</v>
      </c>
      <c r="G206">
        <f>ROUND(tbl_working_sleep[[#This Row],[TotalMinutesAsleep]]/60,2)</f>
        <v>9.85</v>
      </c>
      <c r="H206">
        <f>ROUND(tbl_working_sleep[[#This Row],[TotalTimeInBed]]/60,2)</f>
        <v>10.199999999999999</v>
      </c>
      <c r="I206">
        <f>tbl_working_sleep[[#This Row],[TotalTimeInBed]]-tbl_working_sleep[[#This Row],[TotalMinutesAsleep]]</f>
        <v>21</v>
      </c>
      <c r="J206">
        <f>ROUND(tbl_working_sleep[[#This Row],[TotalMinutesAsleep]]/tbl_working_sleep[[#This Row],[TotalTimeInBed]]*100,2)</f>
        <v>96.57</v>
      </c>
      <c r="K206" t="str" cm="1">
        <f t="array" ref="K206">_xlfn.IFS(tbl_working_sleep[[#This Row],[SleepHours]]&lt;6,"Insufficient Sleep",tbl_working_sleep[[#This Row],[SleepHours]]&lt;7,"Below Recommended",tbl_working_sleep[[#This Row],[SleepHours]]&lt;=9,"Recommended",tbl_working_sleep[[#This Row],[SleepHours]]&gt;9,"Oversleeping")</f>
        <v>Oversleeping</v>
      </c>
      <c r="L206" t="str">
        <f>tbl_working_sleep[[#This Row],[Id]]&amp;"|"&amp;TEXT(tbl_working_sleep[[#This Row],[SleepDay]],"yyyy-mm-dd")</f>
        <v>4702921684|2016-04-17</v>
      </c>
    </row>
    <row r="207" spans="1:12" x14ac:dyDescent="0.3">
      <c r="A207">
        <v>4702921684</v>
      </c>
      <c r="B207" s="2">
        <v>42478</v>
      </c>
      <c r="C207">
        <v>1</v>
      </c>
      <c r="D207">
        <v>293</v>
      </c>
      <c r="E207">
        <v>312</v>
      </c>
      <c r="F207" t="str">
        <f>TEXT(tbl_working_sleep[[#This Row],[SleepDay]],"dddd")</f>
        <v>Monday</v>
      </c>
      <c r="G207">
        <f>ROUND(tbl_working_sleep[[#This Row],[TotalMinutesAsleep]]/60,2)</f>
        <v>4.88</v>
      </c>
      <c r="H207">
        <f>ROUND(tbl_working_sleep[[#This Row],[TotalTimeInBed]]/60,2)</f>
        <v>5.2</v>
      </c>
      <c r="I207">
        <f>tbl_working_sleep[[#This Row],[TotalTimeInBed]]-tbl_working_sleep[[#This Row],[TotalMinutesAsleep]]</f>
        <v>19</v>
      </c>
      <c r="J207">
        <f>ROUND(tbl_working_sleep[[#This Row],[TotalMinutesAsleep]]/tbl_working_sleep[[#This Row],[TotalTimeInBed]]*100,2)</f>
        <v>93.91</v>
      </c>
      <c r="K207" t="str" cm="1">
        <f t="array" ref="K207">_xlfn.IFS(tbl_working_sleep[[#This Row],[SleepHours]]&lt;6,"Insufficient Sleep",tbl_working_sleep[[#This Row],[SleepHours]]&lt;7,"Below Recommended",tbl_working_sleep[[#This Row],[SleepHours]]&lt;=9,"Recommended",tbl_working_sleep[[#This Row],[SleepHours]]&gt;9,"Oversleeping")</f>
        <v>Insufficient Sleep</v>
      </c>
      <c r="L207" t="str">
        <f>tbl_working_sleep[[#This Row],[Id]]&amp;"|"&amp;TEXT(tbl_working_sleep[[#This Row],[SleepDay]],"yyyy-mm-dd")</f>
        <v>4702921684|2016-04-18</v>
      </c>
    </row>
    <row r="208" spans="1:12" x14ac:dyDescent="0.3">
      <c r="A208">
        <v>4702921684</v>
      </c>
      <c r="B208" s="2">
        <v>42479</v>
      </c>
      <c r="C208">
        <v>1</v>
      </c>
      <c r="D208">
        <v>457</v>
      </c>
      <c r="E208">
        <v>487</v>
      </c>
      <c r="F208" t="str">
        <f>TEXT(tbl_working_sleep[[#This Row],[SleepDay]],"dddd")</f>
        <v>Tuesday</v>
      </c>
      <c r="G208">
        <f>ROUND(tbl_working_sleep[[#This Row],[TotalMinutesAsleep]]/60,2)</f>
        <v>7.62</v>
      </c>
      <c r="H208">
        <f>ROUND(tbl_working_sleep[[#This Row],[TotalTimeInBed]]/60,2)</f>
        <v>8.1199999999999992</v>
      </c>
      <c r="I208">
        <f>tbl_working_sleep[[#This Row],[TotalTimeInBed]]-tbl_working_sleep[[#This Row],[TotalMinutesAsleep]]</f>
        <v>30</v>
      </c>
      <c r="J208">
        <f>ROUND(tbl_working_sleep[[#This Row],[TotalMinutesAsleep]]/tbl_working_sleep[[#This Row],[TotalTimeInBed]]*100,2)</f>
        <v>93.84</v>
      </c>
      <c r="K208" t="str" cm="1">
        <f t="array" ref="K208">_xlfn.IFS(tbl_working_sleep[[#This Row],[SleepHours]]&lt;6,"Insufficient Sleep",tbl_working_sleep[[#This Row],[SleepHours]]&lt;7,"Below Recommended",tbl_working_sleep[[#This Row],[SleepHours]]&lt;=9,"Recommended",tbl_working_sleep[[#This Row],[SleepHours]]&gt;9,"Oversleeping")</f>
        <v>Recommended</v>
      </c>
      <c r="L208" t="str">
        <f>tbl_working_sleep[[#This Row],[Id]]&amp;"|"&amp;TEXT(tbl_working_sleep[[#This Row],[SleepDay]],"yyyy-mm-dd")</f>
        <v>4702921684|2016-04-19</v>
      </c>
    </row>
    <row r="209" spans="1:12" x14ac:dyDescent="0.3">
      <c r="A209">
        <v>4702921684</v>
      </c>
      <c r="B209" s="2">
        <v>42480</v>
      </c>
      <c r="C209">
        <v>1</v>
      </c>
      <c r="D209">
        <v>454</v>
      </c>
      <c r="E209">
        <v>468</v>
      </c>
      <c r="F209" t="str">
        <f>TEXT(tbl_working_sleep[[#This Row],[SleepDay]],"dddd")</f>
        <v>Wednesday</v>
      </c>
      <c r="G209">
        <f>ROUND(tbl_working_sleep[[#This Row],[TotalMinutesAsleep]]/60,2)</f>
        <v>7.57</v>
      </c>
      <c r="H209">
        <f>ROUND(tbl_working_sleep[[#This Row],[TotalTimeInBed]]/60,2)</f>
        <v>7.8</v>
      </c>
      <c r="I209">
        <f>tbl_working_sleep[[#This Row],[TotalTimeInBed]]-tbl_working_sleep[[#This Row],[TotalMinutesAsleep]]</f>
        <v>14</v>
      </c>
      <c r="J209">
        <f>ROUND(tbl_working_sleep[[#This Row],[TotalMinutesAsleep]]/tbl_working_sleep[[#This Row],[TotalTimeInBed]]*100,2)</f>
        <v>97.01</v>
      </c>
      <c r="K209" t="str" cm="1">
        <f t="array" ref="K209">_xlfn.IFS(tbl_working_sleep[[#This Row],[SleepHours]]&lt;6,"Insufficient Sleep",tbl_working_sleep[[#This Row],[SleepHours]]&lt;7,"Below Recommended",tbl_working_sleep[[#This Row],[SleepHours]]&lt;=9,"Recommended",tbl_working_sleep[[#This Row],[SleepHours]]&gt;9,"Oversleeping")</f>
        <v>Recommended</v>
      </c>
      <c r="L209" t="str">
        <f>tbl_working_sleep[[#This Row],[Id]]&amp;"|"&amp;TEXT(tbl_working_sleep[[#This Row],[SleepDay]],"yyyy-mm-dd")</f>
        <v>4702921684|2016-04-20</v>
      </c>
    </row>
    <row r="210" spans="1:12" x14ac:dyDescent="0.3">
      <c r="A210">
        <v>4702921684</v>
      </c>
      <c r="B210" s="2">
        <v>42481</v>
      </c>
      <c r="C210">
        <v>1</v>
      </c>
      <c r="D210">
        <v>425</v>
      </c>
      <c r="E210">
        <v>434</v>
      </c>
      <c r="F210" t="str">
        <f>TEXT(tbl_working_sleep[[#This Row],[SleepDay]],"dddd")</f>
        <v>Thursday</v>
      </c>
      <c r="G210">
        <f>ROUND(tbl_working_sleep[[#This Row],[TotalMinutesAsleep]]/60,2)</f>
        <v>7.08</v>
      </c>
      <c r="H210">
        <f>ROUND(tbl_working_sleep[[#This Row],[TotalTimeInBed]]/60,2)</f>
        <v>7.23</v>
      </c>
      <c r="I210">
        <f>tbl_working_sleep[[#This Row],[TotalTimeInBed]]-tbl_working_sleep[[#This Row],[TotalMinutesAsleep]]</f>
        <v>9</v>
      </c>
      <c r="J210">
        <f>ROUND(tbl_working_sleep[[#This Row],[TotalMinutesAsleep]]/tbl_working_sleep[[#This Row],[TotalTimeInBed]]*100,2)</f>
        <v>97.93</v>
      </c>
      <c r="K210" t="str" cm="1">
        <f t="array" ref="K210">_xlfn.IFS(tbl_working_sleep[[#This Row],[SleepHours]]&lt;6,"Insufficient Sleep",tbl_working_sleep[[#This Row],[SleepHours]]&lt;7,"Below Recommended",tbl_working_sleep[[#This Row],[SleepHours]]&lt;=9,"Recommended",tbl_working_sleep[[#This Row],[SleepHours]]&gt;9,"Oversleeping")</f>
        <v>Recommended</v>
      </c>
      <c r="L210" t="str">
        <f>tbl_working_sleep[[#This Row],[Id]]&amp;"|"&amp;TEXT(tbl_working_sleep[[#This Row],[SleepDay]],"yyyy-mm-dd")</f>
        <v>4702921684|2016-04-21</v>
      </c>
    </row>
    <row r="211" spans="1:12" x14ac:dyDescent="0.3">
      <c r="A211">
        <v>4702921684</v>
      </c>
      <c r="B211" s="2">
        <v>42483</v>
      </c>
      <c r="C211">
        <v>1</v>
      </c>
      <c r="D211">
        <v>465</v>
      </c>
      <c r="E211">
        <v>475</v>
      </c>
      <c r="F211" t="str">
        <f>TEXT(tbl_working_sleep[[#This Row],[SleepDay]],"dddd")</f>
        <v>Saturday</v>
      </c>
      <c r="G211">
        <f>ROUND(tbl_working_sleep[[#This Row],[TotalMinutesAsleep]]/60,2)</f>
        <v>7.75</v>
      </c>
      <c r="H211">
        <f>ROUND(tbl_working_sleep[[#This Row],[TotalTimeInBed]]/60,2)</f>
        <v>7.92</v>
      </c>
      <c r="I211">
        <f>tbl_working_sleep[[#This Row],[TotalTimeInBed]]-tbl_working_sleep[[#This Row],[TotalMinutesAsleep]]</f>
        <v>10</v>
      </c>
      <c r="J211">
        <f>ROUND(tbl_working_sleep[[#This Row],[TotalMinutesAsleep]]/tbl_working_sleep[[#This Row],[TotalTimeInBed]]*100,2)</f>
        <v>97.89</v>
      </c>
      <c r="K211" t="str" cm="1">
        <f t="array" ref="K211">_xlfn.IFS(tbl_working_sleep[[#This Row],[SleepHours]]&lt;6,"Insufficient Sleep",tbl_working_sleep[[#This Row],[SleepHours]]&lt;7,"Below Recommended",tbl_working_sleep[[#This Row],[SleepHours]]&lt;=9,"Recommended",tbl_working_sleep[[#This Row],[SleepHours]]&gt;9,"Oversleeping")</f>
        <v>Recommended</v>
      </c>
      <c r="L211" t="str">
        <f>tbl_working_sleep[[#This Row],[Id]]&amp;"|"&amp;TEXT(tbl_working_sleep[[#This Row],[SleepDay]],"yyyy-mm-dd")</f>
        <v>4702921684|2016-04-23</v>
      </c>
    </row>
    <row r="212" spans="1:12" x14ac:dyDescent="0.3">
      <c r="A212">
        <v>4702921684</v>
      </c>
      <c r="B212" s="2">
        <v>42484</v>
      </c>
      <c r="C212">
        <v>1</v>
      </c>
      <c r="D212">
        <v>480</v>
      </c>
      <c r="E212">
        <v>506</v>
      </c>
      <c r="F212" t="str">
        <f>TEXT(tbl_working_sleep[[#This Row],[SleepDay]],"dddd")</f>
        <v>Sunday</v>
      </c>
      <c r="G212">
        <f>ROUND(tbl_working_sleep[[#This Row],[TotalMinutesAsleep]]/60,2)</f>
        <v>8</v>
      </c>
      <c r="H212">
        <f>ROUND(tbl_working_sleep[[#This Row],[TotalTimeInBed]]/60,2)</f>
        <v>8.43</v>
      </c>
      <c r="I212">
        <f>tbl_working_sleep[[#This Row],[TotalTimeInBed]]-tbl_working_sleep[[#This Row],[TotalMinutesAsleep]]</f>
        <v>26</v>
      </c>
      <c r="J212">
        <f>ROUND(tbl_working_sleep[[#This Row],[TotalMinutesAsleep]]/tbl_working_sleep[[#This Row],[TotalTimeInBed]]*100,2)</f>
        <v>94.86</v>
      </c>
      <c r="K212" t="str" cm="1">
        <f t="array" ref="K212">_xlfn.IFS(tbl_working_sleep[[#This Row],[SleepHours]]&lt;6,"Insufficient Sleep",tbl_working_sleep[[#This Row],[SleepHours]]&lt;7,"Below Recommended",tbl_working_sleep[[#This Row],[SleepHours]]&lt;=9,"Recommended",tbl_working_sleep[[#This Row],[SleepHours]]&gt;9,"Oversleeping")</f>
        <v>Recommended</v>
      </c>
      <c r="L212" t="str">
        <f>tbl_working_sleep[[#This Row],[Id]]&amp;"|"&amp;TEXT(tbl_working_sleep[[#This Row],[SleepDay]],"yyyy-mm-dd")</f>
        <v>4702921684|2016-04-24</v>
      </c>
    </row>
    <row r="213" spans="1:12" x14ac:dyDescent="0.3">
      <c r="A213">
        <v>4702921684</v>
      </c>
      <c r="B213" s="2">
        <v>42485</v>
      </c>
      <c r="C213">
        <v>1</v>
      </c>
      <c r="D213">
        <v>370</v>
      </c>
      <c r="E213">
        <v>380</v>
      </c>
      <c r="F213" t="str">
        <f>TEXT(tbl_working_sleep[[#This Row],[SleepDay]],"dddd")</f>
        <v>Monday</v>
      </c>
      <c r="G213">
        <f>ROUND(tbl_working_sleep[[#This Row],[TotalMinutesAsleep]]/60,2)</f>
        <v>6.17</v>
      </c>
      <c r="H213">
        <f>ROUND(tbl_working_sleep[[#This Row],[TotalTimeInBed]]/60,2)</f>
        <v>6.33</v>
      </c>
      <c r="I213">
        <f>tbl_working_sleep[[#This Row],[TotalTimeInBed]]-tbl_working_sleep[[#This Row],[TotalMinutesAsleep]]</f>
        <v>10</v>
      </c>
      <c r="J213">
        <f>ROUND(tbl_working_sleep[[#This Row],[TotalMinutesAsleep]]/tbl_working_sleep[[#This Row],[TotalTimeInBed]]*100,2)</f>
        <v>97.37</v>
      </c>
      <c r="K213" t="str" cm="1">
        <f t="array" ref="K213">_xlfn.IFS(tbl_working_sleep[[#This Row],[SleepHours]]&lt;6,"Insufficient Sleep",tbl_working_sleep[[#This Row],[SleepHours]]&lt;7,"Below Recommended",tbl_working_sleep[[#This Row],[SleepHours]]&lt;=9,"Recommended",tbl_working_sleep[[#This Row],[SleepHours]]&gt;9,"Oversleeping")</f>
        <v>Below Recommended</v>
      </c>
      <c r="L213" t="str">
        <f>tbl_working_sleep[[#This Row],[Id]]&amp;"|"&amp;TEXT(tbl_working_sleep[[#This Row],[SleepDay]],"yyyy-mm-dd")</f>
        <v>4702921684|2016-04-25</v>
      </c>
    </row>
    <row r="214" spans="1:12" x14ac:dyDescent="0.3">
      <c r="A214">
        <v>4702921684</v>
      </c>
      <c r="B214" s="2">
        <v>42486</v>
      </c>
      <c r="C214">
        <v>1</v>
      </c>
      <c r="D214">
        <v>421</v>
      </c>
      <c r="E214">
        <v>429</v>
      </c>
      <c r="F214" t="str">
        <f>TEXT(tbl_working_sleep[[#This Row],[SleepDay]],"dddd")</f>
        <v>Tuesday</v>
      </c>
      <c r="G214">
        <f>ROUND(tbl_working_sleep[[#This Row],[TotalMinutesAsleep]]/60,2)</f>
        <v>7.02</v>
      </c>
      <c r="H214">
        <f>ROUND(tbl_working_sleep[[#This Row],[TotalTimeInBed]]/60,2)</f>
        <v>7.15</v>
      </c>
      <c r="I214">
        <f>tbl_working_sleep[[#This Row],[TotalTimeInBed]]-tbl_working_sleep[[#This Row],[TotalMinutesAsleep]]</f>
        <v>8</v>
      </c>
      <c r="J214">
        <f>ROUND(tbl_working_sleep[[#This Row],[TotalMinutesAsleep]]/tbl_working_sleep[[#This Row],[TotalTimeInBed]]*100,2)</f>
        <v>98.14</v>
      </c>
      <c r="K214" t="str" cm="1">
        <f t="array" ref="K214">_xlfn.IFS(tbl_working_sleep[[#This Row],[SleepHours]]&lt;6,"Insufficient Sleep",tbl_working_sleep[[#This Row],[SleepHours]]&lt;7,"Below Recommended",tbl_working_sleep[[#This Row],[SleepHours]]&lt;=9,"Recommended",tbl_working_sleep[[#This Row],[SleepHours]]&gt;9,"Oversleeping")</f>
        <v>Recommended</v>
      </c>
      <c r="L214" t="str">
        <f>tbl_working_sleep[[#This Row],[Id]]&amp;"|"&amp;TEXT(tbl_working_sleep[[#This Row],[SleepDay]],"yyyy-mm-dd")</f>
        <v>4702921684|2016-04-26</v>
      </c>
    </row>
    <row r="215" spans="1:12" x14ac:dyDescent="0.3">
      <c r="A215">
        <v>4702921684</v>
      </c>
      <c r="B215" s="2">
        <v>42487</v>
      </c>
      <c r="C215">
        <v>1</v>
      </c>
      <c r="D215">
        <v>432</v>
      </c>
      <c r="E215">
        <v>449</v>
      </c>
      <c r="F215" t="str">
        <f>TEXT(tbl_working_sleep[[#This Row],[SleepDay]],"dddd")</f>
        <v>Wednesday</v>
      </c>
      <c r="G215">
        <f>ROUND(tbl_working_sleep[[#This Row],[TotalMinutesAsleep]]/60,2)</f>
        <v>7.2</v>
      </c>
      <c r="H215">
        <f>ROUND(tbl_working_sleep[[#This Row],[TotalTimeInBed]]/60,2)</f>
        <v>7.48</v>
      </c>
      <c r="I215">
        <f>tbl_working_sleep[[#This Row],[TotalTimeInBed]]-tbl_working_sleep[[#This Row],[TotalMinutesAsleep]]</f>
        <v>17</v>
      </c>
      <c r="J215">
        <f>ROUND(tbl_working_sleep[[#This Row],[TotalMinutesAsleep]]/tbl_working_sleep[[#This Row],[TotalTimeInBed]]*100,2)</f>
        <v>96.21</v>
      </c>
      <c r="K215" t="str" cm="1">
        <f t="array" ref="K215">_xlfn.IFS(tbl_working_sleep[[#This Row],[SleepHours]]&lt;6,"Insufficient Sleep",tbl_working_sleep[[#This Row],[SleepHours]]&lt;7,"Below Recommended",tbl_working_sleep[[#This Row],[SleepHours]]&lt;=9,"Recommended",tbl_working_sleep[[#This Row],[SleepHours]]&gt;9,"Oversleeping")</f>
        <v>Recommended</v>
      </c>
      <c r="L215" t="str">
        <f>tbl_working_sleep[[#This Row],[Id]]&amp;"|"&amp;TEXT(tbl_working_sleep[[#This Row],[SleepDay]],"yyyy-mm-dd")</f>
        <v>4702921684|2016-04-27</v>
      </c>
    </row>
    <row r="216" spans="1:12" x14ac:dyDescent="0.3">
      <c r="A216">
        <v>4702921684</v>
      </c>
      <c r="B216" s="2">
        <v>42488</v>
      </c>
      <c r="C216">
        <v>1</v>
      </c>
      <c r="D216">
        <v>442</v>
      </c>
      <c r="E216">
        <v>461</v>
      </c>
      <c r="F216" t="str">
        <f>TEXT(tbl_working_sleep[[#This Row],[SleepDay]],"dddd")</f>
        <v>Thursday</v>
      </c>
      <c r="G216">
        <f>ROUND(tbl_working_sleep[[#This Row],[TotalMinutesAsleep]]/60,2)</f>
        <v>7.37</v>
      </c>
      <c r="H216">
        <f>ROUND(tbl_working_sleep[[#This Row],[TotalTimeInBed]]/60,2)</f>
        <v>7.68</v>
      </c>
      <c r="I216">
        <f>tbl_working_sleep[[#This Row],[TotalTimeInBed]]-tbl_working_sleep[[#This Row],[TotalMinutesAsleep]]</f>
        <v>19</v>
      </c>
      <c r="J216">
        <f>ROUND(tbl_working_sleep[[#This Row],[TotalMinutesAsleep]]/tbl_working_sleep[[#This Row],[TotalTimeInBed]]*100,2)</f>
        <v>95.88</v>
      </c>
      <c r="K216" t="str" cm="1">
        <f t="array" ref="K216">_xlfn.IFS(tbl_working_sleep[[#This Row],[SleepHours]]&lt;6,"Insufficient Sleep",tbl_working_sleep[[#This Row],[SleepHours]]&lt;7,"Below Recommended",tbl_working_sleep[[#This Row],[SleepHours]]&lt;=9,"Recommended",tbl_working_sleep[[#This Row],[SleepHours]]&gt;9,"Oversleeping")</f>
        <v>Recommended</v>
      </c>
      <c r="L216" t="str">
        <f>tbl_working_sleep[[#This Row],[Id]]&amp;"|"&amp;TEXT(tbl_working_sleep[[#This Row],[SleepDay]],"yyyy-mm-dd")</f>
        <v>4702921684|2016-04-28</v>
      </c>
    </row>
    <row r="217" spans="1:12" x14ac:dyDescent="0.3">
      <c r="A217">
        <v>4702921684</v>
      </c>
      <c r="B217" s="2">
        <v>42489</v>
      </c>
      <c r="C217">
        <v>1</v>
      </c>
      <c r="D217">
        <v>433</v>
      </c>
      <c r="E217">
        <v>447</v>
      </c>
      <c r="F217" t="str">
        <f>TEXT(tbl_working_sleep[[#This Row],[SleepDay]],"dddd")</f>
        <v>Friday</v>
      </c>
      <c r="G217">
        <f>ROUND(tbl_working_sleep[[#This Row],[TotalMinutesAsleep]]/60,2)</f>
        <v>7.22</v>
      </c>
      <c r="H217">
        <f>ROUND(tbl_working_sleep[[#This Row],[TotalTimeInBed]]/60,2)</f>
        <v>7.45</v>
      </c>
      <c r="I217">
        <f>tbl_working_sleep[[#This Row],[TotalTimeInBed]]-tbl_working_sleep[[#This Row],[TotalMinutesAsleep]]</f>
        <v>14</v>
      </c>
      <c r="J217">
        <f>ROUND(tbl_working_sleep[[#This Row],[TotalMinutesAsleep]]/tbl_working_sleep[[#This Row],[TotalTimeInBed]]*100,2)</f>
        <v>96.87</v>
      </c>
      <c r="K217" t="str" cm="1">
        <f t="array" ref="K217">_xlfn.IFS(tbl_working_sleep[[#This Row],[SleepHours]]&lt;6,"Insufficient Sleep",tbl_working_sleep[[#This Row],[SleepHours]]&lt;7,"Below Recommended",tbl_working_sleep[[#This Row],[SleepHours]]&lt;=9,"Recommended",tbl_working_sleep[[#This Row],[SleepHours]]&gt;9,"Oversleeping")</f>
        <v>Recommended</v>
      </c>
      <c r="L217" t="str">
        <f>tbl_working_sleep[[#This Row],[Id]]&amp;"|"&amp;TEXT(tbl_working_sleep[[#This Row],[SleepDay]],"yyyy-mm-dd")</f>
        <v>4702921684|2016-04-29</v>
      </c>
    </row>
    <row r="218" spans="1:12" x14ac:dyDescent="0.3">
      <c r="A218">
        <v>4702921684</v>
      </c>
      <c r="B218" s="2">
        <v>42490</v>
      </c>
      <c r="C218">
        <v>1</v>
      </c>
      <c r="D218">
        <v>479</v>
      </c>
      <c r="E218">
        <v>501</v>
      </c>
      <c r="F218" t="str">
        <f>TEXT(tbl_working_sleep[[#This Row],[SleepDay]],"dddd")</f>
        <v>Saturday</v>
      </c>
      <c r="G218">
        <f>ROUND(tbl_working_sleep[[#This Row],[TotalMinutesAsleep]]/60,2)</f>
        <v>7.98</v>
      </c>
      <c r="H218">
        <f>ROUND(tbl_working_sleep[[#This Row],[TotalTimeInBed]]/60,2)</f>
        <v>8.35</v>
      </c>
      <c r="I218">
        <f>tbl_working_sleep[[#This Row],[TotalTimeInBed]]-tbl_working_sleep[[#This Row],[TotalMinutesAsleep]]</f>
        <v>22</v>
      </c>
      <c r="J218">
        <f>ROUND(tbl_working_sleep[[#This Row],[TotalMinutesAsleep]]/tbl_working_sleep[[#This Row],[TotalTimeInBed]]*100,2)</f>
        <v>95.61</v>
      </c>
      <c r="K218" t="str" cm="1">
        <f t="array" ref="K218">_xlfn.IFS(tbl_working_sleep[[#This Row],[SleepHours]]&lt;6,"Insufficient Sleep",tbl_working_sleep[[#This Row],[SleepHours]]&lt;7,"Below Recommended",tbl_working_sleep[[#This Row],[SleepHours]]&lt;=9,"Recommended",tbl_working_sleep[[#This Row],[SleepHours]]&gt;9,"Oversleeping")</f>
        <v>Recommended</v>
      </c>
      <c r="L218" t="str">
        <f>tbl_working_sleep[[#This Row],[Id]]&amp;"|"&amp;TEXT(tbl_working_sleep[[#This Row],[SleepDay]],"yyyy-mm-dd")</f>
        <v>4702921684|2016-04-30</v>
      </c>
    </row>
    <row r="219" spans="1:12" x14ac:dyDescent="0.3">
      <c r="A219">
        <v>4702921684</v>
      </c>
      <c r="B219" s="2">
        <v>42493</v>
      </c>
      <c r="C219">
        <v>1</v>
      </c>
      <c r="D219">
        <v>327</v>
      </c>
      <c r="E219">
        <v>373</v>
      </c>
      <c r="F219" t="str">
        <f>TEXT(tbl_working_sleep[[#This Row],[SleepDay]],"dddd")</f>
        <v>Tuesday</v>
      </c>
      <c r="G219">
        <f>ROUND(tbl_working_sleep[[#This Row],[TotalMinutesAsleep]]/60,2)</f>
        <v>5.45</v>
      </c>
      <c r="H219">
        <f>ROUND(tbl_working_sleep[[#This Row],[TotalTimeInBed]]/60,2)</f>
        <v>6.22</v>
      </c>
      <c r="I219">
        <f>tbl_working_sleep[[#This Row],[TotalTimeInBed]]-tbl_working_sleep[[#This Row],[TotalMinutesAsleep]]</f>
        <v>46</v>
      </c>
      <c r="J219">
        <f>ROUND(tbl_working_sleep[[#This Row],[TotalMinutesAsleep]]/tbl_working_sleep[[#This Row],[TotalTimeInBed]]*100,2)</f>
        <v>87.67</v>
      </c>
      <c r="K219" t="str" cm="1">
        <f t="array" ref="K219">_xlfn.IFS(tbl_working_sleep[[#This Row],[SleepHours]]&lt;6,"Insufficient Sleep",tbl_working_sleep[[#This Row],[SleepHours]]&lt;7,"Below Recommended",tbl_working_sleep[[#This Row],[SleepHours]]&lt;=9,"Recommended",tbl_working_sleep[[#This Row],[SleepHours]]&gt;9,"Oversleeping")</f>
        <v>Insufficient Sleep</v>
      </c>
      <c r="L219" t="str">
        <f>tbl_working_sleep[[#This Row],[Id]]&amp;"|"&amp;TEXT(tbl_working_sleep[[#This Row],[SleepDay]],"yyyy-mm-dd")</f>
        <v>4702921684|2016-05-03</v>
      </c>
    </row>
    <row r="220" spans="1:12" x14ac:dyDescent="0.3">
      <c r="A220">
        <v>4702921684</v>
      </c>
      <c r="B220" s="2">
        <v>42494</v>
      </c>
      <c r="C220">
        <v>1</v>
      </c>
      <c r="D220">
        <v>412</v>
      </c>
      <c r="E220">
        <v>434</v>
      </c>
      <c r="F220" t="str">
        <f>TEXT(tbl_working_sleep[[#This Row],[SleepDay]],"dddd")</f>
        <v>Wednesday</v>
      </c>
      <c r="G220">
        <f>ROUND(tbl_working_sleep[[#This Row],[TotalMinutesAsleep]]/60,2)</f>
        <v>6.87</v>
      </c>
      <c r="H220">
        <f>ROUND(tbl_working_sleep[[#This Row],[TotalTimeInBed]]/60,2)</f>
        <v>7.23</v>
      </c>
      <c r="I220">
        <f>tbl_working_sleep[[#This Row],[TotalTimeInBed]]-tbl_working_sleep[[#This Row],[TotalMinutesAsleep]]</f>
        <v>22</v>
      </c>
      <c r="J220">
        <f>ROUND(tbl_working_sleep[[#This Row],[TotalMinutesAsleep]]/tbl_working_sleep[[#This Row],[TotalTimeInBed]]*100,2)</f>
        <v>94.93</v>
      </c>
      <c r="K220" t="str" cm="1">
        <f t="array" ref="K220">_xlfn.IFS(tbl_working_sleep[[#This Row],[SleepHours]]&lt;6,"Insufficient Sleep",tbl_working_sleep[[#This Row],[SleepHours]]&lt;7,"Below Recommended",tbl_working_sleep[[#This Row],[SleepHours]]&lt;=9,"Recommended",tbl_working_sleep[[#This Row],[SleepHours]]&gt;9,"Oversleeping")</f>
        <v>Below Recommended</v>
      </c>
      <c r="L220" t="str">
        <f>tbl_working_sleep[[#This Row],[Id]]&amp;"|"&amp;TEXT(tbl_working_sleep[[#This Row],[SleepDay]],"yyyy-mm-dd")</f>
        <v>4702921684|2016-05-04</v>
      </c>
    </row>
    <row r="221" spans="1:12" x14ac:dyDescent="0.3">
      <c r="A221">
        <v>4702921684</v>
      </c>
      <c r="B221" s="2">
        <v>42495</v>
      </c>
      <c r="C221">
        <v>1</v>
      </c>
      <c r="D221">
        <v>414</v>
      </c>
      <c r="E221">
        <v>428</v>
      </c>
      <c r="F221" t="str">
        <f>TEXT(tbl_working_sleep[[#This Row],[SleepDay]],"dddd")</f>
        <v>Thursday</v>
      </c>
      <c r="G221">
        <f>ROUND(tbl_working_sleep[[#This Row],[TotalMinutesAsleep]]/60,2)</f>
        <v>6.9</v>
      </c>
      <c r="H221">
        <f>ROUND(tbl_working_sleep[[#This Row],[TotalTimeInBed]]/60,2)</f>
        <v>7.13</v>
      </c>
      <c r="I221">
        <f>tbl_working_sleep[[#This Row],[TotalTimeInBed]]-tbl_working_sleep[[#This Row],[TotalMinutesAsleep]]</f>
        <v>14</v>
      </c>
      <c r="J221">
        <f>ROUND(tbl_working_sleep[[#This Row],[TotalMinutesAsleep]]/tbl_working_sleep[[#This Row],[TotalTimeInBed]]*100,2)</f>
        <v>96.73</v>
      </c>
      <c r="K221" t="str" cm="1">
        <f t="array" ref="K221">_xlfn.IFS(tbl_working_sleep[[#This Row],[SleepHours]]&lt;6,"Insufficient Sleep",tbl_working_sleep[[#This Row],[SleepHours]]&lt;7,"Below Recommended",tbl_working_sleep[[#This Row],[SleepHours]]&lt;=9,"Recommended",tbl_working_sleep[[#This Row],[SleepHours]]&gt;9,"Oversleeping")</f>
        <v>Below Recommended</v>
      </c>
      <c r="L221" t="str">
        <f>tbl_working_sleep[[#This Row],[Id]]&amp;"|"&amp;TEXT(tbl_working_sleep[[#This Row],[SleepDay]],"yyyy-mm-dd")</f>
        <v>4702921684|2016-05-05</v>
      </c>
    </row>
    <row r="222" spans="1:12" x14ac:dyDescent="0.3">
      <c r="A222">
        <v>4702921684</v>
      </c>
      <c r="B222" s="2">
        <v>42496</v>
      </c>
      <c r="C222">
        <v>1</v>
      </c>
      <c r="D222">
        <v>404</v>
      </c>
      <c r="E222">
        <v>449</v>
      </c>
      <c r="F222" t="str">
        <f>TEXT(tbl_working_sleep[[#This Row],[SleepDay]],"dddd")</f>
        <v>Friday</v>
      </c>
      <c r="G222">
        <f>ROUND(tbl_working_sleep[[#This Row],[TotalMinutesAsleep]]/60,2)</f>
        <v>6.73</v>
      </c>
      <c r="H222">
        <f>ROUND(tbl_working_sleep[[#This Row],[TotalTimeInBed]]/60,2)</f>
        <v>7.48</v>
      </c>
      <c r="I222">
        <f>tbl_working_sleep[[#This Row],[TotalTimeInBed]]-tbl_working_sleep[[#This Row],[TotalMinutesAsleep]]</f>
        <v>45</v>
      </c>
      <c r="J222">
        <f>ROUND(tbl_working_sleep[[#This Row],[TotalMinutesAsleep]]/tbl_working_sleep[[#This Row],[TotalTimeInBed]]*100,2)</f>
        <v>89.98</v>
      </c>
      <c r="K222" t="str" cm="1">
        <f t="array" ref="K222">_xlfn.IFS(tbl_working_sleep[[#This Row],[SleepHours]]&lt;6,"Insufficient Sleep",tbl_working_sleep[[#This Row],[SleepHours]]&lt;7,"Below Recommended",tbl_working_sleep[[#This Row],[SleepHours]]&lt;=9,"Recommended",tbl_working_sleep[[#This Row],[SleepHours]]&gt;9,"Oversleeping")</f>
        <v>Below Recommended</v>
      </c>
      <c r="L222" t="str">
        <f>tbl_working_sleep[[#This Row],[Id]]&amp;"|"&amp;TEXT(tbl_working_sleep[[#This Row],[SleepDay]],"yyyy-mm-dd")</f>
        <v>4702921684|2016-05-06</v>
      </c>
    </row>
    <row r="223" spans="1:12" x14ac:dyDescent="0.3">
      <c r="A223">
        <v>4702921684</v>
      </c>
      <c r="B223" s="2">
        <v>42497</v>
      </c>
      <c r="C223">
        <v>1</v>
      </c>
      <c r="D223">
        <v>520</v>
      </c>
      <c r="E223">
        <v>543</v>
      </c>
      <c r="F223" t="str">
        <f>TEXT(tbl_working_sleep[[#This Row],[SleepDay]],"dddd")</f>
        <v>Saturday</v>
      </c>
      <c r="G223">
        <f>ROUND(tbl_working_sleep[[#This Row],[TotalMinutesAsleep]]/60,2)</f>
        <v>8.67</v>
      </c>
      <c r="H223">
        <f>ROUND(tbl_working_sleep[[#This Row],[TotalTimeInBed]]/60,2)</f>
        <v>9.0500000000000007</v>
      </c>
      <c r="I223">
        <f>tbl_working_sleep[[#This Row],[TotalTimeInBed]]-tbl_working_sleep[[#This Row],[TotalMinutesAsleep]]</f>
        <v>23</v>
      </c>
      <c r="J223">
        <f>ROUND(tbl_working_sleep[[#This Row],[TotalMinutesAsleep]]/tbl_working_sleep[[#This Row],[TotalTimeInBed]]*100,2)</f>
        <v>95.76</v>
      </c>
      <c r="K223" t="str" cm="1">
        <f t="array" ref="K223">_xlfn.IFS(tbl_working_sleep[[#This Row],[SleepHours]]&lt;6,"Insufficient Sleep",tbl_working_sleep[[#This Row],[SleepHours]]&lt;7,"Below Recommended",tbl_working_sleep[[#This Row],[SleepHours]]&lt;=9,"Recommended",tbl_working_sleep[[#This Row],[SleepHours]]&gt;9,"Oversleeping")</f>
        <v>Recommended</v>
      </c>
      <c r="L223" t="str">
        <f>tbl_working_sleep[[#This Row],[Id]]&amp;"|"&amp;TEXT(tbl_working_sleep[[#This Row],[SleepDay]],"yyyy-mm-dd")</f>
        <v>4702921684|2016-05-07</v>
      </c>
    </row>
    <row r="224" spans="1:12" x14ac:dyDescent="0.3">
      <c r="A224">
        <v>4702921684</v>
      </c>
      <c r="B224" s="2">
        <v>42499</v>
      </c>
      <c r="C224">
        <v>1</v>
      </c>
      <c r="D224">
        <v>435</v>
      </c>
      <c r="E224">
        <v>458</v>
      </c>
      <c r="F224" t="str">
        <f>TEXT(tbl_working_sleep[[#This Row],[SleepDay]],"dddd")</f>
        <v>Monday</v>
      </c>
      <c r="G224">
        <f>ROUND(tbl_working_sleep[[#This Row],[TotalMinutesAsleep]]/60,2)</f>
        <v>7.25</v>
      </c>
      <c r="H224">
        <f>ROUND(tbl_working_sleep[[#This Row],[TotalTimeInBed]]/60,2)</f>
        <v>7.63</v>
      </c>
      <c r="I224">
        <f>tbl_working_sleep[[#This Row],[TotalTimeInBed]]-tbl_working_sleep[[#This Row],[TotalMinutesAsleep]]</f>
        <v>23</v>
      </c>
      <c r="J224">
        <f>ROUND(tbl_working_sleep[[#This Row],[TotalMinutesAsleep]]/tbl_working_sleep[[#This Row],[TotalTimeInBed]]*100,2)</f>
        <v>94.98</v>
      </c>
      <c r="K224" t="str" cm="1">
        <f t="array" ref="K224">_xlfn.IFS(tbl_working_sleep[[#This Row],[SleepHours]]&lt;6,"Insufficient Sleep",tbl_working_sleep[[#This Row],[SleepHours]]&lt;7,"Below Recommended",tbl_working_sleep[[#This Row],[SleepHours]]&lt;=9,"Recommended",tbl_working_sleep[[#This Row],[SleepHours]]&gt;9,"Oversleeping")</f>
        <v>Recommended</v>
      </c>
      <c r="L224" t="str">
        <f>tbl_working_sleep[[#This Row],[Id]]&amp;"|"&amp;TEXT(tbl_working_sleep[[#This Row],[SleepDay]],"yyyy-mm-dd")</f>
        <v>4702921684|2016-05-09</v>
      </c>
    </row>
    <row r="225" spans="1:12" x14ac:dyDescent="0.3">
      <c r="A225">
        <v>4702921684</v>
      </c>
      <c r="B225" s="2">
        <v>42500</v>
      </c>
      <c r="C225">
        <v>1</v>
      </c>
      <c r="D225">
        <v>416</v>
      </c>
      <c r="E225">
        <v>431</v>
      </c>
      <c r="F225" t="str">
        <f>TEXT(tbl_working_sleep[[#This Row],[SleepDay]],"dddd")</f>
        <v>Tuesday</v>
      </c>
      <c r="G225">
        <f>ROUND(tbl_working_sleep[[#This Row],[TotalMinutesAsleep]]/60,2)</f>
        <v>6.93</v>
      </c>
      <c r="H225">
        <f>ROUND(tbl_working_sleep[[#This Row],[TotalTimeInBed]]/60,2)</f>
        <v>7.18</v>
      </c>
      <c r="I225">
        <f>tbl_working_sleep[[#This Row],[TotalTimeInBed]]-tbl_working_sleep[[#This Row],[TotalMinutesAsleep]]</f>
        <v>15</v>
      </c>
      <c r="J225">
        <f>ROUND(tbl_working_sleep[[#This Row],[TotalMinutesAsleep]]/tbl_working_sleep[[#This Row],[TotalTimeInBed]]*100,2)</f>
        <v>96.52</v>
      </c>
      <c r="K225" t="str" cm="1">
        <f t="array" ref="K225">_xlfn.IFS(tbl_working_sleep[[#This Row],[SleepHours]]&lt;6,"Insufficient Sleep",tbl_working_sleep[[#This Row],[SleepHours]]&lt;7,"Below Recommended",tbl_working_sleep[[#This Row],[SleepHours]]&lt;=9,"Recommended",tbl_working_sleep[[#This Row],[SleepHours]]&gt;9,"Oversleeping")</f>
        <v>Below Recommended</v>
      </c>
      <c r="L225" t="str">
        <f>tbl_working_sleep[[#This Row],[Id]]&amp;"|"&amp;TEXT(tbl_working_sleep[[#This Row],[SleepDay]],"yyyy-mm-dd")</f>
        <v>4702921684|2016-05-10</v>
      </c>
    </row>
    <row r="226" spans="1:12" x14ac:dyDescent="0.3">
      <c r="A226">
        <v>4702921684</v>
      </c>
      <c r="B226" s="2">
        <v>42501</v>
      </c>
      <c r="C226">
        <v>1</v>
      </c>
      <c r="D226">
        <v>354</v>
      </c>
      <c r="E226">
        <v>366</v>
      </c>
      <c r="F226" t="str">
        <f>TEXT(tbl_working_sleep[[#This Row],[SleepDay]],"dddd")</f>
        <v>Wednesday</v>
      </c>
      <c r="G226">
        <f>ROUND(tbl_working_sleep[[#This Row],[TotalMinutesAsleep]]/60,2)</f>
        <v>5.9</v>
      </c>
      <c r="H226">
        <f>ROUND(tbl_working_sleep[[#This Row],[TotalTimeInBed]]/60,2)</f>
        <v>6.1</v>
      </c>
      <c r="I226">
        <f>tbl_working_sleep[[#This Row],[TotalTimeInBed]]-tbl_working_sleep[[#This Row],[TotalMinutesAsleep]]</f>
        <v>12</v>
      </c>
      <c r="J226">
        <f>ROUND(tbl_working_sleep[[#This Row],[TotalMinutesAsleep]]/tbl_working_sleep[[#This Row],[TotalTimeInBed]]*100,2)</f>
        <v>96.72</v>
      </c>
      <c r="K226" t="str" cm="1">
        <f t="array" ref="K226">_xlfn.IFS(tbl_working_sleep[[#This Row],[SleepHours]]&lt;6,"Insufficient Sleep",tbl_working_sleep[[#This Row],[SleepHours]]&lt;7,"Below Recommended",tbl_working_sleep[[#This Row],[SleepHours]]&lt;=9,"Recommended",tbl_working_sleep[[#This Row],[SleepHours]]&gt;9,"Oversleeping")</f>
        <v>Insufficient Sleep</v>
      </c>
      <c r="L226" t="str">
        <f>tbl_working_sleep[[#This Row],[Id]]&amp;"|"&amp;TEXT(tbl_working_sleep[[#This Row],[SleepDay]],"yyyy-mm-dd")</f>
        <v>4702921684|2016-05-11</v>
      </c>
    </row>
    <row r="227" spans="1:12" x14ac:dyDescent="0.3">
      <c r="A227">
        <v>4702921684</v>
      </c>
      <c r="B227" s="2">
        <v>42502</v>
      </c>
      <c r="C227">
        <v>1</v>
      </c>
      <c r="D227">
        <v>404</v>
      </c>
      <c r="E227">
        <v>442</v>
      </c>
      <c r="F227" t="str">
        <f>TEXT(tbl_working_sleep[[#This Row],[SleepDay]],"dddd")</f>
        <v>Thursday</v>
      </c>
      <c r="G227">
        <f>ROUND(tbl_working_sleep[[#This Row],[TotalMinutesAsleep]]/60,2)</f>
        <v>6.73</v>
      </c>
      <c r="H227">
        <f>ROUND(tbl_working_sleep[[#This Row],[TotalTimeInBed]]/60,2)</f>
        <v>7.37</v>
      </c>
      <c r="I227">
        <f>tbl_working_sleep[[#This Row],[TotalTimeInBed]]-tbl_working_sleep[[#This Row],[TotalMinutesAsleep]]</f>
        <v>38</v>
      </c>
      <c r="J227">
        <f>ROUND(tbl_working_sleep[[#This Row],[TotalMinutesAsleep]]/tbl_working_sleep[[#This Row],[TotalTimeInBed]]*100,2)</f>
        <v>91.4</v>
      </c>
      <c r="K227" t="str" cm="1">
        <f t="array" ref="K227">_xlfn.IFS(tbl_working_sleep[[#This Row],[SleepHours]]&lt;6,"Insufficient Sleep",tbl_working_sleep[[#This Row],[SleepHours]]&lt;7,"Below Recommended",tbl_working_sleep[[#This Row],[SleepHours]]&lt;=9,"Recommended",tbl_working_sleep[[#This Row],[SleepHours]]&gt;9,"Oversleeping")</f>
        <v>Below Recommended</v>
      </c>
      <c r="L227" t="str">
        <f>tbl_working_sleep[[#This Row],[Id]]&amp;"|"&amp;TEXT(tbl_working_sleep[[#This Row],[SleepDay]],"yyyy-mm-dd")</f>
        <v>4702921684|2016-05-12</v>
      </c>
    </row>
    <row r="228" spans="1:12" x14ac:dyDescent="0.3">
      <c r="A228">
        <v>5553957443</v>
      </c>
      <c r="B228" s="2">
        <v>42472</v>
      </c>
      <c r="C228">
        <v>1</v>
      </c>
      <c r="D228">
        <v>441</v>
      </c>
      <c r="E228">
        <v>464</v>
      </c>
      <c r="F228" t="str">
        <f>TEXT(tbl_working_sleep[[#This Row],[SleepDay]],"dddd")</f>
        <v>Tuesday</v>
      </c>
      <c r="G228">
        <f>ROUND(tbl_working_sleep[[#This Row],[TotalMinutesAsleep]]/60,2)</f>
        <v>7.35</v>
      </c>
      <c r="H228">
        <f>ROUND(tbl_working_sleep[[#This Row],[TotalTimeInBed]]/60,2)</f>
        <v>7.73</v>
      </c>
      <c r="I228">
        <f>tbl_working_sleep[[#This Row],[TotalTimeInBed]]-tbl_working_sleep[[#This Row],[TotalMinutesAsleep]]</f>
        <v>23</v>
      </c>
      <c r="J228">
        <f>ROUND(tbl_working_sleep[[#This Row],[TotalMinutesAsleep]]/tbl_working_sleep[[#This Row],[TotalTimeInBed]]*100,2)</f>
        <v>95.04</v>
      </c>
      <c r="K228" t="str" cm="1">
        <f t="array" ref="K228">_xlfn.IFS(tbl_working_sleep[[#This Row],[SleepHours]]&lt;6,"Insufficient Sleep",tbl_working_sleep[[#This Row],[SleepHours]]&lt;7,"Below Recommended",tbl_working_sleep[[#This Row],[SleepHours]]&lt;=9,"Recommended",tbl_working_sleep[[#This Row],[SleepHours]]&gt;9,"Oversleeping")</f>
        <v>Recommended</v>
      </c>
      <c r="L228" t="str">
        <f>tbl_working_sleep[[#This Row],[Id]]&amp;"|"&amp;TEXT(tbl_working_sleep[[#This Row],[SleepDay]],"yyyy-mm-dd")</f>
        <v>5553957443|2016-04-12</v>
      </c>
    </row>
    <row r="229" spans="1:12" x14ac:dyDescent="0.3">
      <c r="A229">
        <v>5553957443</v>
      </c>
      <c r="B229" s="2">
        <v>42473</v>
      </c>
      <c r="C229">
        <v>2</v>
      </c>
      <c r="D229">
        <v>455</v>
      </c>
      <c r="E229">
        <v>488</v>
      </c>
      <c r="F229" t="str">
        <f>TEXT(tbl_working_sleep[[#This Row],[SleepDay]],"dddd")</f>
        <v>Wednesday</v>
      </c>
      <c r="G229">
        <f>ROUND(tbl_working_sleep[[#This Row],[TotalMinutesAsleep]]/60,2)</f>
        <v>7.58</v>
      </c>
      <c r="H229">
        <f>ROUND(tbl_working_sleep[[#This Row],[TotalTimeInBed]]/60,2)</f>
        <v>8.1300000000000008</v>
      </c>
      <c r="I229">
        <f>tbl_working_sleep[[#This Row],[TotalTimeInBed]]-tbl_working_sleep[[#This Row],[TotalMinutesAsleep]]</f>
        <v>33</v>
      </c>
      <c r="J229">
        <f>ROUND(tbl_working_sleep[[#This Row],[TotalMinutesAsleep]]/tbl_working_sleep[[#This Row],[TotalTimeInBed]]*100,2)</f>
        <v>93.24</v>
      </c>
      <c r="K229" t="str" cm="1">
        <f t="array" ref="K229">_xlfn.IFS(tbl_working_sleep[[#This Row],[SleepHours]]&lt;6,"Insufficient Sleep",tbl_working_sleep[[#This Row],[SleepHours]]&lt;7,"Below Recommended",tbl_working_sleep[[#This Row],[SleepHours]]&lt;=9,"Recommended",tbl_working_sleep[[#This Row],[SleepHours]]&gt;9,"Oversleeping")</f>
        <v>Recommended</v>
      </c>
      <c r="L229" t="str">
        <f>tbl_working_sleep[[#This Row],[Id]]&amp;"|"&amp;TEXT(tbl_working_sleep[[#This Row],[SleepDay]],"yyyy-mm-dd")</f>
        <v>5553957443|2016-04-13</v>
      </c>
    </row>
    <row r="230" spans="1:12" x14ac:dyDescent="0.3">
      <c r="A230">
        <v>5553957443</v>
      </c>
      <c r="B230" s="2">
        <v>42474</v>
      </c>
      <c r="C230">
        <v>1</v>
      </c>
      <c r="D230">
        <v>357</v>
      </c>
      <c r="E230">
        <v>418</v>
      </c>
      <c r="F230" t="str">
        <f>TEXT(tbl_working_sleep[[#This Row],[SleepDay]],"dddd")</f>
        <v>Thursday</v>
      </c>
      <c r="G230">
        <f>ROUND(tbl_working_sleep[[#This Row],[TotalMinutesAsleep]]/60,2)</f>
        <v>5.95</v>
      </c>
      <c r="H230">
        <f>ROUND(tbl_working_sleep[[#This Row],[TotalTimeInBed]]/60,2)</f>
        <v>6.97</v>
      </c>
      <c r="I230">
        <f>tbl_working_sleep[[#This Row],[TotalTimeInBed]]-tbl_working_sleep[[#This Row],[TotalMinutesAsleep]]</f>
        <v>61</v>
      </c>
      <c r="J230">
        <f>ROUND(tbl_working_sleep[[#This Row],[TotalMinutesAsleep]]/tbl_working_sleep[[#This Row],[TotalTimeInBed]]*100,2)</f>
        <v>85.41</v>
      </c>
      <c r="K230" t="str" cm="1">
        <f t="array" ref="K230">_xlfn.IFS(tbl_working_sleep[[#This Row],[SleepHours]]&lt;6,"Insufficient Sleep",tbl_working_sleep[[#This Row],[SleepHours]]&lt;7,"Below Recommended",tbl_working_sleep[[#This Row],[SleepHours]]&lt;=9,"Recommended",tbl_working_sleep[[#This Row],[SleepHours]]&gt;9,"Oversleeping")</f>
        <v>Insufficient Sleep</v>
      </c>
      <c r="L230" t="str">
        <f>tbl_working_sleep[[#This Row],[Id]]&amp;"|"&amp;TEXT(tbl_working_sleep[[#This Row],[SleepDay]],"yyyy-mm-dd")</f>
        <v>5553957443|2016-04-14</v>
      </c>
    </row>
    <row r="231" spans="1:12" x14ac:dyDescent="0.3">
      <c r="A231">
        <v>5553957443</v>
      </c>
      <c r="B231" s="2">
        <v>42475</v>
      </c>
      <c r="C231">
        <v>1</v>
      </c>
      <c r="D231">
        <v>377</v>
      </c>
      <c r="E231">
        <v>409</v>
      </c>
      <c r="F231" t="str">
        <f>TEXT(tbl_working_sleep[[#This Row],[SleepDay]],"dddd")</f>
        <v>Friday</v>
      </c>
      <c r="G231">
        <f>ROUND(tbl_working_sleep[[#This Row],[TotalMinutesAsleep]]/60,2)</f>
        <v>6.28</v>
      </c>
      <c r="H231">
        <f>ROUND(tbl_working_sleep[[#This Row],[TotalTimeInBed]]/60,2)</f>
        <v>6.82</v>
      </c>
      <c r="I231">
        <f>tbl_working_sleep[[#This Row],[TotalTimeInBed]]-tbl_working_sleep[[#This Row],[TotalMinutesAsleep]]</f>
        <v>32</v>
      </c>
      <c r="J231">
        <f>ROUND(tbl_working_sleep[[#This Row],[TotalMinutesAsleep]]/tbl_working_sleep[[#This Row],[TotalTimeInBed]]*100,2)</f>
        <v>92.18</v>
      </c>
      <c r="K231" t="str" cm="1">
        <f t="array" ref="K231">_xlfn.IFS(tbl_working_sleep[[#This Row],[SleepHours]]&lt;6,"Insufficient Sleep",tbl_working_sleep[[#This Row],[SleepHours]]&lt;7,"Below Recommended",tbl_working_sleep[[#This Row],[SleepHours]]&lt;=9,"Recommended",tbl_working_sleep[[#This Row],[SleepHours]]&gt;9,"Oversleeping")</f>
        <v>Below Recommended</v>
      </c>
      <c r="L231" t="str">
        <f>tbl_working_sleep[[#This Row],[Id]]&amp;"|"&amp;TEXT(tbl_working_sleep[[#This Row],[SleepDay]],"yyyy-mm-dd")</f>
        <v>5553957443|2016-04-15</v>
      </c>
    </row>
    <row r="232" spans="1:12" x14ac:dyDescent="0.3">
      <c r="A232">
        <v>5553957443</v>
      </c>
      <c r="B232" s="2">
        <v>42476</v>
      </c>
      <c r="C232">
        <v>2</v>
      </c>
      <c r="D232">
        <v>651</v>
      </c>
      <c r="E232">
        <v>686</v>
      </c>
      <c r="F232" t="str">
        <f>TEXT(tbl_working_sleep[[#This Row],[SleepDay]],"dddd")</f>
        <v>Saturday</v>
      </c>
      <c r="G232">
        <f>ROUND(tbl_working_sleep[[#This Row],[TotalMinutesAsleep]]/60,2)</f>
        <v>10.85</v>
      </c>
      <c r="H232">
        <f>ROUND(tbl_working_sleep[[#This Row],[TotalTimeInBed]]/60,2)</f>
        <v>11.43</v>
      </c>
      <c r="I232">
        <f>tbl_working_sleep[[#This Row],[TotalTimeInBed]]-tbl_working_sleep[[#This Row],[TotalMinutesAsleep]]</f>
        <v>35</v>
      </c>
      <c r="J232">
        <f>ROUND(tbl_working_sleep[[#This Row],[TotalMinutesAsleep]]/tbl_working_sleep[[#This Row],[TotalTimeInBed]]*100,2)</f>
        <v>94.9</v>
      </c>
      <c r="K232" t="str" cm="1">
        <f t="array" ref="K232">_xlfn.IFS(tbl_working_sleep[[#This Row],[SleepHours]]&lt;6,"Insufficient Sleep",tbl_working_sleep[[#This Row],[SleepHours]]&lt;7,"Below Recommended",tbl_working_sleep[[#This Row],[SleepHours]]&lt;=9,"Recommended",tbl_working_sleep[[#This Row],[SleepHours]]&gt;9,"Oversleeping")</f>
        <v>Oversleeping</v>
      </c>
      <c r="L232" t="str">
        <f>tbl_working_sleep[[#This Row],[Id]]&amp;"|"&amp;TEXT(tbl_working_sleep[[#This Row],[SleepDay]],"yyyy-mm-dd")</f>
        <v>5553957443|2016-04-16</v>
      </c>
    </row>
    <row r="233" spans="1:12" x14ac:dyDescent="0.3">
      <c r="A233">
        <v>5553957443</v>
      </c>
      <c r="B233" s="2">
        <v>42477</v>
      </c>
      <c r="C233">
        <v>1</v>
      </c>
      <c r="D233">
        <v>350</v>
      </c>
      <c r="E233">
        <v>402</v>
      </c>
      <c r="F233" t="str">
        <f>TEXT(tbl_working_sleep[[#This Row],[SleepDay]],"dddd")</f>
        <v>Sunday</v>
      </c>
      <c r="G233">
        <f>ROUND(tbl_working_sleep[[#This Row],[TotalMinutesAsleep]]/60,2)</f>
        <v>5.83</v>
      </c>
      <c r="H233">
        <f>ROUND(tbl_working_sleep[[#This Row],[TotalTimeInBed]]/60,2)</f>
        <v>6.7</v>
      </c>
      <c r="I233">
        <f>tbl_working_sleep[[#This Row],[TotalTimeInBed]]-tbl_working_sleep[[#This Row],[TotalMinutesAsleep]]</f>
        <v>52</v>
      </c>
      <c r="J233">
        <f>ROUND(tbl_working_sleep[[#This Row],[TotalMinutesAsleep]]/tbl_working_sleep[[#This Row],[TotalTimeInBed]]*100,2)</f>
        <v>87.06</v>
      </c>
      <c r="K233" t="str" cm="1">
        <f t="array" ref="K233">_xlfn.IFS(tbl_working_sleep[[#This Row],[SleepHours]]&lt;6,"Insufficient Sleep",tbl_working_sleep[[#This Row],[SleepHours]]&lt;7,"Below Recommended",tbl_working_sleep[[#This Row],[SleepHours]]&lt;=9,"Recommended",tbl_working_sleep[[#This Row],[SleepHours]]&gt;9,"Oversleeping")</f>
        <v>Insufficient Sleep</v>
      </c>
      <c r="L233" t="str">
        <f>tbl_working_sleep[[#This Row],[Id]]&amp;"|"&amp;TEXT(tbl_working_sleep[[#This Row],[SleepDay]],"yyyy-mm-dd")</f>
        <v>5553957443|2016-04-17</v>
      </c>
    </row>
    <row r="234" spans="1:12" x14ac:dyDescent="0.3">
      <c r="A234">
        <v>5553957443</v>
      </c>
      <c r="B234" s="2">
        <v>42478</v>
      </c>
      <c r="C234">
        <v>2</v>
      </c>
      <c r="D234">
        <v>520</v>
      </c>
      <c r="E234">
        <v>541</v>
      </c>
      <c r="F234" t="str">
        <f>TEXT(tbl_working_sleep[[#This Row],[SleepDay]],"dddd")</f>
        <v>Monday</v>
      </c>
      <c r="G234">
        <f>ROUND(tbl_working_sleep[[#This Row],[TotalMinutesAsleep]]/60,2)</f>
        <v>8.67</v>
      </c>
      <c r="H234">
        <f>ROUND(tbl_working_sleep[[#This Row],[TotalTimeInBed]]/60,2)</f>
        <v>9.02</v>
      </c>
      <c r="I234">
        <f>tbl_working_sleep[[#This Row],[TotalTimeInBed]]-tbl_working_sleep[[#This Row],[TotalMinutesAsleep]]</f>
        <v>21</v>
      </c>
      <c r="J234">
        <f>ROUND(tbl_working_sleep[[#This Row],[TotalMinutesAsleep]]/tbl_working_sleep[[#This Row],[TotalTimeInBed]]*100,2)</f>
        <v>96.12</v>
      </c>
      <c r="K234" t="str" cm="1">
        <f t="array" ref="K234">_xlfn.IFS(tbl_working_sleep[[#This Row],[SleepHours]]&lt;6,"Insufficient Sleep",tbl_working_sleep[[#This Row],[SleepHours]]&lt;7,"Below Recommended",tbl_working_sleep[[#This Row],[SleepHours]]&lt;=9,"Recommended",tbl_working_sleep[[#This Row],[SleepHours]]&gt;9,"Oversleeping")</f>
        <v>Recommended</v>
      </c>
      <c r="L234" t="str">
        <f>tbl_working_sleep[[#This Row],[Id]]&amp;"|"&amp;TEXT(tbl_working_sleep[[#This Row],[SleepDay]],"yyyy-mm-dd")</f>
        <v>5553957443|2016-04-18</v>
      </c>
    </row>
    <row r="235" spans="1:12" x14ac:dyDescent="0.3">
      <c r="A235">
        <v>5553957443</v>
      </c>
      <c r="B235" s="2">
        <v>42479</v>
      </c>
      <c r="C235">
        <v>1</v>
      </c>
      <c r="D235">
        <v>357</v>
      </c>
      <c r="E235">
        <v>410</v>
      </c>
      <c r="F235" t="str">
        <f>TEXT(tbl_working_sleep[[#This Row],[SleepDay]],"dddd")</f>
        <v>Tuesday</v>
      </c>
      <c r="G235">
        <f>ROUND(tbl_working_sleep[[#This Row],[TotalMinutesAsleep]]/60,2)</f>
        <v>5.95</v>
      </c>
      <c r="H235">
        <f>ROUND(tbl_working_sleep[[#This Row],[TotalTimeInBed]]/60,2)</f>
        <v>6.83</v>
      </c>
      <c r="I235">
        <f>tbl_working_sleep[[#This Row],[TotalTimeInBed]]-tbl_working_sleep[[#This Row],[TotalMinutesAsleep]]</f>
        <v>53</v>
      </c>
      <c r="J235">
        <f>ROUND(tbl_working_sleep[[#This Row],[TotalMinutesAsleep]]/tbl_working_sleep[[#This Row],[TotalTimeInBed]]*100,2)</f>
        <v>87.07</v>
      </c>
      <c r="K235" t="str" cm="1">
        <f t="array" ref="K235">_xlfn.IFS(tbl_working_sleep[[#This Row],[SleepHours]]&lt;6,"Insufficient Sleep",tbl_working_sleep[[#This Row],[SleepHours]]&lt;7,"Below Recommended",tbl_working_sleep[[#This Row],[SleepHours]]&lt;=9,"Recommended",tbl_working_sleep[[#This Row],[SleepHours]]&gt;9,"Oversleeping")</f>
        <v>Insufficient Sleep</v>
      </c>
      <c r="L235" t="str">
        <f>tbl_working_sleep[[#This Row],[Id]]&amp;"|"&amp;TEXT(tbl_working_sleep[[#This Row],[SleepDay]],"yyyy-mm-dd")</f>
        <v>5553957443|2016-04-19</v>
      </c>
    </row>
    <row r="236" spans="1:12" x14ac:dyDescent="0.3">
      <c r="A236">
        <v>5553957443</v>
      </c>
      <c r="B236" s="2">
        <v>42480</v>
      </c>
      <c r="C236">
        <v>1</v>
      </c>
      <c r="D236">
        <v>658</v>
      </c>
      <c r="E236">
        <v>678</v>
      </c>
      <c r="F236" t="str">
        <f>TEXT(tbl_working_sleep[[#This Row],[SleepDay]],"dddd")</f>
        <v>Wednesday</v>
      </c>
      <c r="G236">
        <f>ROUND(tbl_working_sleep[[#This Row],[TotalMinutesAsleep]]/60,2)</f>
        <v>10.97</v>
      </c>
      <c r="H236">
        <f>ROUND(tbl_working_sleep[[#This Row],[TotalTimeInBed]]/60,2)</f>
        <v>11.3</v>
      </c>
      <c r="I236">
        <f>tbl_working_sleep[[#This Row],[TotalTimeInBed]]-tbl_working_sleep[[#This Row],[TotalMinutesAsleep]]</f>
        <v>20</v>
      </c>
      <c r="J236">
        <f>ROUND(tbl_working_sleep[[#This Row],[TotalMinutesAsleep]]/tbl_working_sleep[[#This Row],[TotalTimeInBed]]*100,2)</f>
        <v>97.05</v>
      </c>
      <c r="K236" t="str" cm="1">
        <f t="array" ref="K236">_xlfn.IFS(tbl_working_sleep[[#This Row],[SleepHours]]&lt;6,"Insufficient Sleep",tbl_working_sleep[[#This Row],[SleepHours]]&lt;7,"Below Recommended",tbl_working_sleep[[#This Row],[SleepHours]]&lt;=9,"Recommended",tbl_working_sleep[[#This Row],[SleepHours]]&gt;9,"Oversleeping")</f>
        <v>Oversleeping</v>
      </c>
      <c r="L236" t="str">
        <f>tbl_working_sleep[[#This Row],[Id]]&amp;"|"&amp;TEXT(tbl_working_sleep[[#This Row],[SleepDay]],"yyyy-mm-dd")</f>
        <v>5553957443|2016-04-20</v>
      </c>
    </row>
    <row r="237" spans="1:12" x14ac:dyDescent="0.3">
      <c r="A237">
        <v>5553957443</v>
      </c>
      <c r="B237" s="2">
        <v>42481</v>
      </c>
      <c r="C237">
        <v>1</v>
      </c>
      <c r="D237">
        <v>399</v>
      </c>
      <c r="E237">
        <v>431</v>
      </c>
      <c r="F237" t="str">
        <f>TEXT(tbl_working_sleep[[#This Row],[SleepDay]],"dddd")</f>
        <v>Thursday</v>
      </c>
      <c r="G237">
        <f>ROUND(tbl_working_sleep[[#This Row],[TotalMinutesAsleep]]/60,2)</f>
        <v>6.65</v>
      </c>
      <c r="H237">
        <f>ROUND(tbl_working_sleep[[#This Row],[TotalTimeInBed]]/60,2)</f>
        <v>7.18</v>
      </c>
      <c r="I237">
        <f>tbl_working_sleep[[#This Row],[TotalTimeInBed]]-tbl_working_sleep[[#This Row],[TotalMinutesAsleep]]</f>
        <v>32</v>
      </c>
      <c r="J237">
        <f>ROUND(tbl_working_sleep[[#This Row],[TotalMinutesAsleep]]/tbl_working_sleep[[#This Row],[TotalTimeInBed]]*100,2)</f>
        <v>92.58</v>
      </c>
      <c r="K237" t="str" cm="1">
        <f t="array" ref="K237">_xlfn.IFS(tbl_working_sleep[[#This Row],[SleepHours]]&lt;6,"Insufficient Sleep",tbl_working_sleep[[#This Row],[SleepHours]]&lt;7,"Below Recommended",tbl_working_sleep[[#This Row],[SleepHours]]&lt;=9,"Recommended",tbl_working_sleep[[#This Row],[SleepHours]]&gt;9,"Oversleeping")</f>
        <v>Below Recommended</v>
      </c>
      <c r="L237" t="str">
        <f>tbl_working_sleep[[#This Row],[Id]]&amp;"|"&amp;TEXT(tbl_working_sleep[[#This Row],[SleepDay]],"yyyy-mm-dd")</f>
        <v>5553957443|2016-04-21</v>
      </c>
    </row>
    <row r="238" spans="1:12" x14ac:dyDescent="0.3">
      <c r="A238">
        <v>5553957443</v>
      </c>
      <c r="B238" s="2">
        <v>42482</v>
      </c>
      <c r="C238">
        <v>1</v>
      </c>
      <c r="D238">
        <v>322</v>
      </c>
      <c r="E238">
        <v>353</v>
      </c>
      <c r="F238" t="str">
        <f>TEXT(tbl_working_sleep[[#This Row],[SleepDay]],"dddd")</f>
        <v>Friday</v>
      </c>
      <c r="G238">
        <f>ROUND(tbl_working_sleep[[#This Row],[TotalMinutesAsleep]]/60,2)</f>
        <v>5.37</v>
      </c>
      <c r="H238">
        <f>ROUND(tbl_working_sleep[[#This Row],[TotalTimeInBed]]/60,2)</f>
        <v>5.88</v>
      </c>
      <c r="I238">
        <f>tbl_working_sleep[[#This Row],[TotalTimeInBed]]-tbl_working_sleep[[#This Row],[TotalMinutesAsleep]]</f>
        <v>31</v>
      </c>
      <c r="J238">
        <f>ROUND(tbl_working_sleep[[#This Row],[TotalMinutesAsleep]]/tbl_working_sleep[[#This Row],[TotalTimeInBed]]*100,2)</f>
        <v>91.22</v>
      </c>
      <c r="K238" t="str" cm="1">
        <f t="array" ref="K238">_xlfn.IFS(tbl_working_sleep[[#This Row],[SleepHours]]&lt;6,"Insufficient Sleep",tbl_working_sleep[[#This Row],[SleepHours]]&lt;7,"Below Recommended",tbl_working_sleep[[#This Row],[SleepHours]]&lt;=9,"Recommended",tbl_working_sleep[[#This Row],[SleepHours]]&gt;9,"Oversleeping")</f>
        <v>Insufficient Sleep</v>
      </c>
      <c r="L238" t="str">
        <f>tbl_working_sleep[[#This Row],[Id]]&amp;"|"&amp;TEXT(tbl_working_sleep[[#This Row],[SleepDay]],"yyyy-mm-dd")</f>
        <v>5553957443|2016-04-22</v>
      </c>
    </row>
    <row r="239" spans="1:12" x14ac:dyDescent="0.3">
      <c r="A239">
        <v>5553957443</v>
      </c>
      <c r="B239" s="2">
        <v>42483</v>
      </c>
      <c r="C239">
        <v>2</v>
      </c>
      <c r="D239">
        <v>631</v>
      </c>
      <c r="E239">
        <v>725</v>
      </c>
      <c r="F239" t="str">
        <f>TEXT(tbl_working_sleep[[#This Row],[SleepDay]],"dddd")</f>
        <v>Saturday</v>
      </c>
      <c r="G239">
        <f>ROUND(tbl_working_sleep[[#This Row],[TotalMinutesAsleep]]/60,2)</f>
        <v>10.52</v>
      </c>
      <c r="H239">
        <f>ROUND(tbl_working_sleep[[#This Row],[TotalTimeInBed]]/60,2)</f>
        <v>12.08</v>
      </c>
      <c r="I239">
        <f>tbl_working_sleep[[#This Row],[TotalTimeInBed]]-tbl_working_sleep[[#This Row],[TotalMinutesAsleep]]</f>
        <v>94</v>
      </c>
      <c r="J239">
        <f>ROUND(tbl_working_sleep[[#This Row],[TotalMinutesAsleep]]/tbl_working_sleep[[#This Row],[TotalTimeInBed]]*100,2)</f>
        <v>87.03</v>
      </c>
      <c r="K239" t="str" cm="1">
        <f t="array" ref="K239">_xlfn.IFS(tbl_working_sleep[[#This Row],[SleepHours]]&lt;6,"Insufficient Sleep",tbl_working_sleep[[#This Row],[SleepHours]]&lt;7,"Below Recommended",tbl_working_sleep[[#This Row],[SleepHours]]&lt;=9,"Recommended",tbl_working_sleep[[#This Row],[SleepHours]]&gt;9,"Oversleeping")</f>
        <v>Oversleeping</v>
      </c>
      <c r="L239" t="str">
        <f>tbl_working_sleep[[#This Row],[Id]]&amp;"|"&amp;TEXT(tbl_working_sleep[[#This Row],[SleepDay]],"yyyy-mm-dd")</f>
        <v>5553957443|2016-04-23</v>
      </c>
    </row>
    <row r="240" spans="1:12" x14ac:dyDescent="0.3">
      <c r="A240">
        <v>5553957443</v>
      </c>
      <c r="B240" s="2">
        <v>42484</v>
      </c>
      <c r="C240">
        <v>2</v>
      </c>
      <c r="D240">
        <v>553</v>
      </c>
      <c r="E240">
        <v>640</v>
      </c>
      <c r="F240" t="str">
        <f>TEXT(tbl_working_sleep[[#This Row],[SleepDay]],"dddd")</f>
        <v>Sunday</v>
      </c>
      <c r="G240">
        <f>ROUND(tbl_working_sleep[[#This Row],[TotalMinutesAsleep]]/60,2)</f>
        <v>9.2200000000000006</v>
      </c>
      <c r="H240">
        <f>ROUND(tbl_working_sleep[[#This Row],[TotalTimeInBed]]/60,2)</f>
        <v>10.67</v>
      </c>
      <c r="I240">
        <f>tbl_working_sleep[[#This Row],[TotalTimeInBed]]-tbl_working_sleep[[#This Row],[TotalMinutesAsleep]]</f>
        <v>87</v>
      </c>
      <c r="J240">
        <f>ROUND(tbl_working_sleep[[#This Row],[TotalMinutesAsleep]]/tbl_working_sleep[[#This Row],[TotalTimeInBed]]*100,2)</f>
        <v>86.41</v>
      </c>
      <c r="K240" t="str" cm="1">
        <f t="array" ref="K240">_xlfn.IFS(tbl_working_sleep[[#This Row],[SleepHours]]&lt;6,"Insufficient Sleep",tbl_working_sleep[[#This Row],[SleepHours]]&lt;7,"Below Recommended",tbl_working_sleep[[#This Row],[SleepHours]]&lt;=9,"Recommended",tbl_working_sleep[[#This Row],[SleepHours]]&gt;9,"Oversleeping")</f>
        <v>Oversleeping</v>
      </c>
      <c r="L240" t="str">
        <f>tbl_working_sleep[[#This Row],[Id]]&amp;"|"&amp;TEXT(tbl_working_sleep[[#This Row],[SleepDay]],"yyyy-mm-dd")</f>
        <v>5553957443|2016-04-24</v>
      </c>
    </row>
    <row r="241" spans="1:12" x14ac:dyDescent="0.3">
      <c r="A241">
        <v>5553957443</v>
      </c>
      <c r="B241" s="2">
        <v>42485</v>
      </c>
      <c r="C241">
        <v>1</v>
      </c>
      <c r="D241">
        <v>433</v>
      </c>
      <c r="E241">
        <v>468</v>
      </c>
      <c r="F241" t="str">
        <f>TEXT(tbl_working_sleep[[#This Row],[SleepDay]],"dddd")</f>
        <v>Monday</v>
      </c>
      <c r="G241">
        <f>ROUND(tbl_working_sleep[[#This Row],[TotalMinutesAsleep]]/60,2)</f>
        <v>7.22</v>
      </c>
      <c r="H241">
        <f>ROUND(tbl_working_sleep[[#This Row],[TotalTimeInBed]]/60,2)</f>
        <v>7.8</v>
      </c>
      <c r="I241">
        <f>tbl_working_sleep[[#This Row],[TotalTimeInBed]]-tbl_working_sleep[[#This Row],[TotalMinutesAsleep]]</f>
        <v>35</v>
      </c>
      <c r="J241">
        <f>ROUND(tbl_working_sleep[[#This Row],[TotalMinutesAsleep]]/tbl_working_sleep[[#This Row],[TotalTimeInBed]]*100,2)</f>
        <v>92.52</v>
      </c>
      <c r="K241" t="str" cm="1">
        <f t="array" ref="K241">_xlfn.IFS(tbl_working_sleep[[#This Row],[SleepHours]]&lt;6,"Insufficient Sleep",tbl_working_sleep[[#This Row],[SleepHours]]&lt;7,"Below Recommended",tbl_working_sleep[[#This Row],[SleepHours]]&lt;=9,"Recommended",tbl_working_sleep[[#This Row],[SleepHours]]&gt;9,"Oversleeping")</f>
        <v>Recommended</v>
      </c>
      <c r="L241" t="str">
        <f>tbl_working_sleep[[#This Row],[Id]]&amp;"|"&amp;TEXT(tbl_working_sleep[[#This Row],[SleepDay]],"yyyy-mm-dd")</f>
        <v>5553957443|2016-04-25</v>
      </c>
    </row>
    <row r="242" spans="1:12" x14ac:dyDescent="0.3">
      <c r="A242">
        <v>5553957443</v>
      </c>
      <c r="B242" s="2">
        <v>42486</v>
      </c>
      <c r="C242">
        <v>1</v>
      </c>
      <c r="D242">
        <v>412</v>
      </c>
      <c r="E242">
        <v>453</v>
      </c>
      <c r="F242" t="str">
        <f>TEXT(tbl_working_sleep[[#This Row],[SleepDay]],"dddd")</f>
        <v>Tuesday</v>
      </c>
      <c r="G242">
        <f>ROUND(tbl_working_sleep[[#This Row],[TotalMinutesAsleep]]/60,2)</f>
        <v>6.87</v>
      </c>
      <c r="H242">
        <f>ROUND(tbl_working_sleep[[#This Row],[TotalTimeInBed]]/60,2)</f>
        <v>7.55</v>
      </c>
      <c r="I242">
        <f>tbl_working_sleep[[#This Row],[TotalTimeInBed]]-tbl_working_sleep[[#This Row],[TotalMinutesAsleep]]</f>
        <v>41</v>
      </c>
      <c r="J242">
        <f>ROUND(tbl_working_sleep[[#This Row],[TotalMinutesAsleep]]/tbl_working_sleep[[#This Row],[TotalTimeInBed]]*100,2)</f>
        <v>90.95</v>
      </c>
      <c r="K242" t="str" cm="1">
        <f t="array" ref="K242">_xlfn.IFS(tbl_working_sleep[[#This Row],[SleepHours]]&lt;6,"Insufficient Sleep",tbl_working_sleep[[#This Row],[SleepHours]]&lt;7,"Below Recommended",tbl_working_sleep[[#This Row],[SleepHours]]&lt;=9,"Recommended",tbl_working_sleep[[#This Row],[SleepHours]]&gt;9,"Oversleeping")</f>
        <v>Below Recommended</v>
      </c>
      <c r="L242" t="str">
        <f>tbl_working_sleep[[#This Row],[Id]]&amp;"|"&amp;TEXT(tbl_working_sleep[[#This Row],[SleepDay]],"yyyy-mm-dd")</f>
        <v>5553957443|2016-04-26</v>
      </c>
    </row>
    <row r="243" spans="1:12" x14ac:dyDescent="0.3">
      <c r="A243">
        <v>5553957443</v>
      </c>
      <c r="B243" s="2">
        <v>42487</v>
      </c>
      <c r="C243">
        <v>1</v>
      </c>
      <c r="D243">
        <v>347</v>
      </c>
      <c r="E243">
        <v>391</v>
      </c>
      <c r="F243" t="str">
        <f>TEXT(tbl_working_sleep[[#This Row],[SleepDay]],"dddd")</f>
        <v>Wednesday</v>
      </c>
      <c r="G243">
        <f>ROUND(tbl_working_sleep[[#This Row],[TotalMinutesAsleep]]/60,2)</f>
        <v>5.78</v>
      </c>
      <c r="H243">
        <f>ROUND(tbl_working_sleep[[#This Row],[TotalTimeInBed]]/60,2)</f>
        <v>6.52</v>
      </c>
      <c r="I243">
        <f>tbl_working_sleep[[#This Row],[TotalTimeInBed]]-tbl_working_sleep[[#This Row],[TotalMinutesAsleep]]</f>
        <v>44</v>
      </c>
      <c r="J243">
        <f>ROUND(tbl_working_sleep[[#This Row],[TotalMinutesAsleep]]/tbl_working_sleep[[#This Row],[TotalTimeInBed]]*100,2)</f>
        <v>88.75</v>
      </c>
      <c r="K243" t="str" cm="1">
        <f t="array" ref="K243">_xlfn.IFS(tbl_working_sleep[[#This Row],[SleepHours]]&lt;6,"Insufficient Sleep",tbl_working_sleep[[#This Row],[SleepHours]]&lt;7,"Below Recommended",tbl_working_sleep[[#This Row],[SleepHours]]&lt;=9,"Recommended",tbl_working_sleep[[#This Row],[SleepHours]]&gt;9,"Oversleeping")</f>
        <v>Insufficient Sleep</v>
      </c>
      <c r="L243" t="str">
        <f>tbl_working_sleep[[#This Row],[Id]]&amp;"|"&amp;TEXT(tbl_working_sleep[[#This Row],[SleepDay]],"yyyy-mm-dd")</f>
        <v>5553957443|2016-04-27</v>
      </c>
    </row>
    <row r="244" spans="1:12" x14ac:dyDescent="0.3">
      <c r="A244">
        <v>5553957443</v>
      </c>
      <c r="B244" s="2">
        <v>42488</v>
      </c>
      <c r="C244">
        <v>1</v>
      </c>
      <c r="D244">
        <v>421</v>
      </c>
      <c r="E244">
        <v>457</v>
      </c>
      <c r="F244" t="str">
        <f>TEXT(tbl_working_sleep[[#This Row],[SleepDay]],"dddd")</f>
        <v>Thursday</v>
      </c>
      <c r="G244">
        <f>ROUND(tbl_working_sleep[[#This Row],[TotalMinutesAsleep]]/60,2)</f>
        <v>7.02</v>
      </c>
      <c r="H244">
        <f>ROUND(tbl_working_sleep[[#This Row],[TotalTimeInBed]]/60,2)</f>
        <v>7.62</v>
      </c>
      <c r="I244">
        <f>tbl_working_sleep[[#This Row],[TotalTimeInBed]]-tbl_working_sleep[[#This Row],[TotalMinutesAsleep]]</f>
        <v>36</v>
      </c>
      <c r="J244">
        <f>ROUND(tbl_working_sleep[[#This Row],[TotalMinutesAsleep]]/tbl_working_sleep[[#This Row],[TotalTimeInBed]]*100,2)</f>
        <v>92.12</v>
      </c>
      <c r="K244" t="str" cm="1">
        <f t="array" ref="K244">_xlfn.IFS(tbl_working_sleep[[#This Row],[SleepHours]]&lt;6,"Insufficient Sleep",tbl_working_sleep[[#This Row],[SleepHours]]&lt;7,"Below Recommended",tbl_working_sleep[[#This Row],[SleepHours]]&lt;=9,"Recommended",tbl_working_sleep[[#This Row],[SleepHours]]&gt;9,"Oversleeping")</f>
        <v>Recommended</v>
      </c>
      <c r="L244" t="str">
        <f>tbl_working_sleep[[#This Row],[Id]]&amp;"|"&amp;TEXT(tbl_working_sleep[[#This Row],[SleepDay]],"yyyy-mm-dd")</f>
        <v>5553957443|2016-04-28</v>
      </c>
    </row>
    <row r="245" spans="1:12" x14ac:dyDescent="0.3">
      <c r="A245">
        <v>5553957443</v>
      </c>
      <c r="B245" s="2">
        <v>42489</v>
      </c>
      <c r="C245">
        <v>1</v>
      </c>
      <c r="D245">
        <v>450</v>
      </c>
      <c r="E245">
        <v>495</v>
      </c>
      <c r="F245" t="str">
        <f>TEXT(tbl_working_sleep[[#This Row],[SleepDay]],"dddd")</f>
        <v>Friday</v>
      </c>
      <c r="G245">
        <f>ROUND(tbl_working_sleep[[#This Row],[TotalMinutesAsleep]]/60,2)</f>
        <v>7.5</v>
      </c>
      <c r="H245">
        <f>ROUND(tbl_working_sleep[[#This Row],[TotalTimeInBed]]/60,2)</f>
        <v>8.25</v>
      </c>
      <c r="I245">
        <f>tbl_working_sleep[[#This Row],[TotalTimeInBed]]-tbl_working_sleep[[#This Row],[TotalMinutesAsleep]]</f>
        <v>45</v>
      </c>
      <c r="J245">
        <f>ROUND(tbl_working_sleep[[#This Row],[TotalMinutesAsleep]]/tbl_working_sleep[[#This Row],[TotalTimeInBed]]*100,2)</f>
        <v>90.91</v>
      </c>
      <c r="K245" t="str" cm="1">
        <f t="array" ref="K245">_xlfn.IFS(tbl_working_sleep[[#This Row],[SleepHours]]&lt;6,"Insufficient Sleep",tbl_working_sleep[[#This Row],[SleepHours]]&lt;7,"Below Recommended",tbl_working_sleep[[#This Row],[SleepHours]]&lt;=9,"Recommended",tbl_working_sleep[[#This Row],[SleepHours]]&gt;9,"Oversleeping")</f>
        <v>Recommended</v>
      </c>
      <c r="L245" t="str">
        <f>tbl_working_sleep[[#This Row],[Id]]&amp;"|"&amp;TEXT(tbl_working_sleep[[#This Row],[SleepDay]],"yyyy-mm-dd")</f>
        <v>5553957443|2016-04-29</v>
      </c>
    </row>
    <row r="246" spans="1:12" x14ac:dyDescent="0.3">
      <c r="A246">
        <v>5553957443</v>
      </c>
      <c r="B246" s="2">
        <v>42490</v>
      </c>
      <c r="C246">
        <v>2</v>
      </c>
      <c r="D246">
        <v>775</v>
      </c>
      <c r="E246">
        <v>843</v>
      </c>
      <c r="F246" t="str">
        <f>TEXT(tbl_working_sleep[[#This Row],[SleepDay]],"dddd")</f>
        <v>Saturday</v>
      </c>
      <c r="G246">
        <f>ROUND(tbl_working_sleep[[#This Row],[TotalMinutesAsleep]]/60,2)</f>
        <v>12.92</v>
      </c>
      <c r="H246">
        <f>ROUND(tbl_working_sleep[[#This Row],[TotalTimeInBed]]/60,2)</f>
        <v>14.05</v>
      </c>
      <c r="I246">
        <f>tbl_working_sleep[[#This Row],[TotalTimeInBed]]-tbl_working_sleep[[#This Row],[TotalMinutesAsleep]]</f>
        <v>68</v>
      </c>
      <c r="J246">
        <f>ROUND(tbl_working_sleep[[#This Row],[TotalMinutesAsleep]]/tbl_working_sleep[[#This Row],[TotalTimeInBed]]*100,2)</f>
        <v>91.93</v>
      </c>
      <c r="K246" t="str" cm="1">
        <f t="array" ref="K246">_xlfn.IFS(tbl_working_sleep[[#This Row],[SleepHours]]&lt;6,"Insufficient Sleep",tbl_working_sleep[[#This Row],[SleepHours]]&lt;7,"Below Recommended",tbl_working_sleep[[#This Row],[SleepHours]]&lt;=9,"Recommended",tbl_working_sleep[[#This Row],[SleepHours]]&gt;9,"Oversleeping")</f>
        <v>Oversleeping</v>
      </c>
      <c r="L246" t="str">
        <f>tbl_working_sleep[[#This Row],[Id]]&amp;"|"&amp;TEXT(tbl_working_sleep[[#This Row],[SleepDay]],"yyyy-mm-dd")</f>
        <v>5553957443|2016-04-30</v>
      </c>
    </row>
    <row r="247" spans="1:12" x14ac:dyDescent="0.3">
      <c r="A247">
        <v>5553957443</v>
      </c>
      <c r="B247" s="2">
        <v>42491</v>
      </c>
      <c r="C247">
        <v>2</v>
      </c>
      <c r="D247">
        <v>622</v>
      </c>
      <c r="E247">
        <v>686</v>
      </c>
      <c r="F247" t="str">
        <f>TEXT(tbl_working_sleep[[#This Row],[SleepDay]],"dddd")</f>
        <v>Sunday</v>
      </c>
      <c r="G247">
        <f>ROUND(tbl_working_sleep[[#This Row],[TotalMinutesAsleep]]/60,2)</f>
        <v>10.37</v>
      </c>
      <c r="H247">
        <f>ROUND(tbl_working_sleep[[#This Row],[TotalTimeInBed]]/60,2)</f>
        <v>11.43</v>
      </c>
      <c r="I247">
        <f>tbl_working_sleep[[#This Row],[TotalTimeInBed]]-tbl_working_sleep[[#This Row],[TotalMinutesAsleep]]</f>
        <v>64</v>
      </c>
      <c r="J247">
        <f>ROUND(tbl_working_sleep[[#This Row],[TotalMinutesAsleep]]/tbl_working_sleep[[#This Row],[TotalTimeInBed]]*100,2)</f>
        <v>90.67</v>
      </c>
      <c r="K247" t="str" cm="1">
        <f t="array" ref="K247">_xlfn.IFS(tbl_working_sleep[[#This Row],[SleepHours]]&lt;6,"Insufficient Sleep",tbl_working_sleep[[#This Row],[SleepHours]]&lt;7,"Below Recommended",tbl_working_sleep[[#This Row],[SleepHours]]&lt;=9,"Recommended",tbl_working_sleep[[#This Row],[SleepHours]]&gt;9,"Oversleeping")</f>
        <v>Oversleeping</v>
      </c>
      <c r="L247" t="str">
        <f>tbl_working_sleep[[#This Row],[Id]]&amp;"|"&amp;TEXT(tbl_working_sleep[[#This Row],[SleepDay]],"yyyy-mm-dd")</f>
        <v>5553957443|2016-05-01</v>
      </c>
    </row>
    <row r="248" spans="1:12" x14ac:dyDescent="0.3">
      <c r="A248">
        <v>5553957443</v>
      </c>
      <c r="B248" s="2">
        <v>42492</v>
      </c>
      <c r="C248">
        <v>1</v>
      </c>
      <c r="D248">
        <v>409</v>
      </c>
      <c r="E248">
        <v>471</v>
      </c>
      <c r="F248" t="str">
        <f>TEXT(tbl_working_sleep[[#This Row],[SleepDay]],"dddd")</f>
        <v>Monday</v>
      </c>
      <c r="G248">
        <f>ROUND(tbl_working_sleep[[#This Row],[TotalMinutesAsleep]]/60,2)</f>
        <v>6.82</v>
      </c>
      <c r="H248">
        <f>ROUND(tbl_working_sleep[[#This Row],[TotalTimeInBed]]/60,2)</f>
        <v>7.85</v>
      </c>
      <c r="I248">
        <f>tbl_working_sleep[[#This Row],[TotalTimeInBed]]-tbl_working_sleep[[#This Row],[TotalMinutesAsleep]]</f>
        <v>62</v>
      </c>
      <c r="J248">
        <f>ROUND(tbl_working_sleep[[#This Row],[TotalMinutesAsleep]]/tbl_working_sleep[[#This Row],[TotalTimeInBed]]*100,2)</f>
        <v>86.84</v>
      </c>
      <c r="K248" t="str" cm="1">
        <f t="array" ref="K248">_xlfn.IFS(tbl_working_sleep[[#This Row],[SleepHours]]&lt;6,"Insufficient Sleep",tbl_working_sleep[[#This Row],[SleepHours]]&lt;7,"Below Recommended",tbl_working_sleep[[#This Row],[SleepHours]]&lt;=9,"Recommended",tbl_working_sleep[[#This Row],[SleepHours]]&gt;9,"Oversleeping")</f>
        <v>Below Recommended</v>
      </c>
      <c r="L248" t="str">
        <f>tbl_working_sleep[[#This Row],[Id]]&amp;"|"&amp;TEXT(tbl_working_sleep[[#This Row],[SleepDay]],"yyyy-mm-dd")</f>
        <v>5553957443|2016-05-02</v>
      </c>
    </row>
    <row r="249" spans="1:12" x14ac:dyDescent="0.3">
      <c r="A249">
        <v>5553957443</v>
      </c>
      <c r="B249" s="2">
        <v>42493</v>
      </c>
      <c r="C249">
        <v>1</v>
      </c>
      <c r="D249">
        <v>380</v>
      </c>
      <c r="E249">
        <v>429</v>
      </c>
      <c r="F249" t="str">
        <f>TEXT(tbl_working_sleep[[#This Row],[SleepDay]],"dddd")</f>
        <v>Tuesday</v>
      </c>
      <c r="G249">
        <f>ROUND(tbl_working_sleep[[#This Row],[TotalMinutesAsleep]]/60,2)</f>
        <v>6.33</v>
      </c>
      <c r="H249">
        <f>ROUND(tbl_working_sleep[[#This Row],[TotalTimeInBed]]/60,2)</f>
        <v>7.15</v>
      </c>
      <c r="I249">
        <f>tbl_working_sleep[[#This Row],[TotalTimeInBed]]-tbl_working_sleep[[#This Row],[TotalMinutesAsleep]]</f>
        <v>49</v>
      </c>
      <c r="J249">
        <f>ROUND(tbl_working_sleep[[#This Row],[TotalMinutesAsleep]]/tbl_working_sleep[[#This Row],[TotalTimeInBed]]*100,2)</f>
        <v>88.58</v>
      </c>
      <c r="K249" t="str" cm="1">
        <f t="array" ref="K249">_xlfn.IFS(tbl_working_sleep[[#This Row],[SleepHours]]&lt;6,"Insufficient Sleep",tbl_working_sleep[[#This Row],[SleepHours]]&lt;7,"Below Recommended",tbl_working_sleep[[#This Row],[SleepHours]]&lt;=9,"Recommended",tbl_working_sleep[[#This Row],[SleepHours]]&gt;9,"Oversleeping")</f>
        <v>Below Recommended</v>
      </c>
      <c r="L249" t="str">
        <f>tbl_working_sleep[[#This Row],[Id]]&amp;"|"&amp;TEXT(tbl_working_sleep[[#This Row],[SleepDay]],"yyyy-mm-dd")</f>
        <v>5553957443|2016-05-03</v>
      </c>
    </row>
    <row r="250" spans="1:12" x14ac:dyDescent="0.3">
      <c r="A250">
        <v>5553957443</v>
      </c>
      <c r="B250" s="2">
        <v>42494</v>
      </c>
      <c r="C250">
        <v>1</v>
      </c>
      <c r="D250">
        <v>447</v>
      </c>
      <c r="E250">
        <v>470</v>
      </c>
      <c r="F250" t="str">
        <f>TEXT(tbl_working_sleep[[#This Row],[SleepDay]],"dddd")</f>
        <v>Wednesday</v>
      </c>
      <c r="G250">
        <f>ROUND(tbl_working_sleep[[#This Row],[TotalMinutesAsleep]]/60,2)</f>
        <v>7.45</v>
      </c>
      <c r="H250">
        <f>ROUND(tbl_working_sleep[[#This Row],[TotalTimeInBed]]/60,2)</f>
        <v>7.83</v>
      </c>
      <c r="I250">
        <f>tbl_working_sleep[[#This Row],[TotalTimeInBed]]-tbl_working_sleep[[#This Row],[TotalMinutesAsleep]]</f>
        <v>23</v>
      </c>
      <c r="J250">
        <f>ROUND(tbl_working_sleep[[#This Row],[TotalMinutesAsleep]]/tbl_working_sleep[[#This Row],[TotalTimeInBed]]*100,2)</f>
        <v>95.11</v>
      </c>
      <c r="K250" t="str" cm="1">
        <f t="array" ref="K250">_xlfn.IFS(tbl_working_sleep[[#This Row],[SleepHours]]&lt;6,"Insufficient Sleep",tbl_working_sleep[[#This Row],[SleepHours]]&lt;7,"Below Recommended",tbl_working_sleep[[#This Row],[SleepHours]]&lt;=9,"Recommended",tbl_working_sleep[[#This Row],[SleepHours]]&gt;9,"Oversleeping")</f>
        <v>Recommended</v>
      </c>
      <c r="L250" t="str">
        <f>tbl_working_sleep[[#This Row],[Id]]&amp;"|"&amp;TEXT(tbl_working_sleep[[#This Row],[SleepDay]],"yyyy-mm-dd")</f>
        <v>5553957443|2016-05-04</v>
      </c>
    </row>
    <row r="251" spans="1:12" x14ac:dyDescent="0.3">
      <c r="A251">
        <v>5553957443</v>
      </c>
      <c r="B251" s="2">
        <v>42495</v>
      </c>
      <c r="C251">
        <v>1</v>
      </c>
      <c r="D251">
        <v>419</v>
      </c>
      <c r="E251">
        <v>464</v>
      </c>
      <c r="F251" t="str">
        <f>TEXT(tbl_working_sleep[[#This Row],[SleepDay]],"dddd")</f>
        <v>Thursday</v>
      </c>
      <c r="G251">
        <f>ROUND(tbl_working_sleep[[#This Row],[TotalMinutesAsleep]]/60,2)</f>
        <v>6.98</v>
      </c>
      <c r="H251">
        <f>ROUND(tbl_working_sleep[[#This Row],[TotalTimeInBed]]/60,2)</f>
        <v>7.73</v>
      </c>
      <c r="I251">
        <f>tbl_working_sleep[[#This Row],[TotalTimeInBed]]-tbl_working_sleep[[#This Row],[TotalMinutesAsleep]]</f>
        <v>45</v>
      </c>
      <c r="J251">
        <f>ROUND(tbl_working_sleep[[#This Row],[TotalMinutesAsleep]]/tbl_working_sleep[[#This Row],[TotalTimeInBed]]*100,2)</f>
        <v>90.3</v>
      </c>
      <c r="K251" t="str" cm="1">
        <f t="array" ref="K251">_xlfn.IFS(tbl_working_sleep[[#This Row],[SleepHours]]&lt;6,"Insufficient Sleep",tbl_working_sleep[[#This Row],[SleepHours]]&lt;7,"Below Recommended",tbl_working_sleep[[#This Row],[SleepHours]]&lt;=9,"Recommended",tbl_working_sleep[[#This Row],[SleepHours]]&gt;9,"Oversleeping")</f>
        <v>Below Recommended</v>
      </c>
      <c r="L251" t="str">
        <f>tbl_working_sleep[[#This Row],[Id]]&amp;"|"&amp;TEXT(tbl_working_sleep[[#This Row],[SleepDay]],"yyyy-mm-dd")</f>
        <v>5553957443|2016-05-05</v>
      </c>
    </row>
    <row r="252" spans="1:12" x14ac:dyDescent="0.3">
      <c r="A252">
        <v>5553957443</v>
      </c>
      <c r="B252" s="2">
        <v>42496</v>
      </c>
      <c r="C252">
        <v>1</v>
      </c>
      <c r="D252">
        <v>400</v>
      </c>
      <c r="E252">
        <v>434</v>
      </c>
      <c r="F252" t="str">
        <f>TEXT(tbl_working_sleep[[#This Row],[SleepDay]],"dddd")</f>
        <v>Friday</v>
      </c>
      <c r="G252">
        <f>ROUND(tbl_working_sleep[[#This Row],[TotalMinutesAsleep]]/60,2)</f>
        <v>6.67</v>
      </c>
      <c r="H252">
        <f>ROUND(tbl_working_sleep[[#This Row],[TotalTimeInBed]]/60,2)</f>
        <v>7.23</v>
      </c>
      <c r="I252">
        <f>tbl_working_sleep[[#This Row],[TotalTimeInBed]]-tbl_working_sleep[[#This Row],[TotalMinutesAsleep]]</f>
        <v>34</v>
      </c>
      <c r="J252">
        <f>ROUND(tbl_working_sleep[[#This Row],[TotalMinutesAsleep]]/tbl_working_sleep[[#This Row],[TotalTimeInBed]]*100,2)</f>
        <v>92.17</v>
      </c>
      <c r="K252" t="str" cm="1">
        <f t="array" ref="K252">_xlfn.IFS(tbl_working_sleep[[#This Row],[SleepHours]]&lt;6,"Insufficient Sleep",tbl_working_sleep[[#This Row],[SleepHours]]&lt;7,"Below Recommended",tbl_working_sleep[[#This Row],[SleepHours]]&lt;=9,"Recommended",tbl_working_sleep[[#This Row],[SleepHours]]&gt;9,"Oversleeping")</f>
        <v>Below Recommended</v>
      </c>
      <c r="L252" t="str">
        <f>tbl_working_sleep[[#This Row],[Id]]&amp;"|"&amp;TEXT(tbl_working_sleep[[#This Row],[SleepDay]],"yyyy-mm-dd")</f>
        <v>5553957443|2016-05-06</v>
      </c>
    </row>
    <row r="253" spans="1:12" x14ac:dyDescent="0.3">
      <c r="A253">
        <v>5553957443</v>
      </c>
      <c r="B253" s="2">
        <v>42497</v>
      </c>
      <c r="C253">
        <v>1</v>
      </c>
      <c r="D253">
        <v>442</v>
      </c>
      <c r="E253">
        <v>470</v>
      </c>
      <c r="F253" t="str">
        <f>TEXT(tbl_working_sleep[[#This Row],[SleepDay]],"dddd")</f>
        <v>Saturday</v>
      </c>
      <c r="G253">
        <f>ROUND(tbl_working_sleep[[#This Row],[TotalMinutesAsleep]]/60,2)</f>
        <v>7.37</v>
      </c>
      <c r="H253">
        <f>ROUND(tbl_working_sleep[[#This Row],[TotalTimeInBed]]/60,2)</f>
        <v>7.83</v>
      </c>
      <c r="I253">
        <f>tbl_working_sleep[[#This Row],[TotalTimeInBed]]-tbl_working_sleep[[#This Row],[TotalMinutesAsleep]]</f>
        <v>28</v>
      </c>
      <c r="J253">
        <f>ROUND(tbl_working_sleep[[#This Row],[TotalMinutesAsleep]]/tbl_working_sleep[[#This Row],[TotalTimeInBed]]*100,2)</f>
        <v>94.04</v>
      </c>
      <c r="K253" t="str" cm="1">
        <f t="array" ref="K253">_xlfn.IFS(tbl_working_sleep[[#This Row],[SleepHours]]&lt;6,"Insufficient Sleep",tbl_working_sleep[[#This Row],[SleepHours]]&lt;7,"Below Recommended",tbl_working_sleep[[#This Row],[SleepHours]]&lt;=9,"Recommended",tbl_working_sleep[[#This Row],[SleepHours]]&gt;9,"Oversleeping")</f>
        <v>Recommended</v>
      </c>
      <c r="L253" t="str">
        <f>tbl_working_sleep[[#This Row],[Id]]&amp;"|"&amp;TEXT(tbl_working_sleep[[#This Row],[SleepDay]],"yyyy-mm-dd")</f>
        <v>5553957443|2016-05-07</v>
      </c>
    </row>
    <row r="254" spans="1:12" x14ac:dyDescent="0.3">
      <c r="A254">
        <v>5553957443</v>
      </c>
      <c r="B254" s="2">
        <v>42498</v>
      </c>
      <c r="C254">
        <v>1</v>
      </c>
      <c r="D254">
        <v>568</v>
      </c>
      <c r="E254">
        <v>608</v>
      </c>
      <c r="F254" t="str">
        <f>TEXT(tbl_working_sleep[[#This Row],[SleepDay]],"dddd")</f>
        <v>Sunday</v>
      </c>
      <c r="G254">
        <f>ROUND(tbl_working_sleep[[#This Row],[TotalMinutesAsleep]]/60,2)</f>
        <v>9.4700000000000006</v>
      </c>
      <c r="H254">
        <f>ROUND(tbl_working_sleep[[#This Row],[TotalTimeInBed]]/60,2)</f>
        <v>10.130000000000001</v>
      </c>
      <c r="I254">
        <f>tbl_working_sleep[[#This Row],[TotalTimeInBed]]-tbl_working_sleep[[#This Row],[TotalMinutesAsleep]]</f>
        <v>40</v>
      </c>
      <c r="J254">
        <f>ROUND(tbl_working_sleep[[#This Row],[TotalMinutesAsleep]]/tbl_working_sleep[[#This Row],[TotalTimeInBed]]*100,2)</f>
        <v>93.42</v>
      </c>
      <c r="K254" t="str" cm="1">
        <f t="array" ref="K254">_xlfn.IFS(tbl_working_sleep[[#This Row],[SleepHours]]&lt;6,"Insufficient Sleep",tbl_working_sleep[[#This Row],[SleepHours]]&lt;7,"Below Recommended",tbl_working_sleep[[#This Row],[SleepHours]]&lt;=9,"Recommended",tbl_working_sleep[[#This Row],[SleepHours]]&gt;9,"Oversleeping")</f>
        <v>Oversleeping</v>
      </c>
      <c r="L254" t="str">
        <f>tbl_working_sleep[[#This Row],[Id]]&amp;"|"&amp;TEXT(tbl_working_sleep[[#This Row],[SleepDay]],"yyyy-mm-dd")</f>
        <v>5553957443|2016-05-08</v>
      </c>
    </row>
    <row r="255" spans="1:12" x14ac:dyDescent="0.3">
      <c r="A255">
        <v>5553957443</v>
      </c>
      <c r="B255" s="2">
        <v>42499</v>
      </c>
      <c r="C255">
        <v>1</v>
      </c>
      <c r="D255">
        <v>453</v>
      </c>
      <c r="E255">
        <v>494</v>
      </c>
      <c r="F255" t="str">
        <f>TEXT(tbl_working_sleep[[#This Row],[SleepDay]],"dddd")</f>
        <v>Monday</v>
      </c>
      <c r="G255">
        <f>ROUND(tbl_working_sleep[[#This Row],[TotalMinutesAsleep]]/60,2)</f>
        <v>7.55</v>
      </c>
      <c r="H255">
        <f>ROUND(tbl_working_sleep[[#This Row],[TotalTimeInBed]]/60,2)</f>
        <v>8.23</v>
      </c>
      <c r="I255">
        <f>tbl_working_sleep[[#This Row],[TotalTimeInBed]]-tbl_working_sleep[[#This Row],[TotalMinutesAsleep]]</f>
        <v>41</v>
      </c>
      <c r="J255">
        <f>ROUND(tbl_working_sleep[[#This Row],[TotalMinutesAsleep]]/tbl_working_sleep[[#This Row],[TotalTimeInBed]]*100,2)</f>
        <v>91.7</v>
      </c>
      <c r="K255" t="str" cm="1">
        <f t="array" ref="K255">_xlfn.IFS(tbl_working_sleep[[#This Row],[SleepHours]]&lt;6,"Insufficient Sleep",tbl_working_sleep[[#This Row],[SleepHours]]&lt;7,"Below Recommended",tbl_working_sleep[[#This Row],[SleepHours]]&lt;=9,"Recommended",tbl_working_sleep[[#This Row],[SleepHours]]&gt;9,"Oversleeping")</f>
        <v>Recommended</v>
      </c>
      <c r="L255" t="str">
        <f>tbl_working_sleep[[#This Row],[Id]]&amp;"|"&amp;TEXT(tbl_working_sleep[[#This Row],[SleepDay]],"yyyy-mm-dd")</f>
        <v>5553957443|2016-05-09</v>
      </c>
    </row>
    <row r="256" spans="1:12" x14ac:dyDescent="0.3">
      <c r="A256">
        <v>5553957443</v>
      </c>
      <c r="B256" s="2">
        <v>42500</v>
      </c>
      <c r="C256">
        <v>1</v>
      </c>
      <c r="D256">
        <v>418</v>
      </c>
      <c r="E256">
        <v>443</v>
      </c>
      <c r="F256" t="str">
        <f>TEXT(tbl_working_sleep[[#This Row],[SleepDay]],"dddd")</f>
        <v>Tuesday</v>
      </c>
      <c r="G256">
        <f>ROUND(tbl_working_sleep[[#This Row],[TotalMinutesAsleep]]/60,2)</f>
        <v>6.97</v>
      </c>
      <c r="H256">
        <f>ROUND(tbl_working_sleep[[#This Row],[TotalTimeInBed]]/60,2)</f>
        <v>7.38</v>
      </c>
      <c r="I256">
        <f>tbl_working_sleep[[#This Row],[TotalTimeInBed]]-tbl_working_sleep[[#This Row],[TotalMinutesAsleep]]</f>
        <v>25</v>
      </c>
      <c r="J256">
        <f>ROUND(tbl_working_sleep[[#This Row],[TotalMinutesAsleep]]/tbl_working_sleep[[#This Row],[TotalTimeInBed]]*100,2)</f>
        <v>94.36</v>
      </c>
      <c r="K256" t="str" cm="1">
        <f t="array" ref="K256">_xlfn.IFS(tbl_working_sleep[[#This Row],[SleepHours]]&lt;6,"Insufficient Sleep",tbl_working_sleep[[#This Row],[SleepHours]]&lt;7,"Below Recommended",tbl_working_sleep[[#This Row],[SleepHours]]&lt;=9,"Recommended",tbl_working_sleep[[#This Row],[SleepHours]]&gt;9,"Oversleeping")</f>
        <v>Below Recommended</v>
      </c>
      <c r="L256" t="str">
        <f>tbl_working_sleep[[#This Row],[Id]]&amp;"|"&amp;TEXT(tbl_working_sleep[[#This Row],[SleepDay]],"yyyy-mm-dd")</f>
        <v>5553957443|2016-05-10</v>
      </c>
    </row>
    <row r="257" spans="1:12" x14ac:dyDescent="0.3">
      <c r="A257">
        <v>5553957443</v>
      </c>
      <c r="B257" s="2">
        <v>42501</v>
      </c>
      <c r="C257">
        <v>1</v>
      </c>
      <c r="D257">
        <v>463</v>
      </c>
      <c r="E257">
        <v>486</v>
      </c>
      <c r="F257" t="str">
        <f>TEXT(tbl_working_sleep[[#This Row],[SleepDay]],"dddd")</f>
        <v>Wednesday</v>
      </c>
      <c r="G257">
        <f>ROUND(tbl_working_sleep[[#This Row],[TotalMinutesAsleep]]/60,2)</f>
        <v>7.72</v>
      </c>
      <c r="H257">
        <f>ROUND(tbl_working_sleep[[#This Row],[TotalTimeInBed]]/60,2)</f>
        <v>8.1</v>
      </c>
      <c r="I257">
        <f>tbl_working_sleep[[#This Row],[TotalTimeInBed]]-tbl_working_sleep[[#This Row],[TotalMinutesAsleep]]</f>
        <v>23</v>
      </c>
      <c r="J257">
        <f>ROUND(tbl_working_sleep[[#This Row],[TotalMinutesAsleep]]/tbl_working_sleep[[#This Row],[TotalTimeInBed]]*100,2)</f>
        <v>95.27</v>
      </c>
      <c r="K257" t="str" cm="1">
        <f t="array" ref="K257">_xlfn.IFS(tbl_working_sleep[[#This Row],[SleepHours]]&lt;6,"Insufficient Sleep",tbl_working_sleep[[#This Row],[SleepHours]]&lt;7,"Below Recommended",tbl_working_sleep[[#This Row],[SleepHours]]&lt;=9,"Recommended",tbl_working_sleep[[#This Row],[SleepHours]]&gt;9,"Oversleeping")</f>
        <v>Recommended</v>
      </c>
      <c r="L257" t="str">
        <f>tbl_working_sleep[[#This Row],[Id]]&amp;"|"&amp;TEXT(tbl_working_sleep[[#This Row],[SleepDay]],"yyyy-mm-dd")</f>
        <v>5553957443|2016-05-11</v>
      </c>
    </row>
    <row r="258" spans="1:12" x14ac:dyDescent="0.3">
      <c r="A258">
        <v>5553957443</v>
      </c>
      <c r="B258" s="2">
        <v>42502</v>
      </c>
      <c r="C258">
        <v>1</v>
      </c>
      <c r="D258">
        <v>438</v>
      </c>
      <c r="E258">
        <v>475</v>
      </c>
      <c r="F258" t="str">
        <f>TEXT(tbl_working_sleep[[#This Row],[SleepDay]],"dddd")</f>
        <v>Thursday</v>
      </c>
      <c r="G258">
        <f>ROUND(tbl_working_sleep[[#This Row],[TotalMinutesAsleep]]/60,2)</f>
        <v>7.3</v>
      </c>
      <c r="H258">
        <f>ROUND(tbl_working_sleep[[#This Row],[TotalTimeInBed]]/60,2)</f>
        <v>7.92</v>
      </c>
      <c r="I258">
        <f>tbl_working_sleep[[#This Row],[TotalTimeInBed]]-tbl_working_sleep[[#This Row],[TotalMinutesAsleep]]</f>
        <v>37</v>
      </c>
      <c r="J258">
        <f>ROUND(tbl_working_sleep[[#This Row],[TotalMinutesAsleep]]/tbl_working_sleep[[#This Row],[TotalTimeInBed]]*100,2)</f>
        <v>92.21</v>
      </c>
      <c r="K258" t="str" cm="1">
        <f t="array" ref="K258">_xlfn.IFS(tbl_working_sleep[[#This Row],[SleepHours]]&lt;6,"Insufficient Sleep",tbl_working_sleep[[#This Row],[SleepHours]]&lt;7,"Below Recommended",tbl_working_sleep[[#This Row],[SleepHours]]&lt;=9,"Recommended",tbl_working_sleep[[#This Row],[SleepHours]]&gt;9,"Oversleeping")</f>
        <v>Recommended</v>
      </c>
      <c r="L258" t="str">
        <f>tbl_working_sleep[[#This Row],[Id]]&amp;"|"&amp;TEXT(tbl_working_sleep[[#This Row],[SleepDay]],"yyyy-mm-dd")</f>
        <v>5553957443|2016-05-12</v>
      </c>
    </row>
    <row r="259" spans="1:12" x14ac:dyDescent="0.3">
      <c r="A259">
        <v>5577150313</v>
      </c>
      <c r="B259" s="2">
        <v>42472</v>
      </c>
      <c r="C259">
        <v>1</v>
      </c>
      <c r="D259">
        <v>419</v>
      </c>
      <c r="E259">
        <v>438</v>
      </c>
      <c r="F259" t="str">
        <f>TEXT(tbl_working_sleep[[#This Row],[SleepDay]],"dddd")</f>
        <v>Tuesday</v>
      </c>
      <c r="G259">
        <f>ROUND(tbl_working_sleep[[#This Row],[TotalMinutesAsleep]]/60,2)</f>
        <v>6.98</v>
      </c>
      <c r="H259">
        <f>ROUND(tbl_working_sleep[[#This Row],[TotalTimeInBed]]/60,2)</f>
        <v>7.3</v>
      </c>
      <c r="I259">
        <f>tbl_working_sleep[[#This Row],[TotalTimeInBed]]-tbl_working_sleep[[#This Row],[TotalMinutesAsleep]]</f>
        <v>19</v>
      </c>
      <c r="J259">
        <f>ROUND(tbl_working_sleep[[#This Row],[TotalMinutesAsleep]]/tbl_working_sleep[[#This Row],[TotalTimeInBed]]*100,2)</f>
        <v>95.66</v>
      </c>
      <c r="K259" t="str" cm="1">
        <f t="array" ref="K259">_xlfn.IFS(tbl_working_sleep[[#This Row],[SleepHours]]&lt;6,"Insufficient Sleep",tbl_working_sleep[[#This Row],[SleepHours]]&lt;7,"Below Recommended",tbl_working_sleep[[#This Row],[SleepHours]]&lt;=9,"Recommended",tbl_working_sleep[[#This Row],[SleepHours]]&gt;9,"Oversleeping")</f>
        <v>Below Recommended</v>
      </c>
      <c r="L259" t="str">
        <f>tbl_working_sleep[[#This Row],[Id]]&amp;"|"&amp;TEXT(tbl_working_sleep[[#This Row],[SleepDay]],"yyyy-mm-dd")</f>
        <v>5577150313|2016-04-12</v>
      </c>
    </row>
    <row r="260" spans="1:12" x14ac:dyDescent="0.3">
      <c r="A260">
        <v>5577150313</v>
      </c>
      <c r="B260" s="2">
        <v>42473</v>
      </c>
      <c r="C260">
        <v>1</v>
      </c>
      <c r="D260">
        <v>432</v>
      </c>
      <c r="E260">
        <v>458</v>
      </c>
      <c r="F260" t="str">
        <f>TEXT(tbl_working_sleep[[#This Row],[SleepDay]],"dddd")</f>
        <v>Wednesday</v>
      </c>
      <c r="G260">
        <f>ROUND(tbl_working_sleep[[#This Row],[TotalMinutesAsleep]]/60,2)</f>
        <v>7.2</v>
      </c>
      <c r="H260">
        <f>ROUND(tbl_working_sleep[[#This Row],[TotalTimeInBed]]/60,2)</f>
        <v>7.63</v>
      </c>
      <c r="I260">
        <f>tbl_working_sleep[[#This Row],[TotalTimeInBed]]-tbl_working_sleep[[#This Row],[TotalMinutesAsleep]]</f>
        <v>26</v>
      </c>
      <c r="J260">
        <f>ROUND(tbl_working_sleep[[#This Row],[TotalMinutesAsleep]]/tbl_working_sleep[[#This Row],[TotalTimeInBed]]*100,2)</f>
        <v>94.32</v>
      </c>
      <c r="K260" t="str" cm="1">
        <f t="array" ref="K260">_xlfn.IFS(tbl_working_sleep[[#This Row],[SleepHours]]&lt;6,"Insufficient Sleep",tbl_working_sleep[[#This Row],[SleepHours]]&lt;7,"Below Recommended",tbl_working_sleep[[#This Row],[SleepHours]]&lt;=9,"Recommended",tbl_working_sleep[[#This Row],[SleepHours]]&gt;9,"Oversleeping")</f>
        <v>Recommended</v>
      </c>
      <c r="L260" t="str">
        <f>tbl_working_sleep[[#This Row],[Id]]&amp;"|"&amp;TEXT(tbl_working_sleep[[#This Row],[SleepDay]],"yyyy-mm-dd")</f>
        <v>5577150313|2016-04-13</v>
      </c>
    </row>
    <row r="261" spans="1:12" x14ac:dyDescent="0.3">
      <c r="A261">
        <v>5577150313</v>
      </c>
      <c r="B261" s="2">
        <v>42474</v>
      </c>
      <c r="C261">
        <v>1</v>
      </c>
      <c r="D261">
        <v>477</v>
      </c>
      <c r="E261">
        <v>497</v>
      </c>
      <c r="F261" t="str">
        <f>TEXT(tbl_working_sleep[[#This Row],[SleepDay]],"dddd")</f>
        <v>Thursday</v>
      </c>
      <c r="G261">
        <f>ROUND(tbl_working_sleep[[#This Row],[TotalMinutesAsleep]]/60,2)</f>
        <v>7.95</v>
      </c>
      <c r="H261">
        <f>ROUND(tbl_working_sleep[[#This Row],[TotalTimeInBed]]/60,2)</f>
        <v>8.2799999999999994</v>
      </c>
      <c r="I261">
        <f>tbl_working_sleep[[#This Row],[TotalTimeInBed]]-tbl_working_sleep[[#This Row],[TotalMinutesAsleep]]</f>
        <v>20</v>
      </c>
      <c r="J261">
        <f>ROUND(tbl_working_sleep[[#This Row],[TotalMinutesAsleep]]/tbl_working_sleep[[#This Row],[TotalTimeInBed]]*100,2)</f>
        <v>95.98</v>
      </c>
      <c r="K261" t="str" cm="1">
        <f t="array" ref="K261">_xlfn.IFS(tbl_working_sleep[[#This Row],[SleepHours]]&lt;6,"Insufficient Sleep",tbl_working_sleep[[#This Row],[SleepHours]]&lt;7,"Below Recommended",tbl_working_sleep[[#This Row],[SleepHours]]&lt;=9,"Recommended",tbl_working_sleep[[#This Row],[SleepHours]]&gt;9,"Oversleeping")</f>
        <v>Recommended</v>
      </c>
      <c r="L261" t="str">
        <f>tbl_working_sleep[[#This Row],[Id]]&amp;"|"&amp;TEXT(tbl_working_sleep[[#This Row],[SleepDay]],"yyyy-mm-dd")</f>
        <v>5577150313|2016-04-14</v>
      </c>
    </row>
    <row r="262" spans="1:12" x14ac:dyDescent="0.3">
      <c r="A262">
        <v>5577150313</v>
      </c>
      <c r="B262" s="2">
        <v>42475</v>
      </c>
      <c r="C262">
        <v>1</v>
      </c>
      <c r="D262">
        <v>392</v>
      </c>
      <c r="E262">
        <v>413</v>
      </c>
      <c r="F262" t="str">
        <f>TEXT(tbl_working_sleep[[#This Row],[SleepDay]],"dddd")</f>
        <v>Friday</v>
      </c>
      <c r="G262">
        <f>ROUND(tbl_working_sleep[[#This Row],[TotalMinutesAsleep]]/60,2)</f>
        <v>6.53</v>
      </c>
      <c r="H262">
        <f>ROUND(tbl_working_sleep[[#This Row],[TotalTimeInBed]]/60,2)</f>
        <v>6.88</v>
      </c>
      <c r="I262">
        <f>tbl_working_sleep[[#This Row],[TotalTimeInBed]]-tbl_working_sleep[[#This Row],[TotalMinutesAsleep]]</f>
        <v>21</v>
      </c>
      <c r="J262">
        <f>ROUND(tbl_working_sleep[[#This Row],[TotalMinutesAsleep]]/tbl_working_sleep[[#This Row],[TotalTimeInBed]]*100,2)</f>
        <v>94.92</v>
      </c>
      <c r="K262" t="str" cm="1">
        <f t="array" ref="K262">_xlfn.IFS(tbl_working_sleep[[#This Row],[SleepHours]]&lt;6,"Insufficient Sleep",tbl_working_sleep[[#This Row],[SleepHours]]&lt;7,"Below Recommended",tbl_working_sleep[[#This Row],[SleepHours]]&lt;=9,"Recommended",tbl_working_sleep[[#This Row],[SleepHours]]&gt;9,"Oversleeping")</f>
        <v>Below Recommended</v>
      </c>
      <c r="L262" t="str">
        <f>tbl_working_sleep[[#This Row],[Id]]&amp;"|"&amp;TEXT(tbl_working_sleep[[#This Row],[SleepDay]],"yyyy-mm-dd")</f>
        <v>5577150313|2016-04-15</v>
      </c>
    </row>
    <row r="263" spans="1:12" x14ac:dyDescent="0.3">
      <c r="A263">
        <v>5577150313</v>
      </c>
      <c r="B263" s="2">
        <v>42476</v>
      </c>
      <c r="C263">
        <v>1</v>
      </c>
      <c r="D263">
        <v>406</v>
      </c>
      <c r="E263">
        <v>445</v>
      </c>
      <c r="F263" t="str">
        <f>TEXT(tbl_working_sleep[[#This Row],[SleepDay]],"dddd")</f>
        <v>Saturday</v>
      </c>
      <c r="G263">
        <f>ROUND(tbl_working_sleep[[#This Row],[TotalMinutesAsleep]]/60,2)</f>
        <v>6.77</v>
      </c>
      <c r="H263">
        <f>ROUND(tbl_working_sleep[[#This Row],[TotalTimeInBed]]/60,2)</f>
        <v>7.42</v>
      </c>
      <c r="I263">
        <f>tbl_working_sleep[[#This Row],[TotalTimeInBed]]-tbl_working_sleep[[#This Row],[TotalMinutesAsleep]]</f>
        <v>39</v>
      </c>
      <c r="J263">
        <f>ROUND(tbl_working_sleep[[#This Row],[TotalMinutesAsleep]]/tbl_working_sleep[[#This Row],[TotalTimeInBed]]*100,2)</f>
        <v>91.24</v>
      </c>
      <c r="K263" t="str" cm="1">
        <f t="array" ref="K263">_xlfn.IFS(tbl_working_sleep[[#This Row],[SleepHours]]&lt;6,"Insufficient Sleep",tbl_working_sleep[[#This Row],[SleepHours]]&lt;7,"Below Recommended",tbl_working_sleep[[#This Row],[SleepHours]]&lt;=9,"Recommended",tbl_working_sleep[[#This Row],[SleepHours]]&gt;9,"Oversleeping")</f>
        <v>Below Recommended</v>
      </c>
      <c r="L263" t="str">
        <f>tbl_working_sleep[[#This Row],[Id]]&amp;"|"&amp;TEXT(tbl_working_sleep[[#This Row],[SleepDay]],"yyyy-mm-dd")</f>
        <v>5577150313|2016-04-16</v>
      </c>
    </row>
    <row r="264" spans="1:12" x14ac:dyDescent="0.3">
      <c r="A264">
        <v>5577150313</v>
      </c>
      <c r="B264" s="2">
        <v>42477</v>
      </c>
      <c r="C264">
        <v>1</v>
      </c>
      <c r="D264">
        <v>549</v>
      </c>
      <c r="E264">
        <v>583</v>
      </c>
      <c r="F264" t="str">
        <f>TEXT(tbl_working_sleep[[#This Row],[SleepDay]],"dddd")</f>
        <v>Sunday</v>
      </c>
      <c r="G264">
        <f>ROUND(tbl_working_sleep[[#This Row],[TotalMinutesAsleep]]/60,2)</f>
        <v>9.15</v>
      </c>
      <c r="H264">
        <f>ROUND(tbl_working_sleep[[#This Row],[TotalTimeInBed]]/60,2)</f>
        <v>9.7200000000000006</v>
      </c>
      <c r="I264">
        <f>tbl_working_sleep[[#This Row],[TotalTimeInBed]]-tbl_working_sleep[[#This Row],[TotalMinutesAsleep]]</f>
        <v>34</v>
      </c>
      <c r="J264">
        <f>ROUND(tbl_working_sleep[[#This Row],[TotalMinutesAsleep]]/tbl_working_sleep[[#This Row],[TotalTimeInBed]]*100,2)</f>
        <v>94.17</v>
      </c>
      <c r="K264" t="str" cm="1">
        <f t="array" ref="K264">_xlfn.IFS(tbl_working_sleep[[#This Row],[SleepHours]]&lt;6,"Insufficient Sleep",tbl_working_sleep[[#This Row],[SleepHours]]&lt;7,"Below Recommended",tbl_working_sleep[[#This Row],[SleepHours]]&lt;=9,"Recommended",tbl_working_sleep[[#This Row],[SleepHours]]&gt;9,"Oversleeping")</f>
        <v>Oversleeping</v>
      </c>
      <c r="L264" t="str">
        <f>tbl_working_sleep[[#This Row],[Id]]&amp;"|"&amp;TEXT(tbl_working_sleep[[#This Row],[SleepDay]],"yyyy-mm-dd")</f>
        <v>5577150313|2016-04-17</v>
      </c>
    </row>
    <row r="265" spans="1:12" x14ac:dyDescent="0.3">
      <c r="A265">
        <v>5577150313</v>
      </c>
      <c r="B265" s="2">
        <v>42478</v>
      </c>
      <c r="C265">
        <v>1</v>
      </c>
      <c r="D265">
        <v>527</v>
      </c>
      <c r="E265">
        <v>553</v>
      </c>
      <c r="F265" t="str">
        <f>TEXT(tbl_working_sleep[[#This Row],[SleepDay]],"dddd")</f>
        <v>Monday</v>
      </c>
      <c r="G265">
        <f>ROUND(tbl_working_sleep[[#This Row],[TotalMinutesAsleep]]/60,2)</f>
        <v>8.7799999999999994</v>
      </c>
      <c r="H265">
        <f>ROUND(tbl_working_sleep[[#This Row],[TotalTimeInBed]]/60,2)</f>
        <v>9.2200000000000006</v>
      </c>
      <c r="I265">
        <f>tbl_working_sleep[[#This Row],[TotalTimeInBed]]-tbl_working_sleep[[#This Row],[TotalMinutesAsleep]]</f>
        <v>26</v>
      </c>
      <c r="J265">
        <f>ROUND(tbl_working_sleep[[#This Row],[TotalMinutesAsleep]]/tbl_working_sleep[[#This Row],[TotalTimeInBed]]*100,2)</f>
        <v>95.3</v>
      </c>
      <c r="K265" t="str" cm="1">
        <f t="array" ref="K265">_xlfn.IFS(tbl_working_sleep[[#This Row],[SleepHours]]&lt;6,"Insufficient Sleep",tbl_working_sleep[[#This Row],[SleepHours]]&lt;7,"Below Recommended",tbl_working_sleep[[#This Row],[SleepHours]]&lt;=9,"Recommended",tbl_working_sleep[[#This Row],[SleepHours]]&gt;9,"Oversleeping")</f>
        <v>Recommended</v>
      </c>
      <c r="L265" t="str">
        <f>tbl_working_sleep[[#This Row],[Id]]&amp;"|"&amp;TEXT(tbl_working_sleep[[#This Row],[SleepDay]],"yyyy-mm-dd")</f>
        <v>5577150313|2016-04-18</v>
      </c>
    </row>
    <row r="266" spans="1:12" x14ac:dyDescent="0.3">
      <c r="A266">
        <v>5577150313</v>
      </c>
      <c r="B266" s="2">
        <v>42479</v>
      </c>
      <c r="C266">
        <v>1</v>
      </c>
      <c r="D266">
        <v>449</v>
      </c>
      <c r="E266">
        <v>465</v>
      </c>
      <c r="F266" t="str">
        <f>TEXT(tbl_working_sleep[[#This Row],[SleepDay]],"dddd")</f>
        <v>Tuesday</v>
      </c>
      <c r="G266">
        <f>ROUND(tbl_working_sleep[[#This Row],[TotalMinutesAsleep]]/60,2)</f>
        <v>7.48</v>
      </c>
      <c r="H266">
        <f>ROUND(tbl_working_sleep[[#This Row],[TotalTimeInBed]]/60,2)</f>
        <v>7.75</v>
      </c>
      <c r="I266">
        <f>tbl_working_sleep[[#This Row],[TotalTimeInBed]]-tbl_working_sleep[[#This Row],[TotalMinutesAsleep]]</f>
        <v>16</v>
      </c>
      <c r="J266">
        <f>ROUND(tbl_working_sleep[[#This Row],[TotalMinutesAsleep]]/tbl_working_sleep[[#This Row],[TotalTimeInBed]]*100,2)</f>
        <v>96.56</v>
      </c>
      <c r="K266" t="str" cm="1">
        <f t="array" ref="K266">_xlfn.IFS(tbl_working_sleep[[#This Row],[SleepHours]]&lt;6,"Insufficient Sleep",tbl_working_sleep[[#This Row],[SleepHours]]&lt;7,"Below Recommended",tbl_working_sleep[[#This Row],[SleepHours]]&lt;=9,"Recommended",tbl_working_sleep[[#This Row],[SleepHours]]&gt;9,"Oversleeping")</f>
        <v>Recommended</v>
      </c>
      <c r="L266" t="str">
        <f>tbl_working_sleep[[#This Row],[Id]]&amp;"|"&amp;TEXT(tbl_working_sleep[[#This Row],[SleepDay]],"yyyy-mm-dd")</f>
        <v>5577150313|2016-04-19</v>
      </c>
    </row>
    <row r="267" spans="1:12" x14ac:dyDescent="0.3">
      <c r="A267">
        <v>5577150313</v>
      </c>
      <c r="B267" s="2">
        <v>42480</v>
      </c>
      <c r="C267">
        <v>1</v>
      </c>
      <c r="D267">
        <v>447</v>
      </c>
      <c r="E267">
        <v>480</v>
      </c>
      <c r="F267" t="str">
        <f>TEXT(tbl_working_sleep[[#This Row],[SleepDay]],"dddd")</f>
        <v>Wednesday</v>
      </c>
      <c r="G267">
        <f>ROUND(tbl_working_sleep[[#This Row],[TotalMinutesAsleep]]/60,2)</f>
        <v>7.45</v>
      </c>
      <c r="H267">
        <f>ROUND(tbl_working_sleep[[#This Row],[TotalTimeInBed]]/60,2)</f>
        <v>8</v>
      </c>
      <c r="I267">
        <f>tbl_working_sleep[[#This Row],[TotalTimeInBed]]-tbl_working_sleep[[#This Row],[TotalMinutesAsleep]]</f>
        <v>33</v>
      </c>
      <c r="J267">
        <f>ROUND(tbl_working_sleep[[#This Row],[TotalMinutesAsleep]]/tbl_working_sleep[[#This Row],[TotalTimeInBed]]*100,2)</f>
        <v>93.13</v>
      </c>
      <c r="K267" t="str" cm="1">
        <f t="array" ref="K267">_xlfn.IFS(tbl_working_sleep[[#This Row],[SleepHours]]&lt;6,"Insufficient Sleep",tbl_working_sleep[[#This Row],[SleepHours]]&lt;7,"Below Recommended",tbl_working_sleep[[#This Row],[SleepHours]]&lt;=9,"Recommended",tbl_working_sleep[[#This Row],[SleepHours]]&gt;9,"Oversleeping")</f>
        <v>Recommended</v>
      </c>
      <c r="L267" t="str">
        <f>tbl_working_sleep[[#This Row],[Id]]&amp;"|"&amp;TEXT(tbl_working_sleep[[#This Row],[SleepDay]],"yyyy-mm-dd")</f>
        <v>5577150313|2016-04-20</v>
      </c>
    </row>
    <row r="268" spans="1:12" x14ac:dyDescent="0.3">
      <c r="A268">
        <v>5577150313</v>
      </c>
      <c r="B268" s="2">
        <v>42481</v>
      </c>
      <c r="C268">
        <v>1</v>
      </c>
      <c r="D268">
        <v>414</v>
      </c>
      <c r="E268">
        <v>437</v>
      </c>
      <c r="F268" t="str">
        <f>TEXT(tbl_working_sleep[[#This Row],[SleepDay]],"dddd")</f>
        <v>Thursday</v>
      </c>
      <c r="G268">
        <f>ROUND(tbl_working_sleep[[#This Row],[TotalMinutesAsleep]]/60,2)</f>
        <v>6.9</v>
      </c>
      <c r="H268">
        <f>ROUND(tbl_working_sleep[[#This Row],[TotalTimeInBed]]/60,2)</f>
        <v>7.28</v>
      </c>
      <c r="I268">
        <f>tbl_working_sleep[[#This Row],[TotalTimeInBed]]-tbl_working_sleep[[#This Row],[TotalMinutesAsleep]]</f>
        <v>23</v>
      </c>
      <c r="J268">
        <f>ROUND(tbl_working_sleep[[#This Row],[TotalMinutesAsleep]]/tbl_working_sleep[[#This Row],[TotalTimeInBed]]*100,2)</f>
        <v>94.74</v>
      </c>
      <c r="K268" t="str" cm="1">
        <f t="array" ref="K268">_xlfn.IFS(tbl_working_sleep[[#This Row],[SleepHours]]&lt;6,"Insufficient Sleep",tbl_working_sleep[[#This Row],[SleepHours]]&lt;7,"Below Recommended",tbl_working_sleep[[#This Row],[SleepHours]]&lt;=9,"Recommended",tbl_working_sleep[[#This Row],[SleepHours]]&gt;9,"Oversleeping")</f>
        <v>Below Recommended</v>
      </c>
      <c r="L268" t="str">
        <f>tbl_working_sleep[[#This Row],[Id]]&amp;"|"&amp;TEXT(tbl_working_sleep[[#This Row],[SleepDay]],"yyyy-mm-dd")</f>
        <v>5577150313|2016-04-21</v>
      </c>
    </row>
    <row r="269" spans="1:12" x14ac:dyDescent="0.3">
      <c r="A269">
        <v>5577150313</v>
      </c>
      <c r="B269" s="2">
        <v>42482</v>
      </c>
      <c r="C269">
        <v>1</v>
      </c>
      <c r="D269">
        <v>338</v>
      </c>
      <c r="E269">
        <v>366</v>
      </c>
      <c r="F269" t="str">
        <f>TEXT(tbl_working_sleep[[#This Row],[SleepDay]],"dddd")</f>
        <v>Friday</v>
      </c>
      <c r="G269">
        <f>ROUND(tbl_working_sleep[[#This Row],[TotalMinutesAsleep]]/60,2)</f>
        <v>5.63</v>
      </c>
      <c r="H269">
        <f>ROUND(tbl_working_sleep[[#This Row],[TotalTimeInBed]]/60,2)</f>
        <v>6.1</v>
      </c>
      <c r="I269">
        <f>tbl_working_sleep[[#This Row],[TotalTimeInBed]]-tbl_working_sleep[[#This Row],[TotalMinutesAsleep]]</f>
        <v>28</v>
      </c>
      <c r="J269">
        <f>ROUND(tbl_working_sleep[[#This Row],[TotalMinutesAsleep]]/tbl_working_sleep[[#This Row],[TotalTimeInBed]]*100,2)</f>
        <v>92.35</v>
      </c>
      <c r="K269" t="str" cm="1">
        <f t="array" ref="K269">_xlfn.IFS(tbl_working_sleep[[#This Row],[SleepHours]]&lt;6,"Insufficient Sleep",tbl_working_sleep[[#This Row],[SleepHours]]&lt;7,"Below Recommended",tbl_working_sleep[[#This Row],[SleepHours]]&lt;=9,"Recommended",tbl_working_sleep[[#This Row],[SleepHours]]&gt;9,"Oversleeping")</f>
        <v>Insufficient Sleep</v>
      </c>
      <c r="L269" t="str">
        <f>tbl_working_sleep[[#This Row],[Id]]&amp;"|"&amp;TEXT(tbl_working_sleep[[#This Row],[SleepDay]],"yyyy-mm-dd")</f>
        <v>5577150313|2016-04-22</v>
      </c>
    </row>
    <row r="270" spans="1:12" x14ac:dyDescent="0.3">
      <c r="A270">
        <v>5577150313</v>
      </c>
      <c r="B270" s="2">
        <v>42483</v>
      </c>
      <c r="C270">
        <v>1</v>
      </c>
      <c r="D270">
        <v>384</v>
      </c>
      <c r="E270">
        <v>402</v>
      </c>
      <c r="F270" t="str">
        <f>TEXT(tbl_working_sleep[[#This Row],[SleepDay]],"dddd")</f>
        <v>Saturday</v>
      </c>
      <c r="G270">
        <f>ROUND(tbl_working_sleep[[#This Row],[TotalMinutesAsleep]]/60,2)</f>
        <v>6.4</v>
      </c>
      <c r="H270">
        <f>ROUND(tbl_working_sleep[[#This Row],[TotalTimeInBed]]/60,2)</f>
        <v>6.7</v>
      </c>
      <c r="I270">
        <f>tbl_working_sleep[[#This Row],[TotalTimeInBed]]-tbl_working_sleep[[#This Row],[TotalMinutesAsleep]]</f>
        <v>18</v>
      </c>
      <c r="J270">
        <f>ROUND(tbl_working_sleep[[#This Row],[TotalMinutesAsleep]]/tbl_working_sleep[[#This Row],[TotalTimeInBed]]*100,2)</f>
        <v>95.52</v>
      </c>
      <c r="K270" t="str" cm="1">
        <f t="array" ref="K270">_xlfn.IFS(tbl_working_sleep[[#This Row],[SleepHours]]&lt;6,"Insufficient Sleep",tbl_working_sleep[[#This Row],[SleepHours]]&lt;7,"Below Recommended",tbl_working_sleep[[#This Row],[SleepHours]]&lt;=9,"Recommended",tbl_working_sleep[[#This Row],[SleepHours]]&gt;9,"Oversleeping")</f>
        <v>Below Recommended</v>
      </c>
      <c r="L270" t="str">
        <f>tbl_working_sleep[[#This Row],[Id]]&amp;"|"&amp;TEXT(tbl_working_sleep[[#This Row],[SleepDay]],"yyyy-mm-dd")</f>
        <v>5577150313|2016-04-23</v>
      </c>
    </row>
    <row r="271" spans="1:12" x14ac:dyDescent="0.3">
      <c r="A271">
        <v>5577150313</v>
      </c>
      <c r="B271" s="2">
        <v>42484</v>
      </c>
      <c r="C271">
        <v>1</v>
      </c>
      <c r="D271">
        <v>543</v>
      </c>
      <c r="E271">
        <v>615</v>
      </c>
      <c r="F271" t="str">
        <f>TEXT(tbl_working_sleep[[#This Row],[SleepDay]],"dddd")</f>
        <v>Sunday</v>
      </c>
      <c r="G271">
        <f>ROUND(tbl_working_sleep[[#This Row],[TotalMinutesAsleep]]/60,2)</f>
        <v>9.0500000000000007</v>
      </c>
      <c r="H271">
        <f>ROUND(tbl_working_sleep[[#This Row],[TotalTimeInBed]]/60,2)</f>
        <v>10.25</v>
      </c>
      <c r="I271">
        <f>tbl_working_sleep[[#This Row],[TotalTimeInBed]]-tbl_working_sleep[[#This Row],[TotalMinutesAsleep]]</f>
        <v>72</v>
      </c>
      <c r="J271">
        <f>ROUND(tbl_working_sleep[[#This Row],[TotalMinutesAsleep]]/tbl_working_sleep[[#This Row],[TotalTimeInBed]]*100,2)</f>
        <v>88.29</v>
      </c>
      <c r="K271" t="str" cm="1">
        <f t="array" ref="K271">_xlfn.IFS(tbl_working_sleep[[#This Row],[SleepHours]]&lt;6,"Insufficient Sleep",tbl_working_sleep[[#This Row],[SleepHours]]&lt;7,"Below Recommended",tbl_working_sleep[[#This Row],[SleepHours]]&lt;=9,"Recommended",tbl_working_sleep[[#This Row],[SleepHours]]&gt;9,"Oversleeping")</f>
        <v>Oversleeping</v>
      </c>
      <c r="L271" t="str">
        <f>tbl_working_sleep[[#This Row],[Id]]&amp;"|"&amp;TEXT(tbl_working_sleep[[#This Row],[SleepDay]],"yyyy-mm-dd")</f>
        <v>5577150313|2016-04-24</v>
      </c>
    </row>
    <row r="272" spans="1:12" x14ac:dyDescent="0.3">
      <c r="A272">
        <v>5577150313</v>
      </c>
      <c r="B272" s="2">
        <v>42485</v>
      </c>
      <c r="C272">
        <v>1</v>
      </c>
      <c r="D272">
        <v>421</v>
      </c>
      <c r="E272">
        <v>461</v>
      </c>
      <c r="F272" t="str">
        <f>TEXT(tbl_working_sleep[[#This Row],[SleepDay]],"dddd")</f>
        <v>Monday</v>
      </c>
      <c r="G272">
        <f>ROUND(tbl_working_sleep[[#This Row],[TotalMinutesAsleep]]/60,2)</f>
        <v>7.02</v>
      </c>
      <c r="H272">
        <f>ROUND(tbl_working_sleep[[#This Row],[TotalTimeInBed]]/60,2)</f>
        <v>7.68</v>
      </c>
      <c r="I272">
        <f>tbl_working_sleep[[#This Row],[TotalTimeInBed]]-tbl_working_sleep[[#This Row],[TotalMinutesAsleep]]</f>
        <v>40</v>
      </c>
      <c r="J272">
        <f>ROUND(tbl_working_sleep[[#This Row],[TotalMinutesAsleep]]/tbl_working_sleep[[#This Row],[TotalTimeInBed]]*100,2)</f>
        <v>91.32</v>
      </c>
      <c r="K272" t="str" cm="1">
        <f t="array" ref="K272">_xlfn.IFS(tbl_working_sleep[[#This Row],[SleepHours]]&lt;6,"Insufficient Sleep",tbl_working_sleep[[#This Row],[SleepHours]]&lt;7,"Below Recommended",tbl_working_sleep[[#This Row],[SleepHours]]&lt;=9,"Recommended",tbl_working_sleep[[#This Row],[SleepHours]]&gt;9,"Oversleeping")</f>
        <v>Recommended</v>
      </c>
      <c r="L272" t="str">
        <f>tbl_working_sleep[[#This Row],[Id]]&amp;"|"&amp;TEXT(tbl_working_sleep[[#This Row],[SleepDay]],"yyyy-mm-dd")</f>
        <v>5577150313|2016-04-25</v>
      </c>
    </row>
    <row r="273" spans="1:12" x14ac:dyDescent="0.3">
      <c r="A273">
        <v>5577150313</v>
      </c>
      <c r="B273" s="2">
        <v>42486</v>
      </c>
      <c r="C273">
        <v>1</v>
      </c>
      <c r="D273">
        <v>354</v>
      </c>
      <c r="E273">
        <v>377</v>
      </c>
      <c r="F273" t="str">
        <f>TEXT(tbl_working_sleep[[#This Row],[SleepDay]],"dddd")</f>
        <v>Tuesday</v>
      </c>
      <c r="G273">
        <f>ROUND(tbl_working_sleep[[#This Row],[TotalMinutesAsleep]]/60,2)</f>
        <v>5.9</v>
      </c>
      <c r="H273">
        <f>ROUND(tbl_working_sleep[[#This Row],[TotalTimeInBed]]/60,2)</f>
        <v>6.28</v>
      </c>
      <c r="I273">
        <f>tbl_working_sleep[[#This Row],[TotalTimeInBed]]-tbl_working_sleep[[#This Row],[TotalMinutesAsleep]]</f>
        <v>23</v>
      </c>
      <c r="J273">
        <f>ROUND(tbl_working_sleep[[#This Row],[TotalMinutesAsleep]]/tbl_working_sleep[[#This Row],[TotalTimeInBed]]*100,2)</f>
        <v>93.9</v>
      </c>
      <c r="K273" t="str" cm="1">
        <f t="array" ref="K273">_xlfn.IFS(tbl_working_sleep[[#This Row],[SleepHours]]&lt;6,"Insufficient Sleep",tbl_working_sleep[[#This Row],[SleepHours]]&lt;7,"Below Recommended",tbl_working_sleep[[#This Row],[SleepHours]]&lt;=9,"Recommended",tbl_working_sleep[[#This Row],[SleepHours]]&gt;9,"Oversleeping")</f>
        <v>Insufficient Sleep</v>
      </c>
      <c r="L273" t="str">
        <f>tbl_working_sleep[[#This Row],[Id]]&amp;"|"&amp;TEXT(tbl_working_sleep[[#This Row],[SleepDay]],"yyyy-mm-dd")</f>
        <v>5577150313|2016-04-26</v>
      </c>
    </row>
    <row r="274" spans="1:12" x14ac:dyDescent="0.3">
      <c r="A274">
        <v>5577150313</v>
      </c>
      <c r="B274" s="2">
        <v>42487</v>
      </c>
      <c r="C274">
        <v>1</v>
      </c>
      <c r="D274">
        <v>424</v>
      </c>
      <c r="E274">
        <v>452</v>
      </c>
      <c r="F274" t="str">
        <f>TEXT(tbl_working_sleep[[#This Row],[SleepDay]],"dddd")</f>
        <v>Wednesday</v>
      </c>
      <c r="G274">
        <f>ROUND(tbl_working_sleep[[#This Row],[TotalMinutesAsleep]]/60,2)</f>
        <v>7.07</v>
      </c>
      <c r="H274">
        <f>ROUND(tbl_working_sleep[[#This Row],[TotalTimeInBed]]/60,2)</f>
        <v>7.53</v>
      </c>
      <c r="I274">
        <f>tbl_working_sleep[[#This Row],[TotalTimeInBed]]-tbl_working_sleep[[#This Row],[TotalMinutesAsleep]]</f>
        <v>28</v>
      </c>
      <c r="J274">
        <f>ROUND(tbl_working_sleep[[#This Row],[TotalMinutesAsleep]]/tbl_working_sleep[[#This Row],[TotalTimeInBed]]*100,2)</f>
        <v>93.81</v>
      </c>
      <c r="K274" t="str" cm="1">
        <f t="array" ref="K274">_xlfn.IFS(tbl_working_sleep[[#This Row],[SleepHours]]&lt;6,"Insufficient Sleep",tbl_working_sleep[[#This Row],[SleepHours]]&lt;7,"Below Recommended",tbl_working_sleep[[#This Row],[SleepHours]]&lt;=9,"Recommended",tbl_working_sleep[[#This Row],[SleepHours]]&gt;9,"Oversleeping")</f>
        <v>Recommended</v>
      </c>
      <c r="L274" t="str">
        <f>tbl_working_sleep[[#This Row],[Id]]&amp;"|"&amp;TEXT(tbl_working_sleep[[#This Row],[SleepDay]],"yyyy-mm-dd")</f>
        <v>5577150313|2016-04-27</v>
      </c>
    </row>
    <row r="275" spans="1:12" x14ac:dyDescent="0.3">
      <c r="A275">
        <v>5577150313</v>
      </c>
      <c r="B275" s="2">
        <v>42488</v>
      </c>
      <c r="C275">
        <v>1</v>
      </c>
      <c r="D275">
        <v>361</v>
      </c>
      <c r="E275">
        <v>372</v>
      </c>
      <c r="F275" t="str">
        <f>TEXT(tbl_working_sleep[[#This Row],[SleepDay]],"dddd")</f>
        <v>Thursday</v>
      </c>
      <c r="G275">
        <f>ROUND(tbl_working_sleep[[#This Row],[TotalMinutesAsleep]]/60,2)</f>
        <v>6.02</v>
      </c>
      <c r="H275">
        <f>ROUND(tbl_working_sleep[[#This Row],[TotalTimeInBed]]/60,2)</f>
        <v>6.2</v>
      </c>
      <c r="I275">
        <f>tbl_working_sleep[[#This Row],[TotalTimeInBed]]-tbl_working_sleep[[#This Row],[TotalMinutesAsleep]]</f>
        <v>11</v>
      </c>
      <c r="J275">
        <f>ROUND(tbl_working_sleep[[#This Row],[TotalMinutesAsleep]]/tbl_working_sleep[[#This Row],[TotalTimeInBed]]*100,2)</f>
        <v>97.04</v>
      </c>
      <c r="K275" t="str" cm="1">
        <f t="array" ref="K275">_xlfn.IFS(tbl_working_sleep[[#This Row],[SleepHours]]&lt;6,"Insufficient Sleep",tbl_working_sleep[[#This Row],[SleepHours]]&lt;7,"Below Recommended",tbl_working_sleep[[#This Row],[SleepHours]]&lt;=9,"Recommended",tbl_working_sleep[[#This Row],[SleepHours]]&gt;9,"Oversleeping")</f>
        <v>Below Recommended</v>
      </c>
      <c r="L275" t="str">
        <f>tbl_working_sleep[[#This Row],[Id]]&amp;"|"&amp;TEXT(tbl_working_sleep[[#This Row],[SleepDay]],"yyyy-mm-dd")</f>
        <v>5577150313|2016-04-28</v>
      </c>
    </row>
    <row r="276" spans="1:12" x14ac:dyDescent="0.3">
      <c r="A276">
        <v>5577150313</v>
      </c>
      <c r="B276" s="2">
        <v>42489</v>
      </c>
      <c r="C276">
        <v>1</v>
      </c>
      <c r="D276">
        <v>459</v>
      </c>
      <c r="E276">
        <v>485</v>
      </c>
      <c r="F276" t="str">
        <f>TEXT(tbl_working_sleep[[#This Row],[SleepDay]],"dddd")</f>
        <v>Friday</v>
      </c>
      <c r="G276">
        <f>ROUND(tbl_working_sleep[[#This Row],[TotalMinutesAsleep]]/60,2)</f>
        <v>7.65</v>
      </c>
      <c r="H276">
        <f>ROUND(tbl_working_sleep[[#This Row],[TotalTimeInBed]]/60,2)</f>
        <v>8.08</v>
      </c>
      <c r="I276">
        <f>tbl_working_sleep[[#This Row],[TotalTimeInBed]]-tbl_working_sleep[[#This Row],[TotalMinutesAsleep]]</f>
        <v>26</v>
      </c>
      <c r="J276">
        <f>ROUND(tbl_working_sleep[[#This Row],[TotalMinutesAsleep]]/tbl_working_sleep[[#This Row],[TotalTimeInBed]]*100,2)</f>
        <v>94.64</v>
      </c>
      <c r="K276" t="str" cm="1">
        <f t="array" ref="K276">_xlfn.IFS(tbl_working_sleep[[#This Row],[SleepHours]]&lt;6,"Insufficient Sleep",tbl_working_sleep[[#This Row],[SleepHours]]&lt;7,"Below Recommended",tbl_working_sleep[[#This Row],[SleepHours]]&lt;=9,"Recommended",tbl_working_sleep[[#This Row],[SleepHours]]&gt;9,"Oversleeping")</f>
        <v>Recommended</v>
      </c>
      <c r="L276" t="str">
        <f>tbl_working_sleep[[#This Row],[Id]]&amp;"|"&amp;TEXT(tbl_working_sleep[[#This Row],[SleepDay]],"yyyy-mm-dd")</f>
        <v>5577150313|2016-04-29</v>
      </c>
    </row>
    <row r="277" spans="1:12" x14ac:dyDescent="0.3">
      <c r="A277">
        <v>5577150313</v>
      </c>
      <c r="B277" s="2">
        <v>42490</v>
      </c>
      <c r="C277">
        <v>1</v>
      </c>
      <c r="D277">
        <v>412</v>
      </c>
      <c r="E277">
        <v>433</v>
      </c>
      <c r="F277" t="str">
        <f>TEXT(tbl_working_sleep[[#This Row],[SleepDay]],"dddd")</f>
        <v>Saturday</v>
      </c>
      <c r="G277">
        <f>ROUND(tbl_working_sleep[[#This Row],[TotalMinutesAsleep]]/60,2)</f>
        <v>6.87</v>
      </c>
      <c r="H277">
        <f>ROUND(tbl_working_sleep[[#This Row],[TotalTimeInBed]]/60,2)</f>
        <v>7.22</v>
      </c>
      <c r="I277">
        <f>tbl_working_sleep[[#This Row],[TotalTimeInBed]]-tbl_working_sleep[[#This Row],[TotalMinutesAsleep]]</f>
        <v>21</v>
      </c>
      <c r="J277">
        <f>ROUND(tbl_working_sleep[[#This Row],[TotalMinutesAsleep]]/tbl_working_sleep[[#This Row],[TotalTimeInBed]]*100,2)</f>
        <v>95.15</v>
      </c>
      <c r="K277" t="str" cm="1">
        <f t="array" ref="K277">_xlfn.IFS(tbl_working_sleep[[#This Row],[SleepHours]]&lt;6,"Insufficient Sleep",tbl_working_sleep[[#This Row],[SleepHours]]&lt;7,"Below Recommended",tbl_working_sleep[[#This Row],[SleepHours]]&lt;=9,"Recommended",tbl_working_sleep[[#This Row],[SleepHours]]&gt;9,"Oversleeping")</f>
        <v>Below Recommended</v>
      </c>
      <c r="L277" t="str">
        <f>tbl_working_sleep[[#This Row],[Id]]&amp;"|"&amp;TEXT(tbl_working_sleep[[#This Row],[SleepDay]],"yyyy-mm-dd")</f>
        <v>5577150313|2016-04-30</v>
      </c>
    </row>
    <row r="278" spans="1:12" x14ac:dyDescent="0.3">
      <c r="A278">
        <v>5577150313</v>
      </c>
      <c r="B278" s="2">
        <v>42491</v>
      </c>
      <c r="C278">
        <v>1</v>
      </c>
      <c r="D278">
        <v>379</v>
      </c>
      <c r="E278">
        <v>398</v>
      </c>
      <c r="F278" t="str">
        <f>TEXT(tbl_working_sleep[[#This Row],[SleepDay]],"dddd")</f>
        <v>Sunday</v>
      </c>
      <c r="G278">
        <f>ROUND(tbl_working_sleep[[#This Row],[TotalMinutesAsleep]]/60,2)</f>
        <v>6.32</v>
      </c>
      <c r="H278">
        <f>ROUND(tbl_working_sleep[[#This Row],[TotalTimeInBed]]/60,2)</f>
        <v>6.63</v>
      </c>
      <c r="I278">
        <f>tbl_working_sleep[[#This Row],[TotalTimeInBed]]-tbl_working_sleep[[#This Row],[TotalMinutesAsleep]]</f>
        <v>19</v>
      </c>
      <c r="J278">
        <f>ROUND(tbl_working_sleep[[#This Row],[TotalMinutesAsleep]]/tbl_working_sleep[[#This Row],[TotalTimeInBed]]*100,2)</f>
        <v>95.23</v>
      </c>
      <c r="K278" t="str" cm="1">
        <f t="array" ref="K278">_xlfn.IFS(tbl_working_sleep[[#This Row],[SleepHours]]&lt;6,"Insufficient Sleep",tbl_working_sleep[[#This Row],[SleepHours]]&lt;7,"Below Recommended",tbl_working_sleep[[#This Row],[SleepHours]]&lt;=9,"Recommended",tbl_working_sleep[[#This Row],[SleepHours]]&gt;9,"Oversleeping")</f>
        <v>Below Recommended</v>
      </c>
      <c r="L278" t="str">
        <f>tbl_working_sleep[[#This Row],[Id]]&amp;"|"&amp;TEXT(tbl_working_sleep[[#This Row],[SleepDay]],"yyyy-mm-dd")</f>
        <v>5577150313|2016-05-01</v>
      </c>
    </row>
    <row r="279" spans="1:12" x14ac:dyDescent="0.3">
      <c r="A279">
        <v>5577150313</v>
      </c>
      <c r="B279" s="2">
        <v>42492</v>
      </c>
      <c r="C279">
        <v>2</v>
      </c>
      <c r="D279">
        <v>525</v>
      </c>
      <c r="E279">
        <v>553</v>
      </c>
      <c r="F279" t="str">
        <f>TEXT(tbl_working_sleep[[#This Row],[SleepDay]],"dddd")</f>
        <v>Monday</v>
      </c>
      <c r="G279">
        <f>ROUND(tbl_working_sleep[[#This Row],[TotalMinutesAsleep]]/60,2)</f>
        <v>8.75</v>
      </c>
      <c r="H279">
        <f>ROUND(tbl_working_sleep[[#This Row],[TotalTimeInBed]]/60,2)</f>
        <v>9.2200000000000006</v>
      </c>
      <c r="I279">
        <f>tbl_working_sleep[[#This Row],[TotalTimeInBed]]-tbl_working_sleep[[#This Row],[TotalMinutesAsleep]]</f>
        <v>28</v>
      </c>
      <c r="J279">
        <f>ROUND(tbl_working_sleep[[#This Row],[TotalMinutesAsleep]]/tbl_working_sleep[[#This Row],[TotalTimeInBed]]*100,2)</f>
        <v>94.94</v>
      </c>
      <c r="K279" t="str" cm="1">
        <f t="array" ref="K279">_xlfn.IFS(tbl_working_sleep[[#This Row],[SleepHours]]&lt;6,"Insufficient Sleep",tbl_working_sleep[[#This Row],[SleepHours]]&lt;7,"Below Recommended",tbl_working_sleep[[#This Row],[SleepHours]]&lt;=9,"Recommended",tbl_working_sleep[[#This Row],[SleepHours]]&gt;9,"Oversleeping")</f>
        <v>Recommended</v>
      </c>
      <c r="L279" t="str">
        <f>tbl_working_sleep[[#This Row],[Id]]&amp;"|"&amp;TEXT(tbl_working_sleep[[#This Row],[SleepDay]],"yyyy-mm-dd")</f>
        <v>5577150313|2016-05-02</v>
      </c>
    </row>
    <row r="280" spans="1:12" x14ac:dyDescent="0.3">
      <c r="A280">
        <v>5577150313</v>
      </c>
      <c r="B280" s="2">
        <v>42493</v>
      </c>
      <c r="C280">
        <v>1</v>
      </c>
      <c r="D280">
        <v>508</v>
      </c>
      <c r="E280">
        <v>543</v>
      </c>
      <c r="F280" t="str">
        <f>TEXT(tbl_working_sleep[[#This Row],[SleepDay]],"dddd")</f>
        <v>Tuesday</v>
      </c>
      <c r="G280">
        <f>ROUND(tbl_working_sleep[[#This Row],[TotalMinutesAsleep]]/60,2)</f>
        <v>8.4700000000000006</v>
      </c>
      <c r="H280">
        <f>ROUND(tbl_working_sleep[[#This Row],[TotalTimeInBed]]/60,2)</f>
        <v>9.0500000000000007</v>
      </c>
      <c r="I280">
        <f>tbl_working_sleep[[#This Row],[TotalTimeInBed]]-tbl_working_sleep[[#This Row],[TotalMinutesAsleep]]</f>
        <v>35</v>
      </c>
      <c r="J280">
        <f>ROUND(tbl_working_sleep[[#This Row],[TotalMinutesAsleep]]/tbl_working_sleep[[#This Row],[TotalTimeInBed]]*100,2)</f>
        <v>93.55</v>
      </c>
      <c r="K280" t="str" cm="1">
        <f t="array" ref="K280">_xlfn.IFS(tbl_working_sleep[[#This Row],[SleepHours]]&lt;6,"Insufficient Sleep",tbl_working_sleep[[#This Row],[SleepHours]]&lt;7,"Below Recommended",tbl_working_sleep[[#This Row],[SleepHours]]&lt;=9,"Recommended",tbl_working_sleep[[#This Row],[SleepHours]]&gt;9,"Oversleeping")</f>
        <v>Recommended</v>
      </c>
      <c r="L280" t="str">
        <f>tbl_working_sleep[[#This Row],[Id]]&amp;"|"&amp;TEXT(tbl_working_sleep[[#This Row],[SleepDay]],"yyyy-mm-dd")</f>
        <v>5577150313|2016-05-03</v>
      </c>
    </row>
    <row r="281" spans="1:12" x14ac:dyDescent="0.3">
      <c r="A281">
        <v>5577150313</v>
      </c>
      <c r="B281" s="2">
        <v>42494</v>
      </c>
      <c r="C281">
        <v>1</v>
      </c>
      <c r="D281">
        <v>603</v>
      </c>
      <c r="E281">
        <v>634</v>
      </c>
      <c r="F281" t="str">
        <f>TEXT(tbl_working_sleep[[#This Row],[SleepDay]],"dddd")</f>
        <v>Wednesday</v>
      </c>
      <c r="G281">
        <f>ROUND(tbl_working_sleep[[#This Row],[TotalMinutesAsleep]]/60,2)</f>
        <v>10.050000000000001</v>
      </c>
      <c r="H281">
        <f>ROUND(tbl_working_sleep[[#This Row],[TotalTimeInBed]]/60,2)</f>
        <v>10.57</v>
      </c>
      <c r="I281">
        <f>tbl_working_sleep[[#This Row],[TotalTimeInBed]]-tbl_working_sleep[[#This Row],[TotalMinutesAsleep]]</f>
        <v>31</v>
      </c>
      <c r="J281">
        <f>ROUND(tbl_working_sleep[[#This Row],[TotalMinutesAsleep]]/tbl_working_sleep[[#This Row],[TotalTimeInBed]]*100,2)</f>
        <v>95.11</v>
      </c>
      <c r="K281" t="str" cm="1">
        <f t="array" ref="K281">_xlfn.IFS(tbl_working_sleep[[#This Row],[SleepHours]]&lt;6,"Insufficient Sleep",tbl_working_sleep[[#This Row],[SleepHours]]&lt;7,"Below Recommended",tbl_working_sleep[[#This Row],[SleepHours]]&lt;=9,"Recommended",tbl_working_sleep[[#This Row],[SleepHours]]&gt;9,"Oversleeping")</f>
        <v>Oversleeping</v>
      </c>
      <c r="L281" t="str">
        <f>tbl_working_sleep[[#This Row],[Id]]&amp;"|"&amp;TEXT(tbl_working_sleep[[#This Row],[SleepDay]],"yyyy-mm-dd")</f>
        <v>5577150313|2016-05-04</v>
      </c>
    </row>
    <row r="282" spans="1:12" x14ac:dyDescent="0.3">
      <c r="A282">
        <v>5577150313</v>
      </c>
      <c r="B282" s="2">
        <v>42495</v>
      </c>
      <c r="C282">
        <v>1</v>
      </c>
      <c r="D282">
        <v>74</v>
      </c>
      <c r="E282">
        <v>78</v>
      </c>
      <c r="F282" t="str">
        <f>TEXT(tbl_working_sleep[[#This Row],[SleepDay]],"dddd")</f>
        <v>Thursday</v>
      </c>
      <c r="G282">
        <f>ROUND(tbl_working_sleep[[#This Row],[TotalMinutesAsleep]]/60,2)</f>
        <v>1.23</v>
      </c>
      <c r="H282">
        <f>ROUND(tbl_working_sleep[[#This Row],[TotalTimeInBed]]/60,2)</f>
        <v>1.3</v>
      </c>
      <c r="I282">
        <f>tbl_working_sleep[[#This Row],[TotalTimeInBed]]-tbl_working_sleep[[#This Row],[TotalMinutesAsleep]]</f>
        <v>4</v>
      </c>
      <c r="J282">
        <f>ROUND(tbl_working_sleep[[#This Row],[TotalMinutesAsleep]]/tbl_working_sleep[[#This Row],[TotalTimeInBed]]*100,2)</f>
        <v>94.87</v>
      </c>
      <c r="K282" t="str" cm="1">
        <f t="array" ref="K282">_xlfn.IFS(tbl_working_sleep[[#This Row],[SleepHours]]&lt;6,"Insufficient Sleep",tbl_working_sleep[[#This Row],[SleepHours]]&lt;7,"Below Recommended",tbl_working_sleep[[#This Row],[SleepHours]]&lt;=9,"Recommended",tbl_working_sleep[[#This Row],[SleepHours]]&gt;9,"Oversleeping")</f>
        <v>Insufficient Sleep</v>
      </c>
      <c r="L282" t="str">
        <f>tbl_working_sleep[[#This Row],[Id]]&amp;"|"&amp;TEXT(tbl_working_sleep[[#This Row],[SleepDay]],"yyyy-mm-dd")</f>
        <v>5577150313|2016-05-05</v>
      </c>
    </row>
    <row r="283" spans="1:12" x14ac:dyDescent="0.3">
      <c r="A283">
        <v>5577150313</v>
      </c>
      <c r="B283" s="2">
        <v>42500</v>
      </c>
      <c r="C283">
        <v>1</v>
      </c>
      <c r="D283">
        <v>504</v>
      </c>
      <c r="E283">
        <v>562</v>
      </c>
      <c r="F283" t="str">
        <f>TEXT(tbl_working_sleep[[#This Row],[SleepDay]],"dddd")</f>
        <v>Tuesday</v>
      </c>
      <c r="G283">
        <f>ROUND(tbl_working_sleep[[#This Row],[TotalMinutesAsleep]]/60,2)</f>
        <v>8.4</v>
      </c>
      <c r="H283">
        <f>ROUND(tbl_working_sleep[[#This Row],[TotalTimeInBed]]/60,2)</f>
        <v>9.3699999999999992</v>
      </c>
      <c r="I283">
        <f>tbl_working_sleep[[#This Row],[TotalTimeInBed]]-tbl_working_sleep[[#This Row],[TotalMinutesAsleep]]</f>
        <v>58</v>
      </c>
      <c r="J283">
        <f>ROUND(tbl_working_sleep[[#This Row],[TotalMinutesAsleep]]/tbl_working_sleep[[#This Row],[TotalTimeInBed]]*100,2)</f>
        <v>89.68</v>
      </c>
      <c r="K283" t="str" cm="1">
        <f t="array" ref="K283">_xlfn.IFS(tbl_working_sleep[[#This Row],[SleepHours]]&lt;6,"Insufficient Sleep",tbl_working_sleep[[#This Row],[SleepHours]]&lt;7,"Below Recommended",tbl_working_sleep[[#This Row],[SleepHours]]&lt;=9,"Recommended",tbl_working_sleep[[#This Row],[SleepHours]]&gt;9,"Oversleeping")</f>
        <v>Recommended</v>
      </c>
      <c r="L283" t="str">
        <f>tbl_working_sleep[[#This Row],[Id]]&amp;"|"&amp;TEXT(tbl_working_sleep[[#This Row],[SleepDay]],"yyyy-mm-dd")</f>
        <v>5577150313|2016-05-10</v>
      </c>
    </row>
    <row r="284" spans="1:12" x14ac:dyDescent="0.3">
      <c r="A284">
        <v>5577150313</v>
      </c>
      <c r="B284" s="2">
        <v>42501</v>
      </c>
      <c r="C284">
        <v>1</v>
      </c>
      <c r="D284">
        <v>431</v>
      </c>
      <c r="E284">
        <v>476</v>
      </c>
      <c r="F284" t="str">
        <f>TEXT(tbl_working_sleep[[#This Row],[SleepDay]],"dddd")</f>
        <v>Wednesday</v>
      </c>
      <c r="G284">
        <f>ROUND(tbl_working_sleep[[#This Row],[TotalMinutesAsleep]]/60,2)</f>
        <v>7.18</v>
      </c>
      <c r="H284">
        <f>ROUND(tbl_working_sleep[[#This Row],[TotalTimeInBed]]/60,2)</f>
        <v>7.93</v>
      </c>
      <c r="I284">
        <f>tbl_working_sleep[[#This Row],[TotalTimeInBed]]-tbl_working_sleep[[#This Row],[TotalMinutesAsleep]]</f>
        <v>45</v>
      </c>
      <c r="J284">
        <f>ROUND(tbl_working_sleep[[#This Row],[TotalMinutesAsleep]]/tbl_working_sleep[[#This Row],[TotalTimeInBed]]*100,2)</f>
        <v>90.55</v>
      </c>
      <c r="K284" t="str" cm="1">
        <f t="array" ref="K284">_xlfn.IFS(tbl_working_sleep[[#This Row],[SleepHours]]&lt;6,"Insufficient Sleep",tbl_working_sleep[[#This Row],[SleepHours]]&lt;7,"Below Recommended",tbl_working_sleep[[#This Row],[SleepHours]]&lt;=9,"Recommended",tbl_working_sleep[[#This Row],[SleepHours]]&gt;9,"Oversleeping")</f>
        <v>Recommended</v>
      </c>
      <c r="L284" t="str">
        <f>tbl_working_sleep[[#This Row],[Id]]&amp;"|"&amp;TEXT(tbl_working_sleep[[#This Row],[SleepDay]],"yyyy-mm-dd")</f>
        <v>5577150313|2016-05-11</v>
      </c>
    </row>
    <row r="285" spans="1:12" x14ac:dyDescent="0.3">
      <c r="A285">
        <v>6117666160</v>
      </c>
      <c r="B285" s="2">
        <v>42476</v>
      </c>
      <c r="C285">
        <v>1</v>
      </c>
      <c r="D285">
        <v>380</v>
      </c>
      <c r="E285">
        <v>398</v>
      </c>
      <c r="F285" t="str">
        <f>TEXT(tbl_working_sleep[[#This Row],[SleepDay]],"dddd")</f>
        <v>Saturday</v>
      </c>
      <c r="G285">
        <f>ROUND(tbl_working_sleep[[#This Row],[TotalMinutesAsleep]]/60,2)</f>
        <v>6.33</v>
      </c>
      <c r="H285">
        <f>ROUND(tbl_working_sleep[[#This Row],[TotalTimeInBed]]/60,2)</f>
        <v>6.63</v>
      </c>
      <c r="I285">
        <f>tbl_working_sleep[[#This Row],[TotalTimeInBed]]-tbl_working_sleep[[#This Row],[TotalMinutesAsleep]]</f>
        <v>18</v>
      </c>
      <c r="J285">
        <f>ROUND(tbl_working_sleep[[#This Row],[TotalMinutesAsleep]]/tbl_working_sleep[[#This Row],[TotalTimeInBed]]*100,2)</f>
        <v>95.48</v>
      </c>
      <c r="K285" t="str" cm="1">
        <f t="array" ref="K285">_xlfn.IFS(tbl_working_sleep[[#This Row],[SleepHours]]&lt;6,"Insufficient Sleep",tbl_working_sleep[[#This Row],[SleepHours]]&lt;7,"Below Recommended",tbl_working_sleep[[#This Row],[SleepHours]]&lt;=9,"Recommended",tbl_working_sleep[[#This Row],[SleepHours]]&gt;9,"Oversleeping")</f>
        <v>Below Recommended</v>
      </c>
      <c r="L285" t="str">
        <f>tbl_working_sleep[[#This Row],[Id]]&amp;"|"&amp;TEXT(tbl_working_sleep[[#This Row],[SleepDay]],"yyyy-mm-dd")</f>
        <v>6117666160|2016-04-16</v>
      </c>
    </row>
    <row r="286" spans="1:12" x14ac:dyDescent="0.3">
      <c r="A286">
        <v>6117666160</v>
      </c>
      <c r="B286" s="2">
        <v>42477</v>
      </c>
      <c r="C286">
        <v>2</v>
      </c>
      <c r="D286">
        <v>336</v>
      </c>
      <c r="E286">
        <v>350</v>
      </c>
      <c r="F286" t="str">
        <f>TEXT(tbl_working_sleep[[#This Row],[SleepDay]],"dddd")</f>
        <v>Sunday</v>
      </c>
      <c r="G286">
        <f>ROUND(tbl_working_sleep[[#This Row],[TotalMinutesAsleep]]/60,2)</f>
        <v>5.6</v>
      </c>
      <c r="H286">
        <f>ROUND(tbl_working_sleep[[#This Row],[TotalTimeInBed]]/60,2)</f>
        <v>5.83</v>
      </c>
      <c r="I286">
        <f>tbl_working_sleep[[#This Row],[TotalTimeInBed]]-tbl_working_sleep[[#This Row],[TotalMinutesAsleep]]</f>
        <v>14</v>
      </c>
      <c r="J286">
        <f>ROUND(tbl_working_sleep[[#This Row],[TotalMinutesAsleep]]/tbl_working_sleep[[#This Row],[TotalTimeInBed]]*100,2)</f>
        <v>96</v>
      </c>
      <c r="K286" t="str" cm="1">
        <f t="array" ref="K286">_xlfn.IFS(tbl_working_sleep[[#This Row],[SleepHours]]&lt;6,"Insufficient Sleep",tbl_working_sleep[[#This Row],[SleepHours]]&lt;7,"Below Recommended",tbl_working_sleep[[#This Row],[SleepHours]]&lt;=9,"Recommended",tbl_working_sleep[[#This Row],[SleepHours]]&gt;9,"Oversleeping")</f>
        <v>Insufficient Sleep</v>
      </c>
      <c r="L286" t="str">
        <f>tbl_working_sleep[[#This Row],[Id]]&amp;"|"&amp;TEXT(tbl_working_sleep[[#This Row],[SleepDay]],"yyyy-mm-dd")</f>
        <v>6117666160|2016-04-17</v>
      </c>
    </row>
    <row r="287" spans="1:12" x14ac:dyDescent="0.3">
      <c r="A287">
        <v>6117666160</v>
      </c>
      <c r="B287" s="2">
        <v>42478</v>
      </c>
      <c r="C287">
        <v>2</v>
      </c>
      <c r="D287">
        <v>493</v>
      </c>
      <c r="E287">
        <v>510</v>
      </c>
      <c r="F287" t="str">
        <f>TEXT(tbl_working_sleep[[#This Row],[SleepDay]],"dddd")</f>
        <v>Monday</v>
      </c>
      <c r="G287">
        <f>ROUND(tbl_working_sleep[[#This Row],[TotalMinutesAsleep]]/60,2)</f>
        <v>8.2200000000000006</v>
      </c>
      <c r="H287">
        <f>ROUND(tbl_working_sleep[[#This Row],[TotalTimeInBed]]/60,2)</f>
        <v>8.5</v>
      </c>
      <c r="I287">
        <f>tbl_working_sleep[[#This Row],[TotalTimeInBed]]-tbl_working_sleep[[#This Row],[TotalMinutesAsleep]]</f>
        <v>17</v>
      </c>
      <c r="J287">
        <f>ROUND(tbl_working_sleep[[#This Row],[TotalMinutesAsleep]]/tbl_working_sleep[[#This Row],[TotalTimeInBed]]*100,2)</f>
        <v>96.67</v>
      </c>
      <c r="K287" t="str" cm="1">
        <f t="array" ref="K287">_xlfn.IFS(tbl_working_sleep[[#This Row],[SleepHours]]&lt;6,"Insufficient Sleep",tbl_working_sleep[[#This Row],[SleepHours]]&lt;7,"Below Recommended",tbl_working_sleep[[#This Row],[SleepHours]]&lt;=9,"Recommended",tbl_working_sleep[[#This Row],[SleepHours]]&gt;9,"Oversleeping")</f>
        <v>Recommended</v>
      </c>
      <c r="L287" t="str">
        <f>tbl_working_sleep[[#This Row],[Id]]&amp;"|"&amp;TEXT(tbl_working_sleep[[#This Row],[SleepDay]],"yyyy-mm-dd")</f>
        <v>6117666160|2016-04-18</v>
      </c>
    </row>
    <row r="288" spans="1:12" x14ac:dyDescent="0.3">
      <c r="A288">
        <v>6117666160</v>
      </c>
      <c r="B288" s="2">
        <v>42479</v>
      </c>
      <c r="C288">
        <v>1</v>
      </c>
      <c r="D288">
        <v>465</v>
      </c>
      <c r="E288">
        <v>492</v>
      </c>
      <c r="F288" t="str">
        <f>TEXT(tbl_working_sleep[[#This Row],[SleepDay]],"dddd")</f>
        <v>Tuesday</v>
      </c>
      <c r="G288">
        <f>ROUND(tbl_working_sleep[[#This Row],[TotalMinutesAsleep]]/60,2)</f>
        <v>7.75</v>
      </c>
      <c r="H288">
        <f>ROUND(tbl_working_sleep[[#This Row],[TotalTimeInBed]]/60,2)</f>
        <v>8.1999999999999993</v>
      </c>
      <c r="I288">
        <f>tbl_working_sleep[[#This Row],[TotalTimeInBed]]-tbl_working_sleep[[#This Row],[TotalMinutesAsleep]]</f>
        <v>27</v>
      </c>
      <c r="J288">
        <f>ROUND(tbl_working_sleep[[#This Row],[TotalMinutesAsleep]]/tbl_working_sleep[[#This Row],[TotalTimeInBed]]*100,2)</f>
        <v>94.51</v>
      </c>
      <c r="K288" t="str" cm="1">
        <f t="array" ref="K288">_xlfn.IFS(tbl_working_sleep[[#This Row],[SleepHours]]&lt;6,"Insufficient Sleep",tbl_working_sleep[[#This Row],[SleepHours]]&lt;7,"Below Recommended",tbl_working_sleep[[#This Row],[SleepHours]]&lt;=9,"Recommended",tbl_working_sleep[[#This Row],[SleepHours]]&gt;9,"Oversleeping")</f>
        <v>Recommended</v>
      </c>
      <c r="L288" t="str">
        <f>tbl_working_sleep[[#This Row],[Id]]&amp;"|"&amp;TEXT(tbl_working_sleep[[#This Row],[SleepDay]],"yyyy-mm-dd")</f>
        <v>6117666160|2016-04-19</v>
      </c>
    </row>
    <row r="289" spans="1:12" x14ac:dyDescent="0.3">
      <c r="A289">
        <v>6117666160</v>
      </c>
      <c r="B289" s="2">
        <v>42480</v>
      </c>
      <c r="C289">
        <v>1</v>
      </c>
      <c r="D289">
        <v>474</v>
      </c>
      <c r="E289">
        <v>502</v>
      </c>
      <c r="F289" t="str">
        <f>TEXT(tbl_working_sleep[[#This Row],[SleepDay]],"dddd")</f>
        <v>Wednesday</v>
      </c>
      <c r="G289">
        <f>ROUND(tbl_working_sleep[[#This Row],[TotalMinutesAsleep]]/60,2)</f>
        <v>7.9</v>
      </c>
      <c r="H289">
        <f>ROUND(tbl_working_sleep[[#This Row],[TotalTimeInBed]]/60,2)</f>
        <v>8.3699999999999992</v>
      </c>
      <c r="I289">
        <f>tbl_working_sleep[[#This Row],[TotalTimeInBed]]-tbl_working_sleep[[#This Row],[TotalMinutesAsleep]]</f>
        <v>28</v>
      </c>
      <c r="J289">
        <f>ROUND(tbl_working_sleep[[#This Row],[TotalMinutesAsleep]]/tbl_working_sleep[[#This Row],[TotalTimeInBed]]*100,2)</f>
        <v>94.42</v>
      </c>
      <c r="K289" t="str" cm="1">
        <f t="array" ref="K289">_xlfn.IFS(tbl_working_sleep[[#This Row],[SleepHours]]&lt;6,"Insufficient Sleep",tbl_working_sleep[[#This Row],[SleepHours]]&lt;7,"Below Recommended",tbl_working_sleep[[#This Row],[SleepHours]]&lt;=9,"Recommended",tbl_working_sleep[[#This Row],[SleepHours]]&gt;9,"Oversleeping")</f>
        <v>Recommended</v>
      </c>
      <c r="L289" t="str">
        <f>tbl_working_sleep[[#This Row],[Id]]&amp;"|"&amp;TEXT(tbl_working_sleep[[#This Row],[SleepDay]],"yyyy-mm-dd")</f>
        <v>6117666160|2016-04-20</v>
      </c>
    </row>
    <row r="290" spans="1:12" x14ac:dyDescent="0.3">
      <c r="A290">
        <v>6117666160</v>
      </c>
      <c r="B290" s="2">
        <v>42481</v>
      </c>
      <c r="C290">
        <v>1</v>
      </c>
      <c r="D290">
        <v>508</v>
      </c>
      <c r="E290">
        <v>550</v>
      </c>
      <c r="F290" t="str">
        <f>TEXT(tbl_working_sleep[[#This Row],[SleepDay]],"dddd")</f>
        <v>Thursday</v>
      </c>
      <c r="G290">
        <f>ROUND(tbl_working_sleep[[#This Row],[TotalMinutesAsleep]]/60,2)</f>
        <v>8.4700000000000006</v>
      </c>
      <c r="H290">
        <f>ROUND(tbl_working_sleep[[#This Row],[TotalTimeInBed]]/60,2)</f>
        <v>9.17</v>
      </c>
      <c r="I290">
        <f>tbl_working_sleep[[#This Row],[TotalTimeInBed]]-tbl_working_sleep[[#This Row],[TotalMinutesAsleep]]</f>
        <v>42</v>
      </c>
      <c r="J290">
        <f>ROUND(tbl_working_sleep[[#This Row],[TotalMinutesAsleep]]/tbl_working_sleep[[#This Row],[TotalTimeInBed]]*100,2)</f>
        <v>92.36</v>
      </c>
      <c r="K290" t="str" cm="1">
        <f t="array" ref="K290">_xlfn.IFS(tbl_working_sleep[[#This Row],[SleepHours]]&lt;6,"Insufficient Sleep",tbl_working_sleep[[#This Row],[SleepHours]]&lt;7,"Below Recommended",tbl_working_sleep[[#This Row],[SleepHours]]&lt;=9,"Recommended",tbl_working_sleep[[#This Row],[SleepHours]]&gt;9,"Oversleeping")</f>
        <v>Recommended</v>
      </c>
      <c r="L290" t="str">
        <f>tbl_working_sleep[[#This Row],[Id]]&amp;"|"&amp;TEXT(tbl_working_sleep[[#This Row],[SleepDay]],"yyyy-mm-dd")</f>
        <v>6117666160|2016-04-21</v>
      </c>
    </row>
    <row r="291" spans="1:12" x14ac:dyDescent="0.3">
      <c r="A291">
        <v>6117666160</v>
      </c>
      <c r="B291" s="2">
        <v>42482</v>
      </c>
      <c r="C291">
        <v>1</v>
      </c>
      <c r="D291">
        <v>480</v>
      </c>
      <c r="E291">
        <v>546</v>
      </c>
      <c r="F291" t="str">
        <f>TEXT(tbl_working_sleep[[#This Row],[SleepDay]],"dddd")</f>
        <v>Friday</v>
      </c>
      <c r="G291">
        <f>ROUND(tbl_working_sleep[[#This Row],[TotalMinutesAsleep]]/60,2)</f>
        <v>8</v>
      </c>
      <c r="H291">
        <f>ROUND(tbl_working_sleep[[#This Row],[TotalTimeInBed]]/60,2)</f>
        <v>9.1</v>
      </c>
      <c r="I291">
        <f>tbl_working_sleep[[#This Row],[TotalTimeInBed]]-tbl_working_sleep[[#This Row],[TotalMinutesAsleep]]</f>
        <v>66</v>
      </c>
      <c r="J291">
        <f>ROUND(tbl_working_sleep[[#This Row],[TotalMinutesAsleep]]/tbl_working_sleep[[#This Row],[TotalTimeInBed]]*100,2)</f>
        <v>87.91</v>
      </c>
      <c r="K291" t="str" cm="1">
        <f t="array" ref="K291">_xlfn.IFS(tbl_working_sleep[[#This Row],[SleepHours]]&lt;6,"Insufficient Sleep",tbl_working_sleep[[#This Row],[SleepHours]]&lt;7,"Below Recommended",tbl_working_sleep[[#This Row],[SleepHours]]&lt;=9,"Recommended",tbl_working_sleep[[#This Row],[SleepHours]]&gt;9,"Oversleeping")</f>
        <v>Recommended</v>
      </c>
      <c r="L291" t="str">
        <f>tbl_working_sleep[[#This Row],[Id]]&amp;"|"&amp;TEXT(tbl_working_sleep[[#This Row],[SleepDay]],"yyyy-mm-dd")</f>
        <v>6117666160|2016-04-22</v>
      </c>
    </row>
    <row r="292" spans="1:12" x14ac:dyDescent="0.3">
      <c r="A292">
        <v>6117666160</v>
      </c>
      <c r="B292" s="2">
        <v>42483</v>
      </c>
      <c r="C292">
        <v>1</v>
      </c>
      <c r="D292">
        <v>492</v>
      </c>
      <c r="E292">
        <v>539</v>
      </c>
      <c r="F292" t="str">
        <f>TEXT(tbl_working_sleep[[#This Row],[SleepDay]],"dddd")</f>
        <v>Saturday</v>
      </c>
      <c r="G292">
        <f>ROUND(tbl_working_sleep[[#This Row],[TotalMinutesAsleep]]/60,2)</f>
        <v>8.1999999999999993</v>
      </c>
      <c r="H292">
        <f>ROUND(tbl_working_sleep[[#This Row],[TotalTimeInBed]]/60,2)</f>
        <v>8.98</v>
      </c>
      <c r="I292">
        <f>tbl_working_sleep[[#This Row],[TotalTimeInBed]]-tbl_working_sleep[[#This Row],[TotalMinutesAsleep]]</f>
        <v>47</v>
      </c>
      <c r="J292">
        <f>ROUND(tbl_working_sleep[[#This Row],[TotalMinutesAsleep]]/tbl_working_sleep[[#This Row],[TotalTimeInBed]]*100,2)</f>
        <v>91.28</v>
      </c>
      <c r="K292" t="str" cm="1">
        <f t="array" ref="K292">_xlfn.IFS(tbl_working_sleep[[#This Row],[SleepHours]]&lt;6,"Insufficient Sleep",tbl_working_sleep[[#This Row],[SleepHours]]&lt;7,"Below Recommended",tbl_working_sleep[[#This Row],[SleepHours]]&lt;=9,"Recommended",tbl_working_sleep[[#This Row],[SleepHours]]&gt;9,"Oversleeping")</f>
        <v>Recommended</v>
      </c>
      <c r="L292" t="str">
        <f>tbl_working_sleep[[#This Row],[Id]]&amp;"|"&amp;TEXT(tbl_working_sleep[[#This Row],[SleepDay]],"yyyy-mm-dd")</f>
        <v>6117666160|2016-04-23</v>
      </c>
    </row>
    <row r="293" spans="1:12" x14ac:dyDescent="0.3">
      <c r="A293">
        <v>6117666160</v>
      </c>
      <c r="B293" s="2">
        <v>42484</v>
      </c>
      <c r="C293">
        <v>1</v>
      </c>
      <c r="D293">
        <v>353</v>
      </c>
      <c r="E293">
        <v>367</v>
      </c>
      <c r="F293" t="str">
        <f>TEXT(tbl_working_sleep[[#This Row],[SleepDay]],"dddd")</f>
        <v>Sunday</v>
      </c>
      <c r="G293">
        <f>ROUND(tbl_working_sleep[[#This Row],[TotalMinutesAsleep]]/60,2)</f>
        <v>5.88</v>
      </c>
      <c r="H293">
        <f>ROUND(tbl_working_sleep[[#This Row],[TotalTimeInBed]]/60,2)</f>
        <v>6.12</v>
      </c>
      <c r="I293">
        <f>tbl_working_sleep[[#This Row],[TotalTimeInBed]]-tbl_working_sleep[[#This Row],[TotalMinutesAsleep]]</f>
        <v>14</v>
      </c>
      <c r="J293">
        <f>ROUND(tbl_working_sleep[[#This Row],[TotalMinutesAsleep]]/tbl_working_sleep[[#This Row],[TotalTimeInBed]]*100,2)</f>
        <v>96.19</v>
      </c>
      <c r="K293" t="str" cm="1">
        <f t="array" ref="K293">_xlfn.IFS(tbl_working_sleep[[#This Row],[SleepHours]]&lt;6,"Insufficient Sleep",tbl_working_sleep[[#This Row],[SleepHours]]&lt;7,"Below Recommended",tbl_working_sleep[[#This Row],[SleepHours]]&lt;=9,"Recommended",tbl_working_sleep[[#This Row],[SleepHours]]&gt;9,"Oversleeping")</f>
        <v>Insufficient Sleep</v>
      </c>
      <c r="L293" t="str">
        <f>tbl_working_sleep[[#This Row],[Id]]&amp;"|"&amp;TEXT(tbl_working_sleep[[#This Row],[SleepDay]],"yyyy-mm-dd")</f>
        <v>6117666160|2016-04-24</v>
      </c>
    </row>
    <row r="294" spans="1:12" x14ac:dyDescent="0.3">
      <c r="A294">
        <v>6117666160</v>
      </c>
      <c r="B294" s="2">
        <v>42487</v>
      </c>
      <c r="C294">
        <v>1</v>
      </c>
      <c r="D294">
        <v>542</v>
      </c>
      <c r="E294">
        <v>557</v>
      </c>
      <c r="F294" t="str">
        <f>TEXT(tbl_working_sleep[[#This Row],[SleepDay]],"dddd")</f>
        <v>Wednesday</v>
      </c>
      <c r="G294">
        <f>ROUND(tbl_working_sleep[[#This Row],[TotalMinutesAsleep]]/60,2)</f>
        <v>9.0299999999999994</v>
      </c>
      <c r="H294">
        <f>ROUND(tbl_working_sleep[[#This Row],[TotalTimeInBed]]/60,2)</f>
        <v>9.2799999999999994</v>
      </c>
      <c r="I294">
        <f>tbl_working_sleep[[#This Row],[TotalTimeInBed]]-tbl_working_sleep[[#This Row],[TotalMinutesAsleep]]</f>
        <v>15</v>
      </c>
      <c r="J294">
        <f>ROUND(tbl_working_sleep[[#This Row],[TotalMinutesAsleep]]/tbl_working_sleep[[#This Row],[TotalTimeInBed]]*100,2)</f>
        <v>97.31</v>
      </c>
      <c r="K294" t="str" cm="1">
        <f t="array" ref="K294">_xlfn.IFS(tbl_working_sleep[[#This Row],[SleepHours]]&lt;6,"Insufficient Sleep",tbl_working_sleep[[#This Row],[SleepHours]]&lt;7,"Below Recommended",tbl_working_sleep[[#This Row],[SleepHours]]&lt;=9,"Recommended",tbl_working_sleep[[#This Row],[SleepHours]]&gt;9,"Oversleeping")</f>
        <v>Oversleeping</v>
      </c>
      <c r="L294" t="str">
        <f>tbl_working_sleep[[#This Row],[Id]]&amp;"|"&amp;TEXT(tbl_working_sleep[[#This Row],[SleepDay]],"yyyy-mm-dd")</f>
        <v>6117666160|2016-04-27</v>
      </c>
    </row>
    <row r="295" spans="1:12" x14ac:dyDescent="0.3">
      <c r="A295">
        <v>6117666160</v>
      </c>
      <c r="B295" s="2">
        <v>42488</v>
      </c>
      <c r="C295">
        <v>1</v>
      </c>
      <c r="D295">
        <v>393</v>
      </c>
      <c r="E295">
        <v>416</v>
      </c>
      <c r="F295" t="str">
        <f>TEXT(tbl_working_sleep[[#This Row],[SleepDay]],"dddd")</f>
        <v>Thursday</v>
      </c>
      <c r="G295">
        <f>ROUND(tbl_working_sleep[[#This Row],[TotalMinutesAsleep]]/60,2)</f>
        <v>6.55</v>
      </c>
      <c r="H295">
        <f>ROUND(tbl_working_sleep[[#This Row],[TotalTimeInBed]]/60,2)</f>
        <v>6.93</v>
      </c>
      <c r="I295">
        <f>tbl_working_sleep[[#This Row],[TotalTimeInBed]]-tbl_working_sleep[[#This Row],[TotalMinutesAsleep]]</f>
        <v>23</v>
      </c>
      <c r="J295">
        <f>ROUND(tbl_working_sleep[[#This Row],[TotalMinutesAsleep]]/tbl_working_sleep[[#This Row],[TotalTimeInBed]]*100,2)</f>
        <v>94.47</v>
      </c>
      <c r="K295" t="str" cm="1">
        <f t="array" ref="K295">_xlfn.IFS(tbl_working_sleep[[#This Row],[SleepHours]]&lt;6,"Insufficient Sleep",tbl_working_sleep[[#This Row],[SleepHours]]&lt;7,"Below Recommended",tbl_working_sleep[[#This Row],[SleepHours]]&lt;=9,"Recommended",tbl_working_sleep[[#This Row],[SleepHours]]&gt;9,"Oversleeping")</f>
        <v>Below Recommended</v>
      </c>
      <c r="L295" t="str">
        <f>tbl_working_sleep[[#This Row],[Id]]&amp;"|"&amp;TEXT(tbl_working_sleep[[#This Row],[SleepDay]],"yyyy-mm-dd")</f>
        <v>6117666160|2016-04-28</v>
      </c>
    </row>
    <row r="296" spans="1:12" x14ac:dyDescent="0.3">
      <c r="A296">
        <v>6117666160</v>
      </c>
      <c r="B296" s="2">
        <v>42489</v>
      </c>
      <c r="C296">
        <v>1</v>
      </c>
      <c r="D296">
        <v>600</v>
      </c>
      <c r="E296">
        <v>636</v>
      </c>
      <c r="F296" t="str">
        <f>TEXT(tbl_working_sleep[[#This Row],[SleepDay]],"dddd")</f>
        <v>Friday</v>
      </c>
      <c r="G296">
        <f>ROUND(tbl_working_sleep[[#This Row],[TotalMinutesAsleep]]/60,2)</f>
        <v>10</v>
      </c>
      <c r="H296">
        <f>ROUND(tbl_working_sleep[[#This Row],[TotalTimeInBed]]/60,2)</f>
        <v>10.6</v>
      </c>
      <c r="I296">
        <f>tbl_working_sleep[[#This Row],[TotalTimeInBed]]-tbl_working_sleep[[#This Row],[TotalMinutesAsleep]]</f>
        <v>36</v>
      </c>
      <c r="J296">
        <f>ROUND(tbl_working_sleep[[#This Row],[TotalMinutesAsleep]]/tbl_working_sleep[[#This Row],[TotalTimeInBed]]*100,2)</f>
        <v>94.34</v>
      </c>
      <c r="K296" t="str" cm="1">
        <f t="array" ref="K296">_xlfn.IFS(tbl_working_sleep[[#This Row],[SleepHours]]&lt;6,"Insufficient Sleep",tbl_working_sleep[[#This Row],[SleepHours]]&lt;7,"Below Recommended",tbl_working_sleep[[#This Row],[SleepHours]]&lt;=9,"Recommended",tbl_working_sleep[[#This Row],[SleepHours]]&gt;9,"Oversleeping")</f>
        <v>Oversleeping</v>
      </c>
      <c r="L296" t="str">
        <f>tbl_working_sleep[[#This Row],[Id]]&amp;"|"&amp;TEXT(tbl_working_sleep[[#This Row],[SleepDay]],"yyyy-mm-dd")</f>
        <v>6117666160|2016-04-29</v>
      </c>
    </row>
    <row r="297" spans="1:12" x14ac:dyDescent="0.3">
      <c r="A297">
        <v>6117666160</v>
      </c>
      <c r="B297" s="2">
        <v>42491</v>
      </c>
      <c r="C297">
        <v>1</v>
      </c>
      <c r="D297">
        <v>507</v>
      </c>
      <c r="E297">
        <v>575</v>
      </c>
      <c r="F297" t="str">
        <f>TEXT(tbl_working_sleep[[#This Row],[SleepDay]],"dddd")</f>
        <v>Sunday</v>
      </c>
      <c r="G297">
        <f>ROUND(tbl_working_sleep[[#This Row],[TotalMinutesAsleep]]/60,2)</f>
        <v>8.4499999999999993</v>
      </c>
      <c r="H297">
        <f>ROUND(tbl_working_sleep[[#This Row],[TotalTimeInBed]]/60,2)</f>
        <v>9.58</v>
      </c>
      <c r="I297">
        <f>tbl_working_sleep[[#This Row],[TotalTimeInBed]]-tbl_working_sleep[[#This Row],[TotalMinutesAsleep]]</f>
        <v>68</v>
      </c>
      <c r="J297">
        <f>ROUND(tbl_working_sleep[[#This Row],[TotalMinutesAsleep]]/tbl_working_sleep[[#This Row],[TotalTimeInBed]]*100,2)</f>
        <v>88.17</v>
      </c>
      <c r="K297" t="str" cm="1">
        <f t="array" ref="K297">_xlfn.IFS(tbl_working_sleep[[#This Row],[SleepHours]]&lt;6,"Insufficient Sleep",tbl_working_sleep[[#This Row],[SleepHours]]&lt;7,"Below Recommended",tbl_working_sleep[[#This Row],[SleepHours]]&lt;=9,"Recommended",tbl_working_sleep[[#This Row],[SleepHours]]&gt;9,"Oversleeping")</f>
        <v>Recommended</v>
      </c>
      <c r="L297" t="str">
        <f>tbl_working_sleep[[#This Row],[Id]]&amp;"|"&amp;TEXT(tbl_working_sleep[[#This Row],[SleepDay]],"yyyy-mm-dd")</f>
        <v>6117666160|2016-05-01</v>
      </c>
    </row>
    <row r="298" spans="1:12" x14ac:dyDescent="0.3">
      <c r="A298">
        <v>6117666160</v>
      </c>
      <c r="B298" s="2">
        <v>42495</v>
      </c>
      <c r="C298">
        <v>1</v>
      </c>
      <c r="D298">
        <v>392</v>
      </c>
      <c r="E298">
        <v>415</v>
      </c>
      <c r="F298" t="str">
        <f>TEXT(tbl_working_sleep[[#This Row],[SleepDay]],"dddd")</f>
        <v>Thursday</v>
      </c>
      <c r="G298">
        <f>ROUND(tbl_working_sleep[[#This Row],[TotalMinutesAsleep]]/60,2)</f>
        <v>6.53</v>
      </c>
      <c r="H298">
        <f>ROUND(tbl_working_sleep[[#This Row],[TotalTimeInBed]]/60,2)</f>
        <v>6.92</v>
      </c>
      <c r="I298">
        <f>tbl_working_sleep[[#This Row],[TotalTimeInBed]]-tbl_working_sleep[[#This Row],[TotalMinutesAsleep]]</f>
        <v>23</v>
      </c>
      <c r="J298">
        <f>ROUND(tbl_working_sleep[[#This Row],[TotalMinutesAsleep]]/tbl_working_sleep[[#This Row],[TotalTimeInBed]]*100,2)</f>
        <v>94.46</v>
      </c>
      <c r="K298" t="str" cm="1">
        <f t="array" ref="K298">_xlfn.IFS(tbl_working_sleep[[#This Row],[SleepHours]]&lt;6,"Insufficient Sleep",tbl_working_sleep[[#This Row],[SleepHours]]&lt;7,"Below Recommended",tbl_working_sleep[[#This Row],[SleepHours]]&lt;=9,"Recommended",tbl_working_sleep[[#This Row],[SleepHours]]&gt;9,"Oversleeping")</f>
        <v>Below Recommended</v>
      </c>
      <c r="L298" t="str">
        <f>tbl_working_sleep[[#This Row],[Id]]&amp;"|"&amp;TEXT(tbl_working_sleep[[#This Row],[SleepDay]],"yyyy-mm-dd")</f>
        <v>6117666160|2016-05-05</v>
      </c>
    </row>
    <row r="299" spans="1:12" x14ac:dyDescent="0.3">
      <c r="A299">
        <v>6117666160</v>
      </c>
      <c r="B299" s="2">
        <v>42496</v>
      </c>
      <c r="C299">
        <v>2</v>
      </c>
      <c r="D299">
        <v>658</v>
      </c>
      <c r="E299">
        <v>698</v>
      </c>
      <c r="F299" t="str">
        <f>TEXT(tbl_working_sleep[[#This Row],[SleepDay]],"dddd")</f>
        <v>Friday</v>
      </c>
      <c r="G299">
        <f>ROUND(tbl_working_sleep[[#This Row],[TotalMinutesAsleep]]/60,2)</f>
        <v>10.97</v>
      </c>
      <c r="H299">
        <f>ROUND(tbl_working_sleep[[#This Row],[TotalTimeInBed]]/60,2)</f>
        <v>11.63</v>
      </c>
      <c r="I299">
        <f>tbl_working_sleep[[#This Row],[TotalTimeInBed]]-tbl_working_sleep[[#This Row],[TotalMinutesAsleep]]</f>
        <v>40</v>
      </c>
      <c r="J299">
        <f>ROUND(tbl_working_sleep[[#This Row],[TotalMinutesAsleep]]/tbl_working_sleep[[#This Row],[TotalTimeInBed]]*100,2)</f>
        <v>94.27</v>
      </c>
      <c r="K299" t="str" cm="1">
        <f t="array" ref="K299">_xlfn.IFS(tbl_working_sleep[[#This Row],[SleepHours]]&lt;6,"Insufficient Sleep",tbl_working_sleep[[#This Row],[SleepHours]]&lt;7,"Below Recommended",tbl_working_sleep[[#This Row],[SleepHours]]&lt;=9,"Recommended",tbl_working_sleep[[#This Row],[SleepHours]]&gt;9,"Oversleeping")</f>
        <v>Oversleeping</v>
      </c>
      <c r="L299" t="str">
        <f>tbl_working_sleep[[#This Row],[Id]]&amp;"|"&amp;TEXT(tbl_working_sleep[[#This Row],[SleepDay]],"yyyy-mm-dd")</f>
        <v>6117666160|2016-05-06</v>
      </c>
    </row>
    <row r="300" spans="1:12" x14ac:dyDescent="0.3">
      <c r="A300">
        <v>6117666160</v>
      </c>
      <c r="B300" s="2">
        <v>42497</v>
      </c>
      <c r="C300">
        <v>2</v>
      </c>
      <c r="D300">
        <v>498</v>
      </c>
      <c r="E300">
        <v>507</v>
      </c>
      <c r="F300" t="str">
        <f>TEXT(tbl_working_sleep[[#This Row],[SleepDay]],"dddd")</f>
        <v>Saturday</v>
      </c>
      <c r="G300">
        <f>ROUND(tbl_working_sleep[[#This Row],[TotalMinutesAsleep]]/60,2)</f>
        <v>8.3000000000000007</v>
      </c>
      <c r="H300">
        <f>ROUND(tbl_working_sleep[[#This Row],[TotalTimeInBed]]/60,2)</f>
        <v>8.4499999999999993</v>
      </c>
      <c r="I300">
        <f>tbl_working_sleep[[#This Row],[TotalTimeInBed]]-tbl_working_sleep[[#This Row],[TotalMinutesAsleep]]</f>
        <v>9</v>
      </c>
      <c r="J300">
        <f>ROUND(tbl_working_sleep[[#This Row],[TotalMinutesAsleep]]/tbl_working_sleep[[#This Row],[TotalTimeInBed]]*100,2)</f>
        <v>98.22</v>
      </c>
      <c r="K300" t="str" cm="1">
        <f t="array" ref="K300">_xlfn.IFS(tbl_working_sleep[[#This Row],[SleepHours]]&lt;6,"Insufficient Sleep",tbl_working_sleep[[#This Row],[SleepHours]]&lt;7,"Below Recommended",tbl_working_sleep[[#This Row],[SleepHours]]&lt;=9,"Recommended",tbl_working_sleep[[#This Row],[SleepHours]]&gt;9,"Oversleeping")</f>
        <v>Recommended</v>
      </c>
      <c r="L300" t="str">
        <f>tbl_working_sleep[[#This Row],[Id]]&amp;"|"&amp;TEXT(tbl_working_sleep[[#This Row],[SleepDay]],"yyyy-mm-dd")</f>
        <v>6117666160|2016-05-07</v>
      </c>
    </row>
    <row r="301" spans="1:12" x14ac:dyDescent="0.3">
      <c r="A301">
        <v>6117666160</v>
      </c>
      <c r="B301" s="2">
        <v>42498</v>
      </c>
      <c r="C301">
        <v>1</v>
      </c>
      <c r="D301">
        <v>555</v>
      </c>
      <c r="E301">
        <v>603</v>
      </c>
      <c r="F301" t="str">
        <f>TEXT(tbl_working_sleep[[#This Row],[SleepDay]],"dddd")</f>
        <v>Sunday</v>
      </c>
      <c r="G301">
        <f>ROUND(tbl_working_sleep[[#This Row],[TotalMinutesAsleep]]/60,2)</f>
        <v>9.25</v>
      </c>
      <c r="H301">
        <f>ROUND(tbl_working_sleep[[#This Row],[TotalTimeInBed]]/60,2)</f>
        <v>10.050000000000001</v>
      </c>
      <c r="I301">
        <f>tbl_working_sleep[[#This Row],[TotalTimeInBed]]-tbl_working_sleep[[#This Row],[TotalMinutesAsleep]]</f>
        <v>48</v>
      </c>
      <c r="J301">
        <f>ROUND(tbl_working_sleep[[#This Row],[TotalMinutesAsleep]]/tbl_working_sleep[[#This Row],[TotalTimeInBed]]*100,2)</f>
        <v>92.04</v>
      </c>
      <c r="K301" t="str" cm="1">
        <f t="array" ref="K301">_xlfn.IFS(tbl_working_sleep[[#This Row],[SleepHours]]&lt;6,"Insufficient Sleep",tbl_working_sleep[[#This Row],[SleepHours]]&lt;7,"Below Recommended",tbl_working_sleep[[#This Row],[SleepHours]]&lt;=9,"Recommended",tbl_working_sleep[[#This Row],[SleepHours]]&gt;9,"Oversleeping")</f>
        <v>Oversleeping</v>
      </c>
      <c r="L301" t="str">
        <f>tbl_working_sleep[[#This Row],[Id]]&amp;"|"&amp;TEXT(tbl_working_sleep[[#This Row],[SleepDay]],"yyyy-mm-dd")</f>
        <v>6117666160|2016-05-08</v>
      </c>
    </row>
    <row r="302" spans="1:12" x14ac:dyDescent="0.3">
      <c r="A302">
        <v>6117666160</v>
      </c>
      <c r="B302" s="2">
        <v>42499</v>
      </c>
      <c r="C302">
        <v>1</v>
      </c>
      <c r="D302">
        <v>492</v>
      </c>
      <c r="E302">
        <v>522</v>
      </c>
      <c r="F302" t="str">
        <f>TEXT(tbl_working_sleep[[#This Row],[SleepDay]],"dddd")</f>
        <v>Monday</v>
      </c>
      <c r="G302">
        <f>ROUND(tbl_working_sleep[[#This Row],[TotalMinutesAsleep]]/60,2)</f>
        <v>8.1999999999999993</v>
      </c>
      <c r="H302">
        <f>ROUND(tbl_working_sleep[[#This Row],[TotalTimeInBed]]/60,2)</f>
        <v>8.6999999999999993</v>
      </c>
      <c r="I302">
        <f>tbl_working_sleep[[#This Row],[TotalTimeInBed]]-tbl_working_sleep[[#This Row],[TotalMinutesAsleep]]</f>
        <v>30</v>
      </c>
      <c r="J302">
        <f>ROUND(tbl_working_sleep[[#This Row],[TotalMinutesAsleep]]/tbl_working_sleep[[#This Row],[TotalTimeInBed]]*100,2)</f>
        <v>94.25</v>
      </c>
      <c r="K302" t="str" cm="1">
        <f t="array" ref="K302">_xlfn.IFS(tbl_working_sleep[[#This Row],[SleepHours]]&lt;6,"Insufficient Sleep",tbl_working_sleep[[#This Row],[SleepHours]]&lt;7,"Below Recommended",tbl_working_sleep[[#This Row],[SleepHours]]&lt;=9,"Recommended",tbl_working_sleep[[#This Row],[SleepHours]]&gt;9,"Oversleeping")</f>
        <v>Recommended</v>
      </c>
      <c r="L302" t="str">
        <f>tbl_working_sleep[[#This Row],[Id]]&amp;"|"&amp;TEXT(tbl_working_sleep[[#This Row],[SleepDay]],"yyyy-mm-dd")</f>
        <v>6117666160|2016-05-09</v>
      </c>
    </row>
    <row r="303" spans="1:12" x14ac:dyDescent="0.3">
      <c r="A303">
        <v>6775888955</v>
      </c>
      <c r="B303" s="2">
        <v>42473</v>
      </c>
      <c r="C303">
        <v>1</v>
      </c>
      <c r="D303">
        <v>235</v>
      </c>
      <c r="E303">
        <v>260</v>
      </c>
      <c r="F303" t="str">
        <f>TEXT(tbl_working_sleep[[#This Row],[SleepDay]],"dddd")</f>
        <v>Wednesday</v>
      </c>
      <c r="G303">
        <f>ROUND(tbl_working_sleep[[#This Row],[TotalMinutesAsleep]]/60,2)</f>
        <v>3.92</v>
      </c>
      <c r="H303">
        <f>ROUND(tbl_working_sleep[[#This Row],[TotalTimeInBed]]/60,2)</f>
        <v>4.33</v>
      </c>
      <c r="I303">
        <f>tbl_working_sleep[[#This Row],[TotalTimeInBed]]-tbl_working_sleep[[#This Row],[TotalMinutesAsleep]]</f>
        <v>25</v>
      </c>
      <c r="J303">
        <f>ROUND(tbl_working_sleep[[#This Row],[TotalMinutesAsleep]]/tbl_working_sleep[[#This Row],[TotalTimeInBed]]*100,2)</f>
        <v>90.38</v>
      </c>
      <c r="K303" t="str" cm="1">
        <f t="array" ref="K303">_xlfn.IFS(tbl_working_sleep[[#This Row],[SleepHours]]&lt;6,"Insufficient Sleep",tbl_working_sleep[[#This Row],[SleepHours]]&lt;7,"Below Recommended",tbl_working_sleep[[#This Row],[SleepHours]]&lt;=9,"Recommended",tbl_working_sleep[[#This Row],[SleepHours]]&gt;9,"Oversleeping")</f>
        <v>Insufficient Sleep</v>
      </c>
      <c r="L303" t="str">
        <f>tbl_working_sleep[[#This Row],[Id]]&amp;"|"&amp;TEXT(tbl_working_sleep[[#This Row],[SleepDay]],"yyyy-mm-dd")</f>
        <v>6775888955|2016-04-13</v>
      </c>
    </row>
    <row r="304" spans="1:12" x14ac:dyDescent="0.3">
      <c r="A304">
        <v>6775888955</v>
      </c>
      <c r="B304" s="2">
        <v>42474</v>
      </c>
      <c r="C304">
        <v>1</v>
      </c>
      <c r="D304">
        <v>423</v>
      </c>
      <c r="E304">
        <v>441</v>
      </c>
      <c r="F304" t="str">
        <f>TEXT(tbl_working_sleep[[#This Row],[SleepDay]],"dddd")</f>
        <v>Thursday</v>
      </c>
      <c r="G304">
        <f>ROUND(tbl_working_sleep[[#This Row],[TotalMinutesAsleep]]/60,2)</f>
        <v>7.05</v>
      </c>
      <c r="H304">
        <f>ROUND(tbl_working_sleep[[#This Row],[TotalTimeInBed]]/60,2)</f>
        <v>7.35</v>
      </c>
      <c r="I304">
        <f>tbl_working_sleep[[#This Row],[TotalTimeInBed]]-tbl_working_sleep[[#This Row],[TotalMinutesAsleep]]</f>
        <v>18</v>
      </c>
      <c r="J304">
        <f>ROUND(tbl_working_sleep[[#This Row],[TotalMinutesAsleep]]/tbl_working_sleep[[#This Row],[TotalTimeInBed]]*100,2)</f>
        <v>95.92</v>
      </c>
      <c r="K304" t="str" cm="1">
        <f t="array" ref="K304">_xlfn.IFS(tbl_working_sleep[[#This Row],[SleepHours]]&lt;6,"Insufficient Sleep",tbl_working_sleep[[#This Row],[SleepHours]]&lt;7,"Below Recommended",tbl_working_sleep[[#This Row],[SleepHours]]&lt;=9,"Recommended",tbl_working_sleep[[#This Row],[SleepHours]]&gt;9,"Oversleeping")</f>
        <v>Recommended</v>
      </c>
      <c r="L304" t="str">
        <f>tbl_working_sleep[[#This Row],[Id]]&amp;"|"&amp;TEXT(tbl_working_sleep[[#This Row],[SleepDay]],"yyyy-mm-dd")</f>
        <v>6775888955|2016-04-14</v>
      </c>
    </row>
    <row r="305" spans="1:12" x14ac:dyDescent="0.3">
      <c r="A305">
        <v>6775888955</v>
      </c>
      <c r="B305" s="2">
        <v>42475</v>
      </c>
      <c r="C305">
        <v>1</v>
      </c>
      <c r="D305">
        <v>391</v>
      </c>
      <c r="E305">
        <v>406</v>
      </c>
      <c r="F305" t="str">
        <f>TEXT(tbl_working_sleep[[#This Row],[SleepDay]],"dddd")</f>
        <v>Friday</v>
      </c>
      <c r="G305">
        <f>ROUND(tbl_working_sleep[[#This Row],[TotalMinutesAsleep]]/60,2)</f>
        <v>6.52</v>
      </c>
      <c r="H305">
        <f>ROUND(tbl_working_sleep[[#This Row],[TotalTimeInBed]]/60,2)</f>
        <v>6.77</v>
      </c>
      <c r="I305">
        <f>tbl_working_sleep[[#This Row],[TotalTimeInBed]]-tbl_working_sleep[[#This Row],[TotalMinutesAsleep]]</f>
        <v>15</v>
      </c>
      <c r="J305">
        <f>ROUND(tbl_working_sleep[[#This Row],[TotalMinutesAsleep]]/tbl_working_sleep[[#This Row],[TotalTimeInBed]]*100,2)</f>
        <v>96.31</v>
      </c>
      <c r="K305" t="str" cm="1">
        <f t="array" ref="K305">_xlfn.IFS(tbl_working_sleep[[#This Row],[SleepHours]]&lt;6,"Insufficient Sleep",tbl_working_sleep[[#This Row],[SleepHours]]&lt;7,"Below Recommended",tbl_working_sleep[[#This Row],[SleepHours]]&lt;=9,"Recommended",tbl_working_sleep[[#This Row],[SleepHours]]&gt;9,"Oversleeping")</f>
        <v>Below Recommended</v>
      </c>
      <c r="L305" t="str">
        <f>tbl_working_sleep[[#This Row],[Id]]&amp;"|"&amp;TEXT(tbl_working_sleep[[#This Row],[SleepDay]],"yyyy-mm-dd")</f>
        <v>6775888955|2016-04-15</v>
      </c>
    </row>
    <row r="306" spans="1:12" x14ac:dyDescent="0.3">
      <c r="A306">
        <v>6962181067</v>
      </c>
      <c r="B306" s="2">
        <v>42472</v>
      </c>
      <c r="C306">
        <v>1</v>
      </c>
      <c r="D306">
        <v>366</v>
      </c>
      <c r="E306">
        <v>387</v>
      </c>
      <c r="F306" t="str">
        <f>TEXT(tbl_working_sleep[[#This Row],[SleepDay]],"dddd")</f>
        <v>Tuesday</v>
      </c>
      <c r="G306">
        <f>ROUND(tbl_working_sleep[[#This Row],[TotalMinutesAsleep]]/60,2)</f>
        <v>6.1</v>
      </c>
      <c r="H306">
        <f>ROUND(tbl_working_sleep[[#This Row],[TotalTimeInBed]]/60,2)</f>
        <v>6.45</v>
      </c>
      <c r="I306">
        <f>tbl_working_sleep[[#This Row],[TotalTimeInBed]]-tbl_working_sleep[[#This Row],[TotalMinutesAsleep]]</f>
        <v>21</v>
      </c>
      <c r="J306">
        <f>ROUND(tbl_working_sleep[[#This Row],[TotalMinutesAsleep]]/tbl_working_sleep[[#This Row],[TotalTimeInBed]]*100,2)</f>
        <v>94.57</v>
      </c>
      <c r="K306" t="str" cm="1">
        <f t="array" ref="K306">_xlfn.IFS(tbl_working_sleep[[#This Row],[SleepHours]]&lt;6,"Insufficient Sleep",tbl_working_sleep[[#This Row],[SleepHours]]&lt;7,"Below Recommended",tbl_working_sleep[[#This Row],[SleepHours]]&lt;=9,"Recommended",tbl_working_sleep[[#This Row],[SleepHours]]&gt;9,"Oversleeping")</f>
        <v>Below Recommended</v>
      </c>
      <c r="L306" t="str">
        <f>tbl_working_sleep[[#This Row],[Id]]&amp;"|"&amp;TEXT(tbl_working_sleep[[#This Row],[SleepDay]],"yyyy-mm-dd")</f>
        <v>6962181067|2016-04-12</v>
      </c>
    </row>
    <row r="307" spans="1:12" x14ac:dyDescent="0.3">
      <c r="A307">
        <v>6962181067</v>
      </c>
      <c r="B307" s="2">
        <v>42473</v>
      </c>
      <c r="C307">
        <v>3</v>
      </c>
      <c r="D307">
        <v>630</v>
      </c>
      <c r="E307">
        <v>679</v>
      </c>
      <c r="F307" t="str">
        <f>TEXT(tbl_working_sleep[[#This Row],[SleepDay]],"dddd")</f>
        <v>Wednesday</v>
      </c>
      <c r="G307">
        <f>ROUND(tbl_working_sleep[[#This Row],[TotalMinutesAsleep]]/60,2)</f>
        <v>10.5</v>
      </c>
      <c r="H307">
        <f>ROUND(tbl_working_sleep[[#This Row],[TotalTimeInBed]]/60,2)</f>
        <v>11.32</v>
      </c>
      <c r="I307">
        <f>tbl_working_sleep[[#This Row],[TotalTimeInBed]]-tbl_working_sleep[[#This Row],[TotalMinutesAsleep]]</f>
        <v>49</v>
      </c>
      <c r="J307">
        <f>ROUND(tbl_working_sleep[[#This Row],[TotalMinutesAsleep]]/tbl_working_sleep[[#This Row],[TotalTimeInBed]]*100,2)</f>
        <v>92.78</v>
      </c>
      <c r="K307" t="str" cm="1">
        <f t="array" ref="K307">_xlfn.IFS(tbl_working_sleep[[#This Row],[SleepHours]]&lt;6,"Insufficient Sleep",tbl_working_sleep[[#This Row],[SleepHours]]&lt;7,"Below Recommended",tbl_working_sleep[[#This Row],[SleepHours]]&lt;=9,"Recommended",tbl_working_sleep[[#This Row],[SleepHours]]&gt;9,"Oversleeping")</f>
        <v>Oversleeping</v>
      </c>
      <c r="L307" t="str">
        <f>tbl_working_sleep[[#This Row],[Id]]&amp;"|"&amp;TEXT(tbl_working_sleep[[#This Row],[SleepDay]],"yyyy-mm-dd")</f>
        <v>6962181067|2016-04-13</v>
      </c>
    </row>
    <row r="308" spans="1:12" x14ac:dyDescent="0.3">
      <c r="A308">
        <v>6962181067</v>
      </c>
      <c r="B308" s="2">
        <v>42474</v>
      </c>
      <c r="C308">
        <v>2</v>
      </c>
      <c r="D308">
        <v>508</v>
      </c>
      <c r="E308">
        <v>535</v>
      </c>
      <c r="F308" t="str">
        <f>TEXT(tbl_working_sleep[[#This Row],[SleepDay]],"dddd")</f>
        <v>Thursday</v>
      </c>
      <c r="G308">
        <f>ROUND(tbl_working_sleep[[#This Row],[TotalMinutesAsleep]]/60,2)</f>
        <v>8.4700000000000006</v>
      </c>
      <c r="H308">
        <f>ROUND(tbl_working_sleep[[#This Row],[TotalTimeInBed]]/60,2)</f>
        <v>8.92</v>
      </c>
      <c r="I308">
        <f>tbl_working_sleep[[#This Row],[TotalTimeInBed]]-tbl_working_sleep[[#This Row],[TotalMinutesAsleep]]</f>
        <v>27</v>
      </c>
      <c r="J308">
        <f>ROUND(tbl_working_sleep[[#This Row],[TotalMinutesAsleep]]/tbl_working_sleep[[#This Row],[TotalTimeInBed]]*100,2)</f>
        <v>94.95</v>
      </c>
      <c r="K308" t="str" cm="1">
        <f t="array" ref="K308">_xlfn.IFS(tbl_working_sleep[[#This Row],[SleepHours]]&lt;6,"Insufficient Sleep",tbl_working_sleep[[#This Row],[SleepHours]]&lt;7,"Below Recommended",tbl_working_sleep[[#This Row],[SleepHours]]&lt;=9,"Recommended",tbl_working_sleep[[#This Row],[SleepHours]]&gt;9,"Oversleeping")</f>
        <v>Recommended</v>
      </c>
      <c r="L308" t="str">
        <f>tbl_working_sleep[[#This Row],[Id]]&amp;"|"&amp;TEXT(tbl_working_sleep[[#This Row],[SleepDay]],"yyyy-mm-dd")</f>
        <v>6962181067|2016-04-14</v>
      </c>
    </row>
    <row r="309" spans="1:12" x14ac:dyDescent="0.3">
      <c r="A309">
        <v>6962181067</v>
      </c>
      <c r="B309" s="2">
        <v>42475</v>
      </c>
      <c r="C309">
        <v>1</v>
      </c>
      <c r="D309">
        <v>370</v>
      </c>
      <c r="E309">
        <v>386</v>
      </c>
      <c r="F309" t="str">
        <f>TEXT(tbl_working_sleep[[#This Row],[SleepDay]],"dddd")</f>
        <v>Friday</v>
      </c>
      <c r="G309">
        <f>ROUND(tbl_working_sleep[[#This Row],[TotalMinutesAsleep]]/60,2)</f>
        <v>6.17</v>
      </c>
      <c r="H309">
        <f>ROUND(tbl_working_sleep[[#This Row],[TotalTimeInBed]]/60,2)</f>
        <v>6.43</v>
      </c>
      <c r="I309">
        <f>tbl_working_sleep[[#This Row],[TotalTimeInBed]]-tbl_working_sleep[[#This Row],[TotalMinutesAsleep]]</f>
        <v>16</v>
      </c>
      <c r="J309">
        <f>ROUND(tbl_working_sleep[[#This Row],[TotalMinutesAsleep]]/tbl_working_sleep[[#This Row],[TotalTimeInBed]]*100,2)</f>
        <v>95.85</v>
      </c>
      <c r="K309" t="str" cm="1">
        <f t="array" ref="K309">_xlfn.IFS(tbl_working_sleep[[#This Row],[SleepHours]]&lt;6,"Insufficient Sleep",tbl_working_sleep[[#This Row],[SleepHours]]&lt;7,"Below Recommended",tbl_working_sleep[[#This Row],[SleepHours]]&lt;=9,"Recommended",tbl_working_sleep[[#This Row],[SleepHours]]&gt;9,"Oversleeping")</f>
        <v>Below Recommended</v>
      </c>
      <c r="L309" t="str">
        <f>tbl_working_sleep[[#This Row],[Id]]&amp;"|"&amp;TEXT(tbl_working_sleep[[#This Row],[SleepDay]],"yyyy-mm-dd")</f>
        <v>6962181067|2016-04-15</v>
      </c>
    </row>
    <row r="310" spans="1:12" x14ac:dyDescent="0.3">
      <c r="A310">
        <v>6962181067</v>
      </c>
      <c r="B310" s="2">
        <v>42476</v>
      </c>
      <c r="C310">
        <v>1</v>
      </c>
      <c r="D310">
        <v>357</v>
      </c>
      <c r="E310">
        <v>366</v>
      </c>
      <c r="F310" t="str">
        <f>TEXT(tbl_working_sleep[[#This Row],[SleepDay]],"dddd")</f>
        <v>Saturday</v>
      </c>
      <c r="G310">
        <f>ROUND(tbl_working_sleep[[#This Row],[TotalMinutesAsleep]]/60,2)</f>
        <v>5.95</v>
      </c>
      <c r="H310">
        <f>ROUND(tbl_working_sleep[[#This Row],[TotalTimeInBed]]/60,2)</f>
        <v>6.1</v>
      </c>
      <c r="I310">
        <f>tbl_working_sleep[[#This Row],[TotalTimeInBed]]-tbl_working_sleep[[#This Row],[TotalMinutesAsleep]]</f>
        <v>9</v>
      </c>
      <c r="J310">
        <f>ROUND(tbl_working_sleep[[#This Row],[TotalMinutesAsleep]]/tbl_working_sleep[[#This Row],[TotalTimeInBed]]*100,2)</f>
        <v>97.54</v>
      </c>
      <c r="K310" t="str" cm="1">
        <f t="array" ref="K310">_xlfn.IFS(tbl_working_sleep[[#This Row],[SleepHours]]&lt;6,"Insufficient Sleep",tbl_working_sleep[[#This Row],[SleepHours]]&lt;7,"Below Recommended",tbl_working_sleep[[#This Row],[SleepHours]]&lt;=9,"Recommended",tbl_working_sleep[[#This Row],[SleepHours]]&gt;9,"Oversleeping")</f>
        <v>Insufficient Sleep</v>
      </c>
      <c r="L310" t="str">
        <f>tbl_working_sleep[[#This Row],[Id]]&amp;"|"&amp;TEXT(tbl_working_sleep[[#This Row],[SleepDay]],"yyyy-mm-dd")</f>
        <v>6962181067|2016-04-16</v>
      </c>
    </row>
    <row r="311" spans="1:12" x14ac:dyDescent="0.3">
      <c r="A311">
        <v>6962181067</v>
      </c>
      <c r="B311" s="2">
        <v>42477</v>
      </c>
      <c r="C311">
        <v>1</v>
      </c>
      <c r="D311">
        <v>427</v>
      </c>
      <c r="E311">
        <v>446</v>
      </c>
      <c r="F311" t="str">
        <f>TEXT(tbl_working_sleep[[#This Row],[SleepDay]],"dddd")</f>
        <v>Sunday</v>
      </c>
      <c r="G311">
        <f>ROUND(tbl_working_sleep[[#This Row],[TotalMinutesAsleep]]/60,2)</f>
        <v>7.12</v>
      </c>
      <c r="H311">
        <f>ROUND(tbl_working_sleep[[#This Row],[TotalTimeInBed]]/60,2)</f>
        <v>7.43</v>
      </c>
      <c r="I311">
        <f>tbl_working_sleep[[#This Row],[TotalTimeInBed]]-tbl_working_sleep[[#This Row],[TotalMinutesAsleep]]</f>
        <v>19</v>
      </c>
      <c r="J311">
        <f>ROUND(tbl_working_sleep[[#This Row],[TotalMinutesAsleep]]/tbl_working_sleep[[#This Row],[TotalTimeInBed]]*100,2)</f>
        <v>95.74</v>
      </c>
      <c r="K311" t="str" cm="1">
        <f t="array" ref="K311">_xlfn.IFS(tbl_working_sleep[[#This Row],[SleepHours]]&lt;6,"Insufficient Sleep",tbl_working_sleep[[#This Row],[SleepHours]]&lt;7,"Below Recommended",tbl_working_sleep[[#This Row],[SleepHours]]&lt;=9,"Recommended",tbl_working_sleep[[#This Row],[SleepHours]]&gt;9,"Oversleeping")</f>
        <v>Recommended</v>
      </c>
      <c r="L311" t="str">
        <f>tbl_working_sleep[[#This Row],[Id]]&amp;"|"&amp;TEXT(tbl_working_sleep[[#This Row],[SleepDay]],"yyyy-mm-dd")</f>
        <v>6962181067|2016-04-17</v>
      </c>
    </row>
    <row r="312" spans="1:12" x14ac:dyDescent="0.3">
      <c r="A312">
        <v>6962181067</v>
      </c>
      <c r="B312" s="2">
        <v>42478</v>
      </c>
      <c r="C312">
        <v>1</v>
      </c>
      <c r="D312">
        <v>442</v>
      </c>
      <c r="E312">
        <v>458</v>
      </c>
      <c r="F312" t="str">
        <f>TEXT(tbl_working_sleep[[#This Row],[SleepDay]],"dddd")</f>
        <v>Monday</v>
      </c>
      <c r="G312">
        <f>ROUND(tbl_working_sleep[[#This Row],[TotalMinutesAsleep]]/60,2)</f>
        <v>7.37</v>
      </c>
      <c r="H312">
        <f>ROUND(tbl_working_sleep[[#This Row],[TotalTimeInBed]]/60,2)</f>
        <v>7.63</v>
      </c>
      <c r="I312">
        <f>tbl_working_sleep[[#This Row],[TotalTimeInBed]]-tbl_working_sleep[[#This Row],[TotalMinutesAsleep]]</f>
        <v>16</v>
      </c>
      <c r="J312">
        <f>ROUND(tbl_working_sleep[[#This Row],[TotalMinutesAsleep]]/tbl_working_sleep[[#This Row],[TotalTimeInBed]]*100,2)</f>
        <v>96.51</v>
      </c>
      <c r="K312" t="str" cm="1">
        <f t="array" ref="K312">_xlfn.IFS(tbl_working_sleep[[#This Row],[SleepHours]]&lt;6,"Insufficient Sleep",tbl_working_sleep[[#This Row],[SleepHours]]&lt;7,"Below Recommended",tbl_working_sleep[[#This Row],[SleepHours]]&lt;=9,"Recommended",tbl_working_sleep[[#This Row],[SleepHours]]&gt;9,"Oversleeping")</f>
        <v>Recommended</v>
      </c>
      <c r="L312" t="str">
        <f>tbl_working_sleep[[#This Row],[Id]]&amp;"|"&amp;TEXT(tbl_working_sleep[[#This Row],[SleepDay]],"yyyy-mm-dd")</f>
        <v>6962181067|2016-04-18</v>
      </c>
    </row>
    <row r="313" spans="1:12" x14ac:dyDescent="0.3">
      <c r="A313">
        <v>6962181067</v>
      </c>
      <c r="B313" s="2">
        <v>42479</v>
      </c>
      <c r="C313">
        <v>1</v>
      </c>
      <c r="D313">
        <v>476</v>
      </c>
      <c r="E313">
        <v>535</v>
      </c>
      <c r="F313" t="str">
        <f>TEXT(tbl_working_sleep[[#This Row],[SleepDay]],"dddd")</f>
        <v>Tuesday</v>
      </c>
      <c r="G313">
        <f>ROUND(tbl_working_sleep[[#This Row],[TotalMinutesAsleep]]/60,2)</f>
        <v>7.93</v>
      </c>
      <c r="H313">
        <f>ROUND(tbl_working_sleep[[#This Row],[TotalTimeInBed]]/60,2)</f>
        <v>8.92</v>
      </c>
      <c r="I313">
        <f>tbl_working_sleep[[#This Row],[TotalTimeInBed]]-tbl_working_sleep[[#This Row],[TotalMinutesAsleep]]</f>
        <v>59</v>
      </c>
      <c r="J313">
        <f>ROUND(tbl_working_sleep[[#This Row],[TotalMinutesAsleep]]/tbl_working_sleep[[#This Row],[TotalTimeInBed]]*100,2)</f>
        <v>88.97</v>
      </c>
      <c r="K313" t="str" cm="1">
        <f t="array" ref="K313">_xlfn.IFS(tbl_working_sleep[[#This Row],[SleepHours]]&lt;6,"Insufficient Sleep",tbl_working_sleep[[#This Row],[SleepHours]]&lt;7,"Below Recommended",tbl_working_sleep[[#This Row],[SleepHours]]&lt;=9,"Recommended",tbl_working_sleep[[#This Row],[SleepHours]]&gt;9,"Oversleeping")</f>
        <v>Recommended</v>
      </c>
      <c r="L313" t="str">
        <f>tbl_working_sleep[[#This Row],[Id]]&amp;"|"&amp;TEXT(tbl_working_sleep[[#This Row],[SleepDay]],"yyyy-mm-dd")</f>
        <v>6962181067|2016-04-19</v>
      </c>
    </row>
    <row r="314" spans="1:12" x14ac:dyDescent="0.3">
      <c r="A314">
        <v>6962181067</v>
      </c>
      <c r="B314" s="2">
        <v>42480</v>
      </c>
      <c r="C314">
        <v>1</v>
      </c>
      <c r="D314">
        <v>418</v>
      </c>
      <c r="E314">
        <v>424</v>
      </c>
      <c r="F314" t="str">
        <f>TEXT(tbl_working_sleep[[#This Row],[SleepDay]],"dddd")</f>
        <v>Wednesday</v>
      </c>
      <c r="G314">
        <f>ROUND(tbl_working_sleep[[#This Row],[TotalMinutesAsleep]]/60,2)</f>
        <v>6.97</v>
      </c>
      <c r="H314">
        <f>ROUND(tbl_working_sleep[[#This Row],[TotalTimeInBed]]/60,2)</f>
        <v>7.07</v>
      </c>
      <c r="I314">
        <f>tbl_working_sleep[[#This Row],[TotalTimeInBed]]-tbl_working_sleep[[#This Row],[TotalMinutesAsleep]]</f>
        <v>6</v>
      </c>
      <c r="J314">
        <f>ROUND(tbl_working_sleep[[#This Row],[TotalMinutesAsleep]]/tbl_working_sleep[[#This Row],[TotalTimeInBed]]*100,2)</f>
        <v>98.58</v>
      </c>
      <c r="K314" t="str" cm="1">
        <f t="array" ref="K314">_xlfn.IFS(tbl_working_sleep[[#This Row],[SleepHours]]&lt;6,"Insufficient Sleep",tbl_working_sleep[[#This Row],[SleepHours]]&lt;7,"Below Recommended",tbl_working_sleep[[#This Row],[SleepHours]]&lt;=9,"Recommended",tbl_working_sleep[[#This Row],[SleepHours]]&gt;9,"Oversleeping")</f>
        <v>Below Recommended</v>
      </c>
      <c r="L314" t="str">
        <f>tbl_working_sleep[[#This Row],[Id]]&amp;"|"&amp;TEXT(tbl_working_sleep[[#This Row],[SleepDay]],"yyyy-mm-dd")</f>
        <v>6962181067|2016-04-20</v>
      </c>
    </row>
    <row r="315" spans="1:12" x14ac:dyDescent="0.3">
      <c r="A315">
        <v>6962181067</v>
      </c>
      <c r="B315" s="2">
        <v>42481</v>
      </c>
      <c r="C315">
        <v>1</v>
      </c>
      <c r="D315">
        <v>451</v>
      </c>
      <c r="E315">
        <v>457</v>
      </c>
      <c r="F315" t="str">
        <f>TEXT(tbl_working_sleep[[#This Row],[SleepDay]],"dddd")</f>
        <v>Thursday</v>
      </c>
      <c r="G315">
        <f>ROUND(tbl_working_sleep[[#This Row],[TotalMinutesAsleep]]/60,2)</f>
        <v>7.52</v>
      </c>
      <c r="H315">
        <f>ROUND(tbl_working_sleep[[#This Row],[TotalTimeInBed]]/60,2)</f>
        <v>7.62</v>
      </c>
      <c r="I315">
        <f>tbl_working_sleep[[#This Row],[TotalTimeInBed]]-tbl_working_sleep[[#This Row],[TotalMinutesAsleep]]</f>
        <v>6</v>
      </c>
      <c r="J315">
        <f>ROUND(tbl_working_sleep[[#This Row],[TotalMinutesAsleep]]/tbl_working_sleep[[#This Row],[TotalTimeInBed]]*100,2)</f>
        <v>98.69</v>
      </c>
      <c r="K315" t="str" cm="1">
        <f t="array" ref="K315">_xlfn.IFS(tbl_working_sleep[[#This Row],[SleepHours]]&lt;6,"Insufficient Sleep",tbl_working_sleep[[#This Row],[SleepHours]]&lt;7,"Below Recommended",tbl_working_sleep[[#This Row],[SleepHours]]&lt;=9,"Recommended",tbl_working_sleep[[#This Row],[SleepHours]]&gt;9,"Oversleeping")</f>
        <v>Recommended</v>
      </c>
      <c r="L315" t="str">
        <f>tbl_working_sleep[[#This Row],[Id]]&amp;"|"&amp;TEXT(tbl_working_sleep[[#This Row],[SleepDay]],"yyyy-mm-dd")</f>
        <v>6962181067|2016-04-21</v>
      </c>
    </row>
    <row r="316" spans="1:12" x14ac:dyDescent="0.3">
      <c r="A316">
        <v>6962181067</v>
      </c>
      <c r="B316" s="2">
        <v>42482</v>
      </c>
      <c r="C316">
        <v>1</v>
      </c>
      <c r="D316">
        <v>425</v>
      </c>
      <c r="E316">
        <v>435</v>
      </c>
      <c r="F316" t="str">
        <f>TEXT(tbl_working_sleep[[#This Row],[SleepDay]],"dddd")</f>
        <v>Friday</v>
      </c>
      <c r="G316">
        <f>ROUND(tbl_working_sleep[[#This Row],[TotalMinutesAsleep]]/60,2)</f>
        <v>7.08</v>
      </c>
      <c r="H316">
        <f>ROUND(tbl_working_sleep[[#This Row],[TotalTimeInBed]]/60,2)</f>
        <v>7.25</v>
      </c>
      <c r="I316">
        <f>tbl_working_sleep[[#This Row],[TotalTimeInBed]]-tbl_working_sleep[[#This Row],[TotalMinutesAsleep]]</f>
        <v>10</v>
      </c>
      <c r="J316">
        <f>ROUND(tbl_working_sleep[[#This Row],[TotalMinutesAsleep]]/tbl_working_sleep[[#This Row],[TotalTimeInBed]]*100,2)</f>
        <v>97.7</v>
      </c>
      <c r="K316" t="str" cm="1">
        <f t="array" ref="K316">_xlfn.IFS(tbl_working_sleep[[#This Row],[SleepHours]]&lt;6,"Insufficient Sleep",tbl_working_sleep[[#This Row],[SleepHours]]&lt;7,"Below Recommended",tbl_working_sleep[[#This Row],[SleepHours]]&lt;=9,"Recommended",tbl_working_sleep[[#This Row],[SleepHours]]&gt;9,"Oversleeping")</f>
        <v>Recommended</v>
      </c>
      <c r="L316" t="str">
        <f>tbl_working_sleep[[#This Row],[Id]]&amp;"|"&amp;TEXT(tbl_working_sleep[[#This Row],[SleepDay]],"yyyy-mm-dd")</f>
        <v>6962181067|2016-04-22</v>
      </c>
    </row>
    <row r="317" spans="1:12" x14ac:dyDescent="0.3">
      <c r="A317">
        <v>6962181067</v>
      </c>
      <c r="B317" s="2">
        <v>42483</v>
      </c>
      <c r="C317">
        <v>1</v>
      </c>
      <c r="D317">
        <v>528</v>
      </c>
      <c r="E317">
        <v>546</v>
      </c>
      <c r="F317" t="str">
        <f>TEXT(tbl_working_sleep[[#This Row],[SleepDay]],"dddd")</f>
        <v>Saturday</v>
      </c>
      <c r="G317">
        <f>ROUND(tbl_working_sleep[[#This Row],[TotalMinutesAsleep]]/60,2)</f>
        <v>8.8000000000000007</v>
      </c>
      <c r="H317">
        <f>ROUND(tbl_working_sleep[[#This Row],[TotalTimeInBed]]/60,2)</f>
        <v>9.1</v>
      </c>
      <c r="I317">
        <f>tbl_working_sleep[[#This Row],[TotalTimeInBed]]-tbl_working_sleep[[#This Row],[TotalMinutesAsleep]]</f>
        <v>18</v>
      </c>
      <c r="J317">
        <f>ROUND(tbl_working_sleep[[#This Row],[TotalMinutesAsleep]]/tbl_working_sleep[[#This Row],[TotalTimeInBed]]*100,2)</f>
        <v>96.7</v>
      </c>
      <c r="K317" t="str" cm="1">
        <f t="array" ref="K317">_xlfn.IFS(tbl_working_sleep[[#This Row],[SleepHours]]&lt;6,"Insufficient Sleep",tbl_working_sleep[[#This Row],[SleepHours]]&lt;7,"Below Recommended",tbl_working_sleep[[#This Row],[SleepHours]]&lt;=9,"Recommended",tbl_working_sleep[[#This Row],[SleepHours]]&gt;9,"Oversleeping")</f>
        <v>Recommended</v>
      </c>
      <c r="L317" t="str">
        <f>tbl_working_sleep[[#This Row],[Id]]&amp;"|"&amp;TEXT(tbl_working_sleep[[#This Row],[SleepDay]],"yyyy-mm-dd")</f>
        <v>6962181067|2016-04-23</v>
      </c>
    </row>
    <row r="318" spans="1:12" x14ac:dyDescent="0.3">
      <c r="A318">
        <v>6962181067</v>
      </c>
      <c r="B318" s="2">
        <v>42484</v>
      </c>
      <c r="C318">
        <v>1</v>
      </c>
      <c r="D318">
        <v>511</v>
      </c>
      <c r="E318">
        <v>514</v>
      </c>
      <c r="F318" t="str">
        <f>TEXT(tbl_working_sleep[[#This Row],[SleepDay]],"dddd")</f>
        <v>Sunday</v>
      </c>
      <c r="G318">
        <f>ROUND(tbl_working_sleep[[#This Row],[TotalMinutesAsleep]]/60,2)</f>
        <v>8.52</v>
      </c>
      <c r="H318">
        <f>ROUND(tbl_working_sleep[[#This Row],[TotalTimeInBed]]/60,2)</f>
        <v>8.57</v>
      </c>
      <c r="I318">
        <f>tbl_working_sleep[[#This Row],[TotalTimeInBed]]-tbl_working_sleep[[#This Row],[TotalMinutesAsleep]]</f>
        <v>3</v>
      </c>
      <c r="J318">
        <f>ROUND(tbl_working_sleep[[#This Row],[TotalMinutesAsleep]]/tbl_working_sleep[[#This Row],[TotalTimeInBed]]*100,2)</f>
        <v>99.42</v>
      </c>
      <c r="K318" t="str" cm="1">
        <f t="array" ref="K318">_xlfn.IFS(tbl_working_sleep[[#This Row],[SleepHours]]&lt;6,"Insufficient Sleep",tbl_working_sleep[[#This Row],[SleepHours]]&lt;7,"Below Recommended",tbl_working_sleep[[#This Row],[SleepHours]]&lt;=9,"Recommended",tbl_working_sleep[[#This Row],[SleepHours]]&gt;9,"Oversleeping")</f>
        <v>Recommended</v>
      </c>
      <c r="L318" t="str">
        <f>tbl_working_sleep[[#This Row],[Id]]&amp;"|"&amp;TEXT(tbl_working_sleep[[#This Row],[SleepDay]],"yyyy-mm-dd")</f>
        <v>6962181067|2016-04-24</v>
      </c>
    </row>
    <row r="319" spans="1:12" x14ac:dyDescent="0.3">
      <c r="A319">
        <v>6962181067</v>
      </c>
      <c r="B319" s="2">
        <v>42485</v>
      </c>
      <c r="C319">
        <v>1</v>
      </c>
      <c r="D319">
        <v>400</v>
      </c>
      <c r="E319">
        <v>415</v>
      </c>
      <c r="F319" t="str">
        <f>TEXT(tbl_working_sleep[[#This Row],[SleepDay]],"dddd")</f>
        <v>Monday</v>
      </c>
      <c r="G319">
        <f>ROUND(tbl_working_sleep[[#This Row],[TotalMinutesAsleep]]/60,2)</f>
        <v>6.67</v>
      </c>
      <c r="H319">
        <f>ROUND(tbl_working_sleep[[#This Row],[TotalTimeInBed]]/60,2)</f>
        <v>6.92</v>
      </c>
      <c r="I319">
        <f>tbl_working_sleep[[#This Row],[TotalTimeInBed]]-tbl_working_sleep[[#This Row],[TotalMinutesAsleep]]</f>
        <v>15</v>
      </c>
      <c r="J319">
        <f>ROUND(tbl_working_sleep[[#This Row],[TotalMinutesAsleep]]/tbl_working_sleep[[#This Row],[TotalTimeInBed]]*100,2)</f>
        <v>96.39</v>
      </c>
      <c r="K319" t="str" cm="1">
        <f t="array" ref="K319">_xlfn.IFS(tbl_working_sleep[[#This Row],[SleepHours]]&lt;6,"Insufficient Sleep",tbl_working_sleep[[#This Row],[SleepHours]]&lt;7,"Below Recommended",tbl_working_sleep[[#This Row],[SleepHours]]&lt;=9,"Recommended",tbl_working_sleep[[#This Row],[SleepHours]]&gt;9,"Oversleeping")</f>
        <v>Below Recommended</v>
      </c>
      <c r="L319" t="str">
        <f>tbl_working_sleep[[#This Row],[Id]]&amp;"|"&amp;TEXT(tbl_working_sleep[[#This Row],[SleepDay]],"yyyy-mm-dd")</f>
        <v>6962181067|2016-04-25</v>
      </c>
    </row>
    <row r="320" spans="1:12" x14ac:dyDescent="0.3">
      <c r="A320">
        <v>6962181067</v>
      </c>
      <c r="B320" s="2">
        <v>42486</v>
      </c>
      <c r="C320">
        <v>1</v>
      </c>
      <c r="D320">
        <v>441</v>
      </c>
      <c r="E320">
        <v>446</v>
      </c>
      <c r="F320" t="str">
        <f>TEXT(tbl_working_sleep[[#This Row],[SleepDay]],"dddd")</f>
        <v>Tuesday</v>
      </c>
      <c r="G320">
        <f>ROUND(tbl_working_sleep[[#This Row],[TotalMinutesAsleep]]/60,2)</f>
        <v>7.35</v>
      </c>
      <c r="H320">
        <f>ROUND(tbl_working_sleep[[#This Row],[TotalTimeInBed]]/60,2)</f>
        <v>7.43</v>
      </c>
      <c r="I320">
        <f>tbl_working_sleep[[#This Row],[TotalTimeInBed]]-tbl_working_sleep[[#This Row],[TotalMinutesAsleep]]</f>
        <v>5</v>
      </c>
      <c r="J320">
        <f>ROUND(tbl_working_sleep[[#This Row],[TotalMinutesAsleep]]/tbl_working_sleep[[#This Row],[TotalTimeInBed]]*100,2)</f>
        <v>98.88</v>
      </c>
      <c r="K320" t="str" cm="1">
        <f t="array" ref="K320">_xlfn.IFS(tbl_working_sleep[[#This Row],[SleepHours]]&lt;6,"Insufficient Sleep",tbl_working_sleep[[#This Row],[SleepHours]]&lt;7,"Below Recommended",tbl_working_sleep[[#This Row],[SleepHours]]&lt;=9,"Recommended",tbl_working_sleep[[#This Row],[SleepHours]]&gt;9,"Oversleeping")</f>
        <v>Recommended</v>
      </c>
      <c r="L320" t="str">
        <f>tbl_working_sleep[[#This Row],[Id]]&amp;"|"&amp;TEXT(tbl_working_sleep[[#This Row],[SleepDay]],"yyyy-mm-dd")</f>
        <v>6962181067|2016-04-26</v>
      </c>
    </row>
    <row r="321" spans="1:12" x14ac:dyDescent="0.3">
      <c r="A321">
        <v>6962181067</v>
      </c>
      <c r="B321" s="2">
        <v>42487</v>
      </c>
      <c r="C321">
        <v>1</v>
      </c>
      <c r="D321">
        <v>455</v>
      </c>
      <c r="E321">
        <v>467</v>
      </c>
      <c r="F321" t="str">
        <f>TEXT(tbl_working_sleep[[#This Row],[SleepDay]],"dddd")</f>
        <v>Wednesday</v>
      </c>
      <c r="G321">
        <f>ROUND(tbl_working_sleep[[#This Row],[TotalMinutesAsleep]]/60,2)</f>
        <v>7.58</v>
      </c>
      <c r="H321">
        <f>ROUND(tbl_working_sleep[[#This Row],[TotalTimeInBed]]/60,2)</f>
        <v>7.78</v>
      </c>
      <c r="I321">
        <f>tbl_working_sleep[[#This Row],[TotalTimeInBed]]-tbl_working_sleep[[#This Row],[TotalMinutesAsleep]]</f>
        <v>12</v>
      </c>
      <c r="J321">
        <f>ROUND(tbl_working_sleep[[#This Row],[TotalMinutesAsleep]]/tbl_working_sleep[[#This Row],[TotalTimeInBed]]*100,2)</f>
        <v>97.43</v>
      </c>
      <c r="K321" t="str" cm="1">
        <f t="array" ref="K321">_xlfn.IFS(tbl_working_sleep[[#This Row],[SleepHours]]&lt;6,"Insufficient Sleep",tbl_working_sleep[[#This Row],[SleepHours]]&lt;7,"Below Recommended",tbl_working_sleep[[#This Row],[SleepHours]]&lt;=9,"Recommended",tbl_working_sleep[[#This Row],[SleepHours]]&gt;9,"Oversleeping")</f>
        <v>Recommended</v>
      </c>
      <c r="L321" t="str">
        <f>tbl_working_sleep[[#This Row],[Id]]&amp;"|"&amp;TEXT(tbl_working_sleep[[#This Row],[SleepDay]],"yyyy-mm-dd")</f>
        <v>6962181067|2016-04-27</v>
      </c>
    </row>
    <row r="322" spans="1:12" x14ac:dyDescent="0.3">
      <c r="A322">
        <v>6962181067</v>
      </c>
      <c r="B322" s="2">
        <v>42488</v>
      </c>
      <c r="C322">
        <v>1</v>
      </c>
      <c r="D322">
        <v>440</v>
      </c>
      <c r="E322">
        <v>453</v>
      </c>
      <c r="F322" t="str">
        <f>TEXT(tbl_working_sleep[[#This Row],[SleepDay]],"dddd")</f>
        <v>Thursday</v>
      </c>
      <c r="G322">
        <f>ROUND(tbl_working_sleep[[#This Row],[TotalMinutesAsleep]]/60,2)</f>
        <v>7.33</v>
      </c>
      <c r="H322">
        <f>ROUND(tbl_working_sleep[[#This Row],[TotalTimeInBed]]/60,2)</f>
        <v>7.55</v>
      </c>
      <c r="I322">
        <f>tbl_working_sleep[[#This Row],[TotalTimeInBed]]-tbl_working_sleep[[#This Row],[TotalMinutesAsleep]]</f>
        <v>13</v>
      </c>
      <c r="J322">
        <f>ROUND(tbl_working_sleep[[#This Row],[TotalMinutesAsleep]]/tbl_working_sleep[[#This Row],[TotalTimeInBed]]*100,2)</f>
        <v>97.13</v>
      </c>
      <c r="K322" t="str" cm="1">
        <f t="array" ref="K322">_xlfn.IFS(tbl_working_sleep[[#This Row],[SleepHours]]&lt;6,"Insufficient Sleep",tbl_working_sleep[[#This Row],[SleepHours]]&lt;7,"Below Recommended",tbl_working_sleep[[#This Row],[SleepHours]]&lt;=9,"Recommended",tbl_working_sleep[[#This Row],[SleepHours]]&gt;9,"Oversleeping")</f>
        <v>Recommended</v>
      </c>
      <c r="L322" t="str">
        <f>tbl_working_sleep[[#This Row],[Id]]&amp;"|"&amp;TEXT(tbl_working_sleep[[#This Row],[SleepDay]],"yyyy-mm-dd")</f>
        <v>6962181067|2016-04-28</v>
      </c>
    </row>
    <row r="323" spans="1:12" x14ac:dyDescent="0.3">
      <c r="A323">
        <v>6962181067</v>
      </c>
      <c r="B323" s="2">
        <v>42489</v>
      </c>
      <c r="C323">
        <v>1</v>
      </c>
      <c r="D323">
        <v>433</v>
      </c>
      <c r="E323">
        <v>447</v>
      </c>
      <c r="F323" t="str">
        <f>TEXT(tbl_working_sleep[[#This Row],[SleepDay]],"dddd")</f>
        <v>Friday</v>
      </c>
      <c r="G323">
        <f>ROUND(tbl_working_sleep[[#This Row],[TotalMinutesAsleep]]/60,2)</f>
        <v>7.22</v>
      </c>
      <c r="H323">
        <f>ROUND(tbl_working_sleep[[#This Row],[TotalTimeInBed]]/60,2)</f>
        <v>7.45</v>
      </c>
      <c r="I323">
        <f>tbl_working_sleep[[#This Row],[TotalTimeInBed]]-tbl_working_sleep[[#This Row],[TotalMinutesAsleep]]</f>
        <v>14</v>
      </c>
      <c r="J323">
        <f>ROUND(tbl_working_sleep[[#This Row],[TotalMinutesAsleep]]/tbl_working_sleep[[#This Row],[TotalTimeInBed]]*100,2)</f>
        <v>96.87</v>
      </c>
      <c r="K323" t="str" cm="1">
        <f t="array" ref="K323">_xlfn.IFS(tbl_working_sleep[[#This Row],[SleepHours]]&lt;6,"Insufficient Sleep",tbl_working_sleep[[#This Row],[SleepHours]]&lt;7,"Below Recommended",tbl_working_sleep[[#This Row],[SleepHours]]&lt;=9,"Recommended",tbl_working_sleep[[#This Row],[SleepHours]]&gt;9,"Oversleeping")</f>
        <v>Recommended</v>
      </c>
      <c r="L323" t="str">
        <f>tbl_working_sleep[[#This Row],[Id]]&amp;"|"&amp;TEXT(tbl_working_sleep[[#This Row],[SleepDay]],"yyyy-mm-dd")</f>
        <v>6962181067|2016-04-29</v>
      </c>
    </row>
    <row r="324" spans="1:12" x14ac:dyDescent="0.3">
      <c r="A324">
        <v>6962181067</v>
      </c>
      <c r="B324" s="2">
        <v>42490</v>
      </c>
      <c r="C324">
        <v>1</v>
      </c>
      <c r="D324">
        <v>422</v>
      </c>
      <c r="E324">
        <v>424</v>
      </c>
      <c r="F324" t="str">
        <f>TEXT(tbl_working_sleep[[#This Row],[SleepDay]],"dddd")</f>
        <v>Saturday</v>
      </c>
      <c r="G324">
        <f>ROUND(tbl_working_sleep[[#This Row],[TotalMinutesAsleep]]/60,2)</f>
        <v>7.03</v>
      </c>
      <c r="H324">
        <f>ROUND(tbl_working_sleep[[#This Row],[TotalTimeInBed]]/60,2)</f>
        <v>7.07</v>
      </c>
      <c r="I324">
        <f>tbl_working_sleep[[#This Row],[TotalTimeInBed]]-tbl_working_sleep[[#This Row],[TotalMinutesAsleep]]</f>
        <v>2</v>
      </c>
      <c r="J324">
        <f>ROUND(tbl_working_sleep[[#This Row],[TotalMinutesAsleep]]/tbl_working_sleep[[#This Row],[TotalTimeInBed]]*100,2)</f>
        <v>99.53</v>
      </c>
      <c r="K324" t="str" cm="1">
        <f t="array" ref="K324">_xlfn.IFS(tbl_working_sleep[[#This Row],[SleepHours]]&lt;6,"Insufficient Sleep",tbl_working_sleep[[#This Row],[SleepHours]]&lt;7,"Below Recommended",tbl_working_sleep[[#This Row],[SleepHours]]&lt;=9,"Recommended",tbl_working_sleep[[#This Row],[SleepHours]]&gt;9,"Oversleeping")</f>
        <v>Recommended</v>
      </c>
      <c r="L324" t="str">
        <f>tbl_working_sleep[[#This Row],[Id]]&amp;"|"&amp;TEXT(tbl_working_sleep[[#This Row],[SleepDay]],"yyyy-mm-dd")</f>
        <v>6962181067|2016-04-30</v>
      </c>
    </row>
    <row r="325" spans="1:12" x14ac:dyDescent="0.3">
      <c r="A325">
        <v>6962181067</v>
      </c>
      <c r="B325" s="2">
        <v>42491</v>
      </c>
      <c r="C325">
        <v>1</v>
      </c>
      <c r="D325">
        <v>411</v>
      </c>
      <c r="E325">
        <v>426</v>
      </c>
      <c r="F325" t="str">
        <f>TEXT(tbl_working_sleep[[#This Row],[SleepDay]],"dddd")</f>
        <v>Sunday</v>
      </c>
      <c r="G325">
        <f>ROUND(tbl_working_sleep[[#This Row],[TotalMinutesAsleep]]/60,2)</f>
        <v>6.85</v>
      </c>
      <c r="H325">
        <f>ROUND(tbl_working_sleep[[#This Row],[TotalTimeInBed]]/60,2)</f>
        <v>7.1</v>
      </c>
      <c r="I325">
        <f>tbl_working_sleep[[#This Row],[TotalTimeInBed]]-tbl_working_sleep[[#This Row],[TotalMinutesAsleep]]</f>
        <v>15</v>
      </c>
      <c r="J325">
        <f>ROUND(tbl_working_sleep[[#This Row],[TotalMinutesAsleep]]/tbl_working_sleep[[#This Row],[TotalTimeInBed]]*100,2)</f>
        <v>96.48</v>
      </c>
      <c r="K325" t="str" cm="1">
        <f t="array" ref="K325">_xlfn.IFS(tbl_working_sleep[[#This Row],[SleepHours]]&lt;6,"Insufficient Sleep",tbl_working_sleep[[#This Row],[SleepHours]]&lt;7,"Below Recommended",tbl_working_sleep[[#This Row],[SleepHours]]&lt;=9,"Recommended",tbl_working_sleep[[#This Row],[SleepHours]]&gt;9,"Oversleeping")</f>
        <v>Below Recommended</v>
      </c>
      <c r="L325" t="str">
        <f>tbl_working_sleep[[#This Row],[Id]]&amp;"|"&amp;TEXT(tbl_working_sleep[[#This Row],[SleepDay]],"yyyy-mm-dd")</f>
        <v>6962181067|2016-05-01</v>
      </c>
    </row>
    <row r="326" spans="1:12" x14ac:dyDescent="0.3">
      <c r="A326">
        <v>6962181067</v>
      </c>
      <c r="B326" s="2">
        <v>42492</v>
      </c>
      <c r="C326">
        <v>1</v>
      </c>
      <c r="D326">
        <v>466</v>
      </c>
      <c r="E326">
        <v>482</v>
      </c>
      <c r="F326" t="str">
        <f>TEXT(tbl_working_sleep[[#This Row],[SleepDay]],"dddd")</f>
        <v>Monday</v>
      </c>
      <c r="G326">
        <f>ROUND(tbl_working_sleep[[#This Row],[TotalMinutesAsleep]]/60,2)</f>
        <v>7.77</v>
      </c>
      <c r="H326">
        <f>ROUND(tbl_working_sleep[[#This Row],[TotalTimeInBed]]/60,2)</f>
        <v>8.0299999999999994</v>
      </c>
      <c r="I326">
        <f>tbl_working_sleep[[#This Row],[TotalTimeInBed]]-tbl_working_sleep[[#This Row],[TotalMinutesAsleep]]</f>
        <v>16</v>
      </c>
      <c r="J326">
        <f>ROUND(tbl_working_sleep[[#This Row],[TotalMinutesAsleep]]/tbl_working_sleep[[#This Row],[TotalTimeInBed]]*100,2)</f>
        <v>96.68</v>
      </c>
      <c r="K326" t="str" cm="1">
        <f t="array" ref="K326">_xlfn.IFS(tbl_working_sleep[[#This Row],[SleepHours]]&lt;6,"Insufficient Sleep",tbl_working_sleep[[#This Row],[SleepHours]]&lt;7,"Below Recommended",tbl_working_sleep[[#This Row],[SleepHours]]&lt;=9,"Recommended",tbl_working_sleep[[#This Row],[SleepHours]]&gt;9,"Oversleeping")</f>
        <v>Recommended</v>
      </c>
      <c r="L326" t="str">
        <f>tbl_working_sleep[[#This Row],[Id]]&amp;"|"&amp;TEXT(tbl_working_sleep[[#This Row],[SleepDay]],"yyyy-mm-dd")</f>
        <v>6962181067|2016-05-02</v>
      </c>
    </row>
    <row r="327" spans="1:12" x14ac:dyDescent="0.3">
      <c r="A327">
        <v>6962181067</v>
      </c>
      <c r="B327" s="2">
        <v>42493</v>
      </c>
      <c r="C327">
        <v>1</v>
      </c>
      <c r="D327">
        <v>394</v>
      </c>
      <c r="E327">
        <v>418</v>
      </c>
      <c r="F327" t="str">
        <f>TEXT(tbl_working_sleep[[#This Row],[SleepDay]],"dddd")</f>
        <v>Tuesday</v>
      </c>
      <c r="G327">
        <f>ROUND(tbl_working_sleep[[#This Row],[TotalMinutesAsleep]]/60,2)</f>
        <v>6.57</v>
      </c>
      <c r="H327">
        <f>ROUND(tbl_working_sleep[[#This Row],[TotalTimeInBed]]/60,2)</f>
        <v>6.97</v>
      </c>
      <c r="I327">
        <f>tbl_working_sleep[[#This Row],[TotalTimeInBed]]-tbl_working_sleep[[#This Row],[TotalMinutesAsleep]]</f>
        <v>24</v>
      </c>
      <c r="J327">
        <f>ROUND(tbl_working_sleep[[#This Row],[TotalMinutesAsleep]]/tbl_working_sleep[[#This Row],[TotalTimeInBed]]*100,2)</f>
        <v>94.26</v>
      </c>
      <c r="K327" t="str" cm="1">
        <f t="array" ref="K327">_xlfn.IFS(tbl_working_sleep[[#This Row],[SleepHours]]&lt;6,"Insufficient Sleep",tbl_working_sleep[[#This Row],[SleepHours]]&lt;7,"Below Recommended",tbl_working_sleep[[#This Row],[SleepHours]]&lt;=9,"Recommended",tbl_working_sleep[[#This Row],[SleepHours]]&gt;9,"Oversleeping")</f>
        <v>Below Recommended</v>
      </c>
      <c r="L327" t="str">
        <f>tbl_working_sleep[[#This Row],[Id]]&amp;"|"&amp;TEXT(tbl_working_sleep[[#This Row],[SleepDay]],"yyyy-mm-dd")</f>
        <v>6962181067|2016-05-03</v>
      </c>
    </row>
    <row r="328" spans="1:12" x14ac:dyDescent="0.3">
      <c r="A328">
        <v>6962181067</v>
      </c>
      <c r="B328" s="2">
        <v>42494</v>
      </c>
      <c r="C328">
        <v>1</v>
      </c>
      <c r="D328">
        <v>442</v>
      </c>
      <c r="E328">
        <v>455</v>
      </c>
      <c r="F328" t="str">
        <f>TEXT(tbl_working_sleep[[#This Row],[SleepDay]],"dddd")</f>
        <v>Wednesday</v>
      </c>
      <c r="G328">
        <f>ROUND(tbl_working_sleep[[#This Row],[TotalMinutesAsleep]]/60,2)</f>
        <v>7.37</v>
      </c>
      <c r="H328">
        <f>ROUND(tbl_working_sleep[[#This Row],[TotalTimeInBed]]/60,2)</f>
        <v>7.58</v>
      </c>
      <c r="I328">
        <f>tbl_working_sleep[[#This Row],[TotalTimeInBed]]-tbl_working_sleep[[#This Row],[TotalMinutesAsleep]]</f>
        <v>13</v>
      </c>
      <c r="J328">
        <f>ROUND(tbl_working_sleep[[#This Row],[TotalMinutesAsleep]]/tbl_working_sleep[[#This Row],[TotalTimeInBed]]*100,2)</f>
        <v>97.14</v>
      </c>
      <c r="K328" t="str" cm="1">
        <f t="array" ref="K328">_xlfn.IFS(tbl_working_sleep[[#This Row],[SleepHours]]&lt;6,"Insufficient Sleep",tbl_working_sleep[[#This Row],[SleepHours]]&lt;7,"Below Recommended",tbl_working_sleep[[#This Row],[SleepHours]]&lt;=9,"Recommended",tbl_working_sleep[[#This Row],[SleepHours]]&gt;9,"Oversleeping")</f>
        <v>Recommended</v>
      </c>
      <c r="L328" t="str">
        <f>tbl_working_sleep[[#This Row],[Id]]&amp;"|"&amp;TEXT(tbl_working_sleep[[#This Row],[SleepDay]],"yyyy-mm-dd")</f>
        <v>6962181067|2016-05-04</v>
      </c>
    </row>
    <row r="329" spans="1:12" x14ac:dyDescent="0.3">
      <c r="A329">
        <v>6962181067</v>
      </c>
      <c r="B329" s="2">
        <v>42495</v>
      </c>
      <c r="C329">
        <v>1</v>
      </c>
      <c r="D329">
        <v>467</v>
      </c>
      <c r="E329">
        <v>491</v>
      </c>
      <c r="F329" t="str">
        <f>TEXT(tbl_working_sleep[[#This Row],[SleepDay]],"dddd")</f>
        <v>Thursday</v>
      </c>
      <c r="G329">
        <f>ROUND(tbl_working_sleep[[#This Row],[TotalMinutesAsleep]]/60,2)</f>
        <v>7.78</v>
      </c>
      <c r="H329">
        <f>ROUND(tbl_working_sleep[[#This Row],[TotalTimeInBed]]/60,2)</f>
        <v>8.18</v>
      </c>
      <c r="I329">
        <f>tbl_working_sleep[[#This Row],[TotalTimeInBed]]-tbl_working_sleep[[#This Row],[TotalMinutesAsleep]]</f>
        <v>24</v>
      </c>
      <c r="J329">
        <f>ROUND(tbl_working_sleep[[#This Row],[TotalMinutesAsleep]]/tbl_working_sleep[[#This Row],[TotalTimeInBed]]*100,2)</f>
        <v>95.11</v>
      </c>
      <c r="K329" t="str" cm="1">
        <f t="array" ref="K329">_xlfn.IFS(tbl_working_sleep[[#This Row],[SleepHours]]&lt;6,"Insufficient Sleep",tbl_working_sleep[[#This Row],[SleepHours]]&lt;7,"Below Recommended",tbl_working_sleep[[#This Row],[SleepHours]]&lt;=9,"Recommended",tbl_working_sleep[[#This Row],[SleepHours]]&gt;9,"Oversleeping")</f>
        <v>Recommended</v>
      </c>
      <c r="L329" t="str">
        <f>tbl_working_sleep[[#This Row],[Id]]&amp;"|"&amp;TEXT(tbl_working_sleep[[#This Row],[SleepDay]],"yyyy-mm-dd")</f>
        <v>6962181067|2016-05-05</v>
      </c>
    </row>
    <row r="330" spans="1:12" x14ac:dyDescent="0.3">
      <c r="A330">
        <v>6962181067</v>
      </c>
      <c r="B330" s="2">
        <v>42496</v>
      </c>
      <c r="C330">
        <v>1</v>
      </c>
      <c r="D330">
        <v>443</v>
      </c>
      <c r="E330">
        <v>462</v>
      </c>
      <c r="F330" t="str">
        <f>TEXT(tbl_working_sleep[[#This Row],[SleepDay]],"dddd")</f>
        <v>Friday</v>
      </c>
      <c r="G330">
        <f>ROUND(tbl_working_sleep[[#This Row],[TotalMinutesAsleep]]/60,2)</f>
        <v>7.38</v>
      </c>
      <c r="H330">
        <f>ROUND(tbl_working_sleep[[#This Row],[TotalTimeInBed]]/60,2)</f>
        <v>7.7</v>
      </c>
      <c r="I330">
        <f>tbl_working_sleep[[#This Row],[TotalTimeInBed]]-tbl_working_sleep[[#This Row],[TotalMinutesAsleep]]</f>
        <v>19</v>
      </c>
      <c r="J330">
        <f>ROUND(tbl_working_sleep[[#This Row],[TotalMinutesAsleep]]/tbl_working_sleep[[#This Row],[TotalTimeInBed]]*100,2)</f>
        <v>95.89</v>
      </c>
      <c r="K330" t="str" cm="1">
        <f t="array" ref="K330">_xlfn.IFS(tbl_working_sleep[[#This Row],[SleepHours]]&lt;6,"Insufficient Sleep",tbl_working_sleep[[#This Row],[SleepHours]]&lt;7,"Below Recommended",tbl_working_sleep[[#This Row],[SleepHours]]&lt;=9,"Recommended",tbl_working_sleep[[#This Row],[SleepHours]]&gt;9,"Oversleeping")</f>
        <v>Recommended</v>
      </c>
      <c r="L330" t="str">
        <f>tbl_working_sleep[[#This Row],[Id]]&amp;"|"&amp;TEXT(tbl_working_sleep[[#This Row],[SleepDay]],"yyyy-mm-dd")</f>
        <v>6962181067|2016-05-06</v>
      </c>
    </row>
    <row r="331" spans="1:12" x14ac:dyDescent="0.3">
      <c r="A331">
        <v>6962181067</v>
      </c>
      <c r="B331" s="2">
        <v>42497</v>
      </c>
      <c r="C331">
        <v>1</v>
      </c>
      <c r="D331">
        <v>298</v>
      </c>
      <c r="E331">
        <v>334</v>
      </c>
      <c r="F331" t="str">
        <f>TEXT(tbl_working_sleep[[#This Row],[SleepDay]],"dddd")</f>
        <v>Saturday</v>
      </c>
      <c r="G331">
        <f>ROUND(tbl_working_sleep[[#This Row],[TotalMinutesAsleep]]/60,2)</f>
        <v>4.97</v>
      </c>
      <c r="H331">
        <f>ROUND(tbl_working_sleep[[#This Row],[TotalTimeInBed]]/60,2)</f>
        <v>5.57</v>
      </c>
      <c r="I331">
        <f>tbl_working_sleep[[#This Row],[TotalTimeInBed]]-tbl_working_sleep[[#This Row],[TotalMinutesAsleep]]</f>
        <v>36</v>
      </c>
      <c r="J331">
        <f>ROUND(tbl_working_sleep[[#This Row],[TotalMinutesAsleep]]/tbl_working_sleep[[#This Row],[TotalTimeInBed]]*100,2)</f>
        <v>89.22</v>
      </c>
      <c r="K331" t="str" cm="1">
        <f t="array" ref="K331">_xlfn.IFS(tbl_working_sleep[[#This Row],[SleepHours]]&lt;6,"Insufficient Sleep",tbl_working_sleep[[#This Row],[SleepHours]]&lt;7,"Below Recommended",tbl_working_sleep[[#This Row],[SleepHours]]&lt;=9,"Recommended",tbl_working_sleep[[#This Row],[SleepHours]]&gt;9,"Oversleeping")</f>
        <v>Insufficient Sleep</v>
      </c>
      <c r="L331" t="str">
        <f>tbl_working_sleep[[#This Row],[Id]]&amp;"|"&amp;TEXT(tbl_working_sleep[[#This Row],[SleepDay]],"yyyy-mm-dd")</f>
        <v>6962181067|2016-05-07</v>
      </c>
    </row>
    <row r="332" spans="1:12" x14ac:dyDescent="0.3">
      <c r="A332">
        <v>6962181067</v>
      </c>
      <c r="B332" s="2">
        <v>42498</v>
      </c>
      <c r="C332">
        <v>1</v>
      </c>
      <c r="D332">
        <v>541</v>
      </c>
      <c r="E332">
        <v>569</v>
      </c>
      <c r="F332" t="str">
        <f>TEXT(tbl_working_sleep[[#This Row],[SleepDay]],"dddd")</f>
        <v>Sunday</v>
      </c>
      <c r="G332">
        <f>ROUND(tbl_working_sleep[[#This Row],[TotalMinutesAsleep]]/60,2)</f>
        <v>9.02</v>
      </c>
      <c r="H332">
        <f>ROUND(tbl_working_sleep[[#This Row],[TotalTimeInBed]]/60,2)</f>
        <v>9.48</v>
      </c>
      <c r="I332">
        <f>tbl_working_sleep[[#This Row],[TotalTimeInBed]]-tbl_working_sleep[[#This Row],[TotalMinutesAsleep]]</f>
        <v>28</v>
      </c>
      <c r="J332">
        <f>ROUND(tbl_working_sleep[[#This Row],[TotalMinutesAsleep]]/tbl_working_sleep[[#This Row],[TotalTimeInBed]]*100,2)</f>
        <v>95.08</v>
      </c>
      <c r="K332" t="str" cm="1">
        <f t="array" ref="K332">_xlfn.IFS(tbl_working_sleep[[#This Row],[SleepHours]]&lt;6,"Insufficient Sleep",tbl_working_sleep[[#This Row],[SleepHours]]&lt;7,"Below Recommended",tbl_working_sleep[[#This Row],[SleepHours]]&lt;=9,"Recommended",tbl_working_sleep[[#This Row],[SleepHours]]&gt;9,"Oversleeping")</f>
        <v>Oversleeping</v>
      </c>
      <c r="L332" t="str">
        <f>tbl_working_sleep[[#This Row],[Id]]&amp;"|"&amp;TEXT(tbl_working_sleep[[#This Row],[SleepDay]],"yyyy-mm-dd")</f>
        <v>6962181067|2016-05-08</v>
      </c>
    </row>
    <row r="333" spans="1:12" x14ac:dyDescent="0.3">
      <c r="A333">
        <v>6962181067</v>
      </c>
      <c r="B333" s="2">
        <v>42499</v>
      </c>
      <c r="C333">
        <v>1</v>
      </c>
      <c r="D333">
        <v>489</v>
      </c>
      <c r="E333">
        <v>497</v>
      </c>
      <c r="F333" t="str">
        <f>TEXT(tbl_working_sleep[[#This Row],[SleepDay]],"dddd")</f>
        <v>Monday</v>
      </c>
      <c r="G333">
        <f>ROUND(tbl_working_sleep[[#This Row],[TotalMinutesAsleep]]/60,2)</f>
        <v>8.15</v>
      </c>
      <c r="H333">
        <f>ROUND(tbl_working_sleep[[#This Row],[TotalTimeInBed]]/60,2)</f>
        <v>8.2799999999999994</v>
      </c>
      <c r="I333">
        <f>tbl_working_sleep[[#This Row],[TotalTimeInBed]]-tbl_working_sleep[[#This Row],[TotalMinutesAsleep]]</f>
        <v>8</v>
      </c>
      <c r="J333">
        <f>ROUND(tbl_working_sleep[[#This Row],[TotalMinutesAsleep]]/tbl_working_sleep[[#This Row],[TotalTimeInBed]]*100,2)</f>
        <v>98.39</v>
      </c>
      <c r="K333" t="str" cm="1">
        <f t="array" ref="K333">_xlfn.IFS(tbl_working_sleep[[#This Row],[SleepHours]]&lt;6,"Insufficient Sleep",tbl_working_sleep[[#This Row],[SleepHours]]&lt;7,"Below Recommended",tbl_working_sleep[[#This Row],[SleepHours]]&lt;=9,"Recommended",tbl_working_sleep[[#This Row],[SleepHours]]&gt;9,"Oversleeping")</f>
        <v>Recommended</v>
      </c>
      <c r="L333" t="str">
        <f>tbl_working_sleep[[#This Row],[Id]]&amp;"|"&amp;TEXT(tbl_working_sleep[[#This Row],[SleepDay]],"yyyy-mm-dd")</f>
        <v>6962181067|2016-05-09</v>
      </c>
    </row>
    <row r="334" spans="1:12" x14ac:dyDescent="0.3">
      <c r="A334">
        <v>6962181067</v>
      </c>
      <c r="B334" s="2">
        <v>42500</v>
      </c>
      <c r="C334">
        <v>1</v>
      </c>
      <c r="D334">
        <v>469</v>
      </c>
      <c r="E334">
        <v>481</v>
      </c>
      <c r="F334" t="str">
        <f>TEXT(tbl_working_sleep[[#This Row],[SleepDay]],"dddd")</f>
        <v>Tuesday</v>
      </c>
      <c r="G334">
        <f>ROUND(tbl_working_sleep[[#This Row],[TotalMinutesAsleep]]/60,2)</f>
        <v>7.82</v>
      </c>
      <c r="H334">
        <f>ROUND(tbl_working_sleep[[#This Row],[TotalTimeInBed]]/60,2)</f>
        <v>8.02</v>
      </c>
      <c r="I334">
        <f>tbl_working_sleep[[#This Row],[TotalTimeInBed]]-tbl_working_sleep[[#This Row],[TotalMinutesAsleep]]</f>
        <v>12</v>
      </c>
      <c r="J334">
        <f>ROUND(tbl_working_sleep[[#This Row],[TotalMinutesAsleep]]/tbl_working_sleep[[#This Row],[TotalTimeInBed]]*100,2)</f>
        <v>97.51</v>
      </c>
      <c r="K334" t="str" cm="1">
        <f t="array" ref="K334">_xlfn.IFS(tbl_working_sleep[[#This Row],[SleepHours]]&lt;6,"Insufficient Sleep",tbl_working_sleep[[#This Row],[SleepHours]]&lt;7,"Below Recommended",tbl_working_sleep[[#This Row],[SleepHours]]&lt;=9,"Recommended",tbl_working_sleep[[#This Row],[SleepHours]]&gt;9,"Oversleeping")</f>
        <v>Recommended</v>
      </c>
      <c r="L334" t="str">
        <f>tbl_working_sleep[[#This Row],[Id]]&amp;"|"&amp;TEXT(tbl_working_sleep[[#This Row],[SleepDay]],"yyyy-mm-dd")</f>
        <v>6962181067|2016-05-10</v>
      </c>
    </row>
    <row r="335" spans="1:12" x14ac:dyDescent="0.3">
      <c r="A335">
        <v>6962181067</v>
      </c>
      <c r="B335" s="2">
        <v>42501</v>
      </c>
      <c r="C335">
        <v>1</v>
      </c>
      <c r="D335">
        <v>452</v>
      </c>
      <c r="E335">
        <v>480</v>
      </c>
      <c r="F335" t="str">
        <f>TEXT(tbl_working_sleep[[#This Row],[SleepDay]],"dddd")</f>
        <v>Wednesday</v>
      </c>
      <c r="G335">
        <f>ROUND(tbl_working_sleep[[#This Row],[TotalMinutesAsleep]]/60,2)</f>
        <v>7.53</v>
      </c>
      <c r="H335">
        <f>ROUND(tbl_working_sleep[[#This Row],[TotalTimeInBed]]/60,2)</f>
        <v>8</v>
      </c>
      <c r="I335">
        <f>tbl_working_sleep[[#This Row],[TotalTimeInBed]]-tbl_working_sleep[[#This Row],[TotalMinutesAsleep]]</f>
        <v>28</v>
      </c>
      <c r="J335">
        <f>ROUND(tbl_working_sleep[[#This Row],[TotalMinutesAsleep]]/tbl_working_sleep[[#This Row],[TotalTimeInBed]]*100,2)</f>
        <v>94.17</v>
      </c>
      <c r="K335" t="str" cm="1">
        <f t="array" ref="K335">_xlfn.IFS(tbl_working_sleep[[#This Row],[SleepHours]]&lt;6,"Insufficient Sleep",tbl_working_sleep[[#This Row],[SleepHours]]&lt;7,"Below Recommended",tbl_working_sleep[[#This Row],[SleepHours]]&lt;=9,"Recommended",tbl_working_sleep[[#This Row],[SleepHours]]&gt;9,"Oversleeping")</f>
        <v>Recommended</v>
      </c>
      <c r="L335" t="str">
        <f>tbl_working_sleep[[#This Row],[Id]]&amp;"|"&amp;TEXT(tbl_working_sleep[[#This Row],[SleepDay]],"yyyy-mm-dd")</f>
        <v>6962181067|2016-05-11</v>
      </c>
    </row>
    <row r="336" spans="1:12" x14ac:dyDescent="0.3">
      <c r="A336">
        <v>6962181067</v>
      </c>
      <c r="B336" s="2">
        <v>42502</v>
      </c>
      <c r="C336">
        <v>1</v>
      </c>
      <c r="D336">
        <v>516</v>
      </c>
      <c r="E336">
        <v>535</v>
      </c>
      <c r="F336" t="str">
        <f>TEXT(tbl_working_sleep[[#This Row],[SleepDay]],"dddd")</f>
        <v>Thursday</v>
      </c>
      <c r="G336">
        <f>ROUND(tbl_working_sleep[[#This Row],[TotalMinutesAsleep]]/60,2)</f>
        <v>8.6</v>
      </c>
      <c r="H336">
        <f>ROUND(tbl_working_sleep[[#This Row],[TotalTimeInBed]]/60,2)</f>
        <v>8.92</v>
      </c>
      <c r="I336">
        <f>tbl_working_sleep[[#This Row],[TotalTimeInBed]]-tbl_working_sleep[[#This Row],[TotalMinutesAsleep]]</f>
        <v>19</v>
      </c>
      <c r="J336">
        <f>ROUND(tbl_working_sleep[[#This Row],[TotalMinutesAsleep]]/tbl_working_sleep[[#This Row],[TotalTimeInBed]]*100,2)</f>
        <v>96.45</v>
      </c>
      <c r="K336" t="str" cm="1">
        <f t="array" ref="K336">_xlfn.IFS(tbl_working_sleep[[#This Row],[SleepHours]]&lt;6,"Insufficient Sleep",tbl_working_sleep[[#This Row],[SleepHours]]&lt;7,"Below Recommended",tbl_working_sleep[[#This Row],[SleepHours]]&lt;=9,"Recommended",tbl_working_sleep[[#This Row],[SleepHours]]&gt;9,"Oversleeping")</f>
        <v>Recommended</v>
      </c>
      <c r="L336" t="str">
        <f>tbl_working_sleep[[#This Row],[Id]]&amp;"|"&amp;TEXT(tbl_working_sleep[[#This Row],[SleepDay]],"yyyy-mm-dd")</f>
        <v>6962181067|2016-05-12</v>
      </c>
    </row>
    <row r="337" spans="1:12" x14ac:dyDescent="0.3">
      <c r="A337">
        <v>7007744171</v>
      </c>
      <c r="B337" s="2">
        <v>42476</v>
      </c>
      <c r="C337">
        <v>1</v>
      </c>
      <c r="D337">
        <v>79</v>
      </c>
      <c r="E337">
        <v>82</v>
      </c>
      <c r="F337" t="str">
        <f>TEXT(tbl_working_sleep[[#This Row],[SleepDay]],"dddd")</f>
        <v>Saturday</v>
      </c>
      <c r="G337">
        <f>ROUND(tbl_working_sleep[[#This Row],[TotalMinutesAsleep]]/60,2)</f>
        <v>1.32</v>
      </c>
      <c r="H337">
        <f>ROUND(tbl_working_sleep[[#This Row],[TotalTimeInBed]]/60,2)</f>
        <v>1.37</v>
      </c>
      <c r="I337">
        <f>tbl_working_sleep[[#This Row],[TotalTimeInBed]]-tbl_working_sleep[[#This Row],[TotalMinutesAsleep]]</f>
        <v>3</v>
      </c>
      <c r="J337">
        <f>ROUND(tbl_working_sleep[[#This Row],[TotalMinutesAsleep]]/tbl_working_sleep[[#This Row],[TotalTimeInBed]]*100,2)</f>
        <v>96.34</v>
      </c>
      <c r="K337" t="str" cm="1">
        <f t="array" ref="K337">_xlfn.IFS(tbl_working_sleep[[#This Row],[SleepHours]]&lt;6,"Insufficient Sleep",tbl_working_sleep[[#This Row],[SleepHours]]&lt;7,"Below Recommended",tbl_working_sleep[[#This Row],[SleepHours]]&lt;=9,"Recommended",tbl_working_sleep[[#This Row],[SleepHours]]&gt;9,"Oversleeping")</f>
        <v>Insufficient Sleep</v>
      </c>
      <c r="L337" t="str">
        <f>tbl_working_sleep[[#This Row],[Id]]&amp;"|"&amp;TEXT(tbl_working_sleep[[#This Row],[SleepDay]],"yyyy-mm-dd")</f>
        <v>7007744171|2016-04-16</v>
      </c>
    </row>
    <row r="338" spans="1:12" x14ac:dyDescent="0.3">
      <c r="A338">
        <v>7007744171</v>
      </c>
      <c r="B338" s="2">
        <v>42491</v>
      </c>
      <c r="C338">
        <v>1</v>
      </c>
      <c r="D338">
        <v>58</v>
      </c>
      <c r="E338">
        <v>61</v>
      </c>
      <c r="F338" t="str">
        <f>TEXT(tbl_working_sleep[[#This Row],[SleepDay]],"dddd")</f>
        <v>Sunday</v>
      </c>
      <c r="G338">
        <f>ROUND(tbl_working_sleep[[#This Row],[TotalMinutesAsleep]]/60,2)</f>
        <v>0.97</v>
      </c>
      <c r="H338">
        <f>ROUND(tbl_working_sleep[[#This Row],[TotalTimeInBed]]/60,2)</f>
        <v>1.02</v>
      </c>
      <c r="I338">
        <f>tbl_working_sleep[[#This Row],[TotalTimeInBed]]-tbl_working_sleep[[#This Row],[TotalMinutesAsleep]]</f>
        <v>3</v>
      </c>
      <c r="J338">
        <f>ROUND(tbl_working_sleep[[#This Row],[TotalMinutesAsleep]]/tbl_working_sleep[[#This Row],[TotalTimeInBed]]*100,2)</f>
        <v>95.08</v>
      </c>
      <c r="K338" t="str" cm="1">
        <f t="array" ref="K338">_xlfn.IFS(tbl_working_sleep[[#This Row],[SleepHours]]&lt;6,"Insufficient Sleep",tbl_working_sleep[[#This Row],[SleepHours]]&lt;7,"Below Recommended",tbl_working_sleep[[#This Row],[SleepHours]]&lt;=9,"Recommended",tbl_working_sleep[[#This Row],[SleepHours]]&gt;9,"Oversleeping")</f>
        <v>Insufficient Sleep</v>
      </c>
      <c r="L338" t="str">
        <f>tbl_working_sleep[[#This Row],[Id]]&amp;"|"&amp;TEXT(tbl_working_sleep[[#This Row],[SleepDay]],"yyyy-mm-dd")</f>
        <v>7007744171|2016-05-01</v>
      </c>
    </row>
    <row r="339" spans="1:12" x14ac:dyDescent="0.3">
      <c r="A339">
        <v>7086361926</v>
      </c>
      <c r="B339" s="2">
        <v>42472</v>
      </c>
      <c r="C339">
        <v>1</v>
      </c>
      <c r="D339">
        <v>514</v>
      </c>
      <c r="E339">
        <v>525</v>
      </c>
      <c r="F339" t="str">
        <f>TEXT(tbl_working_sleep[[#This Row],[SleepDay]],"dddd")</f>
        <v>Tuesday</v>
      </c>
      <c r="G339">
        <f>ROUND(tbl_working_sleep[[#This Row],[TotalMinutesAsleep]]/60,2)</f>
        <v>8.57</v>
      </c>
      <c r="H339">
        <f>ROUND(tbl_working_sleep[[#This Row],[TotalTimeInBed]]/60,2)</f>
        <v>8.75</v>
      </c>
      <c r="I339">
        <f>tbl_working_sleep[[#This Row],[TotalTimeInBed]]-tbl_working_sleep[[#This Row],[TotalMinutesAsleep]]</f>
        <v>11</v>
      </c>
      <c r="J339">
        <f>ROUND(tbl_working_sleep[[#This Row],[TotalMinutesAsleep]]/tbl_working_sleep[[#This Row],[TotalTimeInBed]]*100,2)</f>
        <v>97.9</v>
      </c>
      <c r="K339" t="str" cm="1">
        <f t="array" ref="K339">_xlfn.IFS(tbl_working_sleep[[#This Row],[SleepHours]]&lt;6,"Insufficient Sleep",tbl_working_sleep[[#This Row],[SleepHours]]&lt;7,"Below Recommended",tbl_working_sleep[[#This Row],[SleepHours]]&lt;=9,"Recommended",tbl_working_sleep[[#This Row],[SleepHours]]&gt;9,"Oversleeping")</f>
        <v>Recommended</v>
      </c>
      <c r="L339" t="str">
        <f>tbl_working_sleep[[#This Row],[Id]]&amp;"|"&amp;TEXT(tbl_working_sleep[[#This Row],[SleepDay]],"yyyy-mm-dd")</f>
        <v>7086361926|2016-04-12</v>
      </c>
    </row>
    <row r="340" spans="1:12" x14ac:dyDescent="0.3">
      <c r="A340">
        <v>7086361926</v>
      </c>
      <c r="B340" s="2">
        <v>42473</v>
      </c>
      <c r="C340">
        <v>1</v>
      </c>
      <c r="D340">
        <v>451</v>
      </c>
      <c r="E340">
        <v>465</v>
      </c>
      <c r="F340" t="str">
        <f>TEXT(tbl_working_sleep[[#This Row],[SleepDay]],"dddd")</f>
        <v>Wednesday</v>
      </c>
      <c r="G340">
        <f>ROUND(tbl_working_sleep[[#This Row],[TotalMinutesAsleep]]/60,2)</f>
        <v>7.52</v>
      </c>
      <c r="H340">
        <f>ROUND(tbl_working_sleep[[#This Row],[TotalTimeInBed]]/60,2)</f>
        <v>7.75</v>
      </c>
      <c r="I340">
        <f>tbl_working_sleep[[#This Row],[TotalTimeInBed]]-tbl_working_sleep[[#This Row],[TotalMinutesAsleep]]</f>
        <v>14</v>
      </c>
      <c r="J340">
        <f>ROUND(tbl_working_sleep[[#This Row],[TotalMinutesAsleep]]/tbl_working_sleep[[#This Row],[TotalTimeInBed]]*100,2)</f>
        <v>96.99</v>
      </c>
      <c r="K340" t="str" cm="1">
        <f t="array" ref="K340">_xlfn.IFS(tbl_working_sleep[[#This Row],[SleepHours]]&lt;6,"Insufficient Sleep",tbl_working_sleep[[#This Row],[SleepHours]]&lt;7,"Below Recommended",tbl_working_sleep[[#This Row],[SleepHours]]&lt;=9,"Recommended",tbl_working_sleep[[#This Row],[SleepHours]]&gt;9,"Oversleeping")</f>
        <v>Recommended</v>
      </c>
      <c r="L340" t="str">
        <f>tbl_working_sleep[[#This Row],[Id]]&amp;"|"&amp;TEXT(tbl_working_sleep[[#This Row],[SleepDay]],"yyyy-mm-dd")</f>
        <v>7086361926|2016-04-13</v>
      </c>
    </row>
    <row r="341" spans="1:12" x14ac:dyDescent="0.3">
      <c r="A341">
        <v>7086361926</v>
      </c>
      <c r="B341" s="2">
        <v>42474</v>
      </c>
      <c r="C341">
        <v>1</v>
      </c>
      <c r="D341">
        <v>472</v>
      </c>
      <c r="E341">
        <v>476</v>
      </c>
      <c r="F341" t="str">
        <f>TEXT(tbl_working_sleep[[#This Row],[SleepDay]],"dddd")</f>
        <v>Thursday</v>
      </c>
      <c r="G341">
        <f>ROUND(tbl_working_sleep[[#This Row],[TotalMinutesAsleep]]/60,2)</f>
        <v>7.87</v>
      </c>
      <c r="H341">
        <f>ROUND(tbl_working_sleep[[#This Row],[TotalTimeInBed]]/60,2)</f>
        <v>7.93</v>
      </c>
      <c r="I341">
        <f>tbl_working_sleep[[#This Row],[TotalTimeInBed]]-tbl_working_sleep[[#This Row],[TotalMinutesAsleep]]</f>
        <v>4</v>
      </c>
      <c r="J341">
        <f>ROUND(tbl_working_sleep[[#This Row],[TotalMinutesAsleep]]/tbl_working_sleep[[#This Row],[TotalTimeInBed]]*100,2)</f>
        <v>99.16</v>
      </c>
      <c r="K341" t="str" cm="1">
        <f t="array" ref="K341">_xlfn.IFS(tbl_working_sleep[[#This Row],[SleepHours]]&lt;6,"Insufficient Sleep",tbl_working_sleep[[#This Row],[SleepHours]]&lt;7,"Below Recommended",tbl_working_sleep[[#This Row],[SleepHours]]&lt;=9,"Recommended",tbl_working_sleep[[#This Row],[SleepHours]]&gt;9,"Oversleeping")</f>
        <v>Recommended</v>
      </c>
      <c r="L341" t="str">
        <f>tbl_working_sleep[[#This Row],[Id]]&amp;"|"&amp;TEXT(tbl_working_sleep[[#This Row],[SleepDay]],"yyyy-mm-dd")</f>
        <v>7086361926|2016-04-14</v>
      </c>
    </row>
    <row r="342" spans="1:12" x14ac:dyDescent="0.3">
      <c r="A342">
        <v>7086361926</v>
      </c>
      <c r="B342" s="2">
        <v>42475</v>
      </c>
      <c r="C342">
        <v>1</v>
      </c>
      <c r="D342">
        <v>377</v>
      </c>
      <c r="E342">
        <v>386</v>
      </c>
      <c r="F342" t="str">
        <f>TEXT(tbl_working_sleep[[#This Row],[SleepDay]],"dddd")</f>
        <v>Friday</v>
      </c>
      <c r="G342">
        <f>ROUND(tbl_working_sleep[[#This Row],[TotalMinutesAsleep]]/60,2)</f>
        <v>6.28</v>
      </c>
      <c r="H342">
        <f>ROUND(tbl_working_sleep[[#This Row],[TotalTimeInBed]]/60,2)</f>
        <v>6.43</v>
      </c>
      <c r="I342">
        <f>tbl_working_sleep[[#This Row],[TotalTimeInBed]]-tbl_working_sleep[[#This Row],[TotalMinutesAsleep]]</f>
        <v>9</v>
      </c>
      <c r="J342">
        <f>ROUND(tbl_working_sleep[[#This Row],[TotalMinutesAsleep]]/tbl_working_sleep[[#This Row],[TotalTimeInBed]]*100,2)</f>
        <v>97.67</v>
      </c>
      <c r="K342" t="str" cm="1">
        <f t="array" ref="K342">_xlfn.IFS(tbl_working_sleep[[#This Row],[SleepHours]]&lt;6,"Insufficient Sleep",tbl_working_sleep[[#This Row],[SleepHours]]&lt;7,"Below Recommended",tbl_working_sleep[[#This Row],[SleepHours]]&lt;=9,"Recommended",tbl_working_sleep[[#This Row],[SleepHours]]&gt;9,"Oversleeping")</f>
        <v>Below Recommended</v>
      </c>
      <c r="L342" t="str">
        <f>tbl_working_sleep[[#This Row],[Id]]&amp;"|"&amp;TEXT(tbl_working_sleep[[#This Row],[SleepDay]],"yyyy-mm-dd")</f>
        <v>7086361926|2016-04-15</v>
      </c>
    </row>
    <row r="343" spans="1:12" x14ac:dyDescent="0.3">
      <c r="A343">
        <v>7086361926</v>
      </c>
      <c r="B343" s="2">
        <v>42479</v>
      </c>
      <c r="C343">
        <v>1</v>
      </c>
      <c r="D343">
        <v>472</v>
      </c>
      <c r="E343">
        <v>483</v>
      </c>
      <c r="F343" t="str">
        <f>TEXT(tbl_working_sleep[[#This Row],[SleepDay]],"dddd")</f>
        <v>Tuesday</v>
      </c>
      <c r="G343">
        <f>ROUND(tbl_working_sleep[[#This Row],[TotalMinutesAsleep]]/60,2)</f>
        <v>7.87</v>
      </c>
      <c r="H343">
        <f>ROUND(tbl_working_sleep[[#This Row],[TotalTimeInBed]]/60,2)</f>
        <v>8.0500000000000007</v>
      </c>
      <c r="I343">
        <f>tbl_working_sleep[[#This Row],[TotalTimeInBed]]-tbl_working_sleep[[#This Row],[TotalMinutesAsleep]]</f>
        <v>11</v>
      </c>
      <c r="J343">
        <f>ROUND(tbl_working_sleep[[#This Row],[TotalMinutesAsleep]]/tbl_working_sleep[[#This Row],[TotalTimeInBed]]*100,2)</f>
        <v>97.72</v>
      </c>
      <c r="K343" t="str" cm="1">
        <f t="array" ref="K343">_xlfn.IFS(tbl_working_sleep[[#This Row],[SleepHours]]&lt;6,"Insufficient Sleep",tbl_working_sleep[[#This Row],[SleepHours]]&lt;7,"Below Recommended",tbl_working_sleep[[#This Row],[SleepHours]]&lt;=9,"Recommended",tbl_working_sleep[[#This Row],[SleepHours]]&gt;9,"Oversleeping")</f>
        <v>Recommended</v>
      </c>
      <c r="L343" t="str">
        <f>tbl_working_sleep[[#This Row],[Id]]&amp;"|"&amp;TEXT(tbl_working_sleep[[#This Row],[SleepDay]],"yyyy-mm-dd")</f>
        <v>7086361926|2016-04-19</v>
      </c>
    </row>
    <row r="344" spans="1:12" x14ac:dyDescent="0.3">
      <c r="A344">
        <v>7086361926</v>
      </c>
      <c r="B344" s="2">
        <v>42480</v>
      </c>
      <c r="C344">
        <v>1</v>
      </c>
      <c r="D344">
        <v>492</v>
      </c>
      <c r="E344">
        <v>502</v>
      </c>
      <c r="F344" t="str">
        <f>TEXT(tbl_working_sleep[[#This Row],[SleepDay]],"dddd")</f>
        <v>Wednesday</v>
      </c>
      <c r="G344">
        <f>ROUND(tbl_working_sleep[[#This Row],[TotalMinutesAsleep]]/60,2)</f>
        <v>8.1999999999999993</v>
      </c>
      <c r="H344">
        <f>ROUND(tbl_working_sleep[[#This Row],[TotalTimeInBed]]/60,2)</f>
        <v>8.3699999999999992</v>
      </c>
      <c r="I344">
        <f>tbl_working_sleep[[#This Row],[TotalTimeInBed]]-tbl_working_sleep[[#This Row],[TotalMinutesAsleep]]</f>
        <v>10</v>
      </c>
      <c r="J344">
        <f>ROUND(tbl_working_sleep[[#This Row],[TotalMinutesAsleep]]/tbl_working_sleep[[#This Row],[TotalTimeInBed]]*100,2)</f>
        <v>98.01</v>
      </c>
      <c r="K344" t="str" cm="1">
        <f t="array" ref="K344">_xlfn.IFS(tbl_working_sleep[[#This Row],[SleepHours]]&lt;6,"Insufficient Sleep",tbl_working_sleep[[#This Row],[SleepHours]]&lt;7,"Below Recommended",tbl_working_sleep[[#This Row],[SleepHours]]&lt;=9,"Recommended",tbl_working_sleep[[#This Row],[SleepHours]]&gt;9,"Oversleeping")</f>
        <v>Recommended</v>
      </c>
      <c r="L344" t="str">
        <f>tbl_working_sleep[[#This Row],[Id]]&amp;"|"&amp;TEXT(tbl_working_sleep[[#This Row],[SleepDay]],"yyyy-mm-dd")</f>
        <v>7086361926|2016-04-20</v>
      </c>
    </row>
    <row r="345" spans="1:12" x14ac:dyDescent="0.3">
      <c r="A345">
        <v>7086361926</v>
      </c>
      <c r="B345" s="2">
        <v>42481</v>
      </c>
      <c r="C345">
        <v>1</v>
      </c>
      <c r="D345">
        <v>390</v>
      </c>
      <c r="E345">
        <v>411</v>
      </c>
      <c r="F345" t="str">
        <f>TEXT(tbl_working_sleep[[#This Row],[SleepDay]],"dddd")</f>
        <v>Thursday</v>
      </c>
      <c r="G345">
        <f>ROUND(tbl_working_sleep[[#This Row],[TotalMinutesAsleep]]/60,2)</f>
        <v>6.5</v>
      </c>
      <c r="H345">
        <f>ROUND(tbl_working_sleep[[#This Row],[TotalTimeInBed]]/60,2)</f>
        <v>6.85</v>
      </c>
      <c r="I345">
        <f>tbl_working_sleep[[#This Row],[TotalTimeInBed]]-tbl_working_sleep[[#This Row],[TotalMinutesAsleep]]</f>
        <v>21</v>
      </c>
      <c r="J345">
        <f>ROUND(tbl_working_sleep[[#This Row],[TotalMinutesAsleep]]/tbl_working_sleep[[#This Row],[TotalTimeInBed]]*100,2)</f>
        <v>94.89</v>
      </c>
      <c r="K345" t="str" cm="1">
        <f t="array" ref="K345">_xlfn.IFS(tbl_working_sleep[[#This Row],[SleepHours]]&lt;6,"Insufficient Sleep",tbl_working_sleep[[#This Row],[SleepHours]]&lt;7,"Below Recommended",tbl_working_sleep[[#This Row],[SleepHours]]&lt;=9,"Recommended",tbl_working_sleep[[#This Row],[SleepHours]]&gt;9,"Oversleeping")</f>
        <v>Below Recommended</v>
      </c>
      <c r="L345" t="str">
        <f>tbl_working_sleep[[#This Row],[Id]]&amp;"|"&amp;TEXT(tbl_working_sleep[[#This Row],[SleepDay]],"yyyy-mm-dd")</f>
        <v>7086361926|2016-04-21</v>
      </c>
    </row>
    <row r="346" spans="1:12" x14ac:dyDescent="0.3">
      <c r="A346">
        <v>7086361926</v>
      </c>
      <c r="B346" s="2">
        <v>42482</v>
      </c>
      <c r="C346">
        <v>1</v>
      </c>
      <c r="D346">
        <v>428</v>
      </c>
      <c r="E346">
        <v>448</v>
      </c>
      <c r="F346" t="str">
        <f>TEXT(tbl_working_sleep[[#This Row],[SleepDay]],"dddd")</f>
        <v>Friday</v>
      </c>
      <c r="G346">
        <f>ROUND(tbl_working_sleep[[#This Row],[TotalMinutesAsleep]]/60,2)</f>
        <v>7.13</v>
      </c>
      <c r="H346">
        <f>ROUND(tbl_working_sleep[[#This Row],[TotalTimeInBed]]/60,2)</f>
        <v>7.47</v>
      </c>
      <c r="I346">
        <f>tbl_working_sleep[[#This Row],[TotalTimeInBed]]-tbl_working_sleep[[#This Row],[TotalMinutesAsleep]]</f>
        <v>20</v>
      </c>
      <c r="J346">
        <f>ROUND(tbl_working_sleep[[#This Row],[TotalMinutesAsleep]]/tbl_working_sleep[[#This Row],[TotalTimeInBed]]*100,2)</f>
        <v>95.54</v>
      </c>
      <c r="K346" t="str" cm="1">
        <f t="array" ref="K346">_xlfn.IFS(tbl_working_sleep[[#This Row],[SleepHours]]&lt;6,"Insufficient Sleep",tbl_working_sleep[[#This Row],[SleepHours]]&lt;7,"Below Recommended",tbl_working_sleep[[#This Row],[SleepHours]]&lt;=9,"Recommended",tbl_working_sleep[[#This Row],[SleepHours]]&gt;9,"Oversleeping")</f>
        <v>Recommended</v>
      </c>
      <c r="L346" t="str">
        <f>tbl_working_sleep[[#This Row],[Id]]&amp;"|"&amp;TEXT(tbl_working_sleep[[#This Row],[SleepDay]],"yyyy-mm-dd")</f>
        <v>7086361926|2016-04-22</v>
      </c>
    </row>
    <row r="347" spans="1:12" x14ac:dyDescent="0.3">
      <c r="A347">
        <v>7086361926</v>
      </c>
      <c r="B347" s="2">
        <v>42484</v>
      </c>
      <c r="C347">
        <v>1</v>
      </c>
      <c r="D347">
        <v>681</v>
      </c>
      <c r="E347">
        <v>704</v>
      </c>
      <c r="F347" t="str">
        <f>TEXT(tbl_working_sleep[[#This Row],[SleepDay]],"dddd")</f>
        <v>Sunday</v>
      </c>
      <c r="G347">
        <f>ROUND(tbl_working_sleep[[#This Row],[TotalMinutesAsleep]]/60,2)</f>
        <v>11.35</v>
      </c>
      <c r="H347">
        <f>ROUND(tbl_working_sleep[[#This Row],[TotalTimeInBed]]/60,2)</f>
        <v>11.73</v>
      </c>
      <c r="I347">
        <f>tbl_working_sleep[[#This Row],[TotalTimeInBed]]-tbl_working_sleep[[#This Row],[TotalMinutesAsleep]]</f>
        <v>23</v>
      </c>
      <c r="J347">
        <f>ROUND(tbl_working_sleep[[#This Row],[TotalMinutesAsleep]]/tbl_working_sleep[[#This Row],[TotalTimeInBed]]*100,2)</f>
        <v>96.73</v>
      </c>
      <c r="K347" t="str" cm="1">
        <f t="array" ref="K347">_xlfn.IFS(tbl_working_sleep[[#This Row],[SleepHours]]&lt;6,"Insufficient Sleep",tbl_working_sleep[[#This Row],[SleepHours]]&lt;7,"Below Recommended",tbl_working_sleep[[#This Row],[SleepHours]]&lt;=9,"Recommended",tbl_working_sleep[[#This Row],[SleepHours]]&gt;9,"Oversleeping")</f>
        <v>Oversleeping</v>
      </c>
      <c r="L347" t="str">
        <f>tbl_working_sleep[[#This Row],[Id]]&amp;"|"&amp;TEXT(tbl_working_sleep[[#This Row],[SleepDay]],"yyyy-mm-dd")</f>
        <v>7086361926|2016-04-24</v>
      </c>
    </row>
    <row r="348" spans="1:12" x14ac:dyDescent="0.3">
      <c r="A348">
        <v>7086361926</v>
      </c>
      <c r="B348" s="2">
        <v>42485</v>
      </c>
      <c r="C348">
        <v>1</v>
      </c>
      <c r="D348">
        <v>446</v>
      </c>
      <c r="E348">
        <v>447</v>
      </c>
      <c r="F348" t="str">
        <f>TEXT(tbl_working_sleep[[#This Row],[SleepDay]],"dddd")</f>
        <v>Monday</v>
      </c>
      <c r="G348">
        <f>ROUND(tbl_working_sleep[[#This Row],[TotalMinutesAsleep]]/60,2)</f>
        <v>7.43</v>
      </c>
      <c r="H348">
        <f>ROUND(tbl_working_sleep[[#This Row],[TotalTimeInBed]]/60,2)</f>
        <v>7.45</v>
      </c>
      <c r="I348">
        <f>tbl_working_sleep[[#This Row],[TotalTimeInBed]]-tbl_working_sleep[[#This Row],[TotalMinutesAsleep]]</f>
        <v>1</v>
      </c>
      <c r="J348">
        <f>ROUND(tbl_working_sleep[[#This Row],[TotalMinutesAsleep]]/tbl_working_sleep[[#This Row],[TotalTimeInBed]]*100,2)</f>
        <v>99.78</v>
      </c>
      <c r="K348" t="str" cm="1">
        <f t="array" ref="K348">_xlfn.IFS(tbl_working_sleep[[#This Row],[SleepHours]]&lt;6,"Insufficient Sleep",tbl_working_sleep[[#This Row],[SleepHours]]&lt;7,"Below Recommended",tbl_working_sleep[[#This Row],[SleepHours]]&lt;=9,"Recommended",tbl_working_sleep[[#This Row],[SleepHours]]&gt;9,"Oversleeping")</f>
        <v>Recommended</v>
      </c>
      <c r="L348" t="str">
        <f>tbl_working_sleep[[#This Row],[Id]]&amp;"|"&amp;TEXT(tbl_working_sleep[[#This Row],[SleepDay]],"yyyy-mm-dd")</f>
        <v>7086361926|2016-04-25</v>
      </c>
    </row>
    <row r="349" spans="1:12" x14ac:dyDescent="0.3">
      <c r="A349">
        <v>7086361926</v>
      </c>
      <c r="B349" s="2">
        <v>42486</v>
      </c>
      <c r="C349">
        <v>1</v>
      </c>
      <c r="D349">
        <v>485</v>
      </c>
      <c r="E349">
        <v>500</v>
      </c>
      <c r="F349" t="str">
        <f>TEXT(tbl_working_sleep[[#This Row],[SleepDay]],"dddd")</f>
        <v>Tuesday</v>
      </c>
      <c r="G349">
        <f>ROUND(tbl_working_sleep[[#This Row],[TotalMinutesAsleep]]/60,2)</f>
        <v>8.08</v>
      </c>
      <c r="H349">
        <f>ROUND(tbl_working_sleep[[#This Row],[TotalTimeInBed]]/60,2)</f>
        <v>8.33</v>
      </c>
      <c r="I349">
        <f>tbl_working_sleep[[#This Row],[TotalTimeInBed]]-tbl_working_sleep[[#This Row],[TotalMinutesAsleep]]</f>
        <v>15</v>
      </c>
      <c r="J349">
        <f>ROUND(tbl_working_sleep[[#This Row],[TotalMinutesAsleep]]/tbl_working_sleep[[#This Row],[TotalTimeInBed]]*100,2)</f>
        <v>97</v>
      </c>
      <c r="K349" t="str" cm="1">
        <f t="array" ref="K349">_xlfn.IFS(tbl_working_sleep[[#This Row],[SleepHours]]&lt;6,"Insufficient Sleep",tbl_working_sleep[[#This Row],[SleepHours]]&lt;7,"Below Recommended",tbl_working_sleep[[#This Row],[SleepHours]]&lt;=9,"Recommended",tbl_working_sleep[[#This Row],[SleepHours]]&gt;9,"Oversleeping")</f>
        <v>Recommended</v>
      </c>
      <c r="L349" t="str">
        <f>tbl_working_sleep[[#This Row],[Id]]&amp;"|"&amp;TEXT(tbl_working_sleep[[#This Row],[SleepDay]],"yyyy-mm-dd")</f>
        <v>7086361926|2016-04-26</v>
      </c>
    </row>
    <row r="350" spans="1:12" x14ac:dyDescent="0.3">
      <c r="A350">
        <v>7086361926</v>
      </c>
      <c r="B350" s="2">
        <v>42487</v>
      </c>
      <c r="C350">
        <v>1</v>
      </c>
      <c r="D350">
        <v>469</v>
      </c>
      <c r="E350">
        <v>479</v>
      </c>
      <c r="F350" t="str">
        <f>TEXT(tbl_working_sleep[[#This Row],[SleepDay]],"dddd")</f>
        <v>Wednesday</v>
      </c>
      <c r="G350">
        <f>ROUND(tbl_working_sleep[[#This Row],[TotalMinutesAsleep]]/60,2)</f>
        <v>7.82</v>
      </c>
      <c r="H350">
        <f>ROUND(tbl_working_sleep[[#This Row],[TotalTimeInBed]]/60,2)</f>
        <v>7.98</v>
      </c>
      <c r="I350">
        <f>tbl_working_sleep[[#This Row],[TotalTimeInBed]]-tbl_working_sleep[[#This Row],[TotalMinutesAsleep]]</f>
        <v>10</v>
      </c>
      <c r="J350">
        <f>ROUND(tbl_working_sleep[[#This Row],[TotalMinutesAsleep]]/tbl_working_sleep[[#This Row],[TotalTimeInBed]]*100,2)</f>
        <v>97.91</v>
      </c>
      <c r="K350" t="str" cm="1">
        <f t="array" ref="K350">_xlfn.IFS(tbl_working_sleep[[#This Row],[SleepHours]]&lt;6,"Insufficient Sleep",tbl_working_sleep[[#This Row],[SleepHours]]&lt;7,"Below Recommended",tbl_working_sleep[[#This Row],[SleepHours]]&lt;=9,"Recommended",tbl_working_sleep[[#This Row],[SleepHours]]&gt;9,"Oversleeping")</f>
        <v>Recommended</v>
      </c>
      <c r="L350" t="str">
        <f>tbl_working_sleep[[#This Row],[Id]]&amp;"|"&amp;TEXT(tbl_working_sleep[[#This Row],[SleepDay]],"yyyy-mm-dd")</f>
        <v>7086361926|2016-04-27</v>
      </c>
    </row>
    <row r="351" spans="1:12" x14ac:dyDescent="0.3">
      <c r="A351">
        <v>7086361926</v>
      </c>
      <c r="B351" s="2">
        <v>42488</v>
      </c>
      <c r="C351">
        <v>1</v>
      </c>
      <c r="D351">
        <v>354</v>
      </c>
      <c r="E351">
        <v>367</v>
      </c>
      <c r="F351" t="str">
        <f>TEXT(tbl_working_sleep[[#This Row],[SleepDay]],"dddd")</f>
        <v>Thursday</v>
      </c>
      <c r="G351">
        <f>ROUND(tbl_working_sleep[[#This Row],[TotalMinutesAsleep]]/60,2)</f>
        <v>5.9</v>
      </c>
      <c r="H351">
        <f>ROUND(tbl_working_sleep[[#This Row],[TotalTimeInBed]]/60,2)</f>
        <v>6.12</v>
      </c>
      <c r="I351">
        <f>tbl_working_sleep[[#This Row],[TotalTimeInBed]]-tbl_working_sleep[[#This Row],[TotalMinutesAsleep]]</f>
        <v>13</v>
      </c>
      <c r="J351">
        <f>ROUND(tbl_working_sleep[[#This Row],[TotalMinutesAsleep]]/tbl_working_sleep[[#This Row],[TotalTimeInBed]]*100,2)</f>
        <v>96.46</v>
      </c>
      <c r="K351" t="str" cm="1">
        <f t="array" ref="K351">_xlfn.IFS(tbl_working_sleep[[#This Row],[SleepHours]]&lt;6,"Insufficient Sleep",tbl_working_sleep[[#This Row],[SleepHours]]&lt;7,"Below Recommended",tbl_working_sleep[[#This Row],[SleepHours]]&lt;=9,"Recommended",tbl_working_sleep[[#This Row],[SleepHours]]&gt;9,"Oversleeping")</f>
        <v>Insufficient Sleep</v>
      </c>
      <c r="L351" t="str">
        <f>tbl_working_sleep[[#This Row],[Id]]&amp;"|"&amp;TEXT(tbl_working_sleep[[#This Row],[SleepDay]],"yyyy-mm-dd")</f>
        <v>7086361926|2016-04-28</v>
      </c>
    </row>
    <row r="352" spans="1:12" x14ac:dyDescent="0.3">
      <c r="A352">
        <v>7086361926</v>
      </c>
      <c r="B352" s="2">
        <v>42490</v>
      </c>
      <c r="C352">
        <v>1</v>
      </c>
      <c r="D352">
        <v>485</v>
      </c>
      <c r="E352">
        <v>489</v>
      </c>
      <c r="F352" t="str">
        <f>TEXT(tbl_working_sleep[[#This Row],[SleepDay]],"dddd")</f>
        <v>Saturday</v>
      </c>
      <c r="G352">
        <f>ROUND(tbl_working_sleep[[#This Row],[TotalMinutesAsleep]]/60,2)</f>
        <v>8.08</v>
      </c>
      <c r="H352">
        <f>ROUND(tbl_working_sleep[[#This Row],[TotalTimeInBed]]/60,2)</f>
        <v>8.15</v>
      </c>
      <c r="I352">
        <f>tbl_working_sleep[[#This Row],[TotalTimeInBed]]-tbl_working_sleep[[#This Row],[TotalMinutesAsleep]]</f>
        <v>4</v>
      </c>
      <c r="J352">
        <f>ROUND(tbl_working_sleep[[#This Row],[TotalMinutesAsleep]]/tbl_working_sleep[[#This Row],[TotalTimeInBed]]*100,2)</f>
        <v>99.18</v>
      </c>
      <c r="K352" t="str" cm="1">
        <f t="array" ref="K352">_xlfn.IFS(tbl_working_sleep[[#This Row],[SleepHours]]&lt;6,"Insufficient Sleep",tbl_working_sleep[[#This Row],[SleepHours]]&lt;7,"Below Recommended",tbl_working_sleep[[#This Row],[SleepHours]]&lt;=9,"Recommended",tbl_working_sleep[[#This Row],[SleepHours]]&gt;9,"Oversleeping")</f>
        <v>Recommended</v>
      </c>
      <c r="L352" t="str">
        <f>tbl_working_sleep[[#This Row],[Id]]&amp;"|"&amp;TEXT(tbl_working_sleep[[#This Row],[SleepDay]],"yyyy-mm-dd")</f>
        <v>7086361926|2016-04-30</v>
      </c>
    </row>
    <row r="353" spans="1:12" x14ac:dyDescent="0.3">
      <c r="A353">
        <v>7086361926</v>
      </c>
      <c r="B353" s="2">
        <v>42491</v>
      </c>
      <c r="C353">
        <v>1</v>
      </c>
      <c r="D353">
        <v>388</v>
      </c>
      <c r="E353">
        <v>407</v>
      </c>
      <c r="F353" t="str">
        <f>TEXT(tbl_working_sleep[[#This Row],[SleepDay]],"dddd")</f>
        <v>Sunday</v>
      </c>
      <c r="G353">
        <f>ROUND(tbl_working_sleep[[#This Row],[TotalMinutesAsleep]]/60,2)</f>
        <v>6.47</v>
      </c>
      <c r="H353">
        <f>ROUND(tbl_working_sleep[[#This Row],[TotalTimeInBed]]/60,2)</f>
        <v>6.78</v>
      </c>
      <c r="I353">
        <f>tbl_working_sleep[[#This Row],[TotalTimeInBed]]-tbl_working_sleep[[#This Row],[TotalMinutesAsleep]]</f>
        <v>19</v>
      </c>
      <c r="J353">
        <f>ROUND(tbl_working_sleep[[#This Row],[TotalMinutesAsleep]]/tbl_working_sleep[[#This Row],[TotalTimeInBed]]*100,2)</f>
        <v>95.33</v>
      </c>
      <c r="K353" t="str" cm="1">
        <f t="array" ref="K353">_xlfn.IFS(tbl_working_sleep[[#This Row],[SleepHours]]&lt;6,"Insufficient Sleep",tbl_working_sleep[[#This Row],[SleepHours]]&lt;7,"Below Recommended",tbl_working_sleep[[#This Row],[SleepHours]]&lt;=9,"Recommended",tbl_working_sleep[[#This Row],[SleepHours]]&gt;9,"Oversleeping")</f>
        <v>Below Recommended</v>
      </c>
      <c r="L353" t="str">
        <f>tbl_working_sleep[[#This Row],[Id]]&amp;"|"&amp;TEXT(tbl_working_sleep[[#This Row],[SleepDay]],"yyyy-mm-dd")</f>
        <v>7086361926|2016-05-01</v>
      </c>
    </row>
    <row r="354" spans="1:12" x14ac:dyDescent="0.3">
      <c r="A354">
        <v>7086361926</v>
      </c>
      <c r="B354" s="2">
        <v>42492</v>
      </c>
      <c r="C354">
        <v>1</v>
      </c>
      <c r="D354">
        <v>440</v>
      </c>
      <c r="E354">
        <v>459</v>
      </c>
      <c r="F354" t="str">
        <f>TEXT(tbl_working_sleep[[#This Row],[SleepDay]],"dddd")</f>
        <v>Monday</v>
      </c>
      <c r="G354">
        <f>ROUND(tbl_working_sleep[[#This Row],[TotalMinutesAsleep]]/60,2)</f>
        <v>7.33</v>
      </c>
      <c r="H354">
        <f>ROUND(tbl_working_sleep[[#This Row],[TotalTimeInBed]]/60,2)</f>
        <v>7.65</v>
      </c>
      <c r="I354">
        <f>tbl_working_sleep[[#This Row],[TotalTimeInBed]]-tbl_working_sleep[[#This Row],[TotalMinutesAsleep]]</f>
        <v>19</v>
      </c>
      <c r="J354">
        <f>ROUND(tbl_working_sleep[[#This Row],[TotalMinutesAsleep]]/tbl_working_sleep[[#This Row],[TotalTimeInBed]]*100,2)</f>
        <v>95.86</v>
      </c>
      <c r="K354" t="str" cm="1">
        <f t="array" ref="K354">_xlfn.IFS(tbl_working_sleep[[#This Row],[SleepHours]]&lt;6,"Insufficient Sleep",tbl_working_sleep[[#This Row],[SleepHours]]&lt;7,"Below Recommended",tbl_working_sleep[[#This Row],[SleepHours]]&lt;=9,"Recommended",tbl_working_sleep[[#This Row],[SleepHours]]&gt;9,"Oversleeping")</f>
        <v>Recommended</v>
      </c>
      <c r="L354" t="str">
        <f>tbl_working_sleep[[#This Row],[Id]]&amp;"|"&amp;TEXT(tbl_working_sleep[[#This Row],[SleepDay]],"yyyy-mm-dd")</f>
        <v>7086361926|2016-05-02</v>
      </c>
    </row>
    <row r="355" spans="1:12" x14ac:dyDescent="0.3">
      <c r="A355">
        <v>7086361926</v>
      </c>
      <c r="B355" s="2">
        <v>42493</v>
      </c>
      <c r="C355">
        <v>1</v>
      </c>
      <c r="D355">
        <v>456</v>
      </c>
      <c r="E355">
        <v>461</v>
      </c>
      <c r="F355" t="str">
        <f>TEXT(tbl_working_sleep[[#This Row],[SleepDay]],"dddd")</f>
        <v>Tuesday</v>
      </c>
      <c r="G355">
        <f>ROUND(tbl_working_sleep[[#This Row],[TotalMinutesAsleep]]/60,2)</f>
        <v>7.6</v>
      </c>
      <c r="H355">
        <f>ROUND(tbl_working_sleep[[#This Row],[TotalTimeInBed]]/60,2)</f>
        <v>7.68</v>
      </c>
      <c r="I355">
        <f>tbl_working_sleep[[#This Row],[TotalTimeInBed]]-tbl_working_sleep[[#This Row],[TotalMinutesAsleep]]</f>
        <v>5</v>
      </c>
      <c r="J355">
        <f>ROUND(tbl_working_sleep[[#This Row],[TotalMinutesAsleep]]/tbl_working_sleep[[#This Row],[TotalTimeInBed]]*100,2)</f>
        <v>98.92</v>
      </c>
      <c r="K355" t="str" cm="1">
        <f t="array" ref="K355">_xlfn.IFS(tbl_working_sleep[[#This Row],[SleepHours]]&lt;6,"Insufficient Sleep",tbl_working_sleep[[#This Row],[SleepHours]]&lt;7,"Below Recommended",tbl_working_sleep[[#This Row],[SleepHours]]&lt;=9,"Recommended",tbl_working_sleep[[#This Row],[SleepHours]]&gt;9,"Oversleeping")</f>
        <v>Recommended</v>
      </c>
      <c r="L355" t="str">
        <f>tbl_working_sleep[[#This Row],[Id]]&amp;"|"&amp;TEXT(tbl_working_sleep[[#This Row],[SleepDay]],"yyyy-mm-dd")</f>
        <v>7086361926|2016-05-03</v>
      </c>
    </row>
    <row r="356" spans="1:12" x14ac:dyDescent="0.3">
      <c r="A356">
        <v>7086361926</v>
      </c>
      <c r="B356" s="2">
        <v>42494</v>
      </c>
      <c r="C356">
        <v>1</v>
      </c>
      <c r="D356">
        <v>420</v>
      </c>
      <c r="E356">
        <v>436</v>
      </c>
      <c r="F356" t="str">
        <f>TEXT(tbl_working_sleep[[#This Row],[SleepDay]],"dddd")</f>
        <v>Wednesday</v>
      </c>
      <c r="G356">
        <f>ROUND(tbl_working_sleep[[#This Row],[TotalMinutesAsleep]]/60,2)</f>
        <v>7</v>
      </c>
      <c r="H356">
        <f>ROUND(tbl_working_sleep[[#This Row],[TotalTimeInBed]]/60,2)</f>
        <v>7.27</v>
      </c>
      <c r="I356">
        <f>tbl_working_sleep[[#This Row],[TotalTimeInBed]]-tbl_working_sleep[[#This Row],[TotalMinutesAsleep]]</f>
        <v>16</v>
      </c>
      <c r="J356">
        <f>ROUND(tbl_working_sleep[[#This Row],[TotalMinutesAsleep]]/tbl_working_sleep[[#This Row],[TotalTimeInBed]]*100,2)</f>
        <v>96.33</v>
      </c>
      <c r="K356" t="str" cm="1">
        <f t="array" ref="K356">_xlfn.IFS(tbl_working_sleep[[#This Row],[SleepHours]]&lt;6,"Insufficient Sleep",tbl_working_sleep[[#This Row],[SleepHours]]&lt;7,"Below Recommended",tbl_working_sleep[[#This Row],[SleepHours]]&lt;=9,"Recommended",tbl_working_sleep[[#This Row],[SleepHours]]&gt;9,"Oversleeping")</f>
        <v>Recommended</v>
      </c>
      <c r="L356" t="str">
        <f>tbl_working_sleep[[#This Row],[Id]]&amp;"|"&amp;TEXT(tbl_working_sleep[[#This Row],[SleepDay]],"yyyy-mm-dd")</f>
        <v>7086361926|2016-05-04</v>
      </c>
    </row>
    <row r="357" spans="1:12" x14ac:dyDescent="0.3">
      <c r="A357">
        <v>7086361926</v>
      </c>
      <c r="B357" s="2">
        <v>42496</v>
      </c>
      <c r="C357">
        <v>1</v>
      </c>
      <c r="D357">
        <v>322</v>
      </c>
      <c r="E357">
        <v>333</v>
      </c>
      <c r="F357" t="str">
        <f>TEXT(tbl_working_sleep[[#This Row],[SleepDay]],"dddd")</f>
        <v>Friday</v>
      </c>
      <c r="G357">
        <f>ROUND(tbl_working_sleep[[#This Row],[TotalMinutesAsleep]]/60,2)</f>
        <v>5.37</v>
      </c>
      <c r="H357">
        <f>ROUND(tbl_working_sleep[[#This Row],[TotalTimeInBed]]/60,2)</f>
        <v>5.55</v>
      </c>
      <c r="I357">
        <f>tbl_working_sleep[[#This Row],[TotalTimeInBed]]-tbl_working_sleep[[#This Row],[TotalMinutesAsleep]]</f>
        <v>11</v>
      </c>
      <c r="J357">
        <f>ROUND(tbl_working_sleep[[#This Row],[TotalMinutesAsleep]]/tbl_working_sleep[[#This Row],[TotalTimeInBed]]*100,2)</f>
        <v>96.7</v>
      </c>
      <c r="K357" t="str" cm="1">
        <f t="array" ref="K357">_xlfn.IFS(tbl_working_sleep[[#This Row],[SleepHours]]&lt;6,"Insufficient Sleep",tbl_working_sleep[[#This Row],[SleepHours]]&lt;7,"Below Recommended",tbl_working_sleep[[#This Row],[SleepHours]]&lt;=9,"Recommended",tbl_working_sleep[[#This Row],[SleepHours]]&gt;9,"Oversleeping")</f>
        <v>Insufficient Sleep</v>
      </c>
      <c r="L357" t="str">
        <f>tbl_working_sleep[[#This Row],[Id]]&amp;"|"&amp;TEXT(tbl_working_sleep[[#This Row],[SleepDay]],"yyyy-mm-dd")</f>
        <v>7086361926|2016-05-06</v>
      </c>
    </row>
    <row r="358" spans="1:12" x14ac:dyDescent="0.3">
      <c r="A358">
        <v>7086361926</v>
      </c>
      <c r="B358" s="2">
        <v>42497</v>
      </c>
      <c r="C358">
        <v>1</v>
      </c>
      <c r="D358">
        <v>530</v>
      </c>
      <c r="E358">
        <v>548</v>
      </c>
      <c r="F358" t="str">
        <f>TEXT(tbl_working_sleep[[#This Row],[SleepDay]],"dddd")</f>
        <v>Saturday</v>
      </c>
      <c r="G358">
        <f>ROUND(tbl_working_sleep[[#This Row],[TotalMinutesAsleep]]/60,2)</f>
        <v>8.83</v>
      </c>
      <c r="H358">
        <f>ROUND(tbl_working_sleep[[#This Row],[TotalTimeInBed]]/60,2)</f>
        <v>9.1300000000000008</v>
      </c>
      <c r="I358">
        <f>tbl_working_sleep[[#This Row],[TotalTimeInBed]]-tbl_working_sleep[[#This Row],[TotalMinutesAsleep]]</f>
        <v>18</v>
      </c>
      <c r="J358">
        <f>ROUND(tbl_working_sleep[[#This Row],[TotalMinutesAsleep]]/tbl_working_sleep[[#This Row],[TotalTimeInBed]]*100,2)</f>
        <v>96.72</v>
      </c>
      <c r="K358" t="str" cm="1">
        <f t="array" ref="K358">_xlfn.IFS(tbl_working_sleep[[#This Row],[SleepHours]]&lt;6,"Insufficient Sleep",tbl_working_sleep[[#This Row],[SleepHours]]&lt;7,"Below Recommended",tbl_working_sleep[[#This Row],[SleepHours]]&lt;=9,"Recommended",tbl_working_sleep[[#This Row],[SleepHours]]&gt;9,"Oversleeping")</f>
        <v>Recommended</v>
      </c>
      <c r="L358" t="str">
        <f>tbl_working_sleep[[#This Row],[Id]]&amp;"|"&amp;TEXT(tbl_working_sleep[[#This Row],[SleepDay]],"yyyy-mm-dd")</f>
        <v>7086361926|2016-05-07</v>
      </c>
    </row>
    <row r="359" spans="1:12" x14ac:dyDescent="0.3">
      <c r="A359">
        <v>7086361926</v>
      </c>
      <c r="B359" s="2">
        <v>42498</v>
      </c>
      <c r="C359">
        <v>1</v>
      </c>
      <c r="D359">
        <v>481</v>
      </c>
      <c r="E359">
        <v>510</v>
      </c>
      <c r="F359" t="str">
        <f>TEXT(tbl_working_sleep[[#This Row],[SleepDay]],"dddd")</f>
        <v>Sunday</v>
      </c>
      <c r="G359">
        <f>ROUND(tbl_working_sleep[[#This Row],[TotalMinutesAsleep]]/60,2)</f>
        <v>8.02</v>
      </c>
      <c r="H359">
        <f>ROUND(tbl_working_sleep[[#This Row],[TotalTimeInBed]]/60,2)</f>
        <v>8.5</v>
      </c>
      <c r="I359">
        <f>tbl_working_sleep[[#This Row],[TotalTimeInBed]]-tbl_working_sleep[[#This Row],[TotalMinutesAsleep]]</f>
        <v>29</v>
      </c>
      <c r="J359">
        <f>ROUND(tbl_working_sleep[[#This Row],[TotalMinutesAsleep]]/tbl_working_sleep[[#This Row],[TotalTimeInBed]]*100,2)</f>
        <v>94.31</v>
      </c>
      <c r="K359" t="str" cm="1">
        <f t="array" ref="K359">_xlfn.IFS(tbl_working_sleep[[#This Row],[SleepHours]]&lt;6,"Insufficient Sleep",tbl_working_sleep[[#This Row],[SleepHours]]&lt;7,"Below Recommended",tbl_working_sleep[[#This Row],[SleepHours]]&lt;=9,"Recommended",tbl_working_sleep[[#This Row],[SleepHours]]&gt;9,"Oversleeping")</f>
        <v>Recommended</v>
      </c>
      <c r="L359" t="str">
        <f>tbl_working_sleep[[#This Row],[Id]]&amp;"|"&amp;TEXT(tbl_working_sleep[[#This Row],[SleepDay]],"yyyy-mm-dd")</f>
        <v>7086361926|2016-05-08</v>
      </c>
    </row>
    <row r="360" spans="1:12" x14ac:dyDescent="0.3">
      <c r="A360">
        <v>7086361926</v>
      </c>
      <c r="B360" s="2">
        <v>42499</v>
      </c>
      <c r="C360">
        <v>1</v>
      </c>
      <c r="D360">
        <v>427</v>
      </c>
      <c r="E360">
        <v>438</v>
      </c>
      <c r="F360" t="str">
        <f>TEXT(tbl_working_sleep[[#This Row],[SleepDay]],"dddd")</f>
        <v>Monday</v>
      </c>
      <c r="G360">
        <f>ROUND(tbl_working_sleep[[#This Row],[TotalMinutesAsleep]]/60,2)</f>
        <v>7.12</v>
      </c>
      <c r="H360">
        <f>ROUND(tbl_working_sleep[[#This Row],[TotalTimeInBed]]/60,2)</f>
        <v>7.3</v>
      </c>
      <c r="I360">
        <f>tbl_working_sleep[[#This Row],[TotalTimeInBed]]-tbl_working_sleep[[#This Row],[TotalMinutesAsleep]]</f>
        <v>11</v>
      </c>
      <c r="J360">
        <f>ROUND(tbl_working_sleep[[#This Row],[TotalMinutesAsleep]]/tbl_working_sleep[[#This Row],[TotalTimeInBed]]*100,2)</f>
        <v>97.49</v>
      </c>
      <c r="K360" t="str" cm="1">
        <f t="array" ref="K360">_xlfn.IFS(tbl_working_sleep[[#This Row],[SleepHours]]&lt;6,"Insufficient Sleep",tbl_working_sleep[[#This Row],[SleepHours]]&lt;7,"Below Recommended",tbl_working_sleep[[#This Row],[SleepHours]]&lt;=9,"Recommended",tbl_working_sleep[[#This Row],[SleepHours]]&gt;9,"Oversleeping")</f>
        <v>Recommended</v>
      </c>
      <c r="L360" t="str">
        <f>tbl_working_sleep[[#This Row],[Id]]&amp;"|"&amp;TEXT(tbl_working_sleep[[#This Row],[SleepDay]],"yyyy-mm-dd")</f>
        <v>7086361926|2016-05-09</v>
      </c>
    </row>
    <row r="361" spans="1:12" x14ac:dyDescent="0.3">
      <c r="A361">
        <v>7086361926</v>
      </c>
      <c r="B361" s="2">
        <v>42501</v>
      </c>
      <c r="C361">
        <v>1</v>
      </c>
      <c r="D361">
        <v>451</v>
      </c>
      <c r="E361">
        <v>463</v>
      </c>
      <c r="F361" t="str">
        <f>TEXT(tbl_working_sleep[[#This Row],[SleepDay]],"dddd")</f>
        <v>Wednesday</v>
      </c>
      <c r="G361">
        <f>ROUND(tbl_working_sleep[[#This Row],[TotalMinutesAsleep]]/60,2)</f>
        <v>7.52</v>
      </c>
      <c r="H361">
        <f>ROUND(tbl_working_sleep[[#This Row],[TotalTimeInBed]]/60,2)</f>
        <v>7.72</v>
      </c>
      <c r="I361">
        <f>tbl_working_sleep[[#This Row],[TotalTimeInBed]]-tbl_working_sleep[[#This Row],[TotalMinutesAsleep]]</f>
        <v>12</v>
      </c>
      <c r="J361">
        <f>ROUND(tbl_working_sleep[[#This Row],[TotalMinutesAsleep]]/tbl_working_sleep[[#This Row],[TotalTimeInBed]]*100,2)</f>
        <v>97.41</v>
      </c>
      <c r="K361" t="str" cm="1">
        <f t="array" ref="K361">_xlfn.IFS(tbl_working_sleep[[#This Row],[SleepHours]]&lt;6,"Insufficient Sleep",tbl_working_sleep[[#This Row],[SleepHours]]&lt;7,"Below Recommended",tbl_working_sleep[[#This Row],[SleepHours]]&lt;=9,"Recommended",tbl_working_sleep[[#This Row],[SleepHours]]&gt;9,"Oversleeping")</f>
        <v>Recommended</v>
      </c>
      <c r="L361" t="str">
        <f>tbl_working_sleep[[#This Row],[Id]]&amp;"|"&amp;TEXT(tbl_working_sleep[[#This Row],[SleepDay]],"yyyy-mm-dd")</f>
        <v>7086361926|2016-05-11</v>
      </c>
    </row>
    <row r="362" spans="1:12" x14ac:dyDescent="0.3">
      <c r="A362">
        <v>7086361926</v>
      </c>
      <c r="B362" s="2">
        <v>42502</v>
      </c>
      <c r="C362">
        <v>1</v>
      </c>
      <c r="D362">
        <v>444</v>
      </c>
      <c r="E362">
        <v>457</v>
      </c>
      <c r="F362" t="str">
        <f>TEXT(tbl_working_sleep[[#This Row],[SleepDay]],"dddd")</f>
        <v>Thursday</v>
      </c>
      <c r="G362">
        <f>ROUND(tbl_working_sleep[[#This Row],[TotalMinutesAsleep]]/60,2)</f>
        <v>7.4</v>
      </c>
      <c r="H362">
        <f>ROUND(tbl_working_sleep[[#This Row],[TotalTimeInBed]]/60,2)</f>
        <v>7.62</v>
      </c>
      <c r="I362">
        <f>tbl_working_sleep[[#This Row],[TotalTimeInBed]]-tbl_working_sleep[[#This Row],[TotalMinutesAsleep]]</f>
        <v>13</v>
      </c>
      <c r="J362">
        <f>ROUND(tbl_working_sleep[[#This Row],[TotalMinutesAsleep]]/tbl_working_sleep[[#This Row],[TotalTimeInBed]]*100,2)</f>
        <v>97.16</v>
      </c>
      <c r="K362" t="str" cm="1">
        <f t="array" ref="K362">_xlfn.IFS(tbl_working_sleep[[#This Row],[SleepHours]]&lt;6,"Insufficient Sleep",tbl_working_sleep[[#This Row],[SleepHours]]&lt;7,"Below Recommended",tbl_working_sleep[[#This Row],[SleepHours]]&lt;=9,"Recommended",tbl_working_sleep[[#This Row],[SleepHours]]&gt;9,"Oversleeping")</f>
        <v>Recommended</v>
      </c>
      <c r="L362" t="str">
        <f>tbl_working_sleep[[#This Row],[Id]]&amp;"|"&amp;TEXT(tbl_working_sleep[[#This Row],[SleepDay]],"yyyy-mm-dd")</f>
        <v>7086361926|2016-05-12</v>
      </c>
    </row>
    <row r="363" spans="1:12" x14ac:dyDescent="0.3">
      <c r="A363">
        <v>8053475328</v>
      </c>
      <c r="B363" s="2">
        <v>42480</v>
      </c>
      <c r="C363">
        <v>1</v>
      </c>
      <c r="D363">
        <v>486</v>
      </c>
      <c r="E363">
        <v>493</v>
      </c>
      <c r="F363" t="str">
        <f>TEXT(tbl_working_sleep[[#This Row],[SleepDay]],"dddd")</f>
        <v>Wednesday</v>
      </c>
      <c r="G363">
        <f>ROUND(tbl_working_sleep[[#This Row],[TotalMinutesAsleep]]/60,2)</f>
        <v>8.1</v>
      </c>
      <c r="H363">
        <f>ROUND(tbl_working_sleep[[#This Row],[TotalTimeInBed]]/60,2)</f>
        <v>8.2200000000000006</v>
      </c>
      <c r="I363">
        <f>tbl_working_sleep[[#This Row],[TotalTimeInBed]]-tbl_working_sleep[[#This Row],[TotalMinutesAsleep]]</f>
        <v>7</v>
      </c>
      <c r="J363">
        <f>ROUND(tbl_working_sleep[[#This Row],[TotalMinutesAsleep]]/tbl_working_sleep[[#This Row],[TotalTimeInBed]]*100,2)</f>
        <v>98.58</v>
      </c>
      <c r="K363" t="str" cm="1">
        <f t="array" ref="K363">_xlfn.IFS(tbl_working_sleep[[#This Row],[SleepHours]]&lt;6,"Insufficient Sleep",tbl_working_sleep[[#This Row],[SleepHours]]&lt;7,"Below Recommended",tbl_working_sleep[[#This Row],[SleepHours]]&lt;=9,"Recommended",tbl_working_sleep[[#This Row],[SleepHours]]&gt;9,"Oversleeping")</f>
        <v>Recommended</v>
      </c>
      <c r="L363" t="str">
        <f>tbl_working_sleep[[#This Row],[Id]]&amp;"|"&amp;TEXT(tbl_working_sleep[[#This Row],[SleepDay]],"yyyy-mm-dd")</f>
        <v>8053475328|2016-04-20</v>
      </c>
    </row>
    <row r="364" spans="1:12" x14ac:dyDescent="0.3">
      <c r="A364">
        <v>8053475328</v>
      </c>
      <c r="B364" s="2">
        <v>42483</v>
      </c>
      <c r="C364">
        <v>1</v>
      </c>
      <c r="D364">
        <v>331</v>
      </c>
      <c r="E364">
        <v>337</v>
      </c>
      <c r="F364" t="str">
        <f>TEXT(tbl_working_sleep[[#This Row],[SleepDay]],"dddd")</f>
        <v>Saturday</v>
      </c>
      <c r="G364">
        <f>ROUND(tbl_working_sleep[[#This Row],[TotalMinutesAsleep]]/60,2)</f>
        <v>5.52</v>
      </c>
      <c r="H364">
        <f>ROUND(tbl_working_sleep[[#This Row],[TotalTimeInBed]]/60,2)</f>
        <v>5.62</v>
      </c>
      <c r="I364">
        <f>tbl_working_sleep[[#This Row],[TotalTimeInBed]]-tbl_working_sleep[[#This Row],[TotalMinutesAsleep]]</f>
        <v>6</v>
      </c>
      <c r="J364">
        <f>ROUND(tbl_working_sleep[[#This Row],[TotalMinutesAsleep]]/tbl_working_sleep[[#This Row],[TotalTimeInBed]]*100,2)</f>
        <v>98.22</v>
      </c>
      <c r="K364" t="str" cm="1">
        <f t="array" ref="K364">_xlfn.IFS(tbl_working_sleep[[#This Row],[SleepHours]]&lt;6,"Insufficient Sleep",tbl_working_sleep[[#This Row],[SleepHours]]&lt;7,"Below Recommended",tbl_working_sleep[[#This Row],[SleepHours]]&lt;=9,"Recommended",tbl_working_sleep[[#This Row],[SleepHours]]&gt;9,"Oversleeping")</f>
        <v>Insufficient Sleep</v>
      </c>
      <c r="L364" t="str">
        <f>tbl_working_sleep[[#This Row],[Id]]&amp;"|"&amp;TEXT(tbl_working_sleep[[#This Row],[SleepDay]],"yyyy-mm-dd")</f>
        <v>8053475328|2016-04-23</v>
      </c>
    </row>
    <row r="365" spans="1:12" x14ac:dyDescent="0.3">
      <c r="A365">
        <v>8053475328</v>
      </c>
      <c r="B365" s="2">
        <v>42497</v>
      </c>
      <c r="C365">
        <v>1</v>
      </c>
      <c r="D365">
        <v>74</v>
      </c>
      <c r="E365">
        <v>75</v>
      </c>
      <c r="F365" t="str">
        <f>TEXT(tbl_working_sleep[[#This Row],[SleepDay]],"dddd")</f>
        <v>Saturday</v>
      </c>
      <c r="G365">
        <f>ROUND(tbl_working_sleep[[#This Row],[TotalMinutesAsleep]]/60,2)</f>
        <v>1.23</v>
      </c>
      <c r="H365">
        <f>ROUND(tbl_working_sleep[[#This Row],[TotalTimeInBed]]/60,2)</f>
        <v>1.25</v>
      </c>
      <c r="I365">
        <f>tbl_working_sleep[[#This Row],[TotalTimeInBed]]-tbl_working_sleep[[#This Row],[TotalMinutesAsleep]]</f>
        <v>1</v>
      </c>
      <c r="J365">
        <f>ROUND(tbl_working_sleep[[#This Row],[TotalMinutesAsleep]]/tbl_working_sleep[[#This Row],[TotalTimeInBed]]*100,2)</f>
        <v>98.67</v>
      </c>
      <c r="K365" t="str" cm="1">
        <f t="array" ref="K365">_xlfn.IFS(tbl_working_sleep[[#This Row],[SleepHours]]&lt;6,"Insufficient Sleep",tbl_working_sleep[[#This Row],[SleepHours]]&lt;7,"Below Recommended",tbl_working_sleep[[#This Row],[SleepHours]]&lt;=9,"Recommended",tbl_working_sleep[[#This Row],[SleepHours]]&gt;9,"Oversleeping")</f>
        <v>Insufficient Sleep</v>
      </c>
      <c r="L365" t="str">
        <f>tbl_working_sleep[[#This Row],[Id]]&amp;"|"&amp;TEXT(tbl_working_sleep[[#This Row],[SleepDay]],"yyyy-mm-dd")</f>
        <v>8053475328|2016-05-07</v>
      </c>
    </row>
    <row r="366" spans="1:12" x14ac:dyDescent="0.3">
      <c r="A366">
        <v>8378563200</v>
      </c>
      <c r="B366" s="2">
        <v>42472</v>
      </c>
      <c r="C366">
        <v>1</v>
      </c>
      <c r="D366">
        <v>338</v>
      </c>
      <c r="E366">
        <v>356</v>
      </c>
      <c r="F366" t="str">
        <f>TEXT(tbl_working_sleep[[#This Row],[SleepDay]],"dddd")</f>
        <v>Tuesday</v>
      </c>
      <c r="G366">
        <f>ROUND(tbl_working_sleep[[#This Row],[TotalMinutesAsleep]]/60,2)</f>
        <v>5.63</v>
      </c>
      <c r="H366">
        <f>ROUND(tbl_working_sleep[[#This Row],[TotalTimeInBed]]/60,2)</f>
        <v>5.93</v>
      </c>
      <c r="I366">
        <f>tbl_working_sleep[[#This Row],[TotalTimeInBed]]-tbl_working_sleep[[#This Row],[TotalMinutesAsleep]]</f>
        <v>18</v>
      </c>
      <c r="J366">
        <f>ROUND(tbl_working_sleep[[#This Row],[TotalMinutesAsleep]]/tbl_working_sleep[[#This Row],[TotalTimeInBed]]*100,2)</f>
        <v>94.94</v>
      </c>
      <c r="K366" t="str" cm="1">
        <f t="array" ref="K366">_xlfn.IFS(tbl_working_sleep[[#This Row],[SleepHours]]&lt;6,"Insufficient Sleep",tbl_working_sleep[[#This Row],[SleepHours]]&lt;7,"Below Recommended",tbl_working_sleep[[#This Row],[SleepHours]]&lt;=9,"Recommended",tbl_working_sleep[[#This Row],[SleepHours]]&gt;9,"Oversleeping")</f>
        <v>Insufficient Sleep</v>
      </c>
      <c r="L366" t="str">
        <f>tbl_working_sleep[[#This Row],[Id]]&amp;"|"&amp;TEXT(tbl_working_sleep[[#This Row],[SleepDay]],"yyyy-mm-dd")</f>
        <v>8378563200|2016-04-12</v>
      </c>
    </row>
    <row r="367" spans="1:12" x14ac:dyDescent="0.3">
      <c r="A367">
        <v>8378563200</v>
      </c>
      <c r="B367" s="2">
        <v>42473</v>
      </c>
      <c r="C367">
        <v>2</v>
      </c>
      <c r="D367">
        <v>447</v>
      </c>
      <c r="E367">
        <v>487</v>
      </c>
      <c r="F367" t="str">
        <f>TEXT(tbl_working_sleep[[#This Row],[SleepDay]],"dddd")</f>
        <v>Wednesday</v>
      </c>
      <c r="G367">
        <f>ROUND(tbl_working_sleep[[#This Row],[TotalMinutesAsleep]]/60,2)</f>
        <v>7.45</v>
      </c>
      <c r="H367">
        <f>ROUND(tbl_working_sleep[[#This Row],[TotalTimeInBed]]/60,2)</f>
        <v>8.1199999999999992</v>
      </c>
      <c r="I367">
        <f>tbl_working_sleep[[#This Row],[TotalTimeInBed]]-tbl_working_sleep[[#This Row],[TotalMinutesAsleep]]</f>
        <v>40</v>
      </c>
      <c r="J367">
        <f>ROUND(tbl_working_sleep[[#This Row],[TotalMinutesAsleep]]/tbl_working_sleep[[#This Row],[TotalTimeInBed]]*100,2)</f>
        <v>91.79</v>
      </c>
      <c r="K367" t="str" cm="1">
        <f t="array" ref="K367">_xlfn.IFS(tbl_working_sleep[[#This Row],[SleepHours]]&lt;6,"Insufficient Sleep",tbl_working_sleep[[#This Row],[SleepHours]]&lt;7,"Below Recommended",tbl_working_sleep[[#This Row],[SleepHours]]&lt;=9,"Recommended",tbl_working_sleep[[#This Row],[SleepHours]]&gt;9,"Oversleeping")</f>
        <v>Recommended</v>
      </c>
      <c r="L367" t="str">
        <f>tbl_working_sleep[[#This Row],[Id]]&amp;"|"&amp;TEXT(tbl_working_sleep[[#This Row],[SleepDay]],"yyyy-mm-dd")</f>
        <v>8378563200|2016-04-13</v>
      </c>
    </row>
    <row r="368" spans="1:12" x14ac:dyDescent="0.3">
      <c r="A368">
        <v>8378563200</v>
      </c>
      <c r="B368" s="2">
        <v>42474</v>
      </c>
      <c r="C368">
        <v>1</v>
      </c>
      <c r="D368">
        <v>424</v>
      </c>
      <c r="E368">
        <v>455</v>
      </c>
      <c r="F368" t="str">
        <f>TEXT(tbl_working_sleep[[#This Row],[SleepDay]],"dddd")</f>
        <v>Thursday</v>
      </c>
      <c r="G368">
        <f>ROUND(tbl_working_sleep[[#This Row],[TotalMinutesAsleep]]/60,2)</f>
        <v>7.07</v>
      </c>
      <c r="H368">
        <f>ROUND(tbl_working_sleep[[#This Row],[TotalTimeInBed]]/60,2)</f>
        <v>7.58</v>
      </c>
      <c r="I368">
        <f>tbl_working_sleep[[#This Row],[TotalTimeInBed]]-tbl_working_sleep[[#This Row],[TotalMinutesAsleep]]</f>
        <v>31</v>
      </c>
      <c r="J368">
        <f>ROUND(tbl_working_sleep[[#This Row],[TotalMinutesAsleep]]/tbl_working_sleep[[#This Row],[TotalTimeInBed]]*100,2)</f>
        <v>93.19</v>
      </c>
      <c r="K368" t="str" cm="1">
        <f t="array" ref="K368">_xlfn.IFS(tbl_working_sleep[[#This Row],[SleepHours]]&lt;6,"Insufficient Sleep",tbl_working_sleep[[#This Row],[SleepHours]]&lt;7,"Below Recommended",tbl_working_sleep[[#This Row],[SleepHours]]&lt;=9,"Recommended",tbl_working_sleep[[#This Row],[SleepHours]]&gt;9,"Oversleeping")</f>
        <v>Recommended</v>
      </c>
      <c r="L368" t="str">
        <f>tbl_working_sleep[[#This Row],[Id]]&amp;"|"&amp;TEXT(tbl_working_sleep[[#This Row],[SleepDay]],"yyyy-mm-dd")</f>
        <v>8378563200|2016-04-14</v>
      </c>
    </row>
    <row r="369" spans="1:12" x14ac:dyDescent="0.3">
      <c r="A369">
        <v>8378563200</v>
      </c>
      <c r="B369" s="2">
        <v>42475</v>
      </c>
      <c r="C369">
        <v>1</v>
      </c>
      <c r="D369">
        <v>513</v>
      </c>
      <c r="E369">
        <v>533</v>
      </c>
      <c r="F369" t="str">
        <f>TEXT(tbl_working_sleep[[#This Row],[SleepDay]],"dddd")</f>
        <v>Friday</v>
      </c>
      <c r="G369">
        <f>ROUND(tbl_working_sleep[[#This Row],[TotalMinutesAsleep]]/60,2)</f>
        <v>8.5500000000000007</v>
      </c>
      <c r="H369">
        <f>ROUND(tbl_working_sleep[[#This Row],[TotalTimeInBed]]/60,2)</f>
        <v>8.8800000000000008</v>
      </c>
      <c r="I369">
        <f>tbl_working_sleep[[#This Row],[TotalTimeInBed]]-tbl_working_sleep[[#This Row],[TotalMinutesAsleep]]</f>
        <v>20</v>
      </c>
      <c r="J369">
        <f>ROUND(tbl_working_sleep[[#This Row],[TotalMinutesAsleep]]/tbl_working_sleep[[#This Row],[TotalTimeInBed]]*100,2)</f>
        <v>96.25</v>
      </c>
      <c r="K369" t="str" cm="1">
        <f t="array" ref="K369">_xlfn.IFS(tbl_working_sleep[[#This Row],[SleepHours]]&lt;6,"Insufficient Sleep",tbl_working_sleep[[#This Row],[SleepHours]]&lt;7,"Below Recommended",tbl_working_sleep[[#This Row],[SleepHours]]&lt;=9,"Recommended",tbl_working_sleep[[#This Row],[SleepHours]]&gt;9,"Oversleeping")</f>
        <v>Recommended</v>
      </c>
      <c r="L369" t="str">
        <f>tbl_working_sleep[[#This Row],[Id]]&amp;"|"&amp;TEXT(tbl_working_sleep[[#This Row],[SleepDay]],"yyyy-mm-dd")</f>
        <v>8378563200|2016-04-15</v>
      </c>
    </row>
    <row r="370" spans="1:12" x14ac:dyDescent="0.3">
      <c r="A370">
        <v>8378563200</v>
      </c>
      <c r="B370" s="2">
        <v>42476</v>
      </c>
      <c r="C370">
        <v>2</v>
      </c>
      <c r="D370">
        <v>611</v>
      </c>
      <c r="E370">
        <v>689</v>
      </c>
      <c r="F370" t="str">
        <f>TEXT(tbl_working_sleep[[#This Row],[SleepDay]],"dddd")</f>
        <v>Saturday</v>
      </c>
      <c r="G370">
        <f>ROUND(tbl_working_sleep[[#This Row],[TotalMinutesAsleep]]/60,2)</f>
        <v>10.18</v>
      </c>
      <c r="H370">
        <f>ROUND(tbl_working_sleep[[#This Row],[TotalTimeInBed]]/60,2)</f>
        <v>11.48</v>
      </c>
      <c r="I370">
        <f>tbl_working_sleep[[#This Row],[TotalTimeInBed]]-tbl_working_sleep[[#This Row],[TotalMinutesAsleep]]</f>
        <v>78</v>
      </c>
      <c r="J370">
        <f>ROUND(tbl_working_sleep[[#This Row],[TotalMinutesAsleep]]/tbl_working_sleep[[#This Row],[TotalTimeInBed]]*100,2)</f>
        <v>88.68</v>
      </c>
      <c r="K370" t="str" cm="1">
        <f t="array" ref="K370">_xlfn.IFS(tbl_working_sleep[[#This Row],[SleepHours]]&lt;6,"Insufficient Sleep",tbl_working_sleep[[#This Row],[SleepHours]]&lt;7,"Below Recommended",tbl_working_sleep[[#This Row],[SleepHours]]&lt;=9,"Recommended",tbl_working_sleep[[#This Row],[SleepHours]]&gt;9,"Oversleeping")</f>
        <v>Oversleeping</v>
      </c>
      <c r="L370" t="str">
        <f>tbl_working_sleep[[#This Row],[Id]]&amp;"|"&amp;TEXT(tbl_working_sleep[[#This Row],[SleepDay]],"yyyy-mm-dd")</f>
        <v>8378563200|2016-04-16</v>
      </c>
    </row>
    <row r="371" spans="1:12" x14ac:dyDescent="0.3">
      <c r="A371">
        <v>8378563200</v>
      </c>
      <c r="B371" s="2">
        <v>42477</v>
      </c>
      <c r="C371">
        <v>2</v>
      </c>
      <c r="D371">
        <v>525</v>
      </c>
      <c r="E371">
        <v>591</v>
      </c>
      <c r="F371" t="str">
        <f>TEXT(tbl_working_sleep[[#This Row],[SleepDay]],"dddd")</f>
        <v>Sunday</v>
      </c>
      <c r="G371">
        <f>ROUND(tbl_working_sleep[[#This Row],[TotalMinutesAsleep]]/60,2)</f>
        <v>8.75</v>
      </c>
      <c r="H371">
        <f>ROUND(tbl_working_sleep[[#This Row],[TotalTimeInBed]]/60,2)</f>
        <v>9.85</v>
      </c>
      <c r="I371">
        <f>tbl_working_sleep[[#This Row],[TotalTimeInBed]]-tbl_working_sleep[[#This Row],[TotalMinutesAsleep]]</f>
        <v>66</v>
      </c>
      <c r="J371">
        <f>ROUND(tbl_working_sleep[[#This Row],[TotalMinutesAsleep]]/tbl_working_sleep[[#This Row],[TotalTimeInBed]]*100,2)</f>
        <v>88.83</v>
      </c>
      <c r="K371" t="str" cm="1">
        <f t="array" ref="K371">_xlfn.IFS(tbl_working_sleep[[#This Row],[SleepHours]]&lt;6,"Insufficient Sleep",tbl_working_sleep[[#This Row],[SleepHours]]&lt;7,"Below Recommended",tbl_working_sleep[[#This Row],[SleepHours]]&lt;=9,"Recommended",tbl_working_sleep[[#This Row],[SleepHours]]&gt;9,"Oversleeping")</f>
        <v>Recommended</v>
      </c>
      <c r="L371" t="str">
        <f>tbl_working_sleep[[#This Row],[Id]]&amp;"|"&amp;TEXT(tbl_working_sleep[[#This Row],[SleepDay]],"yyyy-mm-dd")</f>
        <v>8378563200|2016-04-17</v>
      </c>
    </row>
    <row r="372" spans="1:12" x14ac:dyDescent="0.3">
      <c r="A372">
        <v>8378563200</v>
      </c>
      <c r="B372" s="2">
        <v>42478</v>
      </c>
      <c r="C372">
        <v>1</v>
      </c>
      <c r="D372">
        <v>398</v>
      </c>
      <c r="E372">
        <v>451</v>
      </c>
      <c r="F372" t="str">
        <f>TEXT(tbl_working_sleep[[#This Row],[SleepDay]],"dddd")</f>
        <v>Monday</v>
      </c>
      <c r="G372">
        <f>ROUND(tbl_working_sleep[[#This Row],[TotalMinutesAsleep]]/60,2)</f>
        <v>6.63</v>
      </c>
      <c r="H372">
        <f>ROUND(tbl_working_sleep[[#This Row],[TotalTimeInBed]]/60,2)</f>
        <v>7.52</v>
      </c>
      <c r="I372">
        <f>tbl_working_sleep[[#This Row],[TotalTimeInBed]]-tbl_working_sleep[[#This Row],[TotalMinutesAsleep]]</f>
        <v>53</v>
      </c>
      <c r="J372">
        <f>ROUND(tbl_working_sleep[[#This Row],[TotalMinutesAsleep]]/tbl_working_sleep[[#This Row],[TotalTimeInBed]]*100,2)</f>
        <v>88.25</v>
      </c>
      <c r="K372" t="str" cm="1">
        <f t="array" ref="K372">_xlfn.IFS(tbl_working_sleep[[#This Row],[SleepHours]]&lt;6,"Insufficient Sleep",tbl_working_sleep[[#This Row],[SleepHours]]&lt;7,"Below Recommended",tbl_working_sleep[[#This Row],[SleepHours]]&lt;=9,"Recommended",tbl_working_sleep[[#This Row],[SleepHours]]&gt;9,"Oversleeping")</f>
        <v>Below Recommended</v>
      </c>
      <c r="L372" t="str">
        <f>tbl_working_sleep[[#This Row],[Id]]&amp;"|"&amp;TEXT(tbl_working_sleep[[#This Row],[SleepDay]],"yyyy-mm-dd")</f>
        <v>8378563200|2016-04-18</v>
      </c>
    </row>
    <row r="373" spans="1:12" x14ac:dyDescent="0.3">
      <c r="A373">
        <v>8378563200</v>
      </c>
      <c r="B373" s="2">
        <v>42479</v>
      </c>
      <c r="C373">
        <v>1</v>
      </c>
      <c r="D373">
        <v>387</v>
      </c>
      <c r="E373">
        <v>421</v>
      </c>
      <c r="F373" t="str">
        <f>TEXT(tbl_working_sleep[[#This Row],[SleepDay]],"dddd")</f>
        <v>Tuesday</v>
      </c>
      <c r="G373">
        <f>ROUND(tbl_working_sleep[[#This Row],[TotalMinutesAsleep]]/60,2)</f>
        <v>6.45</v>
      </c>
      <c r="H373">
        <f>ROUND(tbl_working_sleep[[#This Row],[TotalTimeInBed]]/60,2)</f>
        <v>7.02</v>
      </c>
      <c r="I373">
        <f>tbl_working_sleep[[#This Row],[TotalTimeInBed]]-tbl_working_sleep[[#This Row],[TotalMinutesAsleep]]</f>
        <v>34</v>
      </c>
      <c r="J373">
        <f>ROUND(tbl_working_sleep[[#This Row],[TotalMinutesAsleep]]/tbl_working_sleep[[#This Row],[TotalTimeInBed]]*100,2)</f>
        <v>91.92</v>
      </c>
      <c r="K373" t="str" cm="1">
        <f t="array" ref="K373">_xlfn.IFS(tbl_working_sleep[[#This Row],[SleepHours]]&lt;6,"Insufficient Sleep",tbl_working_sleep[[#This Row],[SleepHours]]&lt;7,"Below Recommended",tbl_working_sleep[[#This Row],[SleepHours]]&lt;=9,"Recommended",tbl_working_sleep[[#This Row],[SleepHours]]&gt;9,"Oversleeping")</f>
        <v>Below Recommended</v>
      </c>
      <c r="L373" t="str">
        <f>tbl_working_sleep[[#This Row],[Id]]&amp;"|"&amp;TEXT(tbl_working_sleep[[#This Row],[SleepDay]],"yyyy-mm-dd")</f>
        <v>8378563200|2016-04-19</v>
      </c>
    </row>
    <row r="374" spans="1:12" x14ac:dyDescent="0.3">
      <c r="A374">
        <v>8378563200</v>
      </c>
      <c r="B374" s="2">
        <v>42480</v>
      </c>
      <c r="C374">
        <v>1</v>
      </c>
      <c r="D374">
        <v>381</v>
      </c>
      <c r="E374">
        <v>409</v>
      </c>
      <c r="F374" t="str">
        <f>TEXT(tbl_working_sleep[[#This Row],[SleepDay]],"dddd")</f>
        <v>Wednesday</v>
      </c>
      <c r="G374">
        <f>ROUND(tbl_working_sleep[[#This Row],[TotalMinutesAsleep]]/60,2)</f>
        <v>6.35</v>
      </c>
      <c r="H374">
        <f>ROUND(tbl_working_sleep[[#This Row],[TotalTimeInBed]]/60,2)</f>
        <v>6.82</v>
      </c>
      <c r="I374">
        <f>tbl_working_sleep[[#This Row],[TotalTimeInBed]]-tbl_working_sleep[[#This Row],[TotalMinutesAsleep]]</f>
        <v>28</v>
      </c>
      <c r="J374">
        <f>ROUND(tbl_working_sleep[[#This Row],[TotalMinutesAsleep]]/tbl_working_sleep[[#This Row],[TotalTimeInBed]]*100,2)</f>
        <v>93.15</v>
      </c>
      <c r="K374" t="str" cm="1">
        <f t="array" ref="K374">_xlfn.IFS(tbl_working_sleep[[#This Row],[SleepHours]]&lt;6,"Insufficient Sleep",tbl_working_sleep[[#This Row],[SleepHours]]&lt;7,"Below Recommended",tbl_working_sleep[[#This Row],[SleepHours]]&lt;=9,"Recommended",tbl_working_sleep[[#This Row],[SleepHours]]&gt;9,"Oversleeping")</f>
        <v>Below Recommended</v>
      </c>
      <c r="L374" t="str">
        <f>tbl_working_sleep[[#This Row],[Id]]&amp;"|"&amp;TEXT(tbl_working_sleep[[#This Row],[SleepDay]],"yyyy-mm-dd")</f>
        <v>8378563200|2016-04-20</v>
      </c>
    </row>
    <row r="375" spans="1:12" x14ac:dyDescent="0.3">
      <c r="A375">
        <v>8378563200</v>
      </c>
      <c r="B375" s="2">
        <v>42481</v>
      </c>
      <c r="C375">
        <v>1</v>
      </c>
      <c r="D375">
        <v>396</v>
      </c>
      <c r="E375">
        <v>417</v>
      </c>
      <c r="F375" t="str">
        <f>TEXT(tbl_working_sleep[[#This Row],[SleepDay]],"dddd")</f>
        <v>Thursday</v>
      </c>
      <c r="G375">
        <f>ROUND(tbl_working_sleep[[#This Row],[TotalMinutesAsleep]]/60,2)</f>
        <v>6.6</v>
      </c>
      <c r="H375">
        <f>ROUND(tbl_working_sleep[[#This Row],[TotalTimeInBed]]/60,2)</f>
        <v>6.95</v>
      </c>
      <c r="I375">
        <f>tbl_working_sleep[[#This Row],[TotalTimeInBed]]-tbl_working_sleep[[#This Row],[TotalMinutesAsleep]]</f>
        <v>21</v>
      </c>
      <c r="J375">
        <f>ROUND(tbl_working_sleep[[#This Row],[TotalMinutesAsleep]]/tbl_working_sleep[[#This Row],[TotalTimeInBed]]*100,2)</f>
        <v>94.96</v>
      </c>
      <c r="K375" t="str" cm="1">
        <f t="array" ref="K375">_xlfn.IFS(tbl_working_sleep[[#This Row],[SleepHours]]&lt;6,"Insufficient Sleep",tbl_working_sleep[[#This Row],[SleepHours]]&lt;7,"Below Recommended",tbl_working_sleep[[#This Row],[SleepHours]]&lt;=9,"Recommended",tbl_working_sleep[[#This Row],[SleepHours]]&gt;9,"Oversleeping")</f>
        <v>Below Recommended</v>
      </c>
      <c r="L375" t="str">
        <f>tbl_working_sleep[[#This Row],[Id]]&amp;"|"&amp;TEXT(tbl_working_sleep[[#This Row],[SleepDay]],"yyyy-mm-dd")</f>
        <v>8378563200|2016-04-21</v>
      </c>
    </row>
    <row r="376" spans="1:12" x14ac:dyDescent="0.3">
      <c r="A376">
        <v>8378563200</v>
      </c>
      <c r="B376" s="2">
        <v>42482</v>
      </c>
      <c r="C376">
        <v>1</v>
      </c>
      <c r="D376">
        <v>441</v>
      </c>
      <c r="E376">
        <v>469</v>
      </c>
      <c r="F376" t="str">
        <f>TEXT(tbl_working_sleep[[#This Row],[SleepDay]],"dddd")</f>
        <v>Friday</v>
      </c>
      <c r="G376">
        <f>ROUND(tbl_working_sleep[[#This Row],[TotalMinutesAsleep]]/60,2)</f>
        <v>7.35</v>
      </c>
      <c r="H376">
        <f>ROUND(tbl_working_sleep[[#This Row],[TotalTimeInBed]]/60,2)</f>
        <v>7.82</v>
      </c>
      <c r="I376">
        <f>tbl_working_sleep[[#This Row],[TotalTimeInBed]]-tbl_working_sleep[[#This Row],[TotalMinutesAsleep]]</f>
        <v>28</v>
      </c>
      <c r="J376">
        <f>ROUND(tbl_working_sleep[[#This Row],[TotalMinutesAsleep]]/tbl_working_sleep[[#This Row],[TotalTimeInBed]]*100,2)</f>
        <v>94.03</v>
      </c>
      <c r="K376" t="str" cm="1">
        <f t="array" ref="K376">_xlfn.IFS(tbl_working_sleep[[#This Row],[SleepHours]]&lt;6,"Insufficient Sleep",tbl_working_sleep[[#This Row],[SleepHours]]&lt;7,"Below Recommended",tbl_working_sleep[[#This Row],[SleepHours]]&lt;=9,"Recommended",tbl_working_sleep[[#This Row],[SleepHours]]&gt;9,"Oversleeping")</f>
        <v>Recommended</v>
      </c>
      <c r="L376" t="str">
        <f>tbl_working_sleep[[#This Row],[Id]]&amp;"|"&amp;TEXT(tbl_working_sleep[[#This Row],[SleepDay]],"yyyy-mm-dd")</f>
        <v>8378563200|2016-04-22</v>
      </c>
    </row>
    <row r="377" spans="1:12" x14ac:dyDescent="0.3">
      <c r="A377">
        <v>8378563200</v>
      </c>
      <c r="B377" s="2">
        <v>42483</v>
      </c>
      <c r="C377">
        <v>1</v>
      </c>
      <c r="D377">
        <v>565</v>
      </c>
      <c r="E377">
        <v>591</v>
      </c>
      <c r="F377" t="str">
        <f>TEXT(tbl_working_sleep[[#This Row],[SleepDay]],"dddd")</f>
        <v>Saturday</v>
      </c>
      <c r="G377">
        <f>ROUND(tbl_working_sleep[[#This Row],[TotalMinutesAsleep]]/60,2)</f>
        <v>9.42</v>
      </c>
      <c r="H377">
        <f>ROUND(tbl_working_sleep[[#This Row],[TotalTimeInBed]]/60,2)</f>
        <v>9.85</v>
      </c>
      <c r="I377">
        <f>tbl_working_sleep[[#This Row],[TotalTimeInBed]]-tbl_working_sleep[[#This Row],[TotalMinutesAsleep]]</f>
        <v>26</v>
      </c>
      <c r="J377">
        <f>ROUND(tbl_working_sleep[[#This Row],[TotalMinutesAsleep]]/tbl_working_sleep[[#This Row],[TotalTimeInBed]]*100,2)</f>
        <v>95.6</v>
      </c>
      <c r="K377" t="str" cm="1">
        <f t="array" ref="K377">_xlfn.IFS(tbl_working_sleep[[#This Row],[SleepHours]]&lt;6,"Insufficient Sleep",tbl_working_sleep[[#This Row],[SleepHours]]&lt;7,"Below Recommended",tbl_working_sleep[[#This Row],[SleepHours]]&lt;=9,"Recommended",tbl_working_sleep[[#This Row],[SleepHours]]&gt;9,"Oversleeping")</f>
        <v>Oversleeping</v>
      </c>
      <c r="L377" t="str">
        <f>tbl_working_sleep[[#This Row],[Id]]&amp;"|"&amp;TEXT(tbl_working_sleep[[#This Row],[SleepDay]],"yyyy-mm-dd")</f>
        <v>8378563200|2016-04-23</v>
      </c>
    </row>
    <row r="378" spans="1:12" x14ac:dyDescent="0.3">
      <c r="A378">
        <v>8378563200</v>
      </c>
      <c r="B378" s="2">
        <v>42484</v>
      </c>
      <c r="C378">
        <v>1</v>
      </c>
      <c r="D378">
        <v>458</v>
      </c>
      <c r="E378">
        <v>492</v>
      </c>
      <c r="F378" t="str">
        <f>TEXT(tbl_working_sleep[[#This Row],[SleepDay]],"dddd")</f>
        <v>Sunday</v>
      </c>
      <c r="G378">
        <f>ROUND(tbl_working_sleep[[#This Row],[TotalMinutesAsleep]]/60,2)</f>
        <v>7.63</v>
      </c>
      <c r="H378">
        <f>ROUND(tbl_working_sleep[[#This Row],[TotalTimeInBed]]/60,2)</f>
        <v>8.1999999999999993</v>
      </c>
      <c r="I378">
        <f>tbl_working_sleep[[#This Row],[TotalTimeInBed]]-tbl_working_sleep[[#This Row],[TotalMinutesAsleep]]</f>
        <v>34</v>
      </c>
      <c r="J378">
        <f>ROUND(tbl_working_sleep[[#This Row],[TotalMinutesAsleep]]/tbl_working_sleep[[#This Row],[TotalTimeInBed]]*100,2)</f>
        <v>93.09</v>
      </c>
      <c r="K378" t="str" cm="1">
        <f t="array" ref="K378">_xlfn.IFS(tbl_working_sleep[[#This Row],[SleepHours]]&lt;6,"Insufficient Sleep",tbl_working_sleep[[#This Row],[SleepHours]]&lt;7,"Below Recommended",tbl_working_sleep[[#This Row],[SleepHours]]&lt;=9,"Recommended",tbl_working_sleep[[#This Row],[SleepHours]]&gt;9,"Oversleeping")</f>
        <v>Recommended</v>
      </c>
      <c r="L378" t="str">
        <f>tbl_working_sleep[[#This Row],[Id]]&amp;"|"&amp;TEXT(tbl_working_sleep[[#This Row],[SleepDay]],"yyyy-mm-dd")</f>
        <v>8378563200|2016-04-24</v>
      </c>
    </row>
    <row r="379" spans="1:12" x14ac:dyDescent="0.3">
      <c r="A379">
        <v>8378563200</v>
      </c>
      <c r="B379" s="2">
        <v>42485</v>
      </c>
      <c r="C379">
        <v>1</v>
      </c>
      <c r="D379">
        <v>388</v>
      </c>
      <c r="E379">
        <v>402</v>
      </c>
      <c r="F379" t="str">
        <f>TEXT(tbl_working_sleep[[#This Row],[SleepDay]],"dddd")</f>
        <v>Monday</v>
      </c>
      <c r="G379">
        <f>ROUND(tbl_working_sleep[[#This Row],[TotalMinutesAsleep]]/60,2)</f>
        <v>6.47</v>
      </c>
      <c r="H379">
        <f>ROUND(tbl_working_sleep[[#This Row],[TotalTimeInBed]]/60,2)</f>
        <v>6.7</v>
      </c>
      <c r="I379">
        <f>tbl_working_sleep[[#This Row],[TotalTimeInBed]]-tbl_working_sleep[[#This Row],[TotalMinutesAsleep]]</f>
        <v>14</v>
      </c>
      <c r="J379">
        <f>ROUND(tbl_working_sleep[[#This Row],[TotalMinutesAsleep]]/tbl_working_sleep[[#This Row],[TotalTimeInBed]]*100,2)</f>
        <v>96.52</v>
      </c>
      <c r="K379" t="str" cm="1">
        <f t="array" ref="K379">_xlfn.IFS(tbl_working_sleep[[#This Row],[SleepHours]]&lt;6,"Insufficient Sleep",tbl_working_sleep[[#This Row],[SleepHours]]&lt;7,"Below Recommended",tbl_working_sleep[[#This Row],[SleepHours]]&lt;=9,"Recommended",tbl_working_sleep[[#This Row],[SleepHours]]&gt;9,"Oversleeping")</f>
        <v>Below Recommended</v>
      </c>
      <c r="L379" t="str">
        <f>tbl_working_sleep[[#This Row],[Id]]&amp;"|"&amp;TEXT(tbl_working_sleep[[#This Row],[SleepDay]],"yyyy-mm-dd")</f>
        <v>8378563200|2016-04-25</v>
      </c>
    </row>
    <row r="380" spans="1:12" x14ac:dyDescent="0.3">
      <c r="A380">
        <v>8378563200</v>
      </c>
      <c r="B380" s="2">
        <v>42486</v>
      </c>
      <c r="C380">
        <v>1</v>
      </c>
      <c r="D380">
        <v>550</v>
      </c>
      <c r="E380">
        <v>584</v>
      </c>
      <c r="F380" t="str">
        <f>TEXT(tbl_working_sleep[[#This Row],[SleepDay]],"dddd")</f>
        <v>Tuesday</v>
      </c>
      <c r="G380">
        <f>ROUND(tbl_working_sleep[[#This Row],[TotalMinutesAsleep]]/60,2)</f>
        <v>9.17</v>
      </c>
      <c r="H380">
        <f>ROUND(tbl_working_sleep[[#This Row],[TotalTimeInBed]]/60,2)</f>
        <v>9.73</v>
      </c>
      <c r="I380">
        <f>tbl_working_sleep[[#This Row],[TotalTimeInBed]]-tbl_working_sleep[[#This Row],[TotalMinutesAsleep]]</f>
        <v>34</v>
      </c>
      <c r="J380">
        <f>ROUND(tbl_working_sleep[[#This Row],[TotalMinutesAsleep]]/tbl_working_sleep[[#This Row],[TotalTimeInBed]]*100,2)</f>
        <v>94.18</v>
      </c>
      <c r="K380" t="str" cm="1">
        <f t="array" ref="K380">_xlfn.IFS(tbl_working_sleep[[#This Row],[SleepHours]]&lt;6,"Insufficient Sleep",tbl_working_sleep[[#This Row],[SleepHours]]&lt;7,"Below Recommended",tbl_working_sleep[[#This Row],[SleepHours]]&lt;=9,"Recommended",tbl_working_sleep[[#This Row],[SleepHours]]&gt;9,"Oversleeping")</f>
        <v>Oversleeping</v>
      </c>
      <c r="L380" t="str">
        <f>tbl_working_sleep[[#This Row],[Id]]&amp;"|"&amp;TEXT(tbl_working_sleep[[#This Row],[SleepDay]],"yyyy-mm-dd")</f>
        <v>8378563200|2016-04-26</v>
      </c>
    </row>
    <row r="381" spans="1:12" x14ac:dyDescent="0.3">
      <c r="A381">
        <v>8378563200</v>
      </c>
      <c r="B381" s="2">
        <v>42487</v>
      </c>
      <c r="C381">
        <v>1</v>
      </c>
      <c r="D381">
        <v>531</v>
      </c>
      <c r="E381">
        <v>600</v>
      </c>
      <c r="F381" t="str">
        <f>TEXT(tbl_working_sleep[[#This Row],[SleepDay]],"dddd")</f>
        <v>Wednesday</v>
      </c>
      <c r="G381">
        <f>ROUND(tbl_working_sleep[[#This Row],[TotalMinutesAsleep]]/60,2)</f>
        <v>8.85</v>
      </c>
      <c r="H381">
        <f>ROUND(tbl_working_sleep[[#This Row],[TotalTimeInBed]]/60,2)</f>
        <v>10</v>
      </c>
      <c r="I381">
        <f>tbl_working_sleep[[#This Row],[TotalTimeInBed]]-tbl_working_sleep[[#This Row],[TotalMinutesAsleep]]</f>
        <v>69</v>
      </c>
      <c r="J381">
        <f>ROUND(tbl_working_sleep[[#This Row],[TotalMinutesAsleep]]/tbl_working_sleep[[#This Row],[TotalTimeInBed]]*100,2)</f>
        <v>88.5</v>
      </c>
      <c r="K381" t="str" cm="1">
        <f t="array" ref="K381">_xlfn.IFS(tbl_working_sleep[[#This Row],[SleepHours]]&lt;6,"Insufficient Sleep",tbl_working_sleep[[#This Row],[SleepHours]]&lt;7,"Below Recommended",tbl_working_sleep[[#This Row],[SleepHours]]&lt;=9,"Recommended",tbl_working_sleep[[#This Row],[SleepHours]]&gt;9,"Oversleeping")</f>
        <v>Recommended</v>
      </c>
      <c r="L381" t="str">
        <f>tbl_working_sleep[[#This Row],[Id]]&amp;"|"&amp;TEXT(tbl_working_sleep[[#This Row],[SleepDay]],"yyyy-mm-dd")</f>
        <v>8378563200|2016-04-27</v>
      </c>
    </row>
    <row r="382" spans="1:12" x14ac:dyDescent="0.3">
      <c r="A382">
        <v>8378563200</v>
      </c>
      <c r="B382" s="2">
        <v>42488</v>
      </c>
      <c r="C382">
        <v>1</v>
      </c>
      <c r="D382">
        <v>506</v>
      </c>
      <c r="E382">
        <v>556</v>
      </c>
      <c r="F382" t="str">
        <f>TEXT(tbl_working_sleep[[#This Row],[SleepDay]],"dddd")</f>
        <v>Thursday</v>
      </c>
      <c r="G382">
        <f>ROUND(tbl_working_sleep[[#This Row],[TotalMinutesAsleep]]/60,2)</f>
        <v>8.43</v>
      </c>
      <c r="H382">
        <f>ROUND(tbl_working_sleep[[#This Row],[TotalTimeInBed]]/60,2)</f>
        <v>9.27</v>
      </c>
      <c r="I382">
        <f>tbl_working_sleep[[#This Row],[TotalTimeInBed]]-tbl_working_sleep[[#This Row],[TotalMinutesAsleep]]</f>
        <v>50</v>
      </c>
      <c r="J382">
        <f>ROUND(tbl_working_sleep[[#This Row],[TotalMinutesAsleep]]/tbl_working_sleep[[#This Row],[TotalTimeInBed]]*100,2)</f>
        <v>91.01</v>
      </c>
      <c r="K382" t="str" cm="1">
        <f t="array" ref="K382">_xlfn.IFS(tbl_working_sleep[[#This Row],[SleepHours]]&lt;6,"Insufficient Sleep",tbl_working_sleep[[#This Row],[SleepHours]]&lt;7,"Below Recommended",tbl_working_sleep[[#This Row],[SleepHours]]&lt;=9,"Recommended",tbl_working_sleep[[#This Row],[SleepHours]]&gt;9,"Oversleeping")</f>
        <v>Recommended</v>
      </c>
      <c r="L382" t="str">
        <f>tbl_working_sleep[[#This Row],[Id]]&amp;"|"&amp;TEXT(tbl_working_sleep[[#This Row],[SleepDay]],"yyyy-mm-dd")</f>
        <v>8378563200|2016-04-28</v>
      </c>
    </row>
    <row r="383" spans="1:12" x14ac:dyDescent="0.3">
      <c r="A383">
        <v>8378563200</v>
      </c>
      <c r="B383" s="2">
        <v>42489</v>
      </c>
      <c r="C383">
        <v>1</v>
      </c>
      <c r="D383">
        <v>527</v>
      </c>
      <c r="E383">
        <v>562</v>
      </c>
      <c r="F383" t="str">
        <f>TEXT(tbl_working_sleep[[#This Row],[SleepDay]],"dddd")</f>
        <v>Friday</v>
      </c>
      <c r="G383">
        <f>ROUND(tbl_working_sleep[[#This Row],[TotalMinutesAsleep]]/60,2)</f>
        <v>8.7799999999999994</v>
      </c>
      <c r="H383">
        <f>ROUND(tbl_working_sleep[[#This Row],[TotalTimeInBed]]/60,2)</f>
        <v>9.3699999999999992</v>
      </c>
      <c r="I383">
        <f>tbl_working_sleep[[#This Row],[TotalTimeInBed]]-tbl_working_sleep[[#This Row],[TotalMinutesAsleep]]</f>
        <v>35</v>
      </c>
      <c r="J383">
        <f>ROUND(tbl_working_sleep[[#This Row],[TotalMinutesAsleep]]/tbl_working_sleep[[#This Row],[TotalTimeInBed]]*100,2)</f>
        <v>93.77</v>
      </c>
      <c r="K383" t="str" cm="1">
        <f t="array" ref="K383">_xlfn.IFS(tbl_working_sleep[[#This Row],[SleepHours]]&lt;6,"Insufficient Sleep",tbl_working_sleep[[#This Row],[SleepHours]]&lt;7,"Below Recommended",tbl_working_sleep[[#This Row],[SleepHours]]&lt;=9,"Recommended",tbl_working_sleep[[#This Row],[SleepHours]]&gt;9,"Oversleeping")</f>
        <v>Recommended</v>
      </c>
      <c r="L383" t="str">
        <f>tbl_working_sleep[[#This Row],[Id]]&amp;"|"&amp;TEXT(tbl_working_sleep[[#This Row],[SleepDay]],"yyyy-mm-dd")</f>
        <v>8378563200|2016-04-29</v>
      </c>
    </row>
    <row r="384" spans="1:12" x14ac:dyDescent="0.3">
      <c r="A384">
        <v>8378563200</v>
      </c>
      <c r="B384" s="2">
        <v>42490</v>
      </c>
      <c r="C384">
        <v>1</v>
      </c>
      <c r="D384">
        <v>468</v>
      </c>
      <c r="E384">
        <v>555</v>
      </c>
      <c r="F384" t="str">
        <f>TEXT(tbl_working_sleep[[#This Row],[SleepDay]],"dddd")</f>
        <v>Saturday</v>
      </c>
      <c r="G384">
        <f>ROUND(tbl_working_sleep[[#This Row],[TotalMinutesAsleep]]/60,2)</f>
        <v>7.8</v>
      </c>
      <c r="H384">
        <f>ROUND(tbl_working_sleep[[#This Row],[TotalTimeInBed]]/60,2)</f>
        <v>9.25</v>
      </c>
      <c r="I384">
        <f>tbl_working_sleep[[#This Row],[TotalTimeInBed]]-tbl_working_sleep[[#This Row],[TotalMinutesAsleep]]</f>
        <v>87</v>
      </c>
      <c r="J384">
        <f>ROUND(tbl_working_sleep[[#This Row],[TotalMinutesAsleep]]/tbl_working_sleep[[#This Row],[TotalTimeInBed]]*100,2)</f>
        <v>84.32</v>
      </c>
      <c r="K384" t="str" cm="1">
        <f t="array" ref="K384">_xlfn.IFS(tbl_working_sleep[[#This Row],[SleepHours]]&lt;6,"Insufficient Sleep",tbl_working_sleep[[#This Row],[SleepHours]]&lt;7,"Below Recommended",tbl_working_sleep[[#This Row],[SleepHours]]&lt;=9,"Recommended",tbl_working_sleep[[#This Row],[SleepHours]]&gt;9,"Oversleeping")</f>
        <v>Recommended</v>
      </c>
      <c r="L384" t="str">
        <f>tbl_working_sleep[[#This Row],[Id]]&amp;"|"&amp;TEXT(tbl_working_sleep[[#This Row],[SleepDay]],"yyyy-mm-dd")</f>
        <v>8378563200|2016-04-30</v>
      </c>
    </row>
    <row r="385" spans="1:12" x14ac:dyDescent="0.3">
      <c r="A385">
        <v>8378563200</v>
      </c>
      <c r="B385" s="2">
        <v>42491</v>
      </c>
      <c r="C385">
        <v>1</v>
      </c>
      <c r="D385">
        <v>475</v>
      </c>
      <c r="E385">
        <v>539</v>
      </c>
      <c r="F385" t="str">
        <f>TEXT(tbl_working_sleep[[#This Row],[SleepDay]],"dddd")</f>
        <v>Sunday</v>
      </c>
      <c r="G385">
        <f>ROUND(tbl_working_sleep[[#This Row],[TotalMinutesAsleep]]/60,2)</f>
        <v>7.92</v>
      </c>
      <c r="H385">
        <f>ROUND(tbl_working_sleep[[#This Row],[TotalTimeInBed]]/60,2)</f>
        <v>8.98</v>
      </c>
      <c r="I385">
        <f>tbl_working_sleep[[#This Row],[TotalTimeInBed]]-tbl_working_sleep[[#This Row],[TotalMinutesAsleep]]</f>
        <v>64</v>
      </c>
      <c r="J385">
        <f>ROUND(tbl_working_sleep[[#This Row],[TotalMinutesAsleep]]/tbl_working_sleep[[#This Row],[TotalTimeInBed]]*100,2)</f>
        <v>88.13</v>
      </c>
      <c r="K385" t="str" cm="1">
        <f t="array" ref="K385">_xlfn.IFS(tbl_working_sleep[[#This Row],[SleepHours]]&lt;6,"Insufficient Sleep",tbl_working_sleep[[#This Row],[SleepHours]]&lt;7,"Below Recommended",tbl_working_sleep[[#This Row],[SleepHours]]&lt;=9,"Recommended",tbl_working_sleep[[#This Row],[SleepHours]]&gt;9,"Oversleeping")</f>
        <v>Recommended</v>
      </c>
      <c r="L385" t="str">
        <f>tbl_working_sleep[[#This Row],[Id]]&amp;"|"&amp;TEXT(tbl_working_sleep[[#This Row],[SleepDay]],"yyyy-mm-dd")</f>
        <v>8378563200|2016-05-01</v>
      </c>
    </row>
    <row r="386" spans="1:12" x14ac:dyDescent="0.3">
      <c r="A386">
        <v>8378563200</v>
      </c>
      <c r="B386" s="2">
        <v>42492</v>
      </c>
      <c r="C386">
        <v>1</v>
      </c>
      <c r="D386">
        <v>351</v>
      </c>
      <c r="E386">
        <v>385</v>
      </c>
      <c r="F386" t="str">
        <f>TEXT(tbl_working_sleep[[#This Row],[SleepDay]],"dddd")</f>
        <v>Monday</v>
      </c>
      <c r="G386">
        <f>ROUND(tbl_working_sleep[[#This Row],[TotalMinutesAsleep]]/60,2)</f>
        <v>5.85</v>
      </c>
      <c r="H386">
        <f>ROUND(tbl_working_sleep[[#This Row],[TotalTimeInBed]]/60,2)</f>
        <v>6.42</v>
      </c>
      <c r="I386">
        <f>tbl_working_sleep[[#This Row],[TotalTimeInBed]]-tbl_working_sleep[[#This Row],[TotalMinutesAsleep]]</f>
        <v>34</v>
      </c>
      <c r="J386">
        <f>ROUND(tbl_working_sleep[[#This Row],[TotalMinutesAsleep]]/tbl_working_sleep[[#This Row],[TotalTimeInBed]]*100,2)</f>
        <v>91.17</v>
      </c>
      <c r="K386" t="str" cm="1">
        <f t="array" ref="K386">_xlfn.IFS(tbl_working_sleep[[#This Row],[SleepHours]]&lt;6,"Insufficient Sleep",tbl_working_sleep[[#This Row],[SleepHours]]&lt;7,"Below Recommended",tbl_working_sleep[[#This Row],[SleepHours]]&lt;=9,"Recommended",tbl_working_sleep[[#This Row],[SleepHours]]&gt;9,"Oversleeping")</f>
        <v>Insufficient Sleep</v>
      </c>
      <c r="L386" t="str">
        <f>tbl_working_sleep[[#This Row],[Id]]&amp;"|"&amp;TEXT(tbl_working_sleep[[#This Row],[SleepDay]],"yyyy-mm-dd")</f>
        <v>8378563200|2016-05-02</v>
      </c>
    </row>
    <row r="387" spans="1:12" x14ac:dyDescent="0.3">
      <c r="A387">
        <v>8378563200</v>
      </c>
      <c r="B387" s="2">
        <v>42493</v>
      </c>
      <c r="C387">
        <v>1</v>
      </c>
      <c r="D387">
        <v>405</v>
      </c>
      <c r="E387">
        <v>429</v>
      </c>
      <c r="F387" t="str">
        <f>TEXT(tbl_working_sleep[[#This Row],[SleepDay]],"dddd")</f>
        <v>Tuesday</v>
      </c>
      <c r="G387">
        <f>ROUND(tbl_working_sleep[[#This Row],[TotalMinutesAsleep]]/60,2)</f>
        <v>6.75</v>
      </c>
      <c r="H387">
        <f>ROUND(tbl_working_sleep[[#This Row],[TotalTimeInBed]]/60,2)</f>
        <v>7.15</v>
      </c>
      <c r="I387">
        <f>tbl_working_sleep[[#This Row],[TotalTimeInBed]]-tbl_working_sleep[[#This Row],[TotalMinutesAsleep]]</f>
        <v>24</v>
      </c>
      <c r="J387">
        <f>ROUND(tbl_working_sleep[[#This Row],[TotalMinutesAsleep]]/tbl_working_sleep[[#This Row],[TotalTimeInBed]]*100,2)</f>
        <v>94.41</v>
      </c>
      <c r="K387" t="str" cm="1">
        <f t="array" ref="K387">_xlfn.IFS(tbl_working_sleep[[#This Row],[SleepHours]]&lt;6,"Insufficient Sleep",tbl_working_sleep[[#This Row],[SleepHours]]&lt;7,"Below Recommended",tbl_working_sleep[[#This Row],[SleepHours]]&lt;=9,"Recommended",tbl_working_sleep[[#This Row],[SleepHours]]&gt;9,"Oversleeping")</f>
        <v>Below Recommended</v>
      </c>
      <c r="L387" t="str">
        <f>tbl_working_sleep[[#This Row],[Id]]&amp;"|"&amp;TEXT(tbl_working_sleep[[#This Row],[SleepDay]],"yyyy-mm-dd")</f>
        <v>8378563200|2016-05-03</v>
      </c>
    </row>
    <row r="388" spans="1:12" x14ac:dyDescent="0.3">
      <c r="A388">
        <v>8378563200</v>
      </c>
      <c r="B388" s="2">
        <v>42494</v>
      </c>
      <c r="C388">
        <v>1</v>
      </c>
      <c r="D388">
        <v>441</v>
      </c>
      <c r="E388">
        <v>477</v>
      </c>
      <c r="F388" t="str">
        <f>TEXT(tbl_working_sleep[[#This Row],[SleepDay]],"dddd")</f>
        <v>Wednesday</v>
      </c>
      <c r="G388">
        <f>ROUND(tbl_working_sleep[[#This Row],[TotalMinutesAsleep]]/60,2)</f>
        <v>7.35</v>
      </c>
      <c r="H388">
        <f>ROUND(tbl_working_sleep[[#This Row],[TotalTimeInBed]]/60,2)</f>
        <v>7.95</v>
      </c>
      <c r="I388">
        <f>tbl_working_sleep[[#This Row],[TotalTimeInBed]]-tbl_working_sleep[[#This Row],[TotalMinutesAsleep]]</f>
        <v>36</v>
      </c>
      <c r="J388">
        <f>ROUND(tbl_working_sleep[[#This Row],[TotalMinutesAsleep]]/tbl_working_sleep[[#This Row],[TotalTimeInBed]]*100,2)</f>
        <v>92.45</v>
      </c>
      <c r="K388" t="str" cm="1">
        <f t="array" ref="K388">_xlfn.IFS(tbl_working_sleep[[#This Row],[SleepHours]]&lt;6,"Insufficient Sleep",tbl_working_sleep[[#This Row],[SleepHours]]&lt;7,"Below Recommended",tbl_working_sleep[[#This Row],[SleepHours]]&lt;=9,"Recommended",tbl_working_sleep[[#This Row],[SleepHours]]&gt;9,"Oversleeping")</f>
        <v>Recommended</v>
      </c>
      <c r="L388" t="str">
        <f>tbl_working_sleep[[#This Row],[Id]]&amp;"|"&amp;TEXT(tbl_working_sleep[[#This Row],[SleepDay]],"yyyy-mm-dd")</f>
        <v>8378563200|2016-05-04</v>
      </c>
    </row>
    <row r="389" spans="1:12" x14ac:dyDescent="0.3">
      <c r="A389">
        <v>8378563200</v>
      </c>
      <c r="B389" s="2">
        <v>42495</v>
      </c>
      <c r="C389">
        <v>1</v>
      </c>
      <c r="D389">
        <v>381</v>
      </c>
      <c r="E389">
        <v>417</v>
      </c>
      <c r="F389" t="str">
        <f>TEXT(tbl_working_sleep[[#This Row],[SleepDay]],"dddd")</f>
        <v>Thursday</v>
      </c>
      <c r="G389">
        <f>ROUND(tbl_working_sleep[[#This Row],[TotalMinutesAsleep]]/60,2)</f>
        <v>6.35</v>
      </c>
      <c r="H389">
        <f>ROUND(tbl_working_sleep[[#This Row],[TotalTimeInBed]]/60,2)</f>
        <v>6.95</v>
      </c>
      <c r="I389">
        <f>tbl_working_sleep[[#This Row],[TotalTimeInBed]]-tbl_working_sleep[[#This Row],[TotalMinutesAsleep]]</f>
        <v>36</v>
      </c>
      <c r="J389">
        <f>ROUND(tbl_working_sleep[[#This Row],[TotalMinutesAsleep]]/tbl_working_sleep[[#This Row],[TotalTimeInBed]]*100,2)</f>
        <v>91.37</v>
      </c>
      <c r="K389" t="str" cm="1">
        <f t="array" ref="K389">_xlfn.IFS(tbl_working_sleep[[#This Row],[SleepHours]]&lt;6,"Insufficient Sleep",tbl_working_sleep[[#This Row],[SleepHours]]&lt;7,"Below Recommended",tbl_working_sleep[[#This Row],[SleepHours]]&lt;=9,"Recommended",tbl_working_sleep[[#This Row],[SleepHours]]&gt;9,"Oversleeping")</f>
        <v>Below Recommended</v>
      </c>
      <c r="L389" t="str">
        <f>tbl_working_sleep[[#This Row],[Id]]&amp;"|"&amp;TEXT(tbl_working_sleep[[#This Row],[SleepDay]],"yyyy-mm-dd")</f>
        <v>8378563200|2016-05-05</v>
      </c>
    </row>
    <row r="390" spans="1:12" x14ac:dyDescent="0.3">
      <c r="A390">
        <v>8378563200</v>
      </c>
      <c r="B390" s="2">
        <v>42496</v>
      </c>
      <c r="C390">
        <v>1</v>
      </c>
      <c r="D390">
        <v>323</v>
      </c>
      <c r="E390">
        <v>355</v>
      </c>
      <c r="F390" t="str">
        <f>TEXT(tbl_working_sleep[[#This Row],[SleepDay]],"dddd")</f>
        <v>Friday</v>
      </c>
      <c r="G390">
        <f>ROUND(tbl_working_sleep[[#This Row],[TotalMinutesAsleep]]/60,2)</f>
        <v>5.38</v>
      </c>
      <c r="H390">
        <f>ROUND(tbl_working_sleep[[#This Row],[TotalTimeInBed]]/60,2)</f>
        <v>5.92</v>
      </c>
      <c r="I390">
        <f>tbl_working_sleep[[#This Row],[TotalTimeInBed]]-tbl_working_sleep[[#This Row],[TotalMinutesAsleep]]</f>
        <v>32</v>
      </c>
      <c r="J390">
        <f>ROUND(tbl_working_sleep[[#This Row],[TotalMinutesAsleep]]/tbl_working_sleep[[#This Row],[TotalTimeInBed]]*100,2)</f>
        <v>90.99</v>
      </c>
      <c r="K390" t="str" cm="1">
        <f t="array" ref="K390">_xlfn.IFS(tbl_working_sleep[[#This Row],[SleepHours]]&lt;6,"Insufficient Sleep",tbl_working_sleep[[#This Row],[SleepHours]]&lt;7,"Below Recommended",tbl_working_sleep[[#This Row],[SleepHours]]&lt;=9,"Recommended",tbl_working_sleep[[#This Row],[SleepHours]]&gt;9,"Oversleeping")</f>
        <v>Insufficient Sleep</v>
      </c>
      <c r="L390" t="str">
        <f>tbl_working_sleep[[#This Row],[Id]]&amp;"|"&amp;TEXT(tbl_working_sleep[[#This Row],[SleepDay]],"yyyy-mm-dd")</f>
        <v>8378563200|2016-05-06</v>
      </c>
    </row>
    <row r="391" spans="1:12" x14ac:dyDescent="0.3">
      <c r="A391">
        <v>8378563200</v>
      </c>
      <c r="B391" s="2">
        <v>42497</v>
      </c>
      <c r="C391">
        <v>2</v>
      </c>
      <c r="D391">
        <v>459</v>
      </c>
      <c r="E391">
        <v>513</v>
      </c>
      <c r="F391" t="str">
        <f>TEXT(tbl_working_sleep[[#This Row],[SleepDay]],"dddd")</f>
        <v>Saturday</v>
      </c>
      <c r="G391">
        <f>ROUND(tbl_working_sleep[[#This Row],[TotalMinutesAsleep]]/60,2)</f>
        <v>7.65</v>
      </c>
      <c r="H391">
        <f>ROUND(tbl_working_sleep[[#This Row],[TotalTimeInBed]]/60,2)</f>
        <v>8.5500000000000007</v>
      </c>
      <c r="I391">
        <f>tbl_working_sleep[[#This Row],[TotalTimeInBed]]-tbl_working_sleep[[#This Row],[TotalMinutesAsleep]]</f>
        <v>54</v>
      </c>
      <c r="J391">
        <f>ROUND(tbl_working_sleep[[#This Row],[TotalMinutesAsleep]]/tbl_working_sleep[[#This Row],[TotalTimeInBed]]*100,2)</f>
        <v>89.47</v>
      </c>
      <c r="K391" t="str" cm="1">
        <f t="array" ref="K391">_xlfn.IFS(tbl_working_sleep[[#This Row],[SleepHours]]&lt;6,"Insufficient Sleep",tbl_working_sleep[[#This Row],[SleepHours]]&lt;7,"Below Recommended",tbl_working_sleep[[#This Row],[SleepHours]]&lt;=9,"Recommended",tbl_working_sleep[[#This Row],[SleepHours]]&gt;9,"Oversleeping")</f>
        <v>Recommended</v>
      </c>
      <c r="L391" t="str">
        <f>tbl_working_sleep[[#This Row],[Id]]&amp;"|"&amp;TEXT(tbl_working_sleep[[#This Row],[SleepDay]],"yyyy-mm-dd")</f>
        <v>8378563200|2016-05-07</v>
      </c>
    </row>
    <row r="392" spans="1:12" x14ac:dyDescent="0.3">
      <c r="A392">
        <v>8378563200</v>
      </c>
      <c r="B392" s="2">
        <v>42498</v>
      </c>
      <c r="C392">
        <v>1</v>
      </c>
      <c r="D392">
        <v>545</v>
      </c>
      <c r="E392">
        <v>606</v>
      </c>
      <c r="F392" t="str">
        <f>TEXT(tbl_working_sleep[[#This Row],[SleepDay]],"dddd")</f>
        <v>Sunday</v>
      </c>
      <c r="G392">
        <f>ROUND(tbl_working_sleep[[#This Row],[TotalMinutesAsleep]]/60,2)</f>
        <v>9.08</v>
      </c>
      <c r="H392">
        <f>ROUND(tbl_working_sleep[[#This Row],[TotalTimeInBed]]/60,2)</f>
        <v>10.1</v>
      </c>
      <c r="I392">
        <f>tbl_working_sleep[[#This Row],[TotalTimeInBed]]-tbl_working_sleep[[#This Row],[TotalMinutesAsleep]]</f>
        <v>61</v>
      </c>
      <c r="J392">
        <f>ROUND(tbl_working_sleep[[#This Row],[TotalMinutesAsleep]]/tbl_working_sleep[[#This Row],[TotalTimeInBed]]*100,2)</f>
        <v>89.93</v>
      </c>
      <c r="K392" t="str" cm="1">
        <f t="array" ref="K392">_xlfn.IFS(tbl_working_sleep[[#This Row],[SleepHours]]&lt;6,"Insufficient Sleep",tbl_working_sleep[[#This Row],[SleepHours]]&lt;7,"Below Recommended",tbl_working_sleep[[#This Row],[SleepHours]]&lt;=9,"Recommended",tbl_working_sleep[[#This Row],[SleepHours]]&gt;9,"Oversleeping")</f>
        <v>Oversleeping</v>
      </c>
      <c r="L392" t="str">
        <f>tbl_working_sleep[[#This Row],[Id]]&amp;"|"&amp;TEXT(tbl_working_sleep[[#This Row],[SleepDay]],"yyyy-mm-dd")</f>
        <v>8378563200|2016-05-08</v>
      </c>
    </row>
    <row r="393" spans="1:12" x14ac:dyDescent="0.3">
      <c r="A393">
        <v>8378563200</v>
      </c>
      <c r="B393" s="2">
        <v>42499</v>
      </c>
      <c r="C393">
        <v>1</v>
      </c>
      <c r="D393">
        <v>359</v>
      </c>
      <c r="E393">
        <v>399</v>
      </c>
      <c r="F393" t="str">
        <f>TEXT(tbl_working_sleep[[#This Row],[SleepDay]],"dddd")</f>
        <v>Monday</v>
      </c>
      <c r="G393">
        <f>ROUND(tbl_working_sleep[[#This Row],[TotalMinutesAsleep]]/60,2)</f>
        <v>5.98</v>
      </c>
      <c r="H393">
        <f>ROUND(tbl_working_sleep[[#This Row],[TotalTimeInBed]]/60,2)</f>
        <v>6.65</v>
      </c>
      <c r="I393">
        <f>tbl_working_sleep[[#This Row],[TotalTimeInBed]]-tbl_working_sleep[[#This Row],[TotalMinutesAsleep]]</f>
        <v>40</v>
      </c>
      <c r="J393">
        <f>ROUND(tbl_working_sleep[[#This Row],[TotalMinutesAsleep]]/tbl_working_sleep[[#This Row],[TotalTimeInBed]]*100,2)</f>
        <v>89.97</v>
      </c>
      <c r="K393" t="str" cm="1">
        <f t="array" ref="K393">_xlfn.IFS(tbl_working_sleep[[#This Row],[SleepHours]]&lt;6,"Insufficient Sleep",tbl_working_sleep[[#This Row],[SleepHours]]&lt;7,"Below Recommended",tbl_working_sleep[[#This Row],[SleepHours]]&lt;=9,"Recommended",tbl_working_sleep[[#This Row],[SleepHours]]&gt;9,"Oversleeping")</f>
        <v>Insufficient Sleep</v>
      </c>
      <c r="L393" t="str">
        <f>tbl_working_sleep[[#This Row],[Id]]&amp;"|"&amp;TEXT(tbl_working_sleep[[#This Row],[SleepDay]],"yyyy-mm-dd")</f>
        <v>8378563200|2016-05-09</v>
      </c>
    </row>
    <row r="394" spans="1:12" x14ac:dyDescent="0.3">
      <c r="A394">
        <v>8378563200</v>
      </c>
      <c r="B394" s="2">
        <v>42500</v>
      </c>
      <c r="C394">
        <v>1</v>
      </c>
      <c r="D394">
        <v>342</v>
      </c>
      <c r="E394">
        <v>391</v>
      </c>
      <c r="F394" t="str">
        <f>TEXT(tbl_working_sleep[[#This Row],[SleepDay]],"dddd")</f>
        <v>Tuesday</v>
      </c>
      <c r="G394">
        <f>ROUND(tbl_working_sleep[[#This Row],[TotalMinutesAsleep]]/60,2)</f>
        <v>5.7</v>
      </c>
      <c r="H394">
        <f>ROUND(tbl_working_sleep[[#This Row],[TotalTimeInBed]]/60,2)</f>
        <v>6.52</v>
      </c>
      <c r="I394">
        <f>tbl_working_sleep[[#This Row],[TotalTimeInBed]]-tbl_working_sleep[[#This Row],[TotalMinutesAsleep]]</f>
        <v>49</v>
      </c>
      <c r="J394">
        <f>ROUND(tbl_working_sleep[[#This Row],[TotalMinutesAsleep]]/tbl_working_sleep[[#This Row],[TotalTimeInBed]]*100,2)</f>
        <v>87.47</v>
      </c>
      <c r="K394" t="str" cm="1">
        <f t="array" ref="K394">_xlfn.IFS(tbl_working_sleep[[#This Row],[SleepHours]]&lt;6,"Insufficient Sleep",tbl_working_sleep[[#This Row],[SleepHours]]&lt;7,"Below Recommended",tbl_working_sleep[[#This Row],[SleepHours]]&lt;=9,"Recommended",tbl_working_sleep[[#This Row],[SleepHours]]&gt;9,"Oversleeping")</f>
        <v>Insufficient Sleep</v>
      </c>
      <c r="L394" t="str">
        <f>tbl_working_sleep[[#This Row],[Id]]&amp;"|"&amp;TEXT(tbl_working_sleep[[#This Row],[SleepDay]],"yyyy-mm-dd")</f>
        <v>8378563200|2016-05-10</v>
      </c>
    </row>
    <row r="395" spans="1:12" x14ac:dyDescent="0.3">
      <c r="A395">
        <v>8378563200</v>
      </c>
      <c r="B395" s="2">
        <v>42501</v>
      </c>
      <c r="C395">
        <v>1</v>
      </c>
      <c r="D395">
        <v>368</v>
      </c>
      <c r="E395">
        <v>387</v>
      </c>
      <c r="F395" t="str">
        <f>TEXT(tbl_working_sleep[[#This Row],[SleepDay]],"dddd")</f>
        <v>Wednesday</v>
      </c>
      <c r="G395">
        <f>ROUND(tbl_working_sleep[[#This Row],[TotalMinutesAsleep]]/60,2)</f>
        <v>6.13</v>
      </c>
      <c r="H395">
        <f>ROUND(tbl_working_sleep[[#This Row],[TotalTimeInBed]]/60,2)</f>
        <v>6.45</v>
      </c>
      <c r="I395">
        <f>tbl_working_sleep[[#This Row],[TotalTimeInBed]]-tbl_working_sleep[[#This Row],[TotalMinutesAsleep]]</f>
        <v>19</v>
      </c>
      <c r="J395">
        <f>ROUND(tbl_working_sleep[[#This Row],[TotalMinutesAsleep]]/tbl_working_sleep[[#This Row],[TotalTimeInBed]]*100,2)</f>
        <v>95.09</v>
      </c>
      <c r="K395" t="str" cm="1">
        <f t="array" ref="K395">_xlfn.IFS(tbl_working_sleep[[#This Row],[SleepHours]]&lt;6,"Insufficient Sleep",tbl_working_sleep[[#This Row],[SleepHours]]&lt;7,"Below Recommended",tbl_working_sleep[[#This Row],[SleepHours]]&lt;=9,"Recommended",tbl_working_sleep[[#This Row],[SleepHours]]&gt;9,"Oversleeping")</f>
        <v>Below Recommended</v>
      </c>
      <c r="L395" t="str">
        <f>tbl_working_sleep[[#This Row],[Id]]&amp;"|"&amp;TEXT(tbl_working_sleep[[#This Row],[SleepDay]],"yyyy-mm-dd")</f>
        <v>8378563200|2016-05-11</v>
      </c>
    </row>
    <row r="396" spans="1:12" x14ac:dyDescent="0.3">
      <c r="A396">
        <v>8378563200</v>
      </c>
      <c r="B396" s="2">
        <v>42502</v>
      </c>
      <c r="C396">
        <v>1</v>
      </c>
      <c r="D396">
        <v>496</v>
      </c>
      <c r="E396">
        <v>546</v>
      </c>
      <c r="F396" t="str">
        <f>TEXT(tbl_working_sleep[[#This Row],[SleepDay]],"dddd")</f>
        <v>Thursday</v>
      </c>
      <c r="G396">
        <f>ROUND(tbl_working_sleep[[#This Row],[TotalMinutesAsleep]]/60,2)</f>
        <v>8.27</v>
      </c>
      <c r="H396">
        <f>ROUND(tbl_working_sleep[[#This Row],[TotalTimeInBed]]/60,2)</f>
        <v>9.1</v>
      </c>
      <c r="I396">
        <f>tbl_working_sleep[[#This Row],[TotalTimeInBed]]-tbl_working_sleep[[#This Row],[TotalMinutesAsleep]]</f>
        <v>50</v>
      </c>
      <c r="J396">
        <f>ROUND(tbl_working_sleep[[#This Row],[TotalMinutesAsleep]]/tbl_working_sleep[[#This Row],[TotalTimeInBed]]*100,2)</f>
        <v>90.84</v>
      </c>
      <c r="K396" t="str" cm="1">
        <f t="array" ref="K396">_xlfn.IFS(tbl_working_sleep[[#This Row],[SleepHours]]&lt;6,"Insufficient Sleep",tbl_working_sleep[[#This Row],[SleepHours]]&lt;7,"Below Recommended",tbl_working_sleep[[#This Row],[SleepHours]]&lt;=9,"Recommended",tbl_working_sleep[[#This Row],[SleepHours]]&gt;9,"Oversleeping")</f>
        <v>Recommended</v>
      </c>
      <c r="L396" t="str">
        <f>tbl_working_sleep[[#This Row],[Id]]&amp;"|"&amp;TEXT(tbl_working_sleep[[#This Row],[SleepDay]],"yyyy-mm-dd")</f>
        <v>8378563200|2016-05-12</v>
      </c>
    </row>
    <row r="397" spans="1:12" x14ac:dyDescent="0.3">
      <c r="A397">
        <v>8792009665</v>
      </c>
      <c r="B397" s="2">
        <v>42472</v>
      </c>
      <c r="C397">
        <v>1</v>
      </c>
      <c r="D397">
        <v>458</v>
      </c>
      <c r="E397">
        <v>493</v>
      </c>
      <c r="F397" t="str">
        <f>TEXT(tbl_working_sleep[[#This Row],[SleepDay]],"dddd")</f>
        <v>Tuesday</v>
      </c>
      <c r="G397">
        <f>ROUND(tbl_working_sleep[[#This Row],[TotalMinutesAsleep]]/60,2)</f>
        <v>7.63</v>
      </c>
      <c r="H397">
        <f>ROUND(tbl_working_sleep[[#This Row],[TotalTimeInBed]]/60,2)</f>
        <v>8.2200000000000006</v>
      </c>
      <c r="I397">
        <f>tbl_working_sleep[[#This Row],[TotalTimeInBed]]-tbl_working_sleep[[#This Row],[TotalMinutesAsleep]]</f>
        <v>35</v>
      </c>
      <c r="J397">
        <f>ROUND(tbl_working_sleep[[#This Row],[TotalMinutesAsleep]]/tbl_working_sleep[[#This Row],[TotalTimeInBed]]*100,2)</f>
        <v>92.9</v>
      </c>
      <c r="K397" t="str" cm="1">
        <f t="array" ref="K397">_xlfn.IFS(tbl_working_sleep[[#This Row],[SleepHours]]&lt;6,"Insufficient Sleep",tbl_working_sleep[[#This Row],[SleepHours]]&lt;7,"Below Recommended",tbl_working_sleep[[#This Row],[SleepHours]]&lt;=9,"Recommended",tbl_working_sleep[[#This Row],[SleepHours]]&gt;9,"Oversleeping")</f>
        <v>Recommended</v>
      </c>
      <c r="L397" t="str">
        <f>tbl_working_sleep[[#This Row],[Id]]&amp;"|"&amp;TEXT(tbl_working_sleep[[#This Row],[SleepDay]],"yyyy-mm-dd")</f>
        <v>8792009665|2016-04-12</v>
      </c>
    </row>
    <row r="398" spans="1:12" x14ac:dyDescent="0.3">
      <c r="A398">
        <v>8792009665</v>
      </c>
      <c r="B398" s="2">
        <v>42473</v>
      </c>
      <c r="C398">
        <v>1</v>
      </c>
      <c r="D398">
        <v>531</v>
      </c>
      <c r="E398">
        <v>552</v>
      </c>
      <c r="F398" t="str">
        <f>TEXT(tbl_working_sleep[[#This Row],[SleepDay]],"dddd")</f>
        <v>Wednesday</v>
      </c>
      <c r="G398">
        <f>ROUND(tbl_working_sleep[[#This Row],[TotalMinutesAsleep]]/60,2)</f>
        <v>8.85</v>
      </c>
      <c r="H398">
        <f>ROUND(tbl_working_sleep[[#This Row],[TotalTimeInBed]]/60,2)</f>
        <v>9.1999999999999993</v>
      </c>
      <c r="I398">
        <f>tbl_working_sleep[[#This Row],[TotalTimeInBed]]-tbl_working_sleep[[#This Row],[TotalMinutesAsleep]]</f>
        <v>21</v>
      </c>
      <c r="J398">
        <f>ROUND(tbl_working_sleep[[#This Row],[TotalMinutesAsleep]]/tbl_working_sleep[[#This Row],[TotalTimeInBed]]*100,2)</f>
        <v>96.2</v>
      </c>
      <c r="K398" t="str" cm="1">
        <f t="array" ref="K398">_xlfn.IFS(tbl_working_sleep[[#This Row],[SleepHours]]&lt;6,"Insufficient Sleep",tbl_working_sleep[[#This Row],[SleepHours]]&lt;7,"Below Recommended",tbl_working_sleep[[#This Row],[SleepHours]]&lt;=9,"Recommended",tbl_working_sleep[[#This Row],[SleepHours]]&gt;9,"Oversleeping")</f>
        <v>Recommended</v>
      </c>
      <c r="L398" t="str">
        <f>tbl_working_sleep[[#This Row],[Id]]&amp;"|"&amp;TEXT(tbl_working_sleep[[#This Row],[SleepDay]],"yyyy-mm-dd")</f>
        <v>8792009665|2016-04-13</v>
      </c>
    </row>
    <row r="399" spans="1:12" x14ac:dyDescent="0.3">
      <c r="A399">
        <v>8792009665</v>
      </c>
      <c r="B399" s="2">
        <v>42474</v>
      </c>
      <c r="C399">
        <v>1</v>
      </c>
      <c r="D399">
        <v>486</v>
      </c>
      <c r="E399">
        <v>503</v>
      </c>
      <c r="F399" t="str">
        <f>TEXT(tbl_working_sleep[[#This Row],[SleepDay]],"dddd")</f>
        <v>Thursday</v>
      </c>
      <c r="G399">
        <f>ROUND(tbl_working_sleep[[#This Row],[TotalMinutesAsleep]]/60,2)</f>
        <v>8.1</v>
      </c>
      <c r="H399">
        <f>ROUND(tbl_working_sleep[[#This Row],[TotalTimeInBed]]/60,2)</f>
        <v>8.3800000000000008</v>
      </c>
      <c r="I399">
        <f>tbl_working_sleep[[#This Row],[TotalTimeInBed]]-tbl_working_sleep[[#This Row],[TotalMinutesAsleep]]</f>
        <v>17</v>
      </c>
      <c r="J399">
        <f>ROUND(tbl_working_sleep[[#This Row],[TotalMinutesAsleep]]/tbl_working_sleep[[#This Row],[TotalTimeInBed]]*100,2)</f>
        <v>96.62</v>
      </c>
      <c r="K399" t="str" cm="1">
        <f t="array" ref="K399">_xlfn.IFS(tbl_working_sleep[[#This Row],[SleepHours]]&lt;6,"Insufficient Sleep",tbl_working_sleep[[#This Row],[SleepHours]]&lt;7,"Below Recommended",tbl_working_sleep[[#This Row],[SleepHours]]&lt;=9,"Recommended",tbl_working_sleep[[#This Row],[SleepHours]]&gt;9,"Oversleeping")</f>
        <v>Recommended</v>
      </c>
      <c r="L399" t="str">
        <f>tbl_working_sleep[[#This Row],[Id]]&amp;"|"&amp;TEXT(tbl_working_sleep[[#This Row],[SleepDay]],"yyyy-mm-dd")</f>
        <v>8792009665|2016-04-14</v>
      </c>
    </row>
    <row r="400" spans="1:12" x14ac:dyDescent="0.3">
      <c r="A400">
        <v>8792009665</v>
      </c>
      <c r="B400" s="2">
        <v>42475</v>
      </c>
      <c r="C400">
        <v>1</v>
      </c>
      <c r="D400">
        <v>363</v>
      </c>
      <c r="E400">
        <v>377</v>
      </c>
      <c r="F400" t="str">
        <f>TEXT(tbl_working_sleep[[#This Row],[SleepDay]],"dddd")</f>
        <v>Friday</v>
      </c>
      <c r="G400">
        <f>ROUND(tbl_working_sleep[[#This Row],[TotalMinutesAsleep]]/60,2)</f>
        <v>6.05</v>
      </c>
      <c r="H400">
        <f>ROUND(tbl_working_sleep[[#This Row],[TotalTimeInBed]]/60,2)</f>
        <v>6.28</v>
      </c>
      <c r="I400">
        <f>tbl_working_sleep[[#This Row],[TotalTimeInBed]]-tbl_working_sleep[[#This Row],[TotalMinutesAsleep]]</f>
        <v>14</v>
      </c>
      <c r="J400">
        <f>ROUND(tbl_working_sleep[[#This Row],[TotalMinutesAsleep]]/tbl_working_sleep[[#This Row],[TotalTimeInBed]]*100,2)</f>
        <v>96.29</v>
      </c>
      <c r="K400" t="str" cm="1">
        <f t="array" ref="K400">_xlfn.IFS(tbl_working_sleep[[#This Row],[SleepHours]]&lt;6,"Insufficient Sleep",tbl_working_sleep[[#This Row],[SleepHours]]&lt;7,"Below Recommended",tbl_working_sleep[[#This Row],[SleepHours]]&lt;=9,"Recommended",tbl_working_sleep[[#This Row],[SleepHours]]&gt;9,"Oversleeping")</f>
        <v>Below Recommended</v>
      </c>
      <c r="L400" t="str">
        <f>tbl_working_sleep[[#This Row],[Id]]&amp;"|"&amp;TEXT(tbl_working_sleep[[#This Row],[SleepDay]],"yyyy-mm-dd")</f>
        <v>8792009665|2016-04-15</v>
      </c>
    </row>
    <row r="401" spans="1:12" x14ac:dyDescent="0.3">
      <c r="A401">
        <v>8792009665</v>
      </c>
      <c r="B401" s="2">
        <v>42480</v>
      </c>
      <c r="C401">
        <v>1</v>
      </c>
      <c r="D401">
        <v>528</v>
      </c>
      <c r="E401">
        <v>547</v>
      </c>
      <c r="F401" t="str">
        <f>TEXT(tbl_working_sleep[[#This Row],[SleepDay]],"dddd")</f>
        <v>Wednesday</v>
      </c>
      <c r="G401">
        <f>ROUND(tbl_working_sleep[[#This Row],[TotalMinutesAsleep]]/60,2)</f>
        <v>8.8000000000000007</v>
      </c>
      <c r="H401">
        <f>ROUND(tbl_working_sleep[[#This Row],[TotalTimeInBed]]/60,2)</f>
        <v>9.1199999999999992</v>
      </c>
      <c r="I401">
        <f>tbl_working_sleep[[#This Row],[TotalTimeInBed]]-tbl_working_sleep[[#This Row],[TotalMinutesAsleep]]</f>
        <v>19</v>
      </c>
      <c r="J401">
        <f>ROUND(tbl_working_sleep[[#This Row],[TotalMinutesAsleep]]/tbl_working_sleep[[#This Row],[TotalTimeInBed]]*100,2)</f>
        <v>96.53</v>
      </c>
      <c r="K401" t="str" cm="1">
        <f t="array" ref="K401">_xlfn.IFS(tbl_working_sleep[[#This Row],[SleepHours]]&lt;6,"Insufficient Sleep",tbl_working_sleep[[#This Row],[SleepHours]]&lt;7,"Below Recommended",tbl_working_sleep[[#This Row],[SleepHours]]&lt;=9,"Recommended",tbl_working_sleep[[#This Row],[SleepHours]]&gt;9,"Oversleeping")</f>
        <v>Recommended</v>
      </c>
      <c r="L401" t="str">
        <f>tbl_working_sleep[[#This Row],[Id]]&amp;"|"&amp;TEXT(tbl_working_sleep[[#This Row],[SleepDay]],"yyyy-mm-dd")</f>
        <v>8792009665|2016-04-20</v>
      </c>
    </row>
    <row r="402" spans="1:12" x14ac:dyDescent="0.3">
      <c r="A402">
        <v>8792009665</v>
      </c>
      <c r="B402" s="2">
        <v>42482</v>
      </c>
      <c r="C402">
        <v>1</v>
      </c>
      <c r="D402">
        <v>391</v>
      </c>
      <c r="E402">
        <v>407</v>
      </c>
      <c r="F402" t="str">
        <f>TEXT(tbl_working_sleep[[#This Row],[SleepDay]],"dddd")</f>
        <v>Friday</v>
      </c>
      <c r="G402">
        <f>ROUND(tbl_working_sleep[[#This Row],[TotalMinutesAsleep]]/60,2)</f>
        <v>6.52</v>
      </c>
      <c r="H402">
        <f>ROUND(tbl_working_sleep[[#This Row],[TotalTimeInBed]]/60,2)</f>
        <v>6.78</v>
      </c>
      <c r="I402">
        <f>tbl_working_sleep[[#This Row],[TotalTimeInBed]]-tbl_working_sleep[[#This Row],[TotalMinutesAsleep]]</f>
        <v>16</v>
      </c>
      <c r="J402">
        <f>ROUND(tbl_working_sleep[[#This Row],[TotalMinutesAsleep]]/tbl_working_sleep[[#This Row],[TotalTimeInBed]]*100,2)</f>
        <v>96.07</v>
      </c>
      <c r="K402" t="str" cm="1">
        <f t="array" ref="K402">_xlfn.IFS(tbl_working_sleep[[#This Row],[SleepHours]]&lt;6,"Insufficient Sleep",tbl_working_sleep[[#This Row],[SleepHours]]&lt;7,"Below Recommended",tbl_working_sleep[[#This Row],[SleepHours]]&lt;=9,"Recommended",tbl_working_sleep[[#This Row],[SleepHours]]&gt;9,"Oversleeping")</f>
        <v>Below Recommended</v>
      </c>
      <c r="L402" t="str">
        <f>tbl_working_sleep[[#This Row],[Id]]&amp;"|"&amp;TEXT(tbl_working_sleep[[#This Row],[SleepDay]],"yyyy-mm-dd")</f>
        <v>8792009665|2016-04-22</v>
      </c>
    </row>
    <row r="403" spans="1:12" x14ac:dyDescent="0.3">
      <c r="A403">
        <v>8792009665</v>
      </c>
      <c r="B403" s="2">
        <v>42483</v>
      </c>
      <c r="C403">
        <v>1</v>
      </c>
      <c r="D403">
        <v>339</v>
      </c>
      <c r="E403">
        <v>360</v>
      </c>
      <c r="F403" t="str">
        <f>TEXT(tbl_working_sleep[[#This Row],[SleepDay]],"dddd")</f>
        <v>Saturday</v>
      </c>
      <c r="G403">
        <f>ROUND(tbl_working_sleep[[#This Row],[TotalMinutesAsleep]]/60,2)</f>
        <v>5.65</v>
      </c>
      <c r="H403">
        <f>ROUND(tbl_working_sleep[[#This Row],[TotalTimeInBed]]/60,2)</f>
        <v>6</v>
      </c>
      <c r="I403">
        <f>tbl_working_sleep[[#This Row],[TotalTimeInBed]]-tbl_working_sleep[[#This Row],[TotalMinutesAsleep]]</f>
        <v>21</v>
      </c>
      <c r="J403">
        <f>ROUND(tbl_working_sleep[[#This Row],[TotalMinutesAsleep]]/tbl_working_sleep[[#This Row],[TotalTimeInBed]]*100,2)</f>
        <v>94.17</v>
      </c>
      <c r="K403" t="str" cm="1">
        <f t="array" ref="K403">_xlfn.IFS(tbl_working_sleep[[#This Row],[SleepHours]]&lt;6,"Insufficient Sleep",tbl_working_sleep[[#This Row],[SleepHours]]&lt;7,"Below Recommended",tbl_working_sleep[[#This Row],[SleepHours]]&lt;=9,"Recommended",tbl_working_sleep[[#This Row],[SleepHours]]&gt;9,"Oversleeping")</f>
        <v>Insufficient Sleep</v>
      </c>
      <c r="L403" t="str">
        <f>tbl_working_sleep[[#This Row],[Id]]&amp;"|"&amp;TEXT(tbl_working_sleep[[#This Row],[SleepDay]],"yyyy-mm-dd")</f>
        <v>8792009665|2016-04-23</v>
      </c>
    </row>
    <row r="404" spans="1:12" x14ac:dyDescent="0.3">
      <c r="A404">
        <v>8792009665</v>
      </c>
      <c r="B404" s="2">
        <v>42487</v>
      </c>
      <c r="C404">
        <v>1</v>
      </c>
      <c r="D404">
        <v>423</v>
      </c>
      <c r="E404">
        <v>428</v>
      </c>
      <c r="F404" t="str">
        <f>TEXT(tbl_working_sleep[[#This Row],[SleepDay]],"dddd")</f>
        <v>Wednesday</v>
      </c>
      <c r="G404">
        <f>ROUND(tbl_working_sleep[[#This Row],[TotalMinutesAsleep]]/60,2)</f>
        <v>7.05</v>
      </c>
      <c r="H404">
        <f>ROUND(tbl_working_sleep[[#This Row],[TotalTimeInBed]]/60,2)</f>
        <v>7.13</v>
      </c>
      <c r="I404">
        <f>tbl_working_sleep[[#This Row],[TotalTimeInBed]]-tbl_working_sleep[[#This Row],[TotalMinutesAsleep]]</f>
        <v>5</v>
      </c>
      <c r="J404">
        <f>ROUND(tbl_working_sleep[[#This Row],[TotalMinutesAsleep]]/tbl_working_sleep[[#This Row],[TotalTimeInBed]]*100,2)</f>
        <v>98.83</v>
      </c>
      <c r="K404" t="str" cm="1">
        <f t="array" ref="K404">_xlfn.IFS(tbl_working_sleep[[#This Row],[SleepHours]]&lt;6,"Insufficient Sleep",tbl_working_sleep[[#This Row],[SleepHours]]&lt;7,"Below Recommended",tbl_working_sleep[[#This Row],[SleepHours]]&lt;=9,"Recommended",tbl_working_sleep[[#This Row],[SleepHours]]&gt;9,"Oversleeping")</f>
        <v>Recommended</v>
      </c>
      <c r="L404" t="str">
        <f>tbl_working_sleep[[#This Row],[Id]]&amp;"|"&amp;TEXT(tbl_working_sleep[[#This Row],[SleepDay]],"yyyy-mm-dd")</f>
        <v>8792009665|2016-04-27</v>
      </c>
    </row>
    <row r="405" spans="1:12" x14ac:dyDescent="0.3">
      <c r="A405">
        <v>8792009665</v>
      </c>
      <c r="B405" s="2">
        <v>42488</v>
      </c>
      <c r="C405">
        <v>1</v>
      </c>
      <c r="D405">
        <v>402</v>
      </c>
      <c r="E405">
        <v>416</v>
      </c>
      <c r="F405" t="str">
        <f>TEXT(tbl_working_sleep[[#This Row],[SleepDay]],"dddd")</f>
        <v>Thursday</v>
      </c>
      <c r="G405">
        <f>ROUND(tbl_working_sleep[[#This Row],[TotalMinutesAsleep]]/60,2)</f>
        <v>6.7</v>
      </c>
      <c r="H405">
        <f>ROUND(tbl_working_sleep[[#This Row],[TotalTimeInBed]]/60,2)</f>
        <v>6.93</v>
      </c>
      <c r="I405">
        <f>tbl_working_sleep[[#This Row],[TotalTimeInBed]]-tbl_working_sleep[[#This Row],[TotalMinutesAsleep]]</f>
        <v>14</v>
      </c>
      <c r="J405">
        <f>ROUND(tbl_working_sleep[[#This Row],[TotalMinutesAsleep]]/tbl_working_sleep[[#This Row],[TotalTimeInBed]]*100,2)</f>
        <v>96.63</v>
      </c>
      <c r="K405" t="str" cm="1">
        <f t="array" ref="K405">_xlfn.IFS(tbl_working_sleep[[#This Row],[SleepHours]]&lt;6,"Insufficient Sleep",tbl_working_sleep[[#This Row],[SleepHours]]&lt;7,"Below Recommended",tbl_working_sleep[[#This Row],[SleepHours]]&lt;=9,"Recommended",tbl_working_sleep[[#This Row],[SleepHours]]&gt;9,"Oversleeping")</f>
        <v>Below Recommended</v>
      </c>
      <c r="L405" t="str">
        <f>tbl_working_sleep[[#This Row],[Id]]&amp;"|"&amp;TEXT(tbl_working_sleep[[#This Row],[SleepDay]],"yyyy-mm-dd")</f>
        <v>8792009665|2016-04-28</v>
      </c>
    </row>
    <row r="406" spans="1:12" x14ac:dyDescent="0.3">
      <c r="A406">
        <v>8792009665</v>
      </c>
      <c r="B406" s="2">
        <v>42489</v>
      </c>
      <c r="C406">
        <v>1</v>
      </c>
      <c r="D406">
        <v>398</v>
      </c>
      <c r="E406">
        <v>406</v>
      </c>
      <c r="F406" t="str">
        <f>TEXT(tbl_working_sleep[[#This Row],[SleepDay]],"dddd")</f>
        <v>Friday</v>
      </c>
      <c r="G406">
        <f>ROUND(tbl_working_sleep[[#This Row],[TotalMinutesAsleep]]/60,2)</f>
        <v>6.63</v>
      </c>
      <c r="H406">
        <f>ROUND(tbl_working_sleep[[#This Row],[TotalTimeInBed]]/60,2)</f>
        <v>6.77</v>
      </c>
      <c r="I406">
        <f>tbl_working_sleep[[#This Row],[TotalTimeInBed]]-tbl_working_sleep[[#This Row],[TotalMinutesAsleep]]</f>
        <v>8</v>
      </c>
      <c r="J406">
        <f>ROUND(tbl_working_sleep[[#This Row],[TotalMinutesAsleep]]/tbl_working_sleep[[#This Row],[TotalTimeInBed]]*100,2)</f>
        <v>98.03</v>
      </c>
      <c r="K406" t="str" cm="1">
        <f t="array" ref="K406">_xlfn.IFS(tbl_working_sleep[[#This Row],[SleepHours]]&lt;6,"Insufficient Sleep",tbl_working_sleep[[#This Row],[SleepHours]]&lt;7,"Below Recommended",tbl_working_sleep[[#This Row],[SleepHours]]&lt;=9,"Recommended",tbl_working_sleep[[#This Row],[SleepHours]]&gt;9,"Oversleeping")</f>
        <v>Below Recommended</v>
      </c>
      <c r="L406" t="str">
        <f>tbl_working_sleep[[#This Row],[Id]]&amp;"|"&amp;TEXT(tbl_working_sleep[[#This Row],[SleepDay]],"yyyy-mm-dd")</f>
        <v>8792009665|2016-04-29</v>
      </c>
    </row>
    <row r="407" spans="1:12" x14ac:dyDescent="0.3">
      <c r="A407">
        <v>8792009665</v>
      </c>
      <c r="B407" s="2">
        <v>42490</v>
      </c>
      <c r="C407">
        <v>1</v>
      </c>
      <c r="D407">
        <v>343</v>
      </c>
      <c r="E407">
        <v>360</v>
      </c>
      <c r="F407" t="str">
        <f>TEXT(tbl_working_sleep[[#This Row],[SleepDay]],"dddd")</f>
        <v>Saturday</v>
      </c>
      <c r="G407">
        <f>ROUND(tbl_working_sleep[[#This Row],[TotalMinutesAsleep]]/60,2)</f>
        <v>5.72</v>
      </c>
      <c r="H407">
        <f>ROUND(tbl_working_sleep[[#This Row],[TotalTimeInBed]]/60,2)</f>
        <v>6</v>
      </c>
      <c r="I407">
        <f>tbl_working_sleep[[#This Row],[TotalTimeInBed]]-tbl_working_sleep[[#This Row],[TotalMinutesAsleep]]</f>
        <v>17</v>
      </c>
      <c r="J407">
        <f>ROUND(tbl_working_sleep[[#This Row],[TotalMinutesAsleep]]/tbl_working_sleep[[#This Row],[TotalTimeInBed]]*100,2)</f>
        <v>95.28</v>
      </c>
      <c r="K407" t="str" cm="1">
        <f t="array" ref="K407">_xlfn.IFS(tbl_working_sleep[[#This Row],[SleepHours]]&lt;6,"Insufficient Sleep",tbl_working_sleep[[#This Row],[SleepHours]]&lt;7,"Below Recommended",tbl_working_sleep[[#This Row],[SleepHours]]&lt;=9,"Recommended",tbl_working_sleep[[#This Row],[SleepHours]]&gt;9,"Oversleeping")</f>
        <v>Insufficient Sleep</v>
      </c>
      <c r="L407" t="str">
        <f>tbl_working_sleep[[#This Row],[Id]]&amp;"|"&amp;TEXT(tbl_working_sleep[[#This Row],[SleepDay]],"yyyy-mm-dd")</f>
        <v>8792009665|2016-04-30</v>
      </c>
    </row>
    <row r="408" spans="1:12" x14ac:dyDescent="0.3">
      <c r="A408">
        <v>8792009665</v>
      </c>
      <c r="B408" s="2">
        <v>42491</v>
      </c>
      <c r="C408">
        <v>1</v>
      </c>
      <c r="D408">
        <v>503</v>
      </c>
      <c r="E408">
        <v>527</v>
      </c>
      <c r="F408" t="str">
        <f>TEXT(tbl_working_sleep[[#This Row],[SleepDay]],"dddd")</f>
        <v>Sunday</v>
      </c>
      <c r="G408">
        <f>ROUND(tbl_working_sleep[[#This Row],[TotalMinutesAsleep]]/60,2)</f>
        <v>8.3800000000000008</v>
      </c>
      <c r="H408">
        <f>ROUND(tbl_working_sleep[[#This Row],[TotalTimeInBed]]/60,2)</f>
        <v>8.7799999999999994</v>
      </c>
      <c r="I408">
        <f>tbl_working_sleep[[#This Row],[TotalTimeInBed]]-tbl_working_sleep[[#This Row],[TotalMinutesAsleep]]</f>
        <v>24</v>
      </c>
      <c r="J408">
        <f>ROUND(tbl_working_sleep[[#This Row],[TotalMinutesAsleep]]/tbl_working_sleep[[#This Row],[TotalTimeInBed]]*100,2)</f>
        <v>95.45</v>
      </c>
      <c r="K408" t="str" cm="1">
        <f t="array" ref="K408">_xlfn.IFS(tbl_working_sleep[[#This Row],[SleepHours]]&lt;6,"Insufficient Sleep",tbl_working_sleep[[#This Row],[SleepHours]]&lt;7,"Below Recommended",tbl_working_sleep[[#This Row],[SleepHours]]&lt;=9,"Recommended",tbl_working_sleep[[#This Row],[SleepHours]]&gt;9,"Oversleeping")</f>
        <v>Recommended</v>
      </c>
      <c r="L408" t="str">
        <f>tbl_working_sleep[[#This Row],[Id]]&amp;"|"&amp;TEXT(tbl_working_sleep[[#This Row],[SleepDay]],"yyyy-mm-dd")</f>
        <v>8792009665|2016-05-01</v>
      </c>
    </row>
    <row r="409" spans="1:12" x14ac:dyDescent="0.3">
      <c r="A409">
        <v>8792009665</v>
      </c>
      <c r="B409" s="2">
        <v>42492</v>
      </c>
      <c r="C409">
        <v>1</v>
      </c>
      <c r="D409">
        <v>415</v>
      </c>
      <c r="E409">
        <v>423</v>
      </c>
      <c r="F409" t="str">
        <f>TEXT(tbl_working_sleep[[#This Row],[SleepDay]],"dddd")</f>
        <v>Monday</v>
      </c>
      <c r="G409">
        <f>ROUND(tbl_working_sleep[[#This Row],[TotalMinutesAsleep]]/60,2)</f>
        <v>6.92</v>
      </c>
      <c r="H409">
        <f>ROUND(tbl_working_sleep[[#This Row],[TotalTimeInBed]]/60,2)</f>
        <v>7.05</v>
      </c>
      <c r="I409">
        <f>tbl_working_sleep[[#This Row],[TotalTimeInBed]]-tbl_working_sleep[[#This Row],[TotalMinutesAsleep]]</f>
        <v>8</v>
      </c>
      <c r="J409">
        <f>ROUND(tbl_working_sleep[[#This Row],[TotalMinutesAsleep]]/tbl_working_sleep[[#This Row],[TotalTimeInBed]]*100,2)</f>
        <v>98.11</v>
      </c>
      <c r="K409" t="str" cm="1">
        <f t="array" ref="K409">_xlfn.IFS(tbl_working_sleep[[#This Row],[SleepHours]]&lt;6,"Insufficient Sleep",tbl_working_sleep[[#This Row],[SleepHours]]&lt;7,"Below Recommended",tbl_working_sleep[[#This Row],[SleepHours]]&lt;=9,"Recommended",tbl_working_sleep[[#This Row],[SleepHours]]&gt;9,"Oversleeping")</f>
        <v>Below Recommended</v>
      </c>
      <c r="L409" t="str">
        <f>tbl_working_sleep[[#This Row],[Id]]&amp;"|"&amp;TEXT(tbl_working_sleep[[#This Row],[SleepDay]],"yyyy-mm-dd")</f>
        <v>8792009665|2016-05-02</v>
      </c>
    </row>
    <row r="410" spans="1:12" x14ac:dyDescent="0.3">
      <c r="A410">
        <v>8792009665</v>
      </c>
      <c r="B410" s="2">
        <v>42493</v>
      </c>
      <c r="C410">
        <v>1</v>
      </c>
      <c r="D410">
        <v>516</v>
      </c>
      <c r="E410">
        <v>545</v>
      </c>
      <c r="F410" t="str">
        <f>TEXT(tbl_working_sleep[[#This Row],[SleepDay]],"dddd")</f>
        <v>Tuesday</v>
      </c>
      <c r="G410">
        <f>ROUND(tbl_working_sleep[[#This Row],[TotalMinutesAsleep]]/60,2)</f>
        <v>8.6</v>
      </c>
      <c r="H410">
        <f>ROUND(tbl_working_sleep[[#This Row],[TotalTimeInBed]]/60,2)</f>
        <v>9.08</v>
      </c>
      <c r="I410">
        <f>tbl_working_sleep[[#This Row],[TotalTimeInBed]]-tbl_working_sleep[[#This Row],[TotalMinutesAsleep]]</f>
        <v>29</v>
      </c>
      <c r="J410">
        <f>ROUND(tbl_working_sleep[[#This Row],[TotalMinutesAsleep]]/tbl_working_sleep[[#This Row],[TotalTimeInBed]]*100,2)</f>
        <v>94.68</v>
      </c>
      <c r="K410" t="str" cm="1">
        <f t="array" ref="K410">_xlfn.IFS(tbl_working_sleep[[#This Row],[SleepHours]]&lt;6,"Insufficient Sleep",tbl_working_sleep[[#This Row],[SleepHours]]&lt;7,"Below Recommended",tbl_working_sleep[[#This Row],[SleepHours]]&lt;=9,"Recommended",tbl_working_sleep[[#This Row],[SleepHours]]&gt;9,"Oversleeping")</f>
        <v>Recommended</v>
      </c>
      <c r="L410" t="str">
        <f>tbl_working_sleep[[#This Row],[Id]]&amp;"|"&amp;TEXT(tbl_working_sleep[[#This Row],[SleepDay]],"yyyy-mm-dd")</f>
        <v>8792009665|2016-05-03</v>
      </c>
    </row>
    <row r="411" spans="1:12" x14ac:dyDescent="0.3">
      <c r="A411">
        <v>8792009665</v>
      </c>
      <c r="B411" s="2">
        <v>42494</v>
      </c>
      <c r="C411">
        <v>1</v>
      </c>
      <c r="D411">
        <v>439</v>
      </c>
      <c r="E411">
        <v>463</v>
      </c>
      <c r="F411" t="str">
        <f>TEXT(tbl_working_sleep[[#This Row],[SleepDay]],"dddd")</f>
        <v>Wednesday</v>
      </c>
      <c r="G411">
        <f>ROUND(tbl_working_sleep[[#This Row],[TotalMinutesAsleep]]/60,2)</f>
        <v>7.32</v>
      </c>
      <c r="H411">
        <f>ROUND(tbl_working_sleep[[#This Row],[TotalTimeInBed]]/60,2)</f>
        <v>7.72</v>
      </c>
      <c r="I411">
        <f>tbl_working_sleep[[#This Row],[TotalTimeInBed]]-tbl_working_sleep[[#This Row],[TotalMinutesAsleep]]</f>
        <v>24</v>
      </c>
      <c r="J411">
        <f>ROUND(tbl_working_sleep[[#This Row],[TotalMinutesAsleep]]/tbl_working_sleep[[#This Row],[TotalTimeInBed]]*100,2)</f>
        <v>94.82</v>
      </c>
      <c r="K411" t="str" cm="1">
        <f t="array" ref="K411">_xlfn.IFS(tbl_working_sleep[[#This Row],[SleepHours]]&lt;6,"Insufficient Sleep",tbl_working_sleep[[#This Row],[SleepHours]]&lt;7,"Below Recommended",tbl_working_sleep[[#This Row],[SleepHours]]&lt;=9,"Recommended",tbl_working_sleep[[#This Row],[SleepHours]]&gt;9,"Oversleeping")</f>
        <v>Recommended</v>
      </c>
      <c r="L411" t="str">
        <f>tbl_working_sleep[[#This Row],[Id]]&amp;"|"&amp;TEXT(tbl_working_sleep[[#This Row],[SleepDay]],"yyyy-mm-dd")</f>
        <v>8792009665|2016-05-04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95FC0-001F-4E54-9427-A910C3DEACDD}">
  <sheetPr>
    <tabColor theme="4"/>
  </sheetPr>
  <dimension ref="A1:Z1047613"/>
  <sheetViews>
    <sheetView topLeftCell="A2" zoomScale="120" zoomScaleNormal="120" workbookViewId="0">
      <selection activeCell="A4" sqref="A4"/>
    </sheetView>
  </sheetViews>
  <sheetFormatPr defaultRowHeight="14.4" x14ac:dyDescent="0.3"/>
  <cols>
    <col min="1" max="1" width="13.44140625" customWidth="1"/>
    <col min="2" max="2" width="15.21875" customWidth="1"/>
    <col min="3" max="3" width="12.44140625" customWidth="1"/>
    <col min="4" max="4" width="15.109375" customWidth="1"/>
    <col min="5" max="5" width="17.88671875" customWidth="1"/>
    <col min="6" max="6" width="18.77734375" customWidth="1"/>
    <col min="7" max="7" width="19.88671875" customWidth="1"/>
    <col min="8" max="8" width="17.5546875" customWidth="1"/>
    <col min="9" max="9" width="9.109375" customWidth="1"/>
    <col min="10" max="10" width="12.109375" customWidth="1"/>
    <col min="12" max="12" width="18.5546875" customWidth="1"/>
    <col min="13" max="13" width="19" customWidth="1"/>
    <col min="14" max="14" width="18.33203125" customWidth="1"/>
    <col min="15" max="15" width="20.33203125" customWidth="1"/>
    <col min="16" max="16" width="20.6640625" customWidth="1"/>
    <col min="17" max="17" width="21.88671875" customWidth="1"/>
    <col min="18" max="18" width="20.6640625" customWidth="1"/>
    <col min="19" max="19" width="21" customWidth="1"/>
    <col min="20" max="20" width="14.5546875" customWidth="1"/>
    <col min="21" max="21" width="17.21875" customWidth="1"/>
    <col min="22" max="22" width="20.21875" customWidth="1"/>
    <col min="23" max="23" width="17.109375" customWidth="1"/>
    <col min="24" max="24" width="17.33203125" customWidth="1"/>
  </cols>
  <sheetData>
    <row r="1" spans="1:26" x14ac:dyDescent="0.3">
      <c r="A1" t="s">
        <v>0</v>
      </c>
      <c r="B1" t="s">
        <v>1</v>
      </c>
      <c r="C1" t="s">
        <v>2</v>
      </c>
      <c r="D1" t="s">
        <v>3</v>
      </c>
      <c r="E1" t="s">
        <v>10</v>
      </c>
      <c r="F1" t="s">
        <v>11</v>
      </c>
      <c r="G1" t="s">
        <v>12</v>
      </c>
      <c r="H1" t="s">
        <v>13</v>
      </c>
      <c r="I1" t="s">
        <v>14</v>
      </c>
      <c r="J1" t="s">
        <v>84</v>
      </c>
      <c r="K1" t="s">
        <v>85</v>
      </c>
      <c r="L1" t="s">
        <v>86</v>
      </c>
      <c r="M1" t="s">
        <v>87</v>
      </c>
      <c r="N1" t="s">
        <v>88</v>
      </c>
      <c r="O1" t="s">
        <v>89</v>
      </c>
      <c r="P1" t="s">
        <v>90</v>
      </c>
      <c r="Q1" t="s">
        <v>16</v>
      </c>
      <c r="R1" t="s">
        <v>17</v>
      </c>
      <c r="S1" t="s">
        <v>18</v>
      </c>
      <c r="T1" t="s">
        <v>114</v>
      </c>
      <c r="U1" t="s">
        <v>115</v>
      </c>
      <c r="V1" t="s">
        <v>116</v>
      </c>
      <c r="W1" t="s">
        <v>117</v>
      </c>
      <c r="X1" t="s">
        <v>118</v>
      </c>
    </row>
    <row r="2" spans="1:26" x14ac:dyDescent="0.3">
      <c r="A2">
        <v>1503960366</v>
      </c>
      <c r="B2" s="1">
        <v>42472</v>
      </c>
      <c r="C2">
        <v>224</v>
      </c>
      <c r="D2">
        <v>0.140000000596046</v>
      </c>
      <c r="E2">
        <v>0</v>
      </c>
      <c r="F2">
        <v>0</v>
      </c>
      <c r="G2">
        <v>9</v>
      </c>
      <c r="H2">
        <v>32</v>
      </c>
      <c r="I2">
        <v>50</v>
      </c>
      <c r="J2" t="s">
        <v>140</v>
      </c>
      <c r="K2" t="s">
        <v>141</v>
      </c>
      <c r="L2">
        <v>9</v>
      </c>
      <c r="M2">
        <v>41</v>
      </c>
      <c r="N2">
        <v>0.53</v>
      </c>
      <c r="O2" t="s">
        <v>142</v>
      </c>
      <c r="P2" t="s">
        <v>142</v>
      </c>
      <c r="Q2">
        <v>1</v>
      </c>
      <c r="R2">
        <v>327</v>
      </c>
      <c r="S2">
        <v>346</v>
      </c>
      <c r="T2">
        <v>5.45</v>
      </c>
      <c r="U2">
        <v>5.77</v>
      </c>
      <c r="V2">
        <v>19</v>
      </c>
      <c r="W2">
        <v>94.51</v>
      </c>
      <c r="X2" t="s">
        <v>173</v>
      </c>
    </row>
    <row r="3" spans="1:26" x14ac:dyDescent="0.3">
      <c r="A3">
        <v>1927972279</v>
      </c>
      <c r="B3" s="1">
        <v>42472</v>
      </c>
      <c r="C3">
        <v>24</v>
      </c>
      <c r="D3">
        <v>1.9999999552965199E-2</v>
      </c>
      <c r="E3">
        <v>0</v>
      </c>
      <c r="F3">
        <v>0</v>
      </c>
      <c r="G3">
        <v>3</v>
      </c>
      <c r="H3">
        <v>161</v>
      </c>
      <c r="I3">
        <v>942</v>
      </c>
      <c r="J3" t="s">
        <v>140</v>
      </c>
      <c r="K3" t="s">
        <v>141</v>
      </c>
      <c r="L3">
        <v>3</v>
      </c>
      <c r="M3">
        <v>164</v>
      </c>
      <c r="N3">
        <v>2.68</v>
      </c>
      <c r="O3" t="s">
        <v>142</v>
      </c>
      <c r="P3" t="s">
        <v>142</v>
      </c>
      <c r="Q3">
        <v>3</v>
      </c>
      <c r="R3">
        <v>750</v>
      </c>
      <c r="S3">
        <v>775</v>
      </c>
      <c r="T3">
        <v>12.5</v>
      </c>
      <c r="U3">
        <v>12.92</v>
      </c>
      <c r="V3">
        <v>25</v>
      </c>
      <c r="W3">
        <v>96.77</v>
      </c>
      <c r="X3" t="s">
        <v>174</v>
      </c>
    </row>
    <row r="4" spans="1:26" x14ac:dyDescent="0.3">
      <c r="A4">
        <v>2026352035</v>
      </c>
      <c r="B4" s="1">
        <v>42472</v>
      </c>
      <c r="C4">
        <v>1019</v>
      </c>
      <c r="D4">
        <v>0.62999999523162797</v>
      </c>
      <c r="E4">
        <v>0</v>
      </c>
      <c r="F4">
        <v>0</v>
      </c>
      <c r="G4">
        <v>64</v>
      </c>
      <c r="H4">
        <v>223</v>
      </c>
      <c r="I4">
        <v>600</v>
      </c>
      <c r="J4" t="s">
        <v>140</v>
      </c>
      <c r="K4" t="s">
        <v>141</v>
      </c>
      <c r="L4">
        <v>64</v>
      </c>
      <c r="M4">
        <v>287</v>
      </c>
      <c r="N4">
        <v>3.72</v>
      </c>
      <c r="O4" t="s">
        <v>142</v>
      </c>
      <c r="P4" t="s">
        <v>142</v>
      </c>
      <c r="Q4">
        <v>1</v>
      </c>
      <c r="R4">
        <v>503</v>
      </c>
      <c r="S4">
        <v>546</v>
      </c>
      <c r="T4">
        <v>8.3800000000000008</v>
      </c>
      <c r="U4">
        <v>9.1</v>
      </c>
      <c r="V4">
        <v>43</v>
      </c>
      <c r="W4">
        <v>92.12</v>
      </c>
      <c r="X4" t="s">
        <v>175</v>
      </c>
    </row>
    <row r="5" spans="1:26" x14ac:dyDescent="0.3">
      <c r="A5">
        <v>3977333714</v>
      </c>
      <c r="B5" s="1">
        <v>42472</v>
      </c>
      <c r="C5">
        <v>759</v>
      </c>
      <c r="D5">
        <v>0.56999999284744296</v>
      </c>
      <c r="E5">
        <v>0</v>
      </c>
      <c r="F5">
        <v>0</v>
      </c>
      <c r="G5">
        <v>17</v>
      </c>
      <c r="H5">
        <v>187</v>
      </c>
      <c r="I5">
        <v>182</v>
      </c>
      <c r="J5" t="s">
        <v>140</v>
      </c>
      <c r="K5" t="s">
        <v>141</v>
      </c>
      <c r="L5">
        <v>17</v>
      </c>
      <c r="M5">
        <v>204</v>
      </c>
      <c r="N5">
        <v>3.12</v>
      </c>
      <c r="O5" t="s">
        <v>142</v>
      </c>
      <c r="P5" t="s">
        <v>142</v>
      </c>
      <c r="Q5">
        <v>1</v>
      </c>
      <c r="R5">
        <v>274</v>
      </c>
      <c r="S5">
        <v>469</v>
      </c>
      <c r="T5">
        <v>4.57</v>
      </c>
      <c r="U5">
        <v>7.82</v>
      </c>
      <c r="V5">
        <v>195</v>
      </c>
      <c r="W5">
        <v>58.42</v>
      </c>
      <c r="X5" t="s">
        <v>173</v>
      </c>
    </row>
    <row r="6" spans="1:26" x14ac:dyDescent="0.3">
      <c r="A6">
        <v>4020332650</v>
      </c>
      <c r="B6" s="1">
        <v>42472</v>
      </c>
      <c r="C6">
        <v>8</v>
      </c>
      <c r="D6">
        <v>9.9999997764825804E-3</v>
      </c>
      <c r="E6">
        <v>0</v>
      </c>
      <c r="F6">
        <v>0</v>
      </c>
      <c r="G6">
        <v>1</v>
      </c>
      <c r="H6">
        <v>321</v>
      </c>
      <c r="I6">
        <v>446</v>
      </c>
      <c r="J6" t="s">
        <v>140</v>
      </c>
      <c r="K6" t="s">
        <v>141</v>
      </c>
      <c r="L6">
        <v>1</v>
      </c>
      <c r="M6">
        <v>322</v>
      </c>
      <c r="N6">
        <v>5.35</v>
      </c>
      <c r="O6" t="s">
        <v>142</v>
      </c>
      <c r="P6" t="s">
        <v>142</v>
      </c>
      <c r="Q6">
        <v>1</v>
      </c>
      <c r="R6">
        <v>501</v>
      </c>
      <c r="S6">
        <v>541</v>
      </c>
      <c r="T6">
        <v>8.35</v>
      </c>
      <c r="U6">
        <v>9.02</v>
      </c>
      <c r="V6">
        <v>40</v>
      </c>
      <c r="W6">
        <v>92.61</v>
      </c>
      <c r="X6" t="s">
        <v>175</v>
      </c>
    </row>
    <row r="7" spans="1:26" x14ac:dyDescent="0.3">
      <c r="A7">
        <v>4445114986</v>
      </c>
      <c r="B7" s="1">
        <v>42472</v>
      </c>
      <c r="C7">
        <v>278</v>
      </c>
      <c r="D7">
        <v>0.18999999761581399</v>
      </c>
      <c r="E7">
        <v>0</v>
      </c>
      <c r="F7">
        <v>0</v>
      </c>
      <c r="G7">
        <v>20</v>
      </c>
      <c r="H7">
        <v>253</v>
      </c>
      <c r="I7">
        <v>745</v>
      </c>
      <c r="J7" t="s">
        <v>140</v>
      </c>
      <c r="K7" t="s">
        <v>141</v>
      </c>
      <c r="L7">
        <v>20</v>
      </c>
      <c r="M7">
        <v>273</v>
      </c>
      <c r="N7">
        <v>4.22</v>
      </c>
      <c r="O7" t="s">
        <v>142</v>
      </c>
      <c r="P7" t="s">
        <v>142</v>
      </c>
      <c r="Q7">
        <v>2</v>
      </c>
      <c r="R7">
        <v>429</v>
      </c>
      <c r="S7">
        <v>457</v>
      </c>
      <c r="T7">
        <v>7.15</v>
      </c>
      <c r="U7">
        <v>7.62</v>
      </c>
      <c r="V7">
        <v>28</v>
      </c>
      <c r="W7">
        <v>93.87</v>
      </c>
      <c r="X7" t="s">
        <v>175</v>
      </c>
    </row>
    <row r="8" spans="1:26" x14ac:dyDescent="0.3">
      <c r="A8">
        <v>4702921684</v>
      </c>
      <c r="B8" s="1">
        <v>42472</v>
      </c>
      <c r="C8">
        <v>0</v>
      </c>
      <c r="D8">
        <v>0</v>
      </c>
      <c r="E8">
        <v>0</v>
      </c>
      <c r="F8">
        <v>0</v>
      </c>
      <c r="G8">
        <v>0</v>
      </c>
      <c r="H8">
        <v>1440</v>
      </c>
      <c r="I8">
        <v>0</v>
      </c>
      <c r="J8" t="s">
        <v>140</v>
      </c>
      <c r="K8" t="s">
        <v>141</v>
      </c>
      <c r="L8">
        <v>0</v>
      </c>
      <c r="M8">
        <v>1440</v>
      </c>
      <c r="N8">
        <v>24</v>
      </c>
      <c r="O8" t="s">
        <v>142</v>
      </c>
      <c r="P8" t="s">
        <v>142</v>
      </c>
      <c r="Q8">
        <v>1</v>
      </c>
      <c r="R8">
        <v>425</v>
      </c>
      <c r="S8">
        <v>439</v>
      </c>
      <c r="T8">
        <v>7.08</v>
      </c>
      <c r="U8">
        <v>7.32</v>
      </c>
      <c r="V8">
        <v>14</v>
      </c>
      <c r="W8">
        <v>96.81</v>
      </c>
      <c r="X8" t="s">
        <v>175</v>
      </c>
    </row>
    <row r="9" spans="1:26" x14ac:dyDescent="0.3">
      <c r="A9">
        <v>5553957443</v>
      </c>
      <c r="B9" s="1">
        <v>42472</v>
      </c>
      <c r="C9">
        <v>3436</v>
      </c>
      <c r="D9">
        <v>2.2400000095367401</v>
      </c>
      <c r="E9">
        <v>7</v>
      </c>
      <c r="F9">
        <v>11</v>
      </c>
      <c r="G9">
        <v>50</v>
      </c>
      <c r="H9">
        <v>61</v>
      </c>
      <c r="I9">
        <v>633</v>
      </c>
      <c r="J9" t="s">
        <v>140</v>
      </c>
      <c r="K9" t="s">
        <v>141</v>
      </c>
      <c r="L9">
        <v>68</v>
      </c>
      <c r="M9">
        <v>129</v>
      </c>
      <c r="N9">
        <v>1.02</v>
      </c>
      <c r="O9" t="s">
        <v>142</v>
      </c>
      <c r="P9" t="s">
        <v>143</v>
      </c>
      <c r="Q9">
        <v>1</v>
      </c>
      <c r="R9">
        <v>441</v>
      </c>
      <c r="S9">
        <v>464</v>
      </c>
      <c r="T9">
        <v>7.35</v>
      </c>
      <c r="U9">
        <v>7.73</v>
      </c>
      <c r="V9">
        <v>23</v>
      </c>
      <c r="W9">
        <v>95.04</v>
      </c>
      <c r="X9" t="s">
        <v>175</v>
      </c>
    </row>
    <row r="10" spans="1:26" x14ac:dyDescent="0.3">
      <c r="A10">
        <v>6962181067</v>
      </c>
      <c r="B10" s="1">
        <v>42472</v>
      </c>
      <c r="C10">
        <v>5893</v>
      </c>
      <c r="D10">
        <v>3.9000000953674299</v>
      </c>
      <c r="E10">
        <v>43</v>
      </c>
      <c r="F10">
        <v>9</v>
      </c>
      <c r="G10">
        <v>48</v>
      </c>
      <c r="H10">
        <v>146</v>
      </c>
      <c r="I10">
        <v>917</v>
      </c>
      <c r="J10" t="s">
        <v>140</v>
      </c>
      <c r="K10" t="s">
        <v>141</v>
      </c>
      <c r="L10">
        <v>100</v>
      </c>
      <c r="M10">
        <v>246</v>
      </c>
      <c r="N10">
        <v>2.4300000000000002</v>
      </c>
      <c r="O10" t="s">
        <v>144</v>
      </c>
      <c r="P10" t="s">
        <v>145</v>
      </c>
      <c r="Q10">
        <v>1</v>
      </c>
      <c r="R10">
        <v>366</v>
      </c>
      <c r="S10">
        <v>387</v>
      </c>
      <c r="T10">
        <v>6.1</v>
      </c>
      <c r="U10">
        <v>6.45</v>
      </c>
      <c r="V10">
        <v>21</v>
      </c>
      <c r="W10">
        <v>94.57</v>
      </c>
      <c r="X10" t="s">
        <v>176</v>
      </c>
    </row>
    <row r="11" spans="1:26" x14ac:dyDescent="0.3">
      <c r="A11">
        <v>7086361926</v>
      </c>
      <c r="B11" s="1">
        <v>42472</v>
      </c>
      <c r="C11">
        <v>430</v>
      </c>
      <c r="D11">
        <v>0.259999990463257</v>
      </c>
      <c r="E11">
        <v>0</v>
      </c>
      <c r="F11">
        <v>0</v>
      </c>
      <c r="G11">
        <v>14</v>
      </c>
      <c r="H11">
        <v>75</v>
      </c>
      <c r="I11">
        <v>625</v>
      </c>
      <c r="J11" t="s">
        <v>140</v>
      </c>
      <c r="K11" t="s">
        <v>141</v>
      </c>
      <c r="L11">
        <v>14</v>
      </c>
      <c r="M11">
        <v>89</v>
      </c>
      <c r="N11">
        <v>1.25</v>
      </c>
      <c r="O11" t="s">
        <v>142</v>
      </c>
      <c r="P11" t="s">
        <v>142</v>
      </c>
      <c r="Q11">
        <v>1</v>
      </c>
      <c r="R11">
        <v>514</v>
      </c>
      <c r="S11">
        <v>525</v>
      </c>
      <c r="T11">
        <v>8.57</v>
      </c>
      <c r="U11">
        <v>8.75</v>
      </c>
      <c r="V11">
        <v>11</v>
      </c>
      <c r="W11">
        <v>97.9</v>
      </c>
      <c r="X11" t="s">
        <v>175</v>
      </c>
      <c r="Z11" cm="1">
        <f t="array" ref="Z11">SUMPRODUCT(--ISERROR(tbl_merged[]))</f>
        <v>0</v>
      </c>
    </row>
    <row r="12" spans="1:26" x14ac:dyDescent="0.3">
      <c r="A12">
        <v>8378563200</v>
      </c>
      <c r="B12" s="1">
        <v>42472</v>
      </c>
      <c r="C12">
        <v>3246</v>
      </c>
      <c r="D12">
        <v>2.5699999332428001</v>
      </c>
      <c r="E12">
        <v>65</v>
      </c>
      <c r="F12">
        <v>15</v>
      </c>
      <c r="G12">
        <v>49</v>
      </c>
      <c r="H12">
        <v>243</v>
      </c>
      <c r="I12">
        <v>1882</v>
      </c>
      <c r="J12" t="s">
        <v>140</v>
      </c>
      <c r="K12" t="s">
        <v>141</v>
      </c>
      <c r="L12">
        <v>129</v>
      </c>
      <c r="M12">
        <v>372</v>
      </c>
      <c r="N12">
        <v>4.05</v>
      </c>
      <c r="O12" t="s">
        <v>142</v>
      </c>
      <c r="P12" t="s">
        <v>145</v>
      </c>
      <c r="Q12">
        <v>1</v>
      </c>
      <c r="R12">
        <v>338</v>
      </c>
      <c r="S12">
        <v>356</v>
      </c>
      <c r="T12">
        <v>5.63</v>
      </c>
      <c r="U12">
        <v>5.93</v>
      </c>
      <c r="V12">
        <v>18</v>
      </c>
      <c r="W12">
        <v>94.94</v>
      </c>
      <c r="X12" t="s">
        <v>173</v>
      </c>
    </row>
    <row r="13" spans="1:26" x14ac:dyDescent="0.3">
      <c r="A13">
        <v>8792009665</v>
      </c>
      <c r="B13" s="1">
        <v>42472</v>
      </c>
      <c r="C13">
        <v>20</v>
      </c>
      <c r="D13">
        <v>9.9999997764825804E-3</v>
      </c>
      <c r="E13">
        <v>0</v>
      </c>
      <c r="F13">
        <v>0</v>
      </c>
      <c r="G13">
        <v>6</v>
      </c>
      <c r="H13">
        <v>598</v>
      </c>
      <c r="I13">
        <v>728</v>
      </c>
      <c r="J13" t="s">
        <v>140</v>
      </c>
      <c r="K13" t="s">
        <v>141</v>
      </c>
      <c r="L13">
        <v>6</v>
      </c>
      <c r="M13">
        <v>604</v>
      </c>
      <c r="N13">
        <v>9.9700000000000006</v>
      </c>
      <c r="O13" t="s">
        <v>142</v>
      </c>
      <c r="P13" t="s">
        <v>142</v>
      </c>
      <c r="Q13">
        <v>1</v>
      </c>
      <c r="R13">
        <v>458</v>
      </c>
      <c r="S13">
        <v>493</v>
      </c>
      <c r="T13">
        <v>7.63</v>
      </c>
      <c r="U13">
        <v>8.2200000000000006</v>
      </c>
      <c r="V13">
        <v>35</v>
      </c>
      <c r="W13">
        <v>92.9</v>
      </c>
      <c r="X13" t="s">
        <v>175</v>
      </c>
    </row>
    <row r="14" spans="1:26" x14ac:dyDescent="0.3">
      <c r="A14">
        <v>1503960366</v>
      </c>
      <c r="B14" s="1">
        <v>42473</v>
      </c>
      <c r="C14">
        <v>10735</v>
      </c>
      <c r="D14">
        <v>6.9699997901916504</v>
      </c>
      <c r="E14">
        <v>21</v>
      </c>
      <c r="F14">
        <v>19</v>
      </c>
      <c r="G14">
        <v>217</v>
      </c>
      <c r="H14">
        <v>776</v>
      </c>
      <c r="I14">
        <v>1797</v>
      </c>
      <c r="J14" t="s">
        <v>146</v>
      </c>
      <c r="K14" t="s">
        <v>141</v>
      </c>
      <c r="L14">
        <v>257</v>
      </c>
      <c r="M14">
        <v>1033</v>
      </c>
      <c r="N14">
        <v>12.93</v>
      </c>
      <c r="O14" t="s">
        <v>147</v>
      </c>
      <c r="P14" t="s">
        <v>148</v>
      </c>
      <c r="Q14">
        <v>2</v>
      </c>
      <c r="R14">
        <v>384</v>
      </c>
      <c r="S14">
        <v>407</v>
      </c>
      <c r="T14">
        <v>6.4</v>
      </c>
      <c r="U14">
        <v>6.78</v>
      </c>
      <c r="V14">
        <v>23</v>
      </c>
      <c r="W14">
        <v>94.35</v>
      </c>
      <c r="X14" t="s">
        <v>176</v>
      </c>
    </row>
    <row r="15" spans="1:26" x14ac:dyDescent="0.3">
      <c r="A15">
        <v>1503960366</v>
      </c>
      <c r="B15" s="1">
        <v>42475</v>
      </c>
      <c r="C15">
        <v>9762</v>
      </c>
      <c r="D15">
        <v>6.2800002098083496</v>
      </c>
      <c r="E15">
        <v>29</v>
      </c>
      <c r="F15">
        <v>34</v>
      </c>
      <c r="G15">
        <v>209</v>
      </c>
      <c r="H15">
        <v>726</v>
      </c>
      <c r="I15">
        <v>1745</v>
      </c>
      <c r="J15" t="s">
        <v>149</v>
      </c>
      <c r="K15" t="s">
        <v>141</v>
      </c>
      <c r="L15">
        <v>272</v>
      </c>
      <c r="M15">
        <v>998</v>
      </c>
      <c r="N15">
        <v>12.1</v>
      </c>
      <c r="O15" t="s">
        <v>150</v>
      </c>
      <c r="P15" t="s">
        <v>148</v>
      </c>
      <c r="Q15">
        <v>1</v>
      </c>
      <c r="R15">
        <v>412</v>
      </c>
      <c r="S15">
        <v>442</v>
      </c>
      <c r="T15">
        <v>6.87</v>
      </c>
      <c r="U15">
        <v>7.37</v>
      </c>
      <c r="V15">
        <v>30</v>
      </c>
      <c r="W15">
        <v>93.21</v>
      </c>
      <c r="X15" t="s">
        <v>176</v>
      </c>
    </row>
    <row r="16" spans="1:26" x14ac:dyDescent="0.3">
      <c r="A16">
        <v>1503960366</v>
      </c>
      <c r="B16" s="1">
        <v>42476</v>
      </c>
      <c r="C16">
        <v>12669</v>
      </c>
      <c r="D16">
        <v>8.1599998474121094</v>
      </c>
      <c r="E16">
        <v>36</v>
      </c>
      <c r="F16">
        <v>10</v>
      </c>
      <c r="G16">
        <v>221</v>
      </c>
      <c r="H16">
        <v>773</v>
      </c>
      <c r="I16">
        <v>1863</v>
      </c>
      <c r="J16" t="s">
        <v>151</v>
      </c>
      <c r="K16" t="s">
        <v>141</v>
      </c>
      <c r="L16">
        <v>267</v>
      </c>
      <c r="M16">
        <v>1040</v>
      </c>
      <c r="N16">
        <v>12.88</v>
      </c>
      <c r="O16" t="s">
        <v>152</v>
      </c>
      <c r="P16" t="s">
        <v>145</v>
      </c>
      <c r="Q16">
        <v>2</v>
      </c>
      <c r="R16">
        <v>340</v>
      </c>
      <c r="S16">
        <v>367</v>
      </c>
      <c r="T16">
        <v>5.67</v>
      </c>
      <c r="U16">
        <v>6.12</v>
      </c>
      <c r="V16">
        <v>27</v>
      </c>
      <c r="W16">
        <v>92.64</v>
      </c>
      <c r="X16" t="s">
        <v>173</v>
      </c>
    </row>
    <row r="17" spans="1:24" x14ac:dyDescent="0.3">
      <c r="A17">
        <v>1503960366</v>
      </c>
      <c r="B17" s="1">
        <v>42477</v>
      </c>
      <c r="C17">
        <v>9705</v>
      </c>
      <c r="D17">
        <v>6.4800000190734899</v>
      </c>
      <c r="E17">
        <v>38</v>
      </c>
      <c r="F17">
        <v>20</v>
      </c>
      <c r="G17">
        <v>164</v>
      </c>
      <c r="H17">
        <v>539</v>
      </c>
      <c r="I17">
        <v>1728</v>
      </c>
      <c r="J17" t="s">
        <v>153</v>
      </c>
      <c r="K17" t="s">
        <v>141</v>
      </c>
      <c r="L17">
        <v>222</v>
      </c>
      <c r="M17">
        <v>761</v>
      </c>
      <c r="N17">
        <v>8.98</v>
      </c>
      <c r="O17" t="s">
        <v>150</v>
      </c>
      <c r="P17" t="s">
        <v>145</v>
      </c>
      <c r="Q17">
        <v>1</v>
      </c>
      <c r="R17">
        <v>700</v>
      </c>
      <c r="S17">
        <v>712</v>
      </c>
      <c r="T17">
        <v>11.67</v>
      </c>
      <c r="U17">
        <v>11.87</v>
      </c>
      <c r="V17">
        <v>12</v>
      </c>
      <c r="W17">
        <v>98.31</v>
      </c>
      <c r="X17" t="s">
        <v>174</v>
      </c>
    </row>
    <row r="18" spans="1:24" x14ac:dyDescent="0.3">
      <c r="A18">
        <v>1503960366</v>
      </c>
      <c r="B18" s="1">
        <v>42479</v>
      </c>
      <c r="C18">
        <v>15506</v>
      </c>
      <c r="D18">
        <v>9.8800001144409197</v>
      </c>
      <c r="E18">
        <v>50</v>
      </c>
      <c r="F18">
        <v>31</v>
      </c>
      <c r="G18">
        <v>264</v>
      </c>
      <c r="H18">
        <v>775</v>
      </c>
      <c r="I18">
        <v>2035</v>
      </c>
      <c r="J18" t="s">
        <v>140</v>
      </c>
      <c r="K18" t="s">
        <v>141</v>
      </c>
      <c r="L18">
        <v>345</v>
      </c>
      <c r="M18">
        <v>1120</v>
      </c>
      <c r="N18">
        <v>12.92</v>
      </c>
      <c r="O18" t="s">
        <v>152</v>
      </c>
      <c r="P18" t="s">
        <v>145</v>
      </c>
      <c r="Q18">
        <v>1</v>
      </c>
      <c r="R18">
        <v>304</v>
      </c>
      <c r="S18">
        <v>320</v>
      </c>
      <c r="T18">
        <v>5.07</v>
      </c>
      <c r="U18">
        <v>5.33</v>
      </c>
      <c r="V18">
        <v>16</v>
      </c>
      <c r="W18">
        <v>95</v>
      </c>
      <c r="X18" t="s">
        <v>173</v>
      </c>
    </row>
    <row r="19" spans="1:24" x14ac:dyDescent="0.3">
      <c r="A19">
        <v>1503960366</v>
      </c>
      <c r="B19" s="1">
        <v>42480</v>
      </c>
      <c r="C19">
        <v>10544</v>
      </c>
      <c r="D19">
        <v>6.6799998283386204</v>
      </c>
      <c r="E19">
        <v>28</v>
      </c>
      <c r="F19">
        <v>12</v>
      </c>
      <c r="G19">
        <v>205</v>
      </c>
      <c r="H19">
        <v>818</v>
      </c>
      <c r="I19">
        <v>1786</v>
      </c>
      <c r="J19" t="s">
        <v>146</v>
      </c>
      <c r="K19" t="s">
        <v>141</v>
      </c>
      <c r="L19">
        <v>245</v>
      </c>
      <c r="M19">
        <v>1063</v>
      </c>
      <c r="N19">
        <v>13.63</v>
      </c>
      <c r="O19" t="s">
        <v>147</v>
      </c>
      <c r="P19" t="s">
        <v>148</v>
      </c>
      <c r="Q19">
        <v>1</v>
      </c>
      <c r="R19">
        <v>360</v>
      </c>
      <c r="S19">
        <v>377</v>
      </c>
      <c r="T19">
        <v>6</v>
      </c>
      <c r="U19">
        <v>6.28</v>
      </c>
      <c r="V19">
        <v>17</v>
      </c>
      <c r="W19">
        <v>95.49</v>
      </c>
      <c r="X19" t="s">
        <v>176</v>
      </c>
    </row>
    <row r="20" spans="1:24" x14ac:dyDescent="0.3">
      <c r="A20">
        <v>1503960366</v>
      </c>
      <c r="B20" s="1">
        <v>42481</v>
      </c>
      <c r="C20">
        <v>9819</v>
      </c>
      <c r="D20">
        <v>6.3400001525878897</v>
      </c>
      <c r="E20">
        <v>19</v>
      </c>
      <c r="F20">
        <v>8</v>
      </c>
      <c r="G20">
        <v>211</v>
      </c>
      <c r="H20">
        <v>838</v>
      </c>
      <c r="I20">
        <v>1775</v>
      </c>
      <c r="J20" t="s">
        <v>154</v>
      </c>
      <c r="K20" t="s">
        <v>141</v>
      </c>
      <c r="L20">
        <v>238</v>
      </c>
      <c r="M20">
        <v>1076</v>
      </c>
      <c r="N20">
        <v>13.97</v>
      </c>
      <c r="O20" t="s">
        <v>150</v>
      </c>
      <c r="P20" t="s">
        <v>148</v>
      </c>
      <c r="Q20">
        <v>1</v>
      </c>
      <c r="R20">
        <v>325</v>
      </c>
      <c r="S20">
        <v>364</v>
      </c>
      <c r="T20">
        <v>5.42</v>
      </c>
      <c r="U20">
        <v>6.07</v>
      </c>
      <c r="V20">
        <v>39</v>
      </c>
      <c r="W20">
        <v>89.29</v>
      </c>
      <c r="X20" t="s">
        <v>173</v>
      </c>
    </row>
    <row r="21" spans="1:24" x14ac:dyDescent="0.3">
      <c r="A21">
        <v>1503960366</v>
      </c>
      <c r="B21" s="1">
        <v>42483</v>
      </c>
      <c r="C21">
        <v>14371</v>
      </c>
      <c r="D21">
        <v>9.0399999618530291</v>
      </c>
      <c r="E21">
        <v>41</v>
      </c>
      <c r="F21">
        <v>21</v>
      </c>
      <c r="G21">
        <v>262</v>
      </c>
      <c r="H21">
        <v>732</v>
      </c>
      <c r="I21">
        <v>1949</v>
      </c>
      <c r="J21" t="s">
        <v>151</v>
      </c>
      <c r="K21" t="s">
        <v>141</v>
      </c>
      <c r="L21">
        <v>324</v>
      </c>
      <c r="M21">
        <v>1056</v>
      </c>
      <c r="N21">
        <v>12.2</v>
      </c>
      <c r="O21" t="s">
        <v>152</v>
      </c>
      <c r="P21" t="s">
        <v>145</v>
      </c>
      <c r="Q21">
        <v>1</v>
      </c>
      <c r="R21">
        <v>361</v>
      </c>
      <c r="S21">
        <v>384</v>
      </c>
      <c r="T21">
        <v>6.02</v>
      </c>
      <c r="U21">
        <v>6.4</v>
      </c>
      <c r="V21">
        <v>23</v>
      </c>
      <c r="W21">
        <v>94.01</v>
      </c>
      <c r="X21" t="s">
        <v>176</v>
      </c>
    </row>
    <row r="22" spans="1:24" x14ac:dyDescent="0.3">
      <c r="A22">
        <v>1503960366</v>
      </c>
      <c r="B22" s="1">
        <v>42484</v>
      </c>
      <c r="C22">
        <v>10039</v>
      </c>
      <c r="D22">
        <v>6.4099998474121103</v>
      </c>
      <c r="E22">
        <v>39</v>
      </c>
      <c r="F22">
        <v>5</v>
      </c>
      <c r="G22">
        <v>238</v>
      </c>
      <c r="H22">
        <v>709</v>
      </c>
      <c r="I22">
        <v>1788</v>
      </c>
      <c r="J22" t="s">
        <v>153</v>
      </c>
      <c r="K22" t="s">
        <v>141</v>
      </c>
      <c r="L22">
        <v>282</v>
      </c>
      <c r="M22">
        <v>991</v>
      </c>
      <c r="N22">
        <v>11.82</v>
      </c>
      <c r="O22" t="s">
        <v>147</v>
      </c>
      <c r="P22" t="s">
        <v>145</v>
      </c>
      <c r="Q22">
        <v>1</v>
      </c>
      <c r="R22">
        <v>430</v>
      </c>
      <c r="S22">
        <v>449</v>
      </c>
      <c r="T22">
        <v>7.17</v>
      </c>
      <c r="U22">
        <v>7.48</v>
      </c>
      <c r="V22">
        <v>19</v>
      </c>
      <c r="W22">
        <v>95.77</v>
      </c>
      <c r="X22" t="s">
        <v>175</v>
      </c>
    </row>
    <row r="23" spans="1:24" x14ac:dyDescent="0.3">
      <c r="A23">
        <v>1503960366</v>
      </c>
      <c r="B23" s="1">
        <v>42485</v>
      </c>
      <c r="C23">
        <v>15355</v>
      </c>
      <c r="D23">
        <v>9.8000001907348597</v>
      </c>
      <c r="E23">
        <v>73</v>
      </c>
      <c r="F23">
        <v>14</v>
      </c>
      <c r="G23">
        <v>216</v>
      </c>
      <c r="H23">
        <v>814</v>
      </c>
      <c r="I23">
        <v>2013</v>
      </c>
      <c r="J23" t="s">
        <v>155</v>
      </c>
      <c r="K23" t="s">
        <v>141</v>
      </c>
      <c r="L23">
        <v>303</v>
      </c>
      <c r="M23">
        <v>1117</v>
      </c>
      <c r="N23">
        <v>13.57</v>
      </c>
      <c r="O23" t="s">
        <v>152</v>
      </c>
      <c r="P23" t="s">
        <v>145</v>
      </c>
      <c r="Q23">
        <v>1</v>
      </c>
      <c r="R23">
        <v>277</v>
      </c>
      <c r="S23">
        <v>323</v>
      </c>
      <c r="T23">
        <v>4.62</v>
      </c>
      <c r="U23">
        <v>5.38</v>
      </c>
      <c r="V23">
        <v>46</v>
      </c>
      <c r="W23">
        <v>85.76</v>
      </c>
      <c r="X23" t="s">
        <v>173</v>
      </c>
    </row>
    <row r="24" spans="1:24" x14ac:dyDescent="0.3">
      <c r="A24">
        <v>1503960366</v>
      </c>
      <c r="B24" s="1">
        <v>42486</v>
      </c>
      <c r="C24">
        <v>13755</v>
      </c>
      <c r="D24">
        <v>8.7899999618530291</v>
      </c>
      <c r="E24">
        <v>31</v>
      </c>
      <c r="F24">
        <v>23</v>
      </c>
      <c r="G24">
        <v>279</v>
      </c>
      <c r="H24">
        <v>833</v>
      </c>
      <c r="I24">
        <v>1970</v>
      </c>
      <c r="J24" t="s">
        <v>140</v>
      </c>
      <c r="K24" t="s">
        <v>141</v>
      </c>
      <c r="L24">
        <v>333</v>
      </c>
      <c r="M24">
        <v>1166</v>
      </c>
      <c r="N24">
        <v>13.88</v>
      </c>
      <c r="O24" t="s">
        <v>152</v>
      </c>
      <c r="P24" t="s">
        <v>145</v>
      </c>
      <c r="Q24">
        <v>1</v>
      </c>
      <c r="R24">
        <v>245</v>
      </c>
      <c r="S24">
        <v>274</v>
      </c>
      <c r="T24">
        <v>4.08</v>
      </c>
      <c r="U24">
        <v>4.57</v>
      </c>
      <c r="V24">
        <v>29</v>
      </c>
      <c r="W24">
        <v>89.42</v>
      </c>
      <c r="X24" t="s">
        <v>173</v>
      </c>
    </row>
    <row r="25" spans="1:24" x14ac:dyDescent="0.3">
      <c r="A25">
        <v>1503960366</v>
      </c>
      <c r="B25" s="1">
        <v>42488</v>
      </c>
      <c r="C25">
        <v>13154</v>
      </c>
      <c r="D25">
        <v>8.5299997329711896</v>
      </c>
      <c r="E25">
        <v>48</v>
      </c>
      <c r="F25">
        <v>28</v>
      </c>
      <c r="G25">
        <v>189</v>
      </c>
      <c r="H25">
        <v>782</v>
      </c>
      <c r="I25">
        <v>1898</v>
      </c>
      <c r="J25" t="s">
        <v>154</v>
      </c>
      <c r="K25" t="s">
        <v>141</v>
      </c>
      <c r="L25">
        <v>265</v>
      </c>
      <c r="M25">
        <v>1047</v>
      </c>
      <c r="N25">
        <v>13.03</v>
      </c>
      <c r="O25" t="s">
        <v>152</v>
      </c>
      <c r="P25" t="s">
        <v>145</v>
      </c>
      <c r="Q25">
        <v>1</v>
      </c>
      <c r="R25">
        <v>366</v>
      </c>
      <c r="S25">
        <v>393</v>
      </c>
      <c r="T25">
        <v>6.1</v>
      </c>
      <c r="U25">
        <v>6.55</v>
      </c>
      <c r="V25">
        <v>27</v>
      </c>
      <c r="W25">
        <v>93.13</v>
      </c>
      <c r="X25" t="s">
        <v>176</v>
      </c>
    </row>
    <row r="26" spans="1:24" x14ac:dyDescent="0.3">
      <c r="A26">
        <v>1503960366</v>
      </c>
      <c r="B26" s="1">
        <v>42489</v>
      </c>
      <c r="C26">
        <v>11181</v>
      </c>
      <c r="D26">
        <v>7.1500000953674299</v>
      </c>
      <c r="E26">
        <v>16</v>
      </c>
      <c r="F26">
        <v>12</v>
      </c>
      <c r="G26">
        <v>243</v>
      </c>
      <c r="H26">
        <v>815</v>
      </c>
      <c r="I26">
        <v>1837</v>
      </c>
      <c r="J26" t="s">
        <v>149</v>
      </c>
      <c r="K26" t="s">
        <v>141</v>
      </c>
      <c r="L26">
        <v>271</v>
      </c>
      <c r="M26">
        <v>1086</v>
      </c>
      <c r="N26">
        <v>13.58</v>
      </c>
      <c r="O26" t="s">
        <v>147</v>
      </c>
      <c r="P26" t="s">
        <v>148</v>
      </c>
      <c r="Q26">
        <v>1</v>
      </c>
      <c r="R26">
        <v>341</v>
      </c>
      <c r="S26">
        <v>354</v>
      </c>
      <c r="T26">
        <v>5.68</v>
      </c>
      <c r="U26">
        <v>5.9</v>
      </c>
      <c r="V26">
        <v>13</v>
      </c>
      <c r="W26">
        <v>96.33</v>
      </c>
      <c r="X26" t="s">
        <v>173</v>
      </c>
    </row>
    <row r="27" spans="1:24" x14ac:dyDescent="0.3">
      <c r="A27">
        <v>1503960366</v>
      </c>
      <c r="B27" s="1">
        <v>42490</v>
      </c>
      <c r="C27">
        <v>14673</v>
      </c>
      <c r="D27">
        <v>9.25</v>
      </c>
      <c r="E27">
        <v>52</v>
      </c>
      <c r="F27">
        <v>34</v>
      </c>
      <c r="G27">
        <v>217</v>
      </c>
      <c r="H27">
        <v>712</v>
      </c>
      <c r="I27">
        <v>1947</v>
      </c>
      <c r="J27" t="s">
        <v>151</v>
      </c>
      <c r="K27" t="s">
        <v>141</v>
      </c>
      <c r="L27">
        <v>303</v>
      </c>
      <c r="M27">
        <v>1015</v>
      </c>
      <c r="N27">
        <v>11.87</v>
      </c>
      <c r="O27" t="s">
        <v>152</v>
      </c>
      <c r="P27" t="s">
        <v>145</v>
      </c>
      <c r="Q27">
        <v>1</v>
      </c>
      <c r="R27">
        <v>404</v>
      </c>
      <c r="S27">
        <v>425</v>
      </c>
      <c r="T27">
        <v>6.73</v>
      </c>
      <c r="U27">
        <v>7.08</v>
      </c>
      <c r="V27">
        <v>21</v>
      </c>
      <c r="W27">
        <v>95.06</v>
      </c>
      <c r="X27" t="s">
        <v>176</v>
      </c>
    </row>
    <row r="28" spans="1:24" x14ac:dyDescent="0.3">
      <c r="A28">
        <v>1503960366</v>
      </c>
      <c r="B28" s="1">
        <v>42491</v>
      </c>
      <c r="C28">
        <v>10602</v>
      </c>
      <c r="D28">
        <v>6.8099999427795401</v>
      </c>
      <c r="E28">
        <v>33</v>
      </c>
      <c r="F28">
        <v>35</v>
      </c>
      <c r="G28">
        <v>246</v>
      </c>
      <c r="H28">
        <v>730</v>
      </c>
      <c r="I28">
        <v>1820</v>
      </c>
      <c r="J28" t="s">
        <v>153</v>
      </c>
      <c r="K28" t="s">
        <v>156</v>
      </c>
      <c r="L28">
        <v>314</v>
      </c>
      <c r="M28">
        <v>1044</v>
      </c>
      <c r="N28">
        <v>12.17</v>
      </c>
      <c r="O28" t="s">
        <v>147</v>
      </c>
      <c r="P28" t="s">
        <v>145</v>
      </c>
      <c r="Q28">
        <v>1</v>
      </c>
      <c r="R28">
        <v>369</v>
      </c>
      <c r="S28">
        <v>396</v>
      </c>
      <c r="T28">
        <v>6.15</v>
      </c>
      <c r="U28">
        <v>6.6</v>
      </c>
      <c r="V28">
        <v>27</v>
      </c>
      <c r="W28">
        <v>93.18</v>
      </c>
      <c r="X28" t="s">
        <v>176</v>
      </c>
    </row>
    <row r="29" spans="1:24" x14ac:dyDescent="0.3">
      <c r="A29">
        <v>1503960366</v>
      </c>
      <c r="B29" s="1">
        <v>42492</v>
      </c>
      <c r="C29">
        <v>14727</v>
      </c>
      <c r="D29">
        <v>9.7100000381469709</v>
      </c>
      <c r="E29">
        <v>41</v>
      </c>
      <c r="F29">
        <v>15</v>
      </c>
      <c r="G29">
        <v>277</v>
      </c>
      <c r="H29">
        <v>798</v>
      </c>
      <c r="I29">
        <v>2004</v>
      </c>
      <c r="J29" t="s">
        <v>155</v>
      </c>
      <c r="K29" t="s">
        <v>156</v>
      </c>
      <c r="L29">
        <v>333</v>
      </c>
      <c r="M29">
        <v>1131</v>
      </c>
      <c r="N29">
        <v>13.3</v>
      </c>
      <c r="O29" t="s">
        <v>152</v>
      </c>
      <c r="P29" t="s">
        <v>145</v>
      </c>
      <c r="Q29">
        <v>1</v>
      </c>
      <c r="R29">
        <v>277</v>
      </c>
      <c r="S29">
        <v>309</v>
      </c>
      <c r="T29">
        <v>4.62</v>
      </c>
      <c r="U29">
        <v>5.15</v>
      </c>
      <c r="V29">
        <v>32</v>
      </c>
      <c r="W29">
        <v>89.64</v>
      </c>
      <c r="X29" t="s">
        <v>173</v>
      </c>
    </row>
    <row r="30" spans="1:24" x14ac:dyDescent="0.3">
      <c r="A30">
        <v>1503960366</v>
      </c>
      <c r="B30" s="1">
        <v>42493</v>
      </c>
      <c r="C30">
        <v>15103</v>
      </c>
      <c r="D30">
        <v>9.6599998474121094</v>
      </c>
      <c r="E30">
        <v>50</v>
      </c>
      <c r="F30">
        <v>24</v>
      </c>
      <c r="G30">
        <v>254</v>
      </c>
      <c r="H30">
        <v>816</v>
      </c>
      <c r="I30">
        <v>1990</v>
      </c>
      <c r="J30" t="s">
        <v>140</v>
      </c>
      <c r="K30" t="s">
        <v>156</v>
      </c>
      <c r="L30">
        <v>328</v>
      </c>
      <c r="M30">
        <v>1144</v>
      </c>
      <c r="N30">
        <v>13.6</v>
      </c>
      <c r="O30" t="s">
        <v>152</v>
      </c>
      <c r="P30" t="s">
        <v>145</v>
      </c>
      <c r="Q30">
        <v>1</v>
      </c>
      <c r="R30">
        <v>273</v>
      </c>
      <c r="S30">
        <v>296</v>
      </c>
      <c r="T30">
        <v>4.55</v>
      </c>
      <c r="U30">
        <v>4.93</v>
      </c>
      <c r="V30">
        <v>23</v>
      </c>
      <c r="W30">
        <v>92.23</v>
      </c>
      <c r="X30" t="s">
        <v>173</v>
      </c>
    </row>
    <row r="31" spans="1:24" x14ac:dyDescent="0.3">
      <c r="A31">
        <v>1503960366</v>
      </c>
      <c r="B31" s="1">
        <v>42495</v>
      </c>
      <c r="C31">
        <v>14070</v>
      </c>
      <c r="D31">
        <v>8.8999996185302699</v>
      </c>
      <c r="E31">
        <v>45</v>
      </c>
      <c r="F31">
        <v>24</v>
      </c>
      <c r="G31">
        <v>250</v>
      </c>
      <c r="H31">
        <v>857</v>
      </c>
      <c r="I31">
        <v>1959</v>
      </c>
      <c r="J31" t="s">
        <v>154</v>
      </c>
      <c r="K31" t="s">
        <v>156</v>
      </c>
      <c r="L31">
        <v>319</v>
      </c>
      <c r="M31">
        <v>1176</v>
      </c>
      <c r="N31">
        <v>14.28</v>
      </c>
      <c r="O31" t="s">
        <v>152</v>
      </c>
      <c r="P31" t="s">
        <v>145</v>
      </c>
      <c r="Q31">
        <v>1</v>
      </c>
      <c r="R31">
        <v>247</v>
      </c>
      <c r="S31">
        <v>264</v>
      </c>
      <c r="T31">
        <v>4.12</v>
      </c>
      <c r="U31">
        <v>4.4000000000000004</v>
      </c>
      <c r="V31">
        <v>17</v>
      </c>
      <c r="W31">
        <v>93.56</v>
      </c>
      <c r="X31" t="s">
        <v>173</v>
      </c>
    </row>
    <row r="32" spans="1:24" x14ac:dyDescent="0.3">
      <c r="A32">
        <v>1503960366</v>
      </c>
      <c r="B32" s="1">
        <v>42496</v>
      </c>
      <c r="C32">
        <v>12159</v>
      </c>
      <c r="D32">
        <v>8.0299997329711896</v>
      </c>
      <c r="E32">
        <v>24</v>
      </c>
      <c r="F32">
        <v>6</v>
      </c>
      <c r="G32">
        <v>289</v>
      </c>
      <c r="H32">
        <v>754</v>
      </c>
      <c r="I32">
        <v>1896</v>
      </c>
      <c r="J32" t="s">
        <v>149</v>
      </c>
      <c r="K32" t="s">
        <v>156</v>
      </c>
      <c r="L32">
        <v>319</v>
      </c>
      <c r="M32">
        <v>1073</v>
      </c>
      <c r="N32">
        <v>12.57</v>
      </c>
      <c r="O32" t="s">
        <v>147</v>
      </c>
      <c r="P32" t="s">
        <v>148</v>
      </c>
      <c r="Q32">
        <v>1</v>
      </c>
      <c r="R32">
        <v>334</v>
      </c>
      <c r="S32">
        <v>367</v>
      </c>
      <c r="T32">
        <v>5.57</v>
      </c>
      <c r="U32">
        <v>6.12</v>
      </c>
      <c r="V32">
        <v>33</v>
      </c>
      <c r="W32">
        <v>91.01</v>
      </c>
      <c r="X32" t="s">
        <v>173</v>
      </c>
    </row>
    <row r="33" spans="1:24" x14ac:dyDescent="0.3">
      <c r="A33">
        <v>1503960366</v>
      </c>
      <c r="B33" s="1">
        <v>42497</v>
      </c>
      <c r="C33">
        <v>11992</v>
      </c>
      <c r="D33">
        <v>7.71000003814697</v>
      </c>
      <c r="E33">
        <v>37</v>
      </c>
      <c r="F33">
        <v>46</v>
      </c>
      <c r="G33">
        <v>175</v>
      </c>
      <c r="H33">
        <v>833</v>
      </c>
      <c r="I33">
        <v>1821</v>
      </c>
      <c r="J33" t="s">
        <v>151</v>
      </c>
      <c r="K33" t="s">
        <v>156</v>
      </c>
      <c r="L33">
        <v>258</v>
      </c>
      <c r="M33">
        <v>1091</v>
      </c>
      <c r="N33">
        <v>13.88</v>
      </c>
      <c r="O33" t="s">
        <v>147</v>
      </c>
      <c r="P33" t="s">
        <v>145</v>
      </c>
      <c r="Q33">
        <v>1</v>
      </c>
      <c r="R33">
        <v>331</v>
      </c>
      <c r="S33">
        <v>349</v>
      </c>
      <c r="T33">
        <v>5.52</v>
      </c>
      <c r="U33">
        <v>5.82</v>
      </c>
      <c r="V33">
        <v>18</v>
      </c>
      <c r="W33">
        <v>94.84</v>
      </c>
      <c r="X33" t="s">
        <v>173</v>
      </c>
    </row>
    <row r="34" spans="1:24" x14ac:dyDescent="0.3">
      <c r="A34">
        <v>1503960366</v>
      </c>
      <c r="B34" s="1">
        <v>42498</v>
      </c>
      <c r="C34">
        <v>10060</v>
      </c>
      <c r="D34">
        <v>6.5799999237060502</v>
      </c>
      <c r="E34">
        <v>44</v>
      </c>
      <c r="F34">
        <v>8</v>
      </c>
      <c r="G34">
        <v>203</v>
      </c>
      <c r="H34">
        <v>574</v>
      </c>
      <c r="I34">
        <v>1740</v>
      </c>
      <c r="J34" t="s">
        <v>153</v>
      </c>
      <c r="K34" t="s">
        <v>156</v>
      </c>
      <c r="L34">
        <v>255</v>
      </c>
      <c r="M34">
        <v>829</v>
      </c>
      <c r="N34">
        <v>9.57</v>
      </c>
      <c r="O34" t="s">
        <v>147</v>
      </c>
      <c r="P34" t="s">
        <v>145</v>
      </c>
      <c r="Q34">
        <v>1</v>
      </c>
      <c r="R34">
        <v>594</v>
      </c>
      <c r="S34">
        <v>611</v>
      </c>
      <c r="T34">
        <v>9.9</v>
      </c>
      <c r="U34">
        <v>10.18</v>
      </c>
      <c r="V34">
        <v>17</v>
      </c>
      <c r="W34">
        <v>97.22</v>
      </c>
      <c r="X34" t="s">
        <v>174</v>
      </c>
    </row>
    <row r="35" spans="1:24" x14ac:dyDescent="0.3">
      <c r="A35">
        <v>1503960366</v>
      </c>
      <c r="B35" s="1">
        <v>42499</v>
      </c>
      <c r="C35">
        <v>12022</v>
      </c>
      <c r="D35">
        <v>7.7199997901916504</v>
      </c>
      <c r="E35">
        <v>46</v>
      </c>
      <c r="F35">
        <v>11</v>
      </c>
      <c r="G35">
        <v>206</v>
      </c>
      <c r="H35">
        <v>835</v>
      </c>
      <c r="I35">
        <v>1819</v>
      </c>
      <c r="J35" t="s">
        <v>155</v>
      </c>
      <c r="K35" t="s">
        <v>156</v>
      </c>
      <c r="L35">
        <v>263</v>
      </c>
      <c r="M35">
        <v>1098</v>
      </c>
      <c r="N35">
        <v>13.92</v>
      </c>
      <c r="O35" t="s">
        <v>147</v>
      </c>
      <c r="P35" t="s">
        <v>145</v>
      </c>
      <c r="Q35">
        <v>1</v>
      </c>
      <c r="R35">
        <v>338</v>
      </c>
      <c r="S35">
        <v>342</v>
      </c>
      <c r="T35">
        <v>5.63</v>
      </c>
      <c r="U35">
        <v>5.7</v>
      </c>
      <c r="V35">
        <v>4</v>
      </c>
      <c r="W35">
        <v>98.83</v>
      </c>
      <c r="X35" t="s">
        <v>173</v>
      </c>
    </row>
    <row r="36" spans="1:24" x14ac:dyDescent="0.3">
      <c r="A36">
        <v>1503960366</v>
      </c>
      <c r="B36" s="1">
        <v>42500</v>
      </c>
      <c r="C36">
        <v>12207</v>
      </c>
      <c r="D36">
        <v>7.7699999809265101</v>
      </c>
      <c r="E36">
        <v>46</v>
      </c>
      <c r="F36">
        <v>31</v>
      </c>
      <c r="G36">
        <v>214</v>
      </c>
      <c r="H36">
        <v>746</v>
      </c>
      <c r="I36">
        <v>1859</v>
      </c>
      <c r="J36" t="s">
        <v>140</v>
      </c>
      <c r="K36" t="s">
        <v>156</v>
      </c>
      <c r="L36">
        <v>291</v>
      </c>
      <c r="M36">
        <v>1037</v>
      </c>
      <c r="N36">
        <v>12.43</v>
      </c>
      <c r="O36" t="s">
        <v>147</v>
      </c>
      <c r="P36" t="s">
        <v>145</v>
      </c>
      <c r="Q36">
        <v>1</v>
      </c>
      <c r="R36">
        <v>383</v>
      </c>
      <c r="S36">
        <v>403</v>
      </c>
      <c r="T36">
        <v>6.38</v>
      </c>
      <c r="U36">
        <v>6.72</v>
      </c>
      <c r="V36">
        <v>20</v>
      </c>
      <c r="W36">
        <v>95.04</v>
      </c>
      <c r="X36" t="s">
        <v>176</v>
      </c>
    </row>
    <row r="37" spans="1:24" x14ac:dyDescent="0.3">
      <c r="A37">
        <v>1503960366</v>
      </c>
      <c r="B37" s="1">
        <v>42501</v>
      </c>
      <c r="C37">
        <v>12770</v>
      </c>
      <c r="D37">
        <v>8.1300001144409197</v>
      </c>
      <c r="E37">
        <v>36</v>
      </c>
      <c r="F37">
        <v>23</v>
      </c>
      <c r="G37">
        <v>251</v>
      </c>
      <c r="H37">
        <v>669</v>
      </c>
      <c r="I37">
        <v>1783</v>
      </c>
      <c r="J37" t="s">
        <v>146</v>
      </c>
      <c r="K37" t="s">
        <v>156</v>
      </c>
      <c r="L37">
        <v>310</v>
      </c>
      <c r="M37">
        <v>979</v>
      </c>
      <c r="N37">
        <v>11.15</v>
      </c>
      <c r="O37" t="s">
        <v>152</v>
      </c>
      <c r="P37" t="s">
        <v>145</v>
      </c>
      <c r="Q37">
        <v>1</v>
      </c>
      <c r="R37">
        <v>285</v>
      </c>
      <c r="S37">
        <v>306</v>
      </c>
      <c r="T37">
        <v>4.75</v>
      </c>
      <c r="U37">
        <v>5.0999999999999996</v>
      </c>
      <c r="V37">
        <v>21</v>
      </c>
      <c r="W37">
        <v>93.14</v>
      </c>
      <c r="X37" t="s">
        <v>173</v>
      </c>
    </row>
    <row r="38" spans="1:24" x14ac:dyDescent="0.3">
      <c r="A38">
        <v>1644430081</v>
      </c>
      <c r="B38" s="1">
        <v>42489</v>
      </c>
      <c r="C38">
        <v>3176</v>
      </c>
      <c r="D38">
        <v>2.3099999427795401</v>
      </c>
      <c r="E38">
        <v>0</v>
      </c>
      <c r="F38">
        <v>0</v>
      </c>
      <c r="G38">
        <v>120</v>
      </c>
      <c r="H38">
        <v>1193</v>
      </c>
      <c r="I38">
        <v>2498</v>
      </c>
      <c r="J38" t="s">
        <v>149</v>
      </c>
      <c r="K38" t="s">
        <v>141</v>
      </c>
      <c r="L38">
        <v>120</v>
      </c>
      <c r="M38">
        <v>1313</v>
      </c>
      <c r="N38">
        <v>19.88</v>
      </c>
      <c r="O38" t="s">
        <v>142</v>
      </c>
      <c r="P38" t="s">
        <v>142</v>
      </c>
      <c r="Q38">
        <v>1</v>
      </c>
      <c r="R38">
        <v>119</v>
      </c>
      <c r="S38">
        <v>127</v>
      </c>
      <c r="T38">
        <v>1.98</v>
      </c>
      <c r="U38">
        <v>2.12</v>
      </c>
      <c r="V38">
        <v>8</v>
      </c>
      <c r="W38">
        <v>93.7</v>
      </c>
      <c r="X38" t="s">
        <v>173</v>
      </c>
    </row>
    <row r="39" spans="1:24" x14ac:dyDescent="0.3">
      <c r="A39">
        <v>1644430081</v>
      </c>
      <c r="B39" s="1">
        <v>42490</v>
      </c>
      <c r="C39">
        <v>18213</v>
      </c>
      <c r="D39">
        <v>13.2399997711182</v>
      </c>
      <c r="E39">
        <v>9</v>
      </c>
      <c r="F39">
        <v>71</v>
      </c>
      <c r="G39">
        <v>402</v>
      </c>
      <c r="H39">
        <v>816</v>
      </c>
      <c r="I39">
        <v>3846</v>
      </c>
      <c r="J39" t="s">
        <v>151</v>
      </c>
      <c r="K39" t="s">
        <v>141</v>
      </c>
      <c r="L39">
        <v>482</v>
      </c>
      <c r="M39">
        <v>1298</v>
      </c>
      <c r="N39">
        <v>13.6</v>
      </c>
      <c r="O39" t="s">
        <v>152</v>
      </c>
      <c r="P39" t="s">
        <v>143</v>
      </c>
      <c r="Q39">
        <v>1</v>
      </c>
      <c r="R39">
        <v>124</v>
      </c>
      <c r="S39">
        <v>142</v>
      </c>
      <c r="T39">
        <v>2.0699999999999998</v>
      </c>
      <c r="U39">
        <v>2.37</v>
      </c>
      <c r="V39">
        <v>18</v>
      </c>
      <c r="W39">
        <v>87.32</v>
      </c>
      <c r="X39" t="s">
        <v>173</v>
      </c>
    </row>
    <row r="40" spans="1:24" x14ac:dyDescent="0.3">
      <c r="A40">
        <v>1644430081</v>
      </c>
      <c r="B40" s="1">
        <v>42492</v>
      </c>
      <c r="C40">
        <v>3758</v>
      </c>
      <c r="D40">
        <v>2.7300000190734899</v>
      </c>
      <c r="E40">
        <v>1</v>
      </c>
      <c r="F40">
        <v>7</v>
      </c>
      <c r="G40">
        <v>148</v>
      </c>
      <c r="H40">
        <v>682</v>
      </c>
      <c r="I40">
        <v>2580</v>
      </c>
      <c r="J40" t="s">
        <v>155</v>
      </c>
      <c r="K40" t="s">
        <v>156</v>
      </c>
      <c r="L40">
        <v>156</v>
      </c>
      <c r="M40">
        <v>838</v>
      </c>
      <c r="N40">
        <v>11.37</v>
      </c>
      <c r="O40" t="s">
        <v>142</v>
      </c>
      <c r="P40" t="s">
        <v>143</v>
      </c>
      <c r="Q40">
        <v>1</v>
      </c>
      <c r="R40">
        <v>796</v>
      </c>
      <c r="S40">
        <v>961</v>
      </c>
      <c r="T40">
        <v>13.27</v>
      </c>
      <c r="U40">
        <v>16.02</v>
      </c>
      <c r="V40">
        <v>165</v>
      </c>
      <c r="W40">
        <v>82.83</v>
      </c>
      <c r="X40" t="s">
        <v>174</v>
      </c>
    </row>
    <row r="41" spans="1:24" x14ac:dyDescent="0.3">
      <c r="A41">
        <v>1644430081</v>
      </c>
      <c r="B41" s="1">
        <v>42498</v>
      </c>
      <c r="C41">
        <v>6724</v>
      </c>
      <c r="D41">
        <v>4.8899998664856001</v>
      </c>
      <c r="E41">
        <v>0</v>
      </c>
      <c r="F41">
        <v>0</v>
      </c>
      <c r="G41">
        <v>295</v>
      </c>
      <c r="H41">
        <v>991</v>
      </c>
      <c r="I41">
        <v>2987</v>
      </c>
      <c r="J41" t="s">
        <v>153</v>
      </c>
      <c r="K41" t="s">
        <v>156</v>
      </c>
      <c r="L41">
        <v>295</v>
      </c>
      <c r="M41">
        <v>1286</v>
      </c>
      <c r="N41">
        <v>16.52</v>
      </c>
      <c r="O41" t="s">
        <v>144</v>
      </c>
      <c r="P41" t="s">
        <v>142</v>
      </c>
      <c r="Q41">
        <v>1</v>
      </c>
      <c r="R41">
        <v>137</v>
      </c>
      <c r="S41">
        <v>154</v>
      </c>
      <c r="T41">
        <v>2.2799999999999998</v>
      </c>
      <c r="U41">
        <v>2.57</v>
      </c>
      <c r="V41">
        <v>17</v>
      </c>
      <c r="W41">
        <v>88.96</v>
      </c>
      <c r="X41" t="s">
        <v>173</v>
      </c>
    </row>
    <row r="42" spans="1:24" x14ac:dyDescent="0.3">
      <c r="A42">
        <v>1844505072</v>
      </c>
      <c r="B42" s="1">
        <v>42475</v>
      </c>
      <c r="C42">
        <v>3844</v>
      </c>
      <c r="D42">
        <v>2.53999996185303</v>
      </c>
      <c r="E42">
        <v>0</v>
      </c>
      <c r="F42">
        <v>0</v>
      </c>
      <c r="G42">
        <v>176</v>
      </c>
      <c r="H42">
        <v>527</v>
      </c>
      <c r="I42">
        <v>1725</v>
      </c>
      <c r="J42" t="s">
        <v>149</v>
      </c>
      <c r="K42" t="s">
        <v>141</v>
      </c>
      <c r="L42">
        <v>176</v>
      </c>
      <c r="M42">
        <v>703</v>
      </c>
      <c r="N42">
        <v>8.7799999999999994</v>
      </c>
      <c r="O42" t="s">
        <v>142</v>
      </c>
      <c r="P42" t="s">
        <v>142</v>
      </c>
      <c r="Q42">
        <v>1</v>
      </c>
      <c r="R42">
        <v>644</v>
      </c>
      <c r="S42">
        <v>961</v>
      </c>
      <c r="T42">
        <v>10.73</v>
      </c>
      <c r="U42">
        <v>16.02</v>
      </c>
      <c r="V42">
        <v>317</v>
      </c>
      <c r="W42">
        <v>67.010000000000005</v>
      </c>
      <c r="X42" t="s">
        <v>174</v>
      </c>
    </row>
    <row r="43" spans="1:24" x14ac:dyDescent="0.3">
      <c r="A43">
        <v>1844505072</v>
      </c>
      <c r="B43" s="1">
        <v>42490</v>
      </c>
      <c r="C43">
        <v>4014</v>
      </c>
      <c r="D43">
        <v>2.6700000762939502</v>
      </c>
      <c r="E43">
        <v>0</v>
      </c>
      <c r="F43">
        <v>0</v>
      </c>
      <c r="G43">
        <v>184</v>
      </c>
      <c r="H43">
        <v>218</v>
      </c>
      <c r="I43">
        <v>1763</v>
      </c>
      <c r="J43" t="s">
        <v>151</v>
      </c>
      <c r="K43" t="s">
        <v>141</v>
      </c>
      <c r="L43">
        <v>184</v>
      </c>
      <c r="M43">
        <v>402</v>
      </c>
      <c r="N43">
        <v>3.63</v>
      </c>
      <c r="O43" t="s">
        <v>142</v>
      </c>
      <c r="P43" t="s">
        <v>142</v>
      </c>
      <c r="Q43">
        <v>1</v>
      </c>
      <c r="R43">
        <v>722</v>
      </c>
      <c r="S43">
        <v>961</v>
      </c>
      <c r="T43">
        <v>12.03</v>
      </c>
      <c r="U43">
        <v>16.02</v>
      </c>
      <c r="V43">
        <v>239</v>
      </c>
      <c r="W43">
        <v>75.13</v>
      </c>
      <c r="X43" t="s">
        <v>174</v>
      </c>
    </row>
    <row r="44" spans="1:24" x14ac:dyDescent="0.3">
      <c r="A44">
        <v>1844505072</v>
      </c>
      <c r="B44" s="1">
        <v>42491</v>
      </c>
      <c r="C44">
        <v>2573</v>
      </c>
      <c r="D44">
        <v>1.70000004768372</v>
      </c>
      <c r="E44">
        <v>0</v>
      </c>
      <c r="F44">
        <v>7</v>
      </c>
      <c r="G44">
        <v>75</v>
      </c>
      <c r="H44">
        <v>585</v>
      </c>
      <c r="I44">
        <v>1541</v>
      </c>
      <c r="J44" t="s">
        <v>153</v>
      </c>
      <c r="K44" t="s">
        <v>156</v>
      </c>
      <c r="L44">
        <v>82</v>
      </c>
      <c r="M44">
        <v>667</v>
      </c>
      <c r="N44">
        <v>9.75</v>
      </c>
      <c r="O44" t="s">
        <v>142</v>
      </c>
      <c r="P44" t="s">
        <v>142</v>
      </c>
      <c r="Q44">
        <v>1</v>
      </c>
      <c r="R44">
        <v>590</v>
      </c>
      <c r="S44">
        <v>961</v>
      </c>
      <c r="T44">
        <v>9.83</v>
      </c>
      <c r="U44">
        <v>16.02</v>
      </c>
      <c r="V44">
        <v>371</v>
      </c>
      <c r="W44">
        <v>61.39</v>
      </c>
      <c r="X44" t="s">
        <v>174</v>
      </c>
    </row>
    <row r="45" spans="1:24" x14ac:dyDescent="0.3">
      <c r="A45">
        <v>1927972279</v>
      </c>
      <c r="B45" s="1">
        <v>42473</v>
      </c>
      <c r="C45">
        <v>356</v>
      </c>
      <c r="D45">
        <v>0.25</v>
      </c>
      <c r="E45">
        <v>0</v>
      </c>
      <c r="F45">
        <v>0</v>
      </c>
      <c r="G45">
        <v>32</v>
      </c>
      <c r="H45">
        <v>986</v>
      </c>
      <c r="I45">
        <v>2151</v>
      </c>
      <c r="J45" t="s">
        <v>146</v>
      </c>
      <c r="K45" t="s">
        <v>141</v>
      </c>
      <c r="L45">
        <v>32</v>
      </c>
      <c r="M45">
        <v>1018</v>
      </c>
      <c r="N45">
        <v>16.43</v>
      </c>
      <c r="O45" t="s">
        <v>142</v>
      </c>
      <c r="P45" t="s">
        <v>142</v>
      </c>
      <c r="Q45">
        <v>1</v>
      </c>
      <c r="R45">
        <v>398</v>
      </c>
      <c r="S45">
        <v>422</v>
      </c>
      <c r="T45">
        <v>6.63</v>
      </c>
      <c r="U45">
        <v>7.03</v>
      </c>
      <c r="V45">
        <v>24</v>
      </c>
      <c r="W45">
        <v>94.31</v>
      </c>
      <c r="X45" t="s">
        <v>176</v>
      </c>
    </row>
    <row r="46" spans="1:24" x14ac:dyDescent="0.3">
      <c r="A46">
        <v>1927972279</v>
      </c>
      <c r="B46" s="1">
        <v>42475</v>
      </c>
      <c r="C46">
        <v>980</v>
      </c>
      <c r="D46">
        <v>0.68000000715255704</v>
      </c>
      <c r="E46">
        <v>0</v>
      </c>
      <c r="F46">
        <v>0</v>
      </c>
      <c r="G46">
        <v>51</v>
      </c>
      <c r="H46">
        <v>941</v>
      </c>
      <c r="I46">
        <v>2221</v>
      </c>
      <c r="J46" t="s">
        <v>149</v>
      </c>
      <c r="K46" t="s">
        <v>141</v>
      </c>
      <c r="L46">
        <v>51</v>
      </c>
      <c r="M46">
        <v>992</v>
      </c>
      <c r="N46">
        <v>15.68</v>
      </c>
      <c r="O46" t="s">
        <v>142</v>
      </c>
      <c r="P46" t="s">
        <v>142</v>
      </c>
      <c r="Q46">
        <v>2</v>
      </c>
      <c r="R46">
        <v>475</v>
      </c>
      <c r="S46">
        <v>499</v>
      </c>
      <c r="T46">
        <v>7.92</v>
      </c>
      <c r="U46">
        <v>8.32</v>
      </c>
      <c r="V46">
        <v>24</v>
      </c>
      <c r="W46">
        <v>95.19</v>
      </c>
      <c r="X46" t="s">
        <v>175</v>
      </c>
    </row>
    <row r="47" spans="1:24" x14ac:dyDescent="0.3">
      <c r="A47">
        <v>1927972279</v>
      </c>
      <c r="B47" s="1">
        <v>42486</v>
      </c>
      <c r="C47">
        <v>3761</v>
      </c>
      <c r="D47">
        <v>2.5999999046325701</v>
      </c>
      <c r="E47">
        <v>0</v>
      </c>
      <c r="F47">
        <v>0</v>
      </c>
      <c r="G47">
        <v>192</v>
      </c>
      <c r="H47">
        <v>1058</v>
      </c>
      <c r="I47">
        <v>2638</v>
      </c>
      <c r="J47" t="s">
        <v>140</v>
      </c>
      <c r="K47" t="s">
        <v>141</v>
      </c>
      <c r="L47">
        <v>192</v>
      </c>
      <c r="M47">
        <v>1250</v>
      </c>
      <c r="N47">
        <v>17.63</v>
      </c>
      <c r="O47" t="s">
        <v>142</v>
      </c>
      <c r="P47" t="s">
        <v>142</v>
      </c>
      <c r="Q47">
        <v>1</v>
      </c>
      <c r="R47">
        <v>296</v>
      </c>
      <c r="S47">
        <v>315</v>
      </c>
      <c r="T47">
        <v>4.93</v>
      </c>
      <c r="U47">
        <v>5.25</v>
      </c>
      <c r="V47">
        <v>19</v>
      </c>
      <c r="W47">
        <v>93.97</v>
      </c>
      <c r="X47" t="s">
        <v>173</v>
      </c>
    </row>
    <row r="48" spans="1:24" x14ac:dyDescent="0.3">
      <c r="A48">
        <v>1927972279</v>
      </c>
      <c r="B48" s="1">
        <v>42488</v>
      </c>
      <c r="C48">
        <v>1675</v>
      </c>
      <c r="D48">
        <v>1.1599999666214</v>
      </c>
      <c r="E48">
        <v>0</v>
      </c>
      <c r="F48">
        <v>0</v>
      </c>
      <c r="G48">
        <v>95</v>
      </c>
      <c r="H48">
        <v>1167</v>
      </c>
      <c r="I48">
        <v>2351</v>
      </c>
      <c r="J48" t="s">
        <v>154</v>
      </c>
      <c r="K48" t="s">
        <v>141</v>
      </c>
      <c r="L48">
        <v>95</v>
      </c>
      <c r="M48">
        <v>1262</v>
      </c>
      <c r="N48">
        <v>19.45</v>
      </c>
      <c r="O48" t="s">
        <v>142</v>
      </c>
      <c r="P48" t="s">
        <v>142</v>
      </c>
      <c r="Q48">
        <v>1</v>
      </c>
      <c r="R48">
        <v>166</v>
      </c>
      <c r="S48">
        <v>178</v>
      </c>
      <c r="T48">
        <v>2.77</v>
      </c>
      <c r="U48">
        <v>2.97</v>
      </c>
      <c r="V48">
        <v>12</v>
      </c>
      <c r="W48">
        <v>93.26</v>
      </c>
      <c r="X48" t="s">
        <v>173</v>
      </c>
    </row>
    <row r="49" spans="1:24" x14ac:dyDescent="0.3">
      <c r="A49">
        <v>2026352035</v>
      </c>
      <c r="B49" s="1">
        <v>42473</v>
      </c>
      <c r="C49">
        <v>4993</v>
      </c>
      <c r="D49">
        <v>3.0999999046325701</v>
      </c>
      <c r="E49">
        <v>0</v>
      </c>
      <c r="F49">
        <v>0</v>
      </c>
      <c r="G49">
        <v>238</v>
      </c>
      <c r="H49">
        <v>663</v>
      </c>
      <c r="I49">
        <v>1521</v>
      </c>
      <c r="J49" t="s">
        <v>146</v>
      </c>
      <c r="K49" t="s">
        <v>141</v>
      </c>
      <c r="L49">
        <v>238</v>
      </c>
      <c r="M49">
        <v>901</v>
      </c>
      <c r="N49">
        <v>11.05</v>
      </c>
      <c r="O49" t="s">
        <v>142</v>
      </c>
      <c r="P49" t="s">
        <v>142</v>
      </c>
      <c r="Q49">
        <v>1</v>
      </c>
      <c r="R49">
        <v>531</v>
      </c>
      <c r="S49">
        <v>565</v>
      </c>
      <c r="T49">
        <v>8.85</v>
      </c>
      <c r="U49">
        <v>9.42</v>
      </c>
      <c r="V49">
        <v>34</v>
      </c>
      <c r="W49">
        <v>93.98</v>
      </c>
      <c r="X49" t="s">
        <v>175</v>
      </c>
    </row>
    <row r="50" spans="1:24" x14ac:dyDescent="0.3">
      <c r="A50">
        <v>2026352035</v>
      </c>
      <c r="B50" s="1">
        <v>42474</v>
      </c>
      <c r="C50">
        <v>3335</v>
      </c>
      <c r="D50">
        <v>2.0699999332428001</v>
      </c>
      <c r="E50">
        <v>0</v>
      </c>
      <c r="F50">
        <v>0</v>
      </c>
      <c r="G50">
        <v>197</v>
      </c>
      <c r="H50">
        <v>653</v>
      </c>
      <c r="I50">
        <v>1431</v>
      </c>
      <c r="J50" t="s">
        <v>154</v>
      </c>
      <c r="K50" t="s">
        <v>141</v>
      </c>
      <c r="L50">
        <v>197</v>
      </c>
      <c r="M50">
        <v>850</v>
      </c>
      <c r="N50">
        <v>10.88</v>
      </c>
      <c r="O50" t="s">
        <v>142</v>
      </c>
      <c r="P50" t="s">
        <v>142</v>
      </c>
      <c r="Q50">
        <v>1</v>
      </c>
      <c r="R50">
        <v>545</v>
      </c>
      <c r="S50">
        <v>568</v>
      </c>
      <c r="T50">
        <v>9.08</v>
      </c>
      <c r="U50">
        <v>9.4700000000000006</v>
      </c>
      <c r="V50">
        <v>23</v>
      </c>
      <c r="W50">
        <v>95.95</v>
      </c>
      <c r="X50" t="s">
        <v>174</v>
      </c>
    </row>
    <row r="51" spans="1:24" x14ac:dyDescent="0.3">
      <c r="A51">
        <v>2026352035</v>
      </c>
      <c r="B51" s="1">
        <v>42475</v>
      </c>
      <c r="C51">
        <v>3821</v>
      </c>
      <c r="D51">
        <v>2.3699998855590798</v>
      </c>
      <c r="E51">
        <v>0</v>
      </c>
      <c r="F51">
        <v>0</v>
      </c>
      <c r="G51">
        <v>188</v>
      </c>
      <c r="H51">
        <v>687</v>
      </c>
      <c r="I51">
        <v>1444</v>
      </c>
      <c r="J51" t="s">
        <v>149</v>
      </c>
      <c r="K51" t="s">
        <v>141</v>
      </c>
      <c r="L51">
        <v>188</v>
      </c>
      <c r="M51">
        <v>875</v>
      </c>
      <c r="N51">
        <v>11.45</v>
      </c>
      <c r="O51" t="s">
        <v>142</v>
      </c>
      <c r="P51" t="s">
        <v>142</v>
      </c>
      <c r="Q51">
        <v>1</v>
      </c>
      <c r="R51">
        <v>523</v>
      </c>
      <c r="S51">
        <v>573</v>
      </c>
      <c r="T51">
        <v>8.7200000000000006</v>
      </c>
      <c r="U51">
        <v>9.5500000000000007</v>
      </c>
      <c r="V51">
        <v>50</v>
      </c>
      <c r="W51">
        <v>91.27</v>
      </c>
      <c r="X51" t="s">
        <v>175</v>
      </c>
    </row>
    <row r="52" spans="1:24" x14ac:dyDescent="0.3">
      <c r="A52">
        <v>2026352035</v>
      </c>
      <c r="B52" s="1">
        <v>42476</v>
      </c>
      <c r="C52">
        <v>2547</v>
      </c>
      <c r="D52">
        <v>1.58000004291534</v>
      </c>
      <c r="E52">
        <v>0</v>
      </c>
      <c r="F52">
        <v>0</v>
      </c>
      <c r="G52">
        <v>150</v>
      </c>
      <c r="H52">
        <v>728</v>
      </c>
      <c r="I52">
        <v>1373</v>
      </c>
      <c r="J52" t="s">
        <v>151</v>
      </c>
      <c r="K52" t="s">
        <v>141</v>
      </c>
      <c r="L52">
        <v>150</v>
      </c>
      <c r="M52">
        <v>878</v>
      </c>
      <c r="N52">
        <v>12.13</v>
      </c>
      <c r="O52" t="s">
        <v>142</v>
      </c>
      <c r="P52" t="s">
        <v>142</v>
      </c>
      <c r="Q52">
        <v>1</v>
      </c>
      <c r="R52">
        <v>524</v>
      </c>
      <c r="S52">
        <v>567</v>
      </c>
      <c r="T52">
        <v>8.73</v>
      </c>
      <c r="U52">
        <v>9.4499999999999993</v>
      </c>
      <c r="V52">
        <v>43</v>
      </c>
      <c r="W52">
        <v>92.42</v>
      </c>
      <c r="X52" t="s">
        <v>175</v>
      </c>
    </row>
    <row r="53" spans="1:24" x14ac:dyDescent="0.3">
      <c r="A53">
        <v>2026352035</v>
      </c>
      <c r="B53" s="1">
        <v>42477</v>
      </c>
      <c r="C53">
        <v>838</v>
      </c>
      <c r="D53">
        <v>0.519999980926514</v>
      </c>
      <c r="E53">
        <v>0</v>
      </c>
      <c r="F53">
        <v>0</v>
      </c>
      <c r="G53">
        <v>60</v>
      </c>
      <c r="H53">
        <v>1053</v>
      </c>
      <c r="I53">
        <v>1214</v>
      </c>
      <c r="J53" t="s">
        <v>153</v>
      </c>
      <c r="K53" t="s">
        <v>141</v>
      </c>
      <c r="L53">
        <v>60</v>
      </c>
      <c r="M53">
        <v>1113</v>
      </c>
      <c r="N53">
        <v>17.55</v>
      </c>
      <c r="O53" t="s">
        <v>142</v>
      </c>
      <c r="P53" t="s">
        <v>142</v>
      </c>
      <c r="Q53">
        <v>1</v>
      </c>
      <c r="R53">
        <v>437</v>
      </c>
      <c r="S53">
        <v>498</v>
      </c>
      <c r="T53">
        <v>7.28</v>
      </c>
      <c r="U53">
        <v>8.3000000000000007</v>
      </c>
      <c r="V53">
        <v>61</v>
      </c>
      <c r="W53">
        <v>87.75</v>
      </c>
      <c r="X53" t="s">
        <v>175</v>
      </c>
    </row>
    <row r="54" spans="1:24" x14ac:dyDescent="0.3">
      <c r="A54">
        <v>2026352035</v>
      </c>
      <c r="B54" s="1">
        <v>42479</v>
      </c>
      <c r="C54">
        <v>2424</v>
      </c>
      <c r="D54">
        <v>1.5</v>
      </c>
      <c r="E54">
        <v>0</v>
      </c>
      <c r="F54">
        <v>0</v>
      </c>
      <c r="G54">
        <v>141</v>
      </c>
      <c r="H54">
        <v>785</v>
      </c>
      <c r="I54">
        <v>1356</v>
      </c>
      <c r="J54" t="s">
        <v>140</v>
      </c>
      <c r="K54" t="s">
        <v>141</v>
      </c>
      <c r="L54">
        <v>141</v>
      </c>
      <c r="M54">
        <v>926</v>
      </c>
      <c r="N54">
        <v>13.08</v>
      </c>
      <c r="O54" t="s">
        <v>142</v>
      </c>
      <c r="P54" t="s">
        <v>142</v>
      </c>
      <c r="Q54">
        <v>1</v>
      </c>
      <c r="R54">
        <v>498</v>
      </c>
      <c r="S54">
        <v>540</v>
      </c>
      <c r="T54">
        <v>8.3000000000000007</v>
      </c>
      <c r="U54">
        <v>9</v>
      </c>
      <c r="V54">
        <v>42</v>
      </c>
      <c r="W54">
        <v>92.22</v>
      </c>
      <c r="X54" t="s">
        <v>175</v>
      </c>
    </row>
    <row r="55" spans="1:24" x14ac:dyDescent="0.3">
      <c r="A55">
        <v>2026352035</v>
      </c>
      <c r="B55" s="1">
        <v>42480</v>
      </c>
      <c r="C55">
        <v>7222</v>
      </c>
      <c r="D55">
        <v>4.4800000190734899</v>
      </c>
      <c r="E55">
        <v>0</v>
      </c>
      <c r="F55">
        <v>0</v>
      </c>
      <c r="G55">
        <v>327</v>
      </c>
      <c r="H55">
        <v>623</v>
      </c>
      <c r="I55">
        <v>1667</v>
      </c>
      <c r="J55" t="s">
        <v>146</v>
      </c>
      <c r="K55" t="s">
        <v>141</v>
      </c>
      <c r="L55">
        <v>327</v>
      </c>
      <c r="M55">
        <v>950</v>
      </c>
      <c r="N55">
        <v>10.38</v>
      </c>
      <c r="O55" t="s">
        <v>144</v>
      </c>
      <c r="P55" t="s">
        <v>142</v>
      </c>
      <c r="Q55">
        <v>1</v>
      </c>
      <c r="R55">
        <v>461</v>
      </c>
      <c r="S55">
        <v>510</v>
      </c>
      <c r="T55">
        <v>7.68</v>
      </c>
      <c r="U55">
        <v>8.5</v>
      </c>
      <c r="V55">
        <v>49</v>
      </c>
      <c r="W55">
        <v>90.39</v>
      </c>
      <c r="X55" t="s">
        <v>175</v>
      </c>
    </row>
    <row r="56" spans="1:24" x14ac:dyDescent="0.3">
      <c r="A56">
        <v>2026352035</v>
      </c>
      <c r="B56" s="1">
        <v>42481</v>
      </c>
      <c r="C56">
        <v>2467</v>
      </c>
      <c r="D56">
        <v>1.5299999713897701</v>
      </c>
      <c r="E56">
        <v>0</v>
      </c>
      <c r="F56">
        <v>0</v>
      </c>
      <c r="G56">
        <v>153</v>
      </c>
      <c r="H56">
        <v>749</v>
      </c>
      <c r="I56">
        <v>1370</v>
      </c>
      <c r="J56" t="s">
        <v>154</v>
      </c>
      <c r="K56" t="s">
        <v>141</v>
      </c>
      <c r="L56">
        <v>153</v>
      </c>
      <c r="M56">
        <v>902</v>
      </c>
      <c r="N56">
        <v>12.48</v>
      </c>
      <c r="O56" t="s">
        <v>142</v>
      </c>
      <c r="P56" t="s">
        <v>142</v>
      </c>
      <c r="Q56">
        <v>1</v>
      </c>
      <c r="R56">
        <v>477</v>
      </c>
      <c r="S56">
        <v>514</v>
      </c>
      <c r="T56">
        <v>7.95</v>
      </c>
      <c r="U56">
        <v>8.57</v>
      </c>
      <c r="V56">
        <v>37</v>
      </c>
      <c r="W56">
        <v>92.8</v>
      </c>
      <c r="X56" t="s">
        <v>175</v>
      </c>
    </row>
    <row r="57" spans="1:24" x14ac:dyDescent="0.3">
      <c r="A57">
        <v>2026352035</v>
      </c>
      <c r="B57" s="1">
        <v>42482</v>
      </c>
      <c r="C57">
        <v>2915</v>
      </c>
      <c r="D57">
        <v>1.8099999427795399</v>
      </c>
      <c r="E57">
        <v>0</v>
      </c>
      <c r="F57">
        <v>0</v>
      </c>
      <c r="G57">
        <v>162</v>
      </c>
      <c r="H57">
        <v>712</v>
      </c>
      <c r="I57">
        <v>1399</v>
      </c>
      <c r="J57" t="s">
        <v>149</v>
      </c>
      <c r="K57" t="s">
        <v>141</v>
      </c>
      <c r="L57">
        <v>162</v>
      </c>
      <c r="M57">
        <v>874</v>
      </c>
      <c r="N57">
        <v>11.87</v>
      </c>
      <c r="O57" t="s">
        <v>142</v>
      </c>
      <c r="P57" t="s">
        <v>142</v>
      </c>
      <c r="Q57">
        <v>1</v>
      </c>
      <c r="R57">
        <v>520</v>
      </c>
      <c r="S57">
        <v>545</v>
      </c>
      <c r="T57">
        <v>8.67</v>
      </c>
      <c r="U57">
        <v>9.08</v>
      </c>
      <c r="V57">
        <v>25</v>
      </c>
      <c r="W57">
        <v>95.41</v>
      </c>
      <c r="X57" t="s">
        <v>175</v>
      </c>
    </row>
    <row r="58" spans="1:24" x14ac:dyDescent="0.3">
      <c r="A58">
        <v>2026352035</v>
      </c>
      <c r="B58" s="1">
        <v>42483</v>
      </c>
      <c r="C58">
        <v>12357</v>
      </c>
      <c r="D58">
        <v>7.71000003814697</v>
      </c>
      <c r="E58">
        <v>0</v>
      </c>
      <c r="F58">
        <v>0</v>
      </c>
      <c r="G58">
        <v>432</v>
      </c>
      <c r="H58">
        <v>458</v>
      </c>
      <c r="I58">
        <v>1916</v>
      </c>
      <c r="J58" t="s">
        <v>151</v>
      </c>
      <c r="K58" t="s">
        <v>141</v>
      </c>
      <c r="L58">
        <v>432</v>
      </c>
      <c r="M58">
        <v>890</v>
      </c>
      <c r="N58">
        <v>7.63</v>
      </c>
      <c r="O58" t="s">
        <v>147</v>
      </c>
      <c r="P58" t="s">
        <v>142</v>
      </c>
      <c r="Q58">
        <v>1</v>
      </c>
      <c r="R58">
        <v>522</v>
      </c>
      <c r="S58">
        <v>554</v>
      </c>
      <c r="T58">
        <v>8.6999999999999993</v>
      </c>
      <c r="U58">
        <v>9.23</v>
      </c>
      <c r="V58">
        <v>32</v>
      </c>
      <c r="W58">
        <v>94.22</v>
      </c>
      <c r="X58" t="s">
        <v>175</v>
      </c>
    </row>
    <row r="59" spans="1:24" x14ac:dyDescent="0.3">
      <c r="A59">
        <v>2026352035</v>
      </c>
      <c r="B59" s="1">
        <v>42484</v>
      </c>
      <c r="C59">
        <v>3490</v>
      </c>
      <c r="D59">
        <v>2.1600000858306898</v>
      </c>
      <c r="E59">
        <v>0</v>
      </c>
      <c r="F59">
        <v>0</v>
      </c>
      <c r="G59">
        <v>164</v>
      </c>
      <c r="H59">
        <v>704</v>
      </c>
      <c r="I59">
        <v>1401</v>
      </c>
      <c r="J59" t="s">
        <v>153</v>
      </c>
      <c r="K59" t="s">
        <v>141</v>
      </c>
      <c r="L59">
        <v>164</v>
      </c>
      <c r="M59">
        <v>868</v>
      </c>
      <c r="N59">
        <v>11.73</v>
      </c>
      <c r="O59" t="s">
        <v>142</v>
      </c>
      <c r="P59" t="s">
        <v>142</v>
      </c>
      <c r="Q59">
        <v>1</v>
      </c>
      <c r="R59">
        <v>555</v>
      </c>
      <c r="S59">
        <v>591</v>
      </c>
      <c r="T59">
        <v>9.25</v>
      </c>
      <c r="U59">
        <v>9.85</v>
      </c>
      <c r="V59">
        <v>36</v>
      </c>
      <c r="W59">
        <v>93.91</v>
      </c>
      <c r="X59" t="s">
        <v>174</v>
      </c>
    </row>
    <row r="60" spans="1:24" x14ac:dyDescent="0.3">
      <c r="A60">
        <v>2026352035</v>
      </c>
      <c r="B60" s="1">
        <v>42485</v>
      </c>
      <c r="C60">
        <v>6017</v>
      </c>
      <c r="D60">
        <v>3.7300000190734899</v>
      </c>
      <c r="E60">
        <v>0</v>
      </c>
      <c r="F60">
        <v>0</v>
      </c>
      <c r="G60">
        <v>260</v>
      </c>
      <c r="H60">
        <v>821</v>
      </c>
      <c r="I60">
        <v>1576</v>
      </c>
      <c r="J60" t="s">
        <v>155</v>
      </c>
      <c r="K60" t="s">
        <v>141</v>
      </c>
      <c r="L60">
        <v>260</v>
      </c>
      <c r="M60">
        <v>1081</v>
      </c>
      <c r="N60">
        <v>13.68</v>
      </c>
      <c r="O60" t="s">
        <v>144</v>
      </c>
      <c r="P60" t="s">
        <v>142</v>
      </c>
      <c r="Q60">
        <v>1</v>
      </c>
      <c r="R60">
        <v>506</v>
      </c>
      <c r="S60">
        <v>531</v>
      </c>
      <c r="T60">
        <v>8.43</v>
      </c>
      <c r="U60">
        <v>8.85</v>
      </c>
      <c r="V60">
        <v>25</v>
      </c>
      <c r="W60">
        <v>95.29</v>
      </c>
      <c r="X60" t="s">
        <v>175</v>
      </c>
    </row>
    <row r="61" spans="1:24" x14ac:dyDescent="0.3">
      <c r="A61">
        <v>2026352035</v>
      </c>
      <c r="B61" s="1">
        <v>42487</v>
      </c>
      <c r="C61">
        <v>6088</v>
      </c>
      <c r="D61">
        <v>3.7699999809265101</v>
      </c>
      <c r="E61">
        <v>0</v>
      </c>
      <c r="F61">
        <v>0</v>
      </c>
      <c r="G61">
        <v>286</v>
      </c>
      <c r="H61">
        <v>586</v>
      </c>
      <c r="I61">
        <v>1593</v>
      </c>
      <c r="J61" t="s">
        <v>146</v>
      </c>
      <c r="K61" t="s">
        <v>141</v>
      </c>
      <c r="L61">
        <v>286</v>
      </c>
      <c r="M61">
        <v>872</v>
      </c>
      <c r="N61">
        <v>9.77</v>
      </c>
      <c r="O61" t="s">
        <v>144</v>
      </c>
      <c r="P61" t="s">
        <v>142</v>
      </c>
      <c r="Q61">
        <v>1</v>
      </c>
      <c r="R61">
        <v>508</v>
      </c>
      <c r="S61">
        <v>545</v>
      </c>
      <c r="T61">
        <v>8.4700000000000006</v>
      </c>
      <c r="U61">
        <v>9.08</v>
      </c>
      <c r="V61">
        <v>37</v>
      </c>
      <c r="W61">
        <v>93.21</v>
      </c>
      <c r="X61" t="s">
        <v>175</v>
      </c>
    </row>
    <row r="62" spans="1:24" x14ac:dyDescent="0.3">
      <c r="A62">
        <v>2026352035</v>
      </c>
      <c r="B62" s="1">
        <v>42488</v>
      </c>
      <c r="C62">
        <v>6375</v>
      </c>
      <c r="D62">
        <v>3.9500000476837198</v>
      </c>
      <c r="E62">
        <v>0</v>
      </c>
      <c r="F62">
        <v>0</v>
      </c>
      <c r="G62">
        <v>331</v>
      </c>
      <c r="H62">
        <v>626</v>
      </c>
      <c r="I62">
        <v>1649</v>
      </c>
      <c r="J62" t="s">
        <v>154</v>
      </c>
      <c r="K62" t="s">
        <v>141</v>
      </c>
      <c r="L62">
        <v>331</v>
      </c>
      <c r="M62">
        <v>957</v>
      </c>
      <c r="N62">
        <v>10.43</v>
      </c>
      <c r="O62" t="s">
        <v>144</v>
      </c>
      <c r="P62" t="s">
        <v>142</v>
      </c>
      <c r="Q62">
        <v>1</v>
      </c>
      <c r="R62">
        <v>513</v>
      </c>
      <c r="S62">
        <v>545</v>
      </c>
      <c r="T62">
        <v>8.5500000000000007</v>
      </c>
      <c r="U62">
        <v>9.08</v>
      </c>
      <c r="V62">
        <v>32</v>
      </c>
      <c r="W62">
        <v>94.13</v>
      </c>
      <c r="X62" t="s">
        <v>175</v>
      </c>
    </row>
    <row r="63" spans="1:24" x14ac:dyDescent="0.3">
      <c r="A63">
        <v>2026352035</v>
      </c>
      <c r="B63" s="1">
        <v>42489</v>
      </c>
      <c r="C63">
        <v>7604</v>
      </c>
      <c r="D63">
        <v>4.71000003814697</v>
      </c>
      <c r="E63">
        <v>0</v>
      </c>
      <c r="F63">
        <v>0</v>
      </c>
      <c r="G63">
        <v>352</v>
      </c>
      <c r="H63">
        <v>492</v>
      </c>
      <c r="I63">
        <v>1692</v>
      </c>
      <c r="J63" t="s">
        <v>149</v>
      </c>
      <c r="K63" t="s">
        <v>141</v>
      </c>
      <c r="L63">
        <v>352</v>
      </c>
      <c r="M63">
        <v>844</v>
      </c>
      <c r="N63">
        <v>8.1999999999999993</v>
      </c>
      <c r="O63" t="s">
        <v>150</v>
      </c>
      <c r="P63" t="s">
        <v>142</v>
      </c>
      <c r="Q63">
        <v>1</v>
      </c>
      <c r="R63">
        <v>490</v>
      </c>
      <c r="S63">
        <v>510</v>
      </c>
      <c r="T63">
        <v>8.17</v>
      </c>
      <c r="U63">
        <v>8.5</v>
      </c>
      <c r="V63">
        <v>20</v>
      </c>
      <c r="W63">
        <v>96.08</v>
      </c>
      <c r="X63" t="s">
        <v>175</v>
      </c>
    </row>
    <row r="64" spans="1:24" x14ac:dyDescent="0.3">
      <c r="A64">
        <v>2026352035</v>
      </c>
      <c r="B64" s="1">
        <v>42490</v>
      </c>
      <c r="C64">
        <v>4729</v>
      </c>
      <c r="D64">
        <v>2.9300000667571999</v>
      </c>
      <c r="E64">
        <v>0</v>
      </c>
      <c r="F64">
        <v>0</v>
      </c>
      <c r="G64">
        <v>233</v>
      </c>
      <c r="H64">
        <v>594</v>
      </c>
      <c r="I64">
        <v>1506</v>
      </c>
      <c r="J64" t="s">
        <v>151</v>
      </c>
      <c r="K64" t="s">
        <v>141</v>
      </c>
      <c r="L64">
        <v>233</v>
      </c>
      <c r="M64">
        <v>827</v>
      </c>
      <c r="N64">
        <v>9.9</v>
      </c>
      <c r="O64" t="s">
        <v>142</v>
      </c>
      <c r="P64" t="s">
        <v>142</v>
      </c>
      <c r="Q64">
        <v>1</v>
      </c>
      <c r="R64">
        <v>573</v>
      </c>
      <c r="S64">
        <v>607</v>
      </c>
      <c r="T64">
        <v>9.5500000000000007</v>
      </c>
      <c r="U64">
        <v>10.119999999999999</v>
      </c>
      <c r="V64">
        <v>34</v>
      </c>
      <c r="W64">
        <v>94.4</v>
      </c>
      <c r="X64" t="s">
        <v>174</v>
      </c>
    </row>
    <row r="65" spans="1:24" x14ac:dyDescent="0.3">
      <c r="A65">
        <v>2026352035</v>
      </c>
      <c r="B65" s="1">
        <v>42491</v>
      </c>
      <c r="C65">
        <v>3609</v>
      </c>
      <c r="D65">
        <v>2.2799999713897701</v>
      </c>
      <c r="E65">
        <v>0</v>
      </c>
      <c r="F65">
        <v>0</v>
      </c>
      <c r="G65">
        <v>191</v>
      </c>
      <c r="H65">
        <v>716</v>
      </c>
      <c r="I65">
        <v>1447</v>
      </c>
      <c r="J65" t="s">
        <v>153</v>
      </c>
      <c r="K65" t="s">
        <v>156</v>
      </c>
      <c r="L65">
        <v>191</v>
      </c>
      <c r="M65">
        <v>907</v>
      </c>
      <c r="N65">
        <v>11.93</v>
      </c>
      <c r="O65" t="s">
        <v>142</v>
      </c>
      <c r="P65" t="s">
        <v>142</v>
      </c>
      <c r="Q65">
        <v>1</v>
      </c>
      <c r="R65">
        <v>527</v>
      </c>
      <c r="S65">
        <v>546</v>
      </c>
      <c r="T65">
        <v>8.7799999999999994</v>
      </c>
      <c r="U65">
        <v>9.1</v>
      </c>
      <c r="V65">
        <v>19</v>
      </c>
      <c r="W65">
        <v>96.52</v>
      </c>
      <c r="X65" t="s">
        <v>175</v>
      </c>
    </row>
    <row r="66" spans="1:24" x14ac:dyDescent="0.3">
      <c r="A66">
        <v>2026352035</v>
      </c>
      <c r="B66" s="1">
        <v>42492</v>
      </c>
      <c r="C66">
        <v>7018</v>
      </c>
      <c r="D66">
        <v>4.3499999046325701</v>
      </c>
      <c r="E66">
        <v>0</v>
      </c>
      <c r="F66">
        <v>0</v>
      </c>
      <c r="G66">
        <v>355</v>
      </c>
      <c r="H66">
        <v>716</v>
      </c>
      <c r="I66">
        <v>1690</v>
      </c>
      <c r="J66" t="s">
        <v>155</v>
      </c>
      <c r="K66" t="s">
        <v>156</v>
      </c>
      <c r="L66">
        <v>355</v>
      </c>
      <c r="M66">
        <v>1071</v>
      </c>
      <c r="N66">
        <v>11.93</v>
      </c>
      <c r="O66" t="s">
        <v>144</v>
      </c>
      <c r="P66" t="s">
        <v>142</v>
      </c>
      <c r="Q66">
        <v>1</v>
      </c>
      <c r="R66">
        <v>511</v>
      </c>
      <c r="S66">
        <v>543</v>
      </c>
      <c r="T66">
        <v>8.52</v>
      </c>
      <c r="U66">
        <v>9.0500000000000007</v>
      </c>
      <c r="V66">
        <v>32</v>
      </c>
      <c r="W66">
        <v>94.11</v>
      </c>
      <c r="X66" t="s">
        <v>175</v>
      </c>
    </row>
    <row r="67" spans="1:24" x14ac:dyDescent="0.3">
      <c r="A67">
        <v>2026352035</v>
      </c>
      <c r="B67" s="1">
        <v>42494</v>
      </c>
      <c r="C67">
        <v>6564</v>
      </c>
      <c r="D67">
        <v>4.0700001716613796</v>
      </c>
      <c r="E67">
        <v>0</v>
      </c>
      <c r="F67">
        <v>0</v>
      </c>
      <c r="G67">
        <v>345</v>
      </c>
      <c r="H67">
        <v>530</v>
      </c>
      <c r="I67">
        <v>1658</v>
      </c>
      <c r="J67" t="s">
        <v>146</v>
      </c>
      <c r="K67" t="s">
        <v>156</v>
      </c>
      <c r="L67">
        <v>345</v>
      </c>
      <c r="M67">
        <v>875</v>
      </c>
      <c r="N67">
        <v>8.83</v>
      </c>
      <c r="O67" t="s">
        <v>144</v>
      </c>
      <c r="P67" t="s">
        <v>142</v>
      </c>
      <c r="Q67">
        <v>1</v>
      </c>
      <c r="R67">
        <v>538</v>
      </c>
      <c r="S67">
        <v>560</v>
      </c>
      <c r="T67">
        <v>8.9700000000000006</v>
      </c>
      <c r="U67">
        <v>9.33</v>
      </c>
      <c r="V67">
        <v>22</v>
      </c>
      <c r="W67">
        <v>96.07</v>
      </c>
      <c r="X67" t="s">
        <v>175</v>
      </c>
    </row>
    <row r="68" spans="1:24" x14ac:dyDescent="0.3">
      <c r="A68">
        <v>2026352035</v>
      </c>
      <c r="B68" s="1">
        <v>42495</v>
      </c>
      <c r="C68">
        <v>12167</v>
      </c>
      <c r="D68">
        <v>7.53999996185303</v>
      </c>
      <c r="E68">
        <v>0</v>
      </c>
      <c r="F68">
        <v>0</v>
      </c>
      <c r="G68">
        <v>475</v>
      </c>
      <c r="H68">
        <v>479</v>
      </c>
      <c r="I68">
        <v>1926</v>
      </c>
      <c r="J68" t="s">
        <v>154</v>
      </c>
      <c r="K68" t="s">
        <v>156</v>
      </c>
      <c r="L68">
        <v>475</v>
      </c>
      <c r="M68">
        <v>954</v>
      </c>
      <c r="N68">
        <v>7.98</v>
      </c>
      <c r="O68" t="s">
        <v>147</v>
      </c>
      <c r="P68" t="s">
        <v>142</v>
      </c>
      <c r="Q68">
        <v>1</v>
      </c>
      <c r="R68">
        <v>468</v>
      </c>
      <c r="S68">
        <v>485</v>
      </c>
      <c r="T68">
        <v>7.8</v>
      </c>
      <c r="U68">
        <v>8.08</v>
      </c>
      <c r="V68">
        <v>17</v>
      </c>
      <c r="W68">
        <v>96.49</v>
      </c>
      <c r="X68" t="s">
        <v>175</v>
      </c>
    </row>
    <row r="69" spans="1:24" x14ac:dyDescent="0.3">
      <c r="A69">
        <v>2026352035</v>
      </c>
      <c r="B69" s="1">
        <v>42496</v>
      </c>
      <c r="C69">
        <v>8198</v>
      </c>
      <c r="D69">
        <v>5.0799999237060502</v>
      </c>
      <c r="E69">
        <v>0</v>
      </c>
      <c r="F69">
        <v>0</v>
      </c>
      <c r="G69">
        <v>383</v>
      </c>
      <c r="H69">
        <v>511</v>
      </c>
      <c r="I69">
        <v>1736</v>
      </c>
      <c r="J69" t="s">
        <v>149</v>
      </c>
      <c r="K69" t="s">
        <v>156</v>
      </c>
      <c r="L69">
        <v>383</v>
      </c>
      <c r="M69">
        <v>894</v>
      </c>
      <c r="N69">
        <v>8.52</v>
      </c>
      <c r="O69" t="s">
        <v>150</v>
      </c>
      <c r="P69" t="s">
        <v>142</v>
      </c>
      <c r="Q69">
        <v>1</v>
      </c>
      <c r="R69">
        <v>524</v>
      </c>
      <c r="S69">
        <v>548</v>
      </c>
      <c r="T69">
        <v>8.73</v>
      </c>
      <c r="U69">
        <v>9.1300000000000008</v>
      </c>
      <c r="V69">
        <v>24</v>
      </c>
      <c r="W69">
        <v>95.62</v>
      </c>
      <c r="X69" t="s">
        <v>175</v>
      </c>
    </row>
    <row r="70" spans="1:24" x14ac:dyDescent="0.3">
      <c r="A70">
        <v>2026352035</v>
      </c>
      <c r="B70" s="1">
        <v>42497</v>
      </c>
      <c r="C70">
        <v>4193</v>
      </c>
      <c r="D70">
        <v>2.5999999046325701</v>
      </c>
      <c r="E70">
        <v>0</v>
      </c>
      <c r="F70">
        <v>0</v>
      </c>
      <c r="G70">
        <v>229</v>
      </c>
      <c r="H70">
        <v>665</v>
      </c>
      <c r="I70">
        <v>1491</v>
      </c>
      <c r="J70" t="s">
        <v>151</v>
      </c>
      <c r="K70" t="s">
        <v>156</v>
      </c>
      <c r="L70">
        <v>229</v>
      </c>
      <c r="M70">
        <v>894</v>
      </c>
      <c r="N70">
        <v>11.08</v>
      </c>
      <c r="O70" t="s">
        <v>142</v>
      </c>
      <c r="P70" t="s">
        <v>142</v>
      </c>
      <c r="Q70">
        <v>1</v>
      </c>
      <c r="R70">
        <v>511</v>
      </c>
      <c r="S70">
        <v>521</v>
      </c>
      <c r="T70">
        <v>8.52</v>
      </c>
      <c r="U70">
        <v>8.68</v>
      </c>
      <c r="V70">
        <v>10</v>
      </c>
      <c r="W70">
        <v>98.08</v>
      </c>
      <c r="X70" t="s">
        <v>175</v>
      </c>
    </row>
    <row r="71" spans="1:24" x14ac:dyDescent="0.3">
      <c r="A71">
        <v>2026352035</v>
      </c>
      <c r="B71" s="1">
        <v>42498</v>
      </c>
      <c r="C71">
        <v>5528</v>
      </c>
      <c r="D71">
        <v>3.4500000476837198</v>
      </c>
      <c r="E71">
        <v>0</v>
      </c>
      <c r="F71">
        <v>0</v>
      </c>
      <c r="G71">
        <v>258</v>
      </c>
      <c r="H71">
        <v>610</v>
      </c>
      <c r="I71">
        <v>1555</v>
      </c>
      <c r="J71" t="s">
        <v>153</v>
      </c>
      <c r="K71" t="s">
        <v>156</v>
      </c>
      <c r="L71">
        <v>258</v>
      </c>
      <c r="M71">
        <v>868</v>
      </c>
      <c r="N71">
        <v>10.17</v>
      </c>
      <c r="O71" t="s">
        <v>144</v>
      </c>
      <c r="P71" t="s">
        <v>142</v>
      </c>
      <c r="Q71">
        <v>1</v>
      </c>
      <c r="R71">
        <v>541</v>
      </c>
      <c r="S71">
        <v>568</v>
      </c>
      <c r="T71">
        <v>9.02</v>
      </c>
      <c r="U71">
        <v>9.4700000000000006</v>
      </c>
      <c r="V71">
        <v>27</v>
      </c>
      <c r="W71">
        <v>95.25</v>
      </c>
      <c r="X71" t="s">
        <v>174</v>
      </c>
    </row>
    <row r="72" spans="1:24" x14ac:dyDescent="0.3">
      <c r="A72">
        <v>2026352035</v>
      </c>
      <c r="B72" s="1">
        <v>42499</v>
      </c>
      <c r="C72">
        <v>10685</v>
      </c>
      <c r="D72">
        <v>6.6199998855590803</v>
      </c>
      <c r="E72">
        <v>0</v>
      </c>
      <c r="F72">
        <v>0</v>
      </c>
      <c r="G72">
        <v>401</v>
      </c>
      <c r="H72">
        <v>543</v>
      </c>
      <c r="I72">
        <v>1869</v>
      </c>
      <c r="J72" t="s">
        <v>155</v>
      </c>
      <c r="K72" t="s">
        <v>156</v>
      </c>
      <c r="L72">
        <v>401</v>
      </c>
      <c r="M72">
        <v>944</v>
      </c>
      <c r="N72">
        <v>9.0500000000000007</v>
      </c>
      <c r="O72" t="s">
        <v>147</v>
      </c>
      <c r="P72" t="s">
        <v>142</v>
      </c>
      <c r="Q72">
        <v>1</v>
      </c>
      <c r="R72">
        <v>531</v>
      </c>
      <c r="S72">
        <v>556</v>
      </c>
      <c r="T72">
        <v>8.85</v>
      </c>
      <c r="U72">
        <v>9.27</v>
      </c>
      <c r="V72">
        <v>25</v>
      </c>
      <c r="W72">
        <v>95.5</v>
      </c>
      <c r="X72" t="s">
        <v>175</v>
      </c>
    </row>
    <row r="73" spans="1:24" x14ac:dyDescent="0.3">
      <c r="A73">
        <v>2026352035</v>
      </c>
      <c r="B73" s="1">
        <v>42500</v>
      </c>
      <c r="C73">
        <v>254</v>
      </c>
      <c r="D73">
        <v>0.15999999642372101</v>
      </c>
      <c r="E73">
        <v>0</v>
      </c>
      <c r="F73">
        <v>0</v>
      </c>
      <c r="G73">
        <v>17</v>
      </c>
      <c r="H73">
        <v>1002</v>
      </c>
      <c r="I73">
        <v>1141</v>
      </c>
      <c r="J73" t="s">
        <v>140</v>
      </c>
      <c r="K73" t="s">
        <v>156</v>
      </c>
      <c r="L73">
        <v>17</v>
      </c>
      <c r="M73">
        <v>1019</v>
      </c>
      <c r="N73">
        <v>16.7</v>
      </c>
      <c r="O73" t="s">
        <v>142</v>
      </c>
      <c r="P73" t="s">
        <v>142</v>
      </c>
      <c r="Q73">
        <v>1</v>
      </c>
      <c r="R73">
        <v>357</v>
      </c>
      <c r="S73">
        <v>380</v>
      </c>
      <c r="T73">
        <v>5.95</v>
      </c>
      <c r="U73">
        <v>6.33</v>
      </c>
      <c r="V73">
        <v>23</v>
      </c>
      <c r="W73">
        <v>93.95</v>
      </c>
      <c r="X73" t="s">
        <v>173</v>
      </c>
    </row>
    <row r="74" spans="1:24" x14ac:dyDescent="0.3">
      <c r="A74">
        <v>2026352035</v>
      </c>
      <c r="B74" s="1">
        <v>42501</v>
      </c>
      <c r="C74">
        <v>8580</v>
      </c>
      <c r="D74">
        <v>5.3200001716613796</v>
      </c>
      <c r="E74">
        <v>0</v>
      </c>
      <c r="F74">
        <v>0</v>
      </c>
      <c r="G74">
        <v>330</v>
      </c>
      <c r="H74">
        <v>569</v>
      </c>
      <c r="I74">
        <v>1698</v>
      </c>
      <c r="J74" t="s">
        <v>146</v>
      </c>
      <c r="K74" t="s">
        <v>156</v>
      </c>
      <c r="L74">
        <v>330</v>
      </c>
      <c r="M74">
        <v>899</v>
      </c>
      <c r="N74">
        <v>9.48</v>
      </c>
      <c r="O74" t="s">
        <v>150</v>
      </c>
      <c r="P74" t="s">
        <v>142</v>
      </c>
      <c r="Q74">
        <v>1</v>
      </c>
      <c r="R74">
        <v>523</v>
      </c>
      <c r="S74">
        <v>553</v>
      </c>
      <c r="T74">
        <v>8.7200000000000006</v>
      </c>
      <c r="U74">
        <v>9.2200000000000006</v>
      </c>
      <c r="V74">
        <v>30</v>
      </c>
      <c r="W74">
        <v>94.58</v>
      </c>
      <c r="X74" t="s">
        <v>175</v>
      </c>
    </row>
    <row r="75" spans="1:24" x14ac:dyDescent="0.3">
      <c r="A75">
        <v>2026352035</v>
      </c>
      <c r="B75" s="1">
        <v>42502</v>
      </c>
      <c r="C75">
        <v>8891</v>
      </c>
      <c r="D75">
        <v>5.5100002288818404</v>
      </c>
      <c r="E75">
        <v>0</v>
      </c>
      <c r="F75">
        <v>0</v>
      </c>
      <c r="G75">
        <v>343</v>
      </c>
      <c r="H75">
        <v>330</v>
      </c>
      <c r="I75">
        <v>1364</v>
      </c>
      <c r="J75" t="s">
        <v>154</v>
      </c>
      <c r="K75" t="s">
        <v>156</v>
      </c>
      <c r="L75">
        <v>343</v>
      </c>
      <c r="M75">
        <v>673</v>
      </c>
      <c r="N75">
        <v>5.5</v>
      </c>
      <c r="O75" t="s">
        <v>150</v>
      </c>
      <c r="P75" t="s">
        <v>142</v>
      </c>
      <c r="Q75">
        <v>1</v>
      </c>
      <c r="R75">
        <v>456</v>
      </c>
      <c r="S75">
        <v>485</v>
      </c>
      <c r="T75">
        <v>7.6</v>
      </c>
      <c r="U75">
        <v>8.08</v>
      </c>
      <c r="V75">
        <v>29</v>
      </c>
      <c r="W75">
        <v>94.02</v>
      </c>
      <c r="X75" t="s">
        <v>175</v>
      </c>
    </row>
    <row r="76" spans="1:24" x14ac:dyDescent="0.3">
      <c r="A76">
        <v>2320127002</v>
      </c>
      <c r="B76" s="1">
        <v>42483</v>
      </c>
      <c r="C76">
        <v>5079</v>
      </c>
      <c r="D76">
        <v>3.4200000762939502</v>
      </c>
      <c r="E76">
        <v>0</v>
      </c>
      <c r="F76">
        <v>0</v>
      </c>
      <c r="G76">
        <v>242</v>
      </c>
      <c r="H76">
        <v>1129</v>
      </c>
      <c r="I76">
        <v>1804</v>
      </c>
      <c r="J76" t="s">
        <v>151</v>
      </c>
      <c r="K76" t="s">
        <v>141</v>
      </c>
      <c r="L76">
        <v>242</v>
      </c>
      <c r="M76">
        <v>1371</v>
      </c>
      <c r="N76">
        <v>18.82</v>
      </c>
      <c r="O76" t="s">
        <v>144</v>
      </c>
      <c r="P76" t="s">
        <v>142</v>
      </c>
      <c r="Q76">
        <v>1</v>
      </c>
      <c r="R76">
        <v>61</v>
      </c>
      <c r="S76">
        <v>69</v>
      </c>
      <c r="T76">
        <v>1.02</v>
      </c>
      <c r="U76">
        <v>1.1499999999999999</v>
      </c>
      <c r="V76">
        <v>8</v>
      </c>
      <c r="W76">
        <v>88.41</v>
      </c>
      <c r="X76" t="s">
        <v>173</v>
      </c>
    </row>
    <row r="77" spans="1:24" x14ac:dyDescent="0.3">
      <c r="A77">
        <v>2347167796</v>
      </c>
      <c r="B77" s="1">
        <v>42473</v>
      </c>
      <c r="C77">
        <v>10352</v>
      </c>
      <c r="D77">
        <v>7.0100002288818404</v>
      </c>
      <c r="E77">
        <v>19</v>
      </c>
      <c r="F77">
        <v>32</v>
      </c>
      <c r="G77">
        <v>195</v>
      </c>
      <c r="H77">
        <v>676</v>
      </c>
      <c r="I77">
        <v>2038</v>
      </c>
      <c r="J77" t="s">
        <v>146</v>
      </c>
      <c r="K77" t="s">
        <v>141</v>
      </c>
      <c r="L77">
        <v>246</v>
      </c>
      <c r="M77">
        <v>922</v>
      </c>
      <c r="N77">
        <v>11.27</v>
      </c>
      <c r="O77" t="s">
        <v>147</v>
      </c>
      <c r="P77" t="s">
        <v>148</v>
      </c>
      <c r="Q77">
        <v>1</v>
      </c>
      <c r="R77">
        <v>467</v>
      </c>
      <c r="S77">
        <v>531</v>
      </c>
      <c r="T77">
        <v>7.78</v>
      </c>
      <c r="U77">
        <v>8.85</v>
      </c>
      <c r="V77">
        <v>64</v>
      </c>
      <c r="W77">
        <v>87.95</v>
      </c>
      <c r="X77" t="s">
        <v>175</v>
      </c>
    </row>
    <row r="78" spans="1:24" x14ac:dyDescent="0.3">
      <c r="A78">
        <v>2347167796</v>
      </c>
      <c r="B78" s="1">
        <v>42474</v>
      </c>
      <c r="C78">
        <v>10129</v>
      </c>
      <c r="D78">
        <v>6.6999998092651403</v>
      </c>
      <c r="E78">
        <v>1</v>
      </c>
      <c r="F78">
        <v>48</v>
      </c>
      <c r="G78">
        <v>206</v>
      </c>
      <c r="H78">
        <v>705</v>
      </c>
      <c r="I78">
        <v>2010</v>
      </c>
      <c r="J78" t="s">
        <v>154</v>
      </c>
      <c r="K78" t="s">
        <v>141</v>
      </c>
      <c r="L78">
        <v>255</v>
      </c>
      <c r="M78">
        <v>960</v>
      </c>
      <c r="N78">
        <v>11.75</v>
      </c>
      <c r="O78" t="s">
        <v>147</v>
      </c>
      <c r="P78" t="s">
        <v>143</v>
      </c>
      <c r="Q78">
        <v>1</v>
      </c>
      <c r="R78">
        <v>445</v>
      </c>
      <c r="S78">
        <v>489</v>
      </c>
      <c r="T78">
        <v>7.42</v>
      </c>
      <c r="U78">
        <v>8.15</v>
      </c>
      <c r="V78">
        <v>44</v>
      </c>
      <c r="W78">
        <v>91</v>
      </c>
      <c r="X78" t="s">
        <v>175</v>
      </c>
    </row>
    <row r="79" spans="1:24" x14ac:dyDescent="0.3">
      <c r="A79">
        <v>2347167796</v>
      </c>
      <c r="B79" s="1">
        <v>42475</v>
      </c>
      <c r="C79">
        <v>10465</v>
      </c>
      <c r="D79">
        <v>6.9200000762939498</v>
      </c>
      <c r="E79">
        <v>1</v>
      </c>
      <c r="F79">
        <v>24</v>
      </c>
      <c r="G79">
        <v>284</v>
      </c>
      <c r="H79">
        <v>720</v>
      </c>
      <c r="I79">
        <v>2133</v>
      </c>
      <c r="J79" t="s">
        <v>149</v>
      </c>
      <c r="K79" t="s">
        <v>141</v>
      </c>
      <c r="L79">
        <v>309</v>
      </c>
      <c r="M79">
        <v>1029</v>
      </c>
      <c r="N79">
        <v>12</v>
      </c>
      <c r="O79" t="s">
        <v>147</v>
      </c>
      <c r="P79" t="s">
        <v>143</v>
      </c>
      <c r="Q79">
        <v>1</v>
      </c>
      <c r="R79">
        <v>452</v>
      </c>
      <c r="S79">
        <v>504</v>
      </c>
      <c r="T79">
        <v>7.53</v>
      </c>
      <c r="U79">
        <v>8.4</v>
      </c>
      <c r="V79">
        <v>52</v>
      </c>
      <c r="W79">
        <v>89.68</v>
      </c>
      <c r="X79" t="s">
        <v>175</v>
      </c>
    </row>
    <row r="80" spans="1:24" x14ac:dyDescent="0.3">
      <c r="A80">
        <v>2347167796</v>
      </c>
      <c r="B80" s="1">
        <v>42477</v>
      </c>
      <c r="C80">
        <v>5472</v>
      </c>
      <c r="D80">
        <v>3.6199998855590798</v>
      </c>
      <c r="E80">
        <v>1</v>
      </c>
      <c r="F80">
        <v>7</v>
      </c>
      <c r="G80">
        <v>249</v>
      </c>
      <c r="H80">
        <v>508</v>
      </c>
      <c r="I80">
        <v>1882</v>
      </c>
      <c r="J80" t="s">
        <v>153</v>
      </c>
      <c r="K80" t="s">
        <v>141</v>
      </c>
      <c r="L80">
        <v>257</v>
      </c>
      <c r="M80">
        <v>765</v>
      </c>
      <c r="N80">
        <v>8.4700000000000006</v>
      </c>
      <c r="O80" t="s">
        <v>144</v>
      </c>
      <c r="P80" t="s">
        <v>143</v>
      </c>
      <c r="Q80">
        <v>1</v>
      </c>
      <c r="R80">
        <v>556</v>
      </c>
      <c r="S80">
        <v>602</v>
      </c>
      <c r="T80">
        <v>9.27</v>
      </c>
      <c r="U80">
        <v>10.029999999999999</v>
      </c>
      <c r="V80">
        <v>46</v>
      </c>
      <c r="W80">
        <v>92.36</v>
      </c>
      <c r="X80" t="s">
        <v>174</v>
      </c>
    </row>
    <row r="81" spans="1:24" x14ac:dyDescent="0.3">
      <c r="A81">
        <v>2347167796</v>
      </c>
      <c r="B81" s="1">
        <v>42478</v>
      </c>
      <c r="C81">
        <v>8247</v>
      </c>
      <c r="D81">
        <v>5.4499998092651403</v>
      </c>
      <c r="E81">
        <v>11</v>
      </c>
      <c r="F81">
        <v>16</v>
      </c>
      <c r="G81">
        <v>206</v>
      </c>
      <c r="H81">
        <v>678</v>
      </c>
      <c r="I81">
        <v>1944</v>
      </c>
      <c r="J81" t="s">
        <v>155</v>
      </c>
      <c r="K81" t="s">
        <v>141</v>
      </c>
      <c r="L81">
        <v>233</v>
      </c>
      <c r="M81">
        <v>911</v>
      </c>
      <c r="N81">
        <v>11.3</v>
      </c>
      <c r="O81" t="s">
        <v>150</v>
      </c>
      <c r="P81" t="s">
        <v>143</v>
      </c>
      <c r="Q81">
        <v>1</v>
      </c>
      <c r="R81">
        <v>500</v>
      </c>
      <c r="S81">
        <v>557</v>
      </c>
      <c r="T81">
        <v>8.33</v>
      </c>
      <c r="U81">
        <v>9.2799999999999994</v>
      </c>
      <c r="V81">
        <v>57</v>
      </c>
      <c r="W81">
        <v>89.77</v>
      </c>
      <c r="X81" t="s">
        <v>175</v>
      </c>
    </row>
    <row r="82" spans="1:24" x14ac:dyDescent="0.3">
      <c r="A82">
        <v>2347167796</v>
      </c>
      <c r="B82" s="1">
        <v>42479</v>
      </c>
      <c r="C82">
        <v>6711</v>
      </c>
      <c r="D82">
        <v>4.4400000572204599</v>
      </c>
      <c r="E82">
        <v>0</v>
      </c>
      <c r="F82">
        <v>7</v>
      </c>
      <c r="G82">
        <v>382</v>
      </c>
      <c r="H82">
        <v>648</v>
      </c>
      <c r="I82">
        <v>2346</v>
      </c>
      <c r="J82" t="s">
        <v>140</v>
      </c>
      <c r="K82" t="s">
        <v>141</v>
      </c>
      <c r="L82">
        <v>389</v>
      </c>
      <c r="M82">
        <v>1037</v>
      </c>
      <c r="N82">
        <v>10.8</v>
      </c>
      <c r="O82" t="s">
        <v>144</v>
      </c>
      <c r="P82" t="s">
        <v>142</v>
      </c>
      <c r="Q82">
        <v>1</v>
      </c>
      <c r="R82">
        <v>465</v>
      </c>
      <c r="S82">
        <v>514</v>
      </c>
      <c r="T82">
        <v>7.75</v>
      </c>
      <c r="U82">
        <v>8.57</v>
      </c>
      <c r="V82">
        <v>49</v>
      </c>
      <c r="W82">
        <v>90.47</v>
      </c>
      <c r="X82" t="s">
        <v>175</v>
      </c>
    </row>
    <row r="83" spans="1:24" x14ac:dyDescent="0.3">
      <c r="A83">
        <v>2347167796</v>
      </c>
      <c r="B83" s="1">
        <v>42481</v>
      </c>
      <c r="C83">
        <v>10080</v>
      </c>
      <c r="D83">
        <v>6.75</v>
      </c>
      <c r="E83">
        <v>23</v>
      </c>
      <c r="F83">
        <v>26</v>
      </c>
      <c r="G83">
        <v>208</v>
      </c>
      <c r="H83">
        <v>761</v>
      </c>
      <c r="I83">
        <v>2048</v>
      </c>
      <c r="J83" t="s">
        <v>154</v>
      </c>
      <c r="K83" t="s">
        <v>141</v>
      </c>
      <c r="L83">
        <v>257</v>
      </c>
      <c r="M83">
        <v>1018</v>
      </c>
      <c r="N83">
        <v>12.68</v>
      </c>
      <c r="O83" t="s">
        <v>147</v>
      </c>
      <c r="P83" t="s">
        <v>148</v>
      </c>
      <c r="Q83">
        <v>1</v>
      </c>
      <c r="R83">
        <v>460</v>
      </c>
      <c r="S83">
        <v>484</v>
      </c>
      <c r="T83">
        <v>7.67</v>
      </c>
      <c r="U83">
        <v>8.07</v>
      </c>
      <c r="V83">
        <v>24</v>
      </c>
      <c r="W83">
        <v>95.04</v>
      </c>
      <c r="X83" t="s">
        <v>175</v>
      </c>
    </row>
    <row r="84" spans="1:24" x14ac:dyDescent="0.3">
      <c r="A84">
        <v>2347167796</v>
      </c>
      <c r="B84" s="1">
        <v>42482</v>
      </c>
      <c r="C84">
        <v>7804</v>
      </c>
      <c r="D84">
        <v>5.1599998474121103</v>
      </c>
      <c r="E84">
        <v>9</v>
      </c>
      <c r="F84">
        <v>27</v>
      </c>
      <c r="G84">
        <v>206</v>
      </c>
      <c r="H84">
        <v>781</v>
      </c>
      <c r="I84">
        <v>1946</v>
      </c>
      <c r="J84" t="s">
        <v>149</v>
      </c>
      <c r="K84" t="s">
        <v>141</v>
      </c>
      <c r="L84">
        <v>242</v>
      </c>
      <c r="M84">
        <v>1023</v>
      </c>
      <c r="N84">
        <v>13.02</v>
      </c>
      <c r="O84" t="s">
        <v>150</v>
      </c>
      <c r="P84" t="s">
        <v>143</v>
      </c>
      <c r="Q84">
        <v>1</v>
      </c>
      <c r="R84">
        <v>405</v>
      </c>
      <c r="S84">
        <v>461</v>
      </c>
      <c r="T84">
        <v>6.75</v>
      </c>
      <c r="U84">
        <v>7.68</v>
      </c>
      <c r="V84">
        <v>56</v>
      </c>
      <c r="W84">
        <v>87.85</v>
      </c>
      <c r="X84" t="s">
        <v>176</v>
      </c>
    </row>
    <row r="85" spans="1:24" x14ac:dyDescent="0.3">
      <c r="A85">
        <v>2347167796</v>
      </c>
      <c r="B85" s="1">
        <v>42483</v>
      </c>
      <c r="C85">
        <v>16901</v>
      </c>
      <c r="D85">
        <v>11.3699998855591</v>
      </c>
      <c r="E85">
        <v>32</v>
      </c>
      <c r="F85">
        <v>35</v>
      </c>
      <c r="G85">
        <v>360</v>
      </c>
      <c r="H85">
        <v>591</v>
      </c>
      <c r="I85">
        <v>2629</v>
      </c>
      <c r="J85" t="s">
        <v>151</v>
      </c>
      <c r="K85" t="s">
        <v>141</v>
      </c>
      <c r="L85">
        <v>427</v>
      </c>
      <c r="M85">
        <v>1018</v>
      </c>
      <c r="N85">
        <v>9.85</v>
      </c>
      <c r="O85" t="s">
        <v>152</v>
      </c>
      <c r="P85" t="s">
        <v>145</v>
      </c>
      <c r="Q85">
        <v>1</v>
      </c>
      <c r="R85">
        <v>374</v>
      </c>
      <c r="S85">
        <v>386</v>
      </c>
      <c r="T85">
        <v>6.23</v>
      </c>
      <c r="U85">
        <v>6.43</v>
      </c>
      <c r="V85">
        <v>12</v>
      </c>
      <c r="W85">
        <v>96.89</v>
      </c>
      <c r="X85" t="s">
        <v>176</v>
      </c>
    </row>
    <row r="86" spans="1:24" x14ac:dyDescent="0.3">
      <c r="A86">
        <v>2347167796</v>
      </c>
      <c r="B86" s="1">
        <v>42484</v>
      </c>
      <c r="C86">
        <v>9471</v>
      </c>
      <c r="D86">
        <v>6.2600002288818404</v>
      </c>
      <c r="E86">
        <v>0</v>
      </c>
      <c r="F86">
        <v>0</v>
      </c>
      <c r="G86">
        <v>360</v>
      </c>
      <c r="H86">
        <v>584</v>
      </c>
      <c r="I86">
        <v>2187</v>
      </c>
      <c r="J86" t="s">
        <v>153</v>
      </c>
      <c r="K86" t="s">
        <v>141</v>
      </c>
      <c r="L86">
        <v>360</v>
      </c>
      <c r="M86">
        <v>944</v>
      </c>
      <c r="N86">
        <v>9.73</v>
      </c>
      <c r="O86" t="s">
        <v>150</v>
      </c>
      <c r="P86" t="s">
        <v>142</v>
      </c>
      <c r="Q86">
        <v>1</v>
      </c>
      <c r="R86">
        <v>442</v>
      </c>
      <c r="S86">
        <v>459</v>
      </c>
      <c r="T86">
        <v>7.37</v>
      </c>
      <c r="U86">
        <v>7.65</v>
      </c>
      <c r="V86">
        <v>17</v>
      </c>
      <c r="W86">
        <v>96.3</v>
      </c>
      <c r="X86" t="s">
        <v>175</v>
      </c>
    </row>
    <row r="87" spans="1:24" x14ac:dyDescent="0.3">
      <c r="A87">
        <v>2347167796</v>
      </c>
      <c r="B87" s="1">
        <v>42485</v>
      </c>
      <c r="C87">
        <v>9482</v>
      </c>
      <c r="D87">
        <v>6.3800001144409197</v>
      </c>
      <c r="E87">
        <v>15</v>
      </c>
      <c r="F87">
        <v>11</v>
      </c>
      <c r="G87">
        <v>277</v>
      </c>
      <c r="H87">
        <v>653</v>
      </c>
      <c r="I87">
        <v>2095</v>
      </c>
      <c r="J87" t="s">
        <v>155</v>
      </c>
      <c r="K87" t="s">
        <v>141</v>
      </c>
      <c r="L87">
        <v>303</v>
      </c>
      <c r="M87">
        <v>956</v>
      </c>
      <c r="N87">
        <v>10.88</v>
      </c>
      <c r="O87" t="s">
        <v>150</v>
      </c>
      <c r="P87" t="s">
        <v>148</v>
      </c>
      <c r="Q87">
        <v>1</v>
      </c>
      <c r="R87">
        <v>433</v>
      </c>
      <c r="S87">
        <v>471</v>
      </c>
      <c r="T87">
        <v>7.22</v>
      </c>
      <c r="U87">
        <v>7.85</v>
      </c>
      <c r="V87">
        <v>38</v>
      </c>
      <c r="W87">
        <v>91.93</v>
      </c>
      <c r="X87" t="s">
        <v>175</v>
      </c>
    </row>
    <row r="88" spans="1:24" x14ac:dyDescent="0.3">
      <c r="A88">
        <v>2347167796</v>
      </c>
      <c r="B88" s="1">
        <v>42486</v>
      </c>
      <c r="C88">
        <v>5980</v>
      </c>
      <c r="D88">
        <v>3.9500000476837198</v>
      </c>
      <c r="E88">
        <v>0</v>
      </c>
      <c r="F88">
        <v>0</v>
      </c>
      <c r="G88">
        <v>227</v>
      </c>
      <c r="H88">
        <v>732</v>
      </c>
      <c r="I88">
        <v>1861</v>
      </c>
      <c r="J88" t="s">
        <v>140</v>
      </c>
      <c r="K88" t="s">
        <v>141</v>
      </c>
      <c r="L88">
        <v>227</v>
      </c>
      <c r="M88">
        <v>959</v>
      </c>
      <c r="N88">
        <v>12.2</v>
      </c>
      <c r="O88" t="s">
        <v>144</v>
      </c>
      <c r="P88" t="s">
        <v>142</v>
      </c>
      <c r="Q88">
        <v>1</v>
      </c>
      <c r="R88">
        <v>436</v>
      </c>
      <c r="S88">
        <v>490</v>
      </c>
      <c r="T88">
        <v>7.27</v>
      </c>
      <c r="U88">
        <v>8.17</v>
      </c>
      <c r="V88">
        <v>54</v>
      </c>
      <c r="W88">
        <v>88.98</v>
      </c>
      <c r="X88" t="s">
        <v>175</v>
      </c>
    </row>
    <row r="89" spans="1:24" x14ac:dyDescent="0.3">
      <c r="A89">
        <v>2347167796</v>
      </c>
      <c r="B89" s="1">
        <v>42487</v>
      </c>
      <c r="C89">
        <v>11423</v>
      </c>
      <c r="D89">
        <v>7.5799999237060502</v>
      </c>
      <c r="E89">
        <v>26</v>
      </c>
      <c r="F89">
        <v>9</v>
      </c>
      <c r="G89">
        <v>295</v>
      </c>
      <c r="H89">
        <v>623</v>
      </c>
      <c r="I89">
        <v>2194</v>
      </c>
      <c r="J89" t="s">
        <v>146</v>
      </c>
      <c r="K89" t="s">
        <v>141</v>
      </c>
      <c r="L89">
        <v>330</v>
      </c>
      <c r="M89">
        <v>953</v>
      </c>
      <c r="N89">
        <v>10.38</v>
      </c>
      <c r="O89" t="s">
        <v>147</v>
      </c>
      <c r="P89" t="s">
        <v>148</v>
      </c>
      <c r="Q89">
        <v>1</v>
      </c>
      <c r="R89">
        <v>448</v>
      </c>
      <c r="S89">
        <v>499</v>
      </c>
      <c r="T89">
        <v>7.47</v>
      </c>
      <c r="U89">
        <v>8.32</v>
      </c>
      <c r="V89">
        <v>51</v>
      </c>
      <c r="W89">
        <v>89.78</v>
      </c>
      <c r="X89" t="s">
        <v>175</v>
      </c>
    </row>
    <row r="90" spans="1:24" x14ac:dyDescent="0.3">
      <c r="A90">
        <v>2347167796</v>
      </c>
      <c r="B90" s="1">
        <v>42488</v>
      </c>
      <c r="C90">
        <v>5439</v>
      </c>
      <c r="D90">
        <v>3.5999999046325701</v>
      </c>
      <c r="E90">
        <v>0</v>
      </c>
      <c r="F90">
        <v>0</v>
      </c>
      <c r="G90">
        <v>229</v>
      </c>
      <c r="H90">
        <v>764</v>
      </c>
      <c r="I90">
        <v>1854</v>
      </c>
      <c r="J90" t="s">
        <v>154</v>
      </c>
      <c r="K90" t="s">
        <v>141</v>
      </c>
      <c r="L90">
        <v>229</v>
      </c>
      <c r="M90">
        <v>993</v>
      </c>
      <c r="N90">
        <v>12.73</v>
      </c>
      <c r="O90" t="s">
        <v>144</v>
      </c>
      <c r="P90" t="s">
        <v>142</v>
      </c>
      <c r="Q90">
        <v>1</v>
      </c>
      <c r="R90">
        <v>408</v>
      </c>
      <c r="S90">
        <v>450</v>
      </c>
      <c r="T90">
        <v>6.8</v>
      </c>
      <c r="U90">
        <v>7.5</v>
      </c>
      <c r="V90">
        <v>42</v>
      </c>
      <c r="W90">
        <v>90.67</v>
      </c>
      <c r="X90" t="s">
        <v>176</v>
      </c>
    </row>
    <row r="91" spans="1:24" x14ac:dyDescent="0.3">
      <c r="A91">
        <v>2347167796</v>
      </c>
      <c r="B91" s="1">
        <v>42489</v>
      </c>
      <c r="C91">
        <v>42</v>
      </c>
      <c r="D91">
        <v>2.9999999329447701E-2</v>
      </c>
      <c r="E91">
        <v>0</v>
      </c>
      <c r="F91">
        <v>0</v>
      </c>
      <c r="G91">
        <v>4</v>
      </c>
      <c r="H91">
        <v>2</v>
      </c>
      <c r="I91">
        <v>403</v>
      </c>
      <c r="J91" t="s">
        <v>149</v>
      </c>
      <c r="K91" t="s">
        <v>141</v>
      </c>
      <c r="L91">
        <v>4</v>
      </c>
      <c r="M91">
        <v>6</v>
      </c>
      <c r="N91">
        <v>0.03</v>
      </c>
      <c r="O91" t="s">
        <v>142</v>
      </c>
      <c r="P91" t="s">
        <v>142</v>
      </c>
      <c r="Q91">
        <v>1</v>
      </c>
      <c r="R91">
        <v>411</v>
      </c>
      <c r="S91">
        <v>473</v>
      </c>
      <c r="T91">
        <v>6.85</v>
      </c>
      <c r="U91">
        <v>7.88</v>
      </c>
      <c r="V91">
        <v>62</v>
      </c>
      <c r="W91">
        <v>86.89</v>
      </c>
      <c r="X91" t="s">
        <v>176</v>
      </c>
    </row>
    <row r="92" spans="1:24" x14ac:dyDescent="0.3">
      <c r="A92">
        <v>3977333714</v>
      </c>
      <c r="B92" s="1">
        <v>42473</v>
      </c>
      <c r="C92">
        <v>10035</v>
      </c>
      <c r="D92">
        <v>6.71000003814697</v>
      </c>
      <c r="E92">
        <v>31</v>
      </c>
      <c r="F92">
        <v>46</v>
      </c>
      <c r="G92">
        <v>153</v>
      </c>
      <c r="H92">
        <v>754</v>
      </c>
      <c r="I92">
        <v>1495</v>
      </c>
      <c r="J92" t="s">
        <v>146</v>
      </c>
      <c r="K92" t="s">
        <v>141</v>
      </c>
      <c r="L92">
        <v>230</v>
      </c>
      <c r="M92">
        <v>984</v>
      </c>
      <c r="N92">
        <v>12.57</v>
      </c>
      <c r="O92" t="s">
        <v>147</v>
      </c>
      <c r="P92" t="s">
        <v>145</v>
      </c>
      <c r="Q92">
        <v>2</v>
      </c>
      <c r="R92">
        <v>295</v>
      </c>
      <c r="S92">
        <v>456</v>
      </c>
      <c r="T92">
        <v>4.92</v>
      </c>
      <c r="U92">
        <v>7.6</v>
      </c>
      <c r="V92">
        <v>161</v>
      </c>
      <c r="W92">
        <v>64.69</v>
      </c>
      <c r="X92" t="s">
        <v>173</v>
      </c>
    </row>
    <row r="93" spans="1:24" x14ac:dyDescent="0.3">
      <c r="A93">
        <v>3977333714</v>
      </c>
      <c r="B93" s="1">
        <v>42474</v>
      </c>
      <c r="C93">
        <v>7641</v>
      </c>
      <c r="D93">
        <v>5.1100001335143999</v>
      </c>
      <c r="E93">
        <v>5</v>
      </c>
      <c r="F93">
        <v>23</v>
      </c>
      <c r="G93">
        <v>214</v>
      </c>
      <c r="H93">
        <v>801</v>
      </c>
      <c r="I93">
        <v>1433</v>
      </c>
      <c r="J93" t="s">
        <v>154</v>
      </c>
      <c r="K93" t="s">
        <v>141</v>
      </c>
      <c r="L93">
        <v>242</v>
      </c>
      <c r="M93">
        <v>1043</v>
      </c>
      <c r="N93">
        <v>13.35</v>
      </c>
      <c r="O93" t="s">
        <v>150</v>
      </c>
      <c r="P93" t="s">
        <v>143</v>
      </c>
      <c r="Q93">
        <v>1</v>
      </c>
      <c r="R93">
        <v>291</v>
      </c>
      <c r="S93">
        <v>397</v>
      </c>
      <c r="T93">
        <v>4.8499999999999996</v>
      </c>
      <c r="U93">
        <v>6.62</v>
      </c>
      <c r="V93">
        <v>106</v>
      </c>
      <c r="W93">
        <v>73.3</v>
      </c>
      <c r="X93" t="s">
        <v>173</v>
      </c>
    </row>
    <row r="94" spans="1:24" x14ac:dyDescent="0.3">
      <c r="A94">
        <v>3977333714</v>
      </c>
      <c r="B94" s="1">
        <v>42475</v>
      </c>
      <c r="C94">
        <v>9010</v>
      </c>
      <c r="D94">
        <v>6.0599999427795401</v>
      </c>
      <c r="E94">
        <v>15</v>
      </c>
      <c r="F94">
        <v>42</v>
      </c>
      <c r="G94">
        <v>183</v>
      </c>
      <c r="H94">
        <v>644</v>
      </c>
      <c r="I94">
        <v>1468</v>
      </c>
      <c r="J94" t="s">
        <v>149</v>
      </c>
      <c r="K94" t="s">
        <v>141</v>
      </c>
      <c r="L94">
        <v>240</v>
      </c>
      <c r="M94">
        <v>884</v>
      </c>
      <c r="N94">
        <v>10.73</v>
      </c>
      <c r="O94" t="s">
        <v>150</v>
      </c>
      <c r="P94" t="s">
        <v>148</v>
      </c>
      <c r="Q94">
        <v>1</v>
      </c>
      <c r="R94">
        <v>424</v>
      </c>
      <c r="S94">
        <v>556</v>
      </c>
      <c r="T94">
        <v>7.07</v>
      </c>
      <c r="U94">
        <v>9.27</v>
      </c>
      <c r="V94">
        <v>132</v>
      </c>
      <c r="W94">
        <v>76.260000000000005</v>
      </c>
      <c r="X94" t="s">
        <v>175</v>
      </c>
    </row>
    <row r="95" spans="1:24" x14ac:dyDescent="0.3">
      <c r="A95">
        <v>3977333714</v>
      </c>
      <c r="B95" s="1">
        <v>42476</v>
      </c>
      <c r="C95">
        <v>13459</v>
      </c>
      <c r="D95">
        <v>9</v>
      </c>
      <c r="E95">
        <v>31</v>
      </c>
      <c r="F95">
        <v>83</v>
      </c>
      <c r="G95">
        <v>153</v>
      </c>
      <c r="H95">
        <v>663</v>
      </c>
      <c r="I95">
        <v>1625</v>
      </c>
      <c r="J95" t="s">
        <v>151</v>
      </c>
      <c r="K95" t="s">
        <v>141</v>
      </c>
      <c r="L95">
        <v>267</v>
      </c>
      <c r="M95">
        <v>930</v>
      </c>
      <c r="N95">
        <v>11.05</v>
      </c>
      <c r="O95" t="s">
        <v>152</v>
      </c>
      <c r="P95" t="s">
        <v>145</v>
      </c>
      <c r="Q95">
        <v>1</v>
      </c>
      <c r="R95">
        <v>283</v>
      </c>
      <c r="S95">
        <v>510</v>
      </c>
      <c r="T95">
        <v>4.72</v>
      </c>
      <c r="U95">
        <v>8.5</v>
      </c>
      <c r="V95">
        <v>227</v>
      </c>
      <c r="W95">
        <v>55.49</v>
      </c>
      <c r="X95" t="s">
        <v>173</v>
      </c>
    </row>
    <row r="96" spans="1:24" x14ac:dyDescent="0.3">
      <c r="A96">
        <v>3977333714</v>
      </c>
      <c r="B96" s="1">
        <v>42477</v>
      </c>
      <c r="C96">
        <v>10415</v>
      </c>
      <c r="D96">
        <v>6.9699997901916504</v>
      </c>
      <c r="E96">
        <v>11</v>
      </c>
      <c r="F96">
        <v>58</v>
      </c>
      <c r="G96">
        <v>205</v>
      </c>
      <c r="H96">
        <v>600</v>
      </c>
      <c r="I96">
        <v>1529</v>
      </c>
      <c r="J96" t="s">
        <v>153</v>
      </c>
      <c r="K96" t="s">
        <v>141</v>
      </c>
      <c r="L96">
        <v>274</v>
      </c>
      <c r="M96">
        <v>874</v>
      </c>
      <c r="N96">
        <v>10</v>
      </c>
      <c r="O96" t="s">
        <v>147</v>
      </c>
      <c r="P96" t="s">
        <v>143</v>
      </c>
      <c r="Q96">
        <v>1</v>
      </c>
      <c r="R96">
        <v>381</v>
      </c>
      <c r="S96">
        <v>566</v>
      </c>
      <c r="T96">
        <v>6.35</v>
      </c>
      <c r="U96">
        <v>9.43</v>
      </c>
      <c r="V96">
        <v>185</v>
      </c>
      <c r="W96">
        <v>67.31</v>
      </c>
      <c r="X96" t="s">
        <v>176</v>
      </c>
    </row>
    <row r="97" spans="1:24" x14ac:dyDescent="0.3">
      <c r="A97">
        <v>3977333714</v>
      </c>
      <c r="B97" s="1">
        <v>42478</v>
      </c>
      <c r="C97">
        <v>11663</v>
      </c>
      <c r="D97">
        <v>7.8000001907348597</v>
      </c>
      <c r="E97">
        <v>4</v>
      </c>
      <c r="F97">
        <v>95</v>
      </c>
      <c r="G97">
        <v>214</v>
      </c>
      <c r="H97">
        <v>605</v>
      </c>
      <c r="I97">
        <v>1584</v>
      </c>
      <c r="J97" t="s">
        <v>155</v>
      </c>
      <c r="K97" t="s">
        <v>141</v>
      </c>
      <c r="L97">
        <v>313</v>
      </c>
      <c r="M97">
        <v>918</v>
      </c>
      <c r="N97">
        <v>10.08</v>
      </c>
      <c r="O97" t="s">
        <v>147</v>
      </c>
      <c r="P97" t="s">
        <v>143</v>
      </c>
      <c r="Q97">
        <v>2</v>
      </c>
      <c r="R97">
        <v>412</v>
      </c>
      <c r="S97">
        <v>522</v>
      </c>
      <c r="T97">
        <v>6.87</v>
      </c>
      <c r="U97">
        <v>8.6999999999999993</v>
      </c>
      <c r="V97">
        <v>110</v>
      </c>
      <c r="W97">
        <v>78.930000000000007</v>
      </c>
      <c r="X97" t="s">
        <v>176</v>
      </c>
    </row>
    <row r="98" spans="1:24" x14ac:dyDescent="0.3">
      <c r="A98">
        <v>3977333714</v>
      </c>
      <c r="B98" s="1">
        <v>42479</v>
      </c>
      <c r="C98">
        <v>12414</v>
      </c>
      <c r="D98">
        <v>8.7799997329711896</v>
      </c>
      <c r="E98">
        <v>19</v>
      </c>
      <c r="F98">
        <v>67</v>
      </c>
      <c r="G98">
        <v>221</v>
      </c>
      <c r="H98">
        <v>738</v>
      </c>
      <c r="I98">
        <v>1638</v>
      </c>
      <c r="J98" t="s">
        <v>140</v>
      </c>
      <c r="K98" t="s">
        <v>141</v>
      </c>
      <c r="L98">
        <v>307</v>
      </c>
      <c r="M98">
        <v>1045</v>
      </c>
      <c r="N98">
        <v>12.3</v>
      </c>
      <c r="O98" t="s">
        <v>147</v>
      </c>
      <c r="P98" t="s">
        <v>148</v>
      </c>
      <c r="Q98">
        <v>1</v>
      </c>
      <c r="R98">
        <v>219</v>
      </c>
      <c r="S98">
        <v>395</v>
      </c>
      <c r="T98">
        <v>3.65</v>
      </c>
      <c r="U98">
        <v>6.58</v>
      </c>
      <c r="V98">
        <v>176</v>
      </c>
      <c r="W98">
        <v>55.44</v>
      </c>
      <c r="X98" t="s">
        <v>173</v>
      </c>
    </row>
    <row r="99" spans="1:24" x14ac:dyDescent="0.3">
      <c r="A99">
        <v>3977333714</v>
      </c>
      <c r="B99" s="1">
        <v>42480</v>
      </c>
      <c r="C99">
        <v>11658</v>
      </c>
      <c r="D99">
        <v>7.8299999237060502</v>
      </c>
      <c r="E99">
        <v>2</v>
      </c>
      <c r="F99">
        <v>98</v>
      </c>
      <c r="G99">
        <v>164</v>
      </c>
      <c r="H99">
        <v>845</v>
      </c>
      <c r="I99">
        <v>1554</v>
      </c>
      <c r="J99" t="s">
        <v>146</v>
      </c>
      <c r="K99" t="s">
        <v>141</v>
      </c>
      <c r="L99">
        <v>264</v>
      </c>
      <c r="M99">
        <v>1109</v>
      </c>
      <c r="N99">
        <v>14.08</v>
      </c>
      <c r="O99" t="s">
        <v>147</v>
      </c>
      <c r="P99" t="s">
        <v>143</v>
      </c>
      <c r="Q99">
        <v>2</v>
      </c>
      <c r="R99">
        <v>152</v>
      </c>
      <c r="S99">
        <v>305</v>
      </c>
      <c r="T99">
        <v>2.5299999999999998</v>
      </c>
      <c r="U99">
        <v>5.08</v>
      </c>
      <c r="V99">
        <v>153</v>
      </c>
      <c r="W99">
        <v>49.84</v>
      </c>
      <c r="X99" t="s">
        <v>173</v>
      </c>
    </row>
    <row r="100" spans="1:24" x14ac:dyDescent="0.3">
      <c r="A100">
        <v>3977333714</v>
      </c>
      <c r="B100" s="1">
        <v>42481</v>
      </c>
      <c r="C100">
        <v>6093</v>
      </c>
      <c r="D100">
        <v>4.0799999237060502</v>
      </c>
      <c r="E100">
        <v>0</v>
      </c>
      <c r="F100">
        <v>0</v>
      </c>
      <c r="G100">
        <v>242</v>
      </c>
      <c r="H100">
        <v>712</v>
      </c>
      <c r="I100">
        <v>1397</v>
      </c>
      <c r="J100" t="s">
        <v>154</v>
      </c>
      <c r="K100" t="s">
        <v>141</v>
      </c>
      <c r="L100">
        <v>242</v>
      </c>
      <c r="M100">
        <v>954</v>
      </c>
      <c r="N100">
        <v>11.87</v>
      </c>
      <c r="O100" t="s">
        <v>144</v>
      </c>
      <c r="P100" t="s">
        <v>142</v>
      </c>
      <c r="Q100">
        <v>1</v>
      </c>
      <c r="R100">
        <v>332</v>
      </c>
      <c r="S100">
        <v>512</v>
      </c>
      <c r="T100">
        <v>5.53</v>
      </c>
      <c r="U100">
        <v>8.5299999999999994</v>
      </c>
      <c r="V100">
        <v>180</v>
      </c>
      <c r="W100">
        <v>64.84</v>
      </c>
      <c r="X100" t="s">
        <v>173</v>
      </c>
    </row>
    <row r="101" spans="1:24" x14ac:dyDescent="0.3">
      <c r="A101">
        <v>3977333714</v>
      </c>
      <c r="B101" s="1">
        <v>42482</v>
      </c>
      <c r="C101">
        <v>8911</v>
      </c>
      <c r="D101">
        <v>5.96000003814697</v>
      </c>
      <c r="E101">
        <v>33</v>
      </c>
      <c r="F101">
        <v>12</v>
      </c>
      <c r="G101">
        <v>188</v>
      </c>
      <c r="H101">
        <v>731</v>
      </c>
      <c r="I101">
        <v>1481</v>
      </c>
      <c r="J101" t="s">
        <v>149</v>
      </c>
      <c r="K101" t="s">
        <v>141</v>
      </c>
      <c r="L101">
        <v>233</v>
      </c>
      <c r="M101">
        <v>964</v>
      </c>
      <c r="N101">
        <v>12.18</v>
      </c>
      <c r="O101" t="s">
        <v>150</v>
      </c>
      <c r="P101" t="s">
        <v>145</v>
      </c>
      <c r="Q101">
        <v>1</v>
      </c>
      <c r="R101">
        <v>355</v>
      </c>
      <c r="S101">
        <v>476</v>
      </c>
      <c r="T101">
        <v>5.92</v>
      </c>
      <c r="U101">
        <v>7.93</v>
      </c>
      <c r="V101">
        <v>121</v>
      </c>
      <c r="W101">
        <v>74.58</v>
      </c>
      <c r="X101" t="s">
        <v>173</v>
      </c>
    </row>
    <row r="102" spans="1:24" x14ac:dyDescent="0.3">
      <c r="A102">
        <v>3977333714</v>
      </c>
      <c r="B102" s="1">
        <v>42483</v>
      </c>
      <c r="C102">
        <v>12058</v>
      </c>
      <c r="D102">
        <v>8.0699996948242205</v>
      </c>
      <c r="E102">
        <v>0</v>
      </c>
      <c r="F102">
        <v>92</v>
      </c>
      <c r="G102">
        <v>252</v>
      </c>
      <c r="H102">
        <v>724</v>
      </c>
      <c r="I102">
        <v>1638</v>
      </c>
      <c r="J102" t="s">
        <v>151</v>
      </c>
      <c r="K102" t="s">
        <v>141</v>
      </c>
      <c r="L102">
        <v>344</v>
      </c>
      <c r="M102">
        <v>1068</v>
      </c>
      <c r="N102">
        <v>12.07</v>
      </c>
      <c r="O102" t="s">
        <v>147</v>
      </c>
      <c r="P102" t="s">
        <v>142</v>
      </c>
      <c r="Q102">
        <v>1</v>
      </c>
      <c r="R102">
        <v>235</v>
      </c>
      <c r="S102">
        <v>372</v>
      </c>
      <c r="T102">
        <v>3.92</v>
      </c>
      <c r="U102">
        <v>6.2</v>
      </c>
      <c r="V102">
        <v>137</v>
      </c>
      <c r="W102">
        <v>63.17</v>
      </c>
      <c r="X102" t="s">
        <v>173</v>
      </c>
    </row>
    <row r="103" spans="1:24" x14ac:dyDescent="0.3">
      <c r="A103">
        <v>3977333714</v>
      </c>
      <c r="B103" s="1">
        <v>42484</v>
      </c>
      <c r="C103">
        <v>14112</v>
      </c>
      <c r="D103">
        <v>10</v>
      </c>
      <c r="E103">
        <v>30</v>
      </c>
      <c r="F103">
        <v>95</v>
      </c>
      <c r="G103">
        <v>129</v>
      </c>
      <c r="H103">
        <v>660</v>
      </c>
      <c r="I103">
        <v>1655</v>
      </c>
      <c r="J103" t="s">
        <v>153</v>
      </c>
      <c r="K103" t="s">
        <v>141</v>
      </c>
      <c r="L103">
        <v>254</v>
      </c>
      <c r="M103">
        <v>914</v>
      </c>
      <c r="N103">
        <v>11</v>
      </c>
      <c r="O103" t="s">
        <v>152</v>
      </c>
      <c r="P103" t="s">
        <v>145</v>
      </c>
      <c r="Q103">
        <v>1</v>
      </c>
      <c r="R103">
        <v>310</v>
      </c>
      <c r="S103">
        <v>526</v>
      </c>
      <c r="T103">
        <v>5.17</v>
      </c>
      <c r="U103">
        <v>8.77</v>
      </c>
      <c r="V103">
        <v>216</v>
      </c>
      <c r="W103">
        <v>58.94</v>
      </c>
      <c r="X103" t="s">
        <v>173</v>
      </c>
    </row>
    <row r="104" spans="1:24" x14ac:dyDescent="0.3">
      <c r="A104">
        <v>3977333714</v>
      </c>
      <c r="B104" s="1">
        <v>42485</v>
      </c>
      <c r="C104">
        <v>11177</v>
      </c>
      <c r="D104">
        <v>8.4799995422363299</v>
      </c>
      <c r="E104">
        <v>50</v>
      </c>
      <c r="F104">
        <v>9</v>
      </c>
      <c r="G104">
        <v>133</v>
      </c>
      <c r="H104">
        <v>781</v>
      </c>
      <c r="I104">
        <v>1570</v>
      </c>
      <c r="J104" t="s">
        <v>155</v>
      </c>
      <c r="K104" t="s">
        <v>141</v>
      </c>
      <c r="L104">
        <v>192</v>
      </c>
      <c r="M104">
        <v>973</v>
      </c>
      <c r="N104">
        <v>13.02</v>
      </c>
      <c r="O104" t="s">
        <v>147</v>
      </c>
      <c r="P104" t="s">
        <v>145</v>
      </c>
      <c r="Q104">
        <v>1</v>
      </c>
      <c r="R104">
        <v>262</v>
      </c>
      <c r="S104">
        <v>467</v>
      </c>
      <c r="T104">
        <v>4.37</v>
      </c>
      <c r="U104">
        <v>7.78</v>
      </c>
      <c r="V104">
        <v>205</v>
      </c>
      <c r="W104">
        <v>56.1</v>
      </c>
      <c r="X104" t="s">
        <v>173</v>
      </c>
    </row>
    <row r="105" spans="1:24" x14ac:dyDescent="0.3">
      <c r="A105">
        <v>3977333714</v>
      </c>
      <c r="B105" s="1">
        <v>42486</v>
      </c>
      <c r="C105">
        <v>11388</v>
      </c>
      <c r="D105">
        <v>7.6199998855590803</v>
      </c>
      <c r="E105">
        <v>7</v>
      </c>
      <c r="F105">
        <v>95</v>
      </c>
      <c r="G105">
        <v>170</v>
      </c>
      <c r="H105">
        <v>797</v>
      </c>
      <c r="I105">
        <v>1551</v>
      </c>
      <c r="J105" t="s">
        <v>140</v>
      </c>
      <c r="K105" t="s">
        <v>141</v>
      </c>
      <c r="L105">
        <v>272</v>
      </c>
      <c r="M105">
        <v>1069</v>
      </c>
      <c r="N105">
        <v>13.28</v>
      </c>
      <c r="O105" t="s">
        <v>147</v>
      </c>
      <c r="P105" t="s">
        <v>143</v>
      </c>
      <c r="Q105">
        <v>1</v>
      </c>
      <c r="R105">
        <v>250</v>
      </c>
      <c r="S105">
        <v>371</v>
      </c>
      <c r="T105">
        <v>4.17</v>
      </c>
      <c r="U105">
        <v>6.18</v>
      </c>
      <c r="V105">
        <v>121</v>
      </c>
      <c r="W105">
        <v>67.39</v>
      </c>
      <c r="X105" t="s">
        <v>173</v>
      </c>
    </row>
    <row r="106" spans="1:24" x14ac:dyDescent="0.3">
      <c r="A106">
        <v>3977333714</v>
      </c>
      <c r="B106" s="1">
        <v>42487</v>
      </c>
      <c r="C106">
        <v>7193</v>
      </c>
      <c r="D106">
        <v>5.03999996185303</v>
      </c>
      <c r="E106">
        <v>0</v>
      </c>
      <c r="F106">
        <v>10</v>
      </c>
      <c r="G106">
        <v>176</v>
      </c>
      <c r="H106">
        <v>714</v>
      </c>
      <c r="I106">
        <v>1377</v>
      </c>
      <c r="J106" t="s">
        <v>146</v>
      </c>
      <c r="K106" t="s">
        <v>141</v>
      </c>
      <c r="L106">
        <v>186</v>
      </c>
      <c r="M106">
        <v>900</v>
      </c>
      <c r="N106">
        <v>11.9</v>
      </c>
      <c r="O106" t="s">
        <v>144</v>
      </c>
      <c r="P106" t="s">
        <v>142</v>
      </c>
      <c r="Q106">
        <v>1</v>
      </c>
      <c r="R106">
        <v>349</v>
      </c>
      <c r="S106">
        <v>540</v>
      </c>
      <c r="T106">
        <v>5.82</v>
      </c>
      <c r="U106">
        <v>9</v>
      </c>
      <c r="V106">
        <v>191</v>
      </c>
      <c r="W106">
        <v>64.63</v>
      </c>
      <c r="X106" t="s">
        <v>173</v>
      </c>
    </row>
    <row r="107" spans="1:24" x14ac:dyDescent="0.3">
      <c r="A107">
        <v>3977333714</v>
      </c>
      <c r="B107" s="1">
        <v>42488</v>
      </c>
      <c r="C107">
        <v>7114</v>
      </c>
      <c r="D107">
        <v>4.8800001144409197</v>
      </c>
      <c r="E107">
        <v>15</v>
      </c>
      <c r="F107">
        <v>8</v>
      </c>
      <c r="G107">
        <v>190</v>
      </c>
      <c r="H107">
        <v>804</v>
      </c>
      <c r="I107">
        <v>1407</v>
      </c>
      <c r="J107" t="s">
        <v>154</v>
      </c>
      <c r="K107" t="s">
        <v>141</v>
      </c>
      <c r="L107">
        <v>213</v>
      </c>
      <c r="M107">
        <v>1017</v>
      </c>
      <c r="N107">
        <v>13.4</v>
      </c>
      <c r="O107" t="s">
        <v>144</v>
      </c>
      <c r="P107" t="s">
        <v>148</v>
      </c>
      <c r="Q107">
        <v>1</v>
      </c>
      <c r="R107">
        <v>261</v>
      </c>
      <c r="S107">
        <v>423</v>
      </c>
      <c r="T107">
        <v>4.3499999999999996</v>
      </c>
      <c r="U107">
        <v>7.05</v>
      </c>
      <c r="V107">
        <v>162</v>
      </c>
      <c r="W107">
        <v>61.7</v>
      </c>
      <c r="X107" t="s">
        <v>173</v>
      </c>
    </row>
    <row r="108" spans="1:24" x14ac:dyDescent="0.3">
      <c r="A108">
        <v>3977333714</v>
      </c>
      <c r="B108" s="1">
        <v>42489</v>
      </c>
      <c r="C108">
        <v>10645</v>
      </c>
      <c r="D108">
        <v>7.75</v>
      </c>
      <c r="E108">
        <v>36</v>
      </c>
      <c r="F108">
        <v>32</v>
      </c>
      <c r="G108">
        <v>150</v>
      </c>
      <c r="H108">
        <v>744</v>
      </c>
      <c r="I108">
        <v>1545</v>
      </c>
      <c r="J108" t="s">
        <v>149</v>
      </c>
      <c r="K108" t="s">
        <v>141</v>
      </c>
      <c r="L108">
        <v>218</v>
      </c>
      <c r="M108">
        <v>962</v>
      </c>
      <c r="N108">
        <v>12.4</v>
      </c>
      <c r="O108" t="s">
        <v>147</v>
      </c>
      <c r="P108" t="s">
        <v>145</v>
      </c>
      <c r="Q108">
        <v>1</v>
      </c>
      <c r="R108">
        <v>333</v>
      </c>
      <c r="S108">
        <v>478</v>
      </c>
      <c r="T108">
        <v>5.55</v>
      </c>
      <c r="U108">
        <v>7.97</v>
      </c>
      <c r="V108">
        <v>145</v>
      </c>
      <c r="W108">
        <v>69.67</v>
      </c>
      <c r="X108" t="s">
        <v>173</v>
      </c>
    </row>
    <row r="109" spans="1:24" x14ac:dyDescent="0.3">
      <c r="A109">
        <v>3977333714</v>
      </c>
      <c r="B109" s="1">
        <v>42490</v>
      </c>
      <c r="C109">
        <v>13238</v>
      </c>
      <c r="D109">
        <v>9.1999998092651403</v>
      </c>
      <c r="E109">
        <v>43</v>
      </c>
      <c r="F109">
        <v>52</v>
      </c>
      <c r="G109">
        <v>194</v>
      </c>
      <c r="H109">
        <v>687</v>
      </c>
      <c r="I109">
        <v>1650</v>
      </c>
      <c r="J109" t="s">
        <v>151</v>
      </c>
      <c r="K109" t="s">
        <v>141</v>
      </c>
      <c r="L109">
        <v>289</v>
      </c>
      <c r="M109">
        <v>976</v>
      </c>
      <c r="N109">
        <v>11.45</v>
      </c>
      <c r="O109" t="s">
        <v>152</v>
      </c>
      <c r="P109" t="s">
        <v>145</v>
      </c>
      <c r="Q109">
        <v>1</v>
      </c>
      <c r="R109">
        <v>237</v>
      </c>
      <c r="S109">
        <v>382</v>
      </c>
      <c r="T109">
        <v>3.95</v>
      </c>
      <c r="U109">
        <v>6.37</v>
      </c>
      <c r="V109">
        <v>145</v>
      </c>
      <c r="W109">
        <v>62.04</v>
      </c>
      <c r="X109" t="s">
        <v>173</v>
      </c>
    </row>
    <row r="110" spans="1:24" x14ac:dyDescent="0.3">
      <c r="A110">
        <v>3977333714</v>
      </c>
      <c r="B110" s="1">
        <v>42491</v>
      </c>
      <c r="C110">
        <v>10414</v>
      </c>
      <c r="D110">
        <v>7.0700001716613796</v>
      </c>
      <c r="E110">
        <v>41</v>
      </c>
      <c r="F110">
        <v>40</v>
      </c>
      <c r="G110">
        <v>124</v>
      </c>
      <c r="H110">
        <v>691</v>
      </c>
      <c r="I110">
        <v>1501</v>
      </c>
      <c r="J110" t="s">
        <v>153</v>
      </c>
      <c r="K110" t="s">
        <v>156</v>
      </c>
      <c r="L110">
        <v>205</v>
      </c>
      <c r="M110">
        <v>896</v>
      </c>
      <c r="N110">
        <v>11.52</v>
      </c>
      <c r="O110" t="s">
        <v>147</v>
      </c>
      <c r="P110" t="s">
        <v>145</v>
      </c>
      <c r="Q110">
        <v>1</v>
      </c>
      <c r="R110">
        <v>383</v>
      </c>
      <c r="S110">
        <v>626</v>
      </c>
      <c r="T110">
        <v>6.38</v>
      </c>
      <c r="U110">
        <v>10.43</v>
      </c>
      <c r="V110">
        <v>243</v>
      </c>
      <c r="W110">
        <v>61.18</v>
      </c>
      <c r="X110" t="s">
        <v>176</v>
      </c>
    </row>
    <row r="111" spans="1:24" x14ac:dyDescent="0.3">
      <c r="A111">
        <v>3977333714</v>
      </c>
      <c r="B111" s="1">
        <v>42492</v>
      </c>
      <c r="C111">
        <v>16520</v>
      </c>
      <c r="D111">
        <v>11.050000190734901</v>
      </c>
      <c r="E111">
        <v>24</v>
      </c>
      <c r="F111">
        <v>143</v>
      </c>
      <c r="G111">
        <v>176</v>
      </c>
      <c r="H111">
        <v>713</v>
      </c>
      <c r="I111">
        <v>1760</v>
      </c>
      <c r="J111" t="s">
        <v>155</v>
      </c>
      <c r="K111" t="s">
        <v>156</v>
      </c>
      <c r="L111">
        <v>343</v>
      </c>
      <c r="M111">
        <v>1056</v>
      </c>
      <c r="N111">
        <v>11.88</v>
      </c>
      <c r="O111" t="s">
        <v>152</v>
      </c>
      <c r="P111" t="s">
        <v>148</v>
      </c>
      <c r="Q111">
        <v>1</v>
      </c>
      <c r="R111">
        <v>230</v>
      </c>
      <c r="S111">
        <v>384</v>
      </c>
      <c r="T111">
        <v>3.83</v>
      </c>
      <c r="U111">
        <v>6.4</v>
      </c>
      <c r="V111">
        <v>154</v>
      </c>
      <c r="W111">
        <v>59.9</v>
      </c>
      <c r="X111" t="s">
        <v>173</v>
      </c>
    </row>
    <row r="112" spans="1:24" x14ac:dyDescent="0.3">
      <c r="A112">
        <v>3977333714</v>
      </c>
      <c r="B112" s="1">
        <v>42493</v>
      </c>
      <c r="C112">
        <v>14335</v>
      </c>
      <c r="D112">
        <v>9.5900001525878906</v>
      </c>
      <c r="E112">
        <v>47</v>
      </c>
      <c r="F112">
        <v>41</v>
      </c>
      <c r="G112">
        <v>258</v>
      </c>
      <c r="H112">
        <v>594</v>
      </c>
      <c r="I112">
        <v>1710</v>
      </c>
      <c r="J112" t="s">
        <v>140</v>
      </c>
      <c r="K112" t="s">
        <v>156</v>
      </c>
      <c r="L112">
        <v>346</v>
      </c>
      <c r="M112">
        <v>940</v>
      </c>
      <c r="N112">
        <v>9.9</v>
      </c>
      <c r="O112" t="s">
        <v>152</v>
      </c>
      <c r="P112" t="s">
        <v>145</v>
      </c>
      <c r="Q112">
        <v>1</v>
      </c>
      <c r="R112">
        <v>292</v>
      </c>
      <c r="S112">
        <v>500</v>
      </c>
      <c r="T112">
        <v>4.87</v>
      </c>
      <c r="U112">
        <v>8.33</v>
      </c>
      <c r="V112">
        <v>208</v>
      </c>
      <c r="W112">
        <v>58.4</v>
      </c>
      <c r="X112" t="s">
        <v>173</v>
      </c>
    </row>
    <row r="113" spans="1:24" x14ac:dyDescent="0.3">
      <c r="A113">
        <v>3977333714</v>
      </c>
      <c r="B113" s="1">
        <v>42494</v>
      </c>
      <c r="C113">
        <v>13559</v>
      </c>
      <c r="D113">
        <v>9.4399995803833008</v>
      </c>
      <c r="E113">
        <v>14</v>
      </c>
      <c r="F113">
        <v>96</v>
      </c>
      <c r="G113">
        <v>142</v>
      </c>
      <c r="H113">
        <v>852</v>
      </c>
      <c r="I113">
        <v>1628</v>
      </c>
      <c r="J113" t="s">
        <v>146</v>
      </c>
      <c r="K113" t="s">
        <v>156</v>
      </c>
      <c r="L113">
        <v>252</v>
      </c>
      <c r="M113">
        <v>1104</v>
      </c>
      <c r="N113">
        <v>14.2</v>
      </c>
      <c r="O113" t="s">
        <v>152</v>
      </c>
      <c r="P113" t="s">
        <v>143</v>
      </c>
      <c r="Q113">
        <v>1</v>
      </c>
      <c r="R113">
        <v>213</v>
      </c>
      <c r="S113">
        <v>336</v>
      </c>
      <c r="T113">
        <v>3.55</v>
      </c>
      <c r="U113">
        <v>5.6</v>
      </c>
      <c r="V113">
        <v>123</v>
      </c>
      <c r="W113">
        <v>63.39</v>
      </c>
      <c r="X113" t="s">
        <v>173</v>
      </c>
    </row>
    <row r="114" spans="1:24" x14ac:dyDescent="0.3">
      <c r="A114">
        <v>3977333714</v>
      </c>
      <c r="B114" s="1">
        <v>42495</v>
      </c>
      <c r="C114">
        <v>12312</v>
      </c>
      <c r="D114">
        <v>8.5799999237060494</v>
      </c>
      <c r="E114">
        <v>14</v>
      </c>
      <c r="F114">
        <v>88</v>
      </c>
      <c r="G114">
        <v>178</v>
      </c>
      <c r="H114">
        <v>680</v>
      </c>
      <c r="I114">
        <v>1618</v>
      </c>
      <c r="J114" t="s">
        <v>154</v>
      </c>
      <c r="K114" t="s">
        <v>156</v>
      </c>
      <c r="L114">
        <v>280</v>
      </c>
      <c r="M114">
        <v>960</v>
      </c>
      <c r="N114">
        <v>11.33</v>
      </c>
      <c r="O114" t="s">
        <v>147</v>
      </c>
      <c r="P114" t="s">
        <v>143</v>
      </c>
      <c r="Q114">
        <v>1</v>
      </c>
      <c r="R114">
        <v>318</v>
      </c>
      <c r="S114">
        <v>480</v>
      </c>
      <c r="T114">
        <v>5.3</v>
      </c>
      <c r="U114">
        <v>8</v>
      </c>
      <c r="V114">
        <v>162</v>
      </c>
      <c r="W114">
        <v>66.25</v>
      </c>
      <c r="X114" t="s">
        <v>173</v>
      </c>
    </row>
    <row r="115" spans="1:24" x14ac:dyDescent="0.3">
      <c r="A115">
        <v>3977333714</v>
      </c>
      <c r="B115" s="1">
        <v>42496</v>
      </c>
      <c r="C115">
        <v>11677</v>
      </c>
      <c r="D115">
        <v>8.2799997329711896</v>
      </c>
      <c r="E115">
        <v>29</v>
      </c>
      <c r="F115">
        <v>55</v>
      </c>
      <c r="G115">
        <v>168</v>
      </c>
      <c r="H115">
        <v>676</v>
      </c>
      <c r="I115">
        <v>1590</v>
      </c>
      <c r="J115" t="s">
        <v>149</v>
      </c>
      <c r="K115" t="s">
        <v>156</v>
      </c>
      <c r="L115">
        <v>252</v>
      </c>
      <c r="M115">
        <v>928</v>
      </c>
      <c r="N115">
        <v>11.27</v>
      </c>
      <c r="O115" t="s">
        <v>147</v>
      </c>
      <c r="P115" t="s">
        <v>148</v>
      </c>
      <c r="Q115">
        <v>1</v>
      </c>
      <c r="R115">
        <v>323</v>
      </c>
      <c r="S115">
        <v>512</v>
      </c>
      <c r="T115">
        <v>5.38</v>
      </c>
      <c r="U115">
        <v>8.5299999999999994</v>
      </c>
      <c r="V115">
        <v>189</v>
      </c>
      <c r="W115">
        <v>63.09</v>
      </c>
      <c r="X115" t="s">
        <v>173</v>
      </c>
    </row>
    <row r="116" spans="1:24" x14ac:dyDescent="0.3">
      <c r="A116">
        <v>3977333714</v>
      </c>
      <c r="B116" s="1">
        <v>42497</v>
      </c>
      <c r="C116">
        <v>11550</v>
      </c>
      <c r="D116">
        <v>7.7300000190734899</v>
      </c>
      <c r="E116">
        <v>0</v>
      </c>
      <c r="F116">
        <v>86</v>
      </c>
      <c r="G116">
        <v>208</v>
      </c>
      <c r="H116">
        <v>703</v>
      </c>
      <c r="I116">
        <v>1574</v>
      </c>
      <c r="J116" t="s">
        <v>151</v>
      </c>
      <c r="K116" t="s">
        <v>156</v>
      </c>
      <c r="L116">
        <v>294</v>
      </c>
      <c r="M116">
        <v>997</v>
      </c>
      <c r="N116">
        <v>11.72</v>
      </c>
      <c r="O116" t="s">
        <v>147</v>
      </c>
      <c r="P116" t="s">
        <v>142</v>
      </c>
      <c r="Q116">
        <v>1</v>
      </c>
      <c r="R116">
        <v>237</v>
      </c>
      <c r="S116">
        <v>443</v>
      </c>
      <c r="T116">
        <v>3.95</v>
      </c>
      <c r="U116">
        <v>7.38</v>
      </c>
      <c r="V116">
        <v>206</v>
      </c>
      <c r="W116">
        <v>53.5</v>
      </c>
      <c r="X116" t="s">
        <v>173</v>
      </c>
    </row>
    <row r="117" spans="1:24" x14ac:dyDescent="0.3">
      <c r="A117">
        <v>3977333714</v>
      </c>
      <c r="B117" s="1">
        <v>42498</v>
      </c>
      <c r="C117">
        <v>13585</v>
      </c>
      <c r="D117">
        <v>9.0900001525878906</v>
      </c>
      <c r="E117">
        <v>9</v>
      </c>
      <c r="F117">
        <v>116</v>
      </c>
      <c r="G117">
        <v>171</v>
      </c>
      <c r="H117">
        <v>688</v>
      </c>
      <c r="I117">
        <v>1633</v>
      </c>
      <c r="J117" t="s">
        <v>153</v>
      </c>
      <c r="K117" t="s">
        <v>156</v>
      </c>
      <c r="L117">
        <v>296</v>
      </c>
      <c r="M117">
        <v>984</v>
      </c>
      <c r="N117">
        <v>11.47</v>
      </c>
      <c r="O117" t="s">
        <v>152</v>
      </c>
      <c r="P117" t="s">
        <v>143</v>
      </c>
      <c r="Q117">
        <v>2</v>
      </c>
      <c r="R117">
        <v>259</v>
      </c>
      <c r="S117">
        <v>456</v>
      </c>
      <c r="T117">
        <v>4.32</v>
      </c>
      <c r="U117">
        <v>7.6</v>
      </c>
      <c r="V117">
        <v>197</v>
      </c>
      <c r="W117">
        <v>56.8</v>
      </c>
      <c r="X117" t="s">
        <v>173</v>
      </c>
    </row>
    <row r="118" spans="1:24" x14ac:dyDescent="0.3">
      <c r="A118">
        <v>3977333714</v>
      </c>
      <c r="B118" s="1">
        <v>42500</v>
      </c>
      <c r="C118">
        <v>13072</v>
      </c>
      <c r="D118">
        <v>8.7799997329711896</v>
      </c>
      <c r="E118">
        <v>1</v>
      </c>
      <c r="F118">
        <v>115</v>
      </c>
      <c r="G118">
        <v>196</v>
      </c>
      <c r="H118">
        <v>676</v>
      </c>
      <c r="I118">
        <v>1630</v>
      </c>
      <c r="J118" t="s">
        <v>140</v>
      </c>
      <c r="K118" t="s">
        <v>156</v>
      </c>
      <c r="L118">
        <v>312</v>
      </c>
      <c r="M118">
        <v>988</v>
      </c>
      <c r="N118">
        <v>11.27</v>
      </c>
      <c r="O118" t="s">
        <v>152</v>
      </c>
      <c r="P118" t="s">
        <v>143</v>
      </c>
      <c r="Q118">
        <v>1</v>
      </c>
      <c r="R118">
        <v>312</v>
      </c>
      <c r="S118">
        <v>452</v>
      </c>
      <c r="T118">
        <v>5.2</v>
      </c>
      <c r="U118">
        <v>7.53</v>
      </c>
      <c r="V118">
        <v>140</v>
      </c>
      <c r="W118">
        <v>69.03</v>
      </c>
      <c r="X118" t="s">
        <v>173</v>
      </c>
    </row>
    <row r="119" spans="1:24" x14ac:dyDescent="0.3">
      <c r="A119">
        <v>4020332650</v>
      </c>
      <c r="B119" s="1">
        <v>42476</v>
      </c>
      <c r="C119">
        <v>1982</v>
      </c>
      <c r="D119">
        <v>1.41999995708466</v>
      </c>
      <c r="E119">
        <v>65</v>
      </c>
      <c r="F119">
        <v>21</v>
      </c>
      <c r="G119">
        <v>55</v>
      </c>
      <c r="H119">
        <v>1222</v>
      </c>
      <c r="I119">
        <v>3051</v>
      </c>
      <c r="J119" t="s">
        <v>151</v>
      </c>
      <c r="K119" t="s">
        <v>141</v>
      </c>
      <c r="L119">
        <v>141</v>
      </c>
      <c r="M119">
        <v>1363</v>
      </c>
      <c r="N119">
        <v>20.37</v>
      </c>
      <c r="O119" t="s">
        <v>142</v>
      </c>
      <c r="P119" t="s">
        <v>145</v>
      </c>
      <c r="Q119">
        <v>1</v>
      </c>
      <c r="R119">
        <v>77</v>
      </c>
      <c r="S119">
        <v>77</v>
      </c>
      <c r="T119">
        <v>1.28</v>
      </c>
      <c r="U119">
        <v>1.28</v>
      </c>
      <c r="V119">
        <v>0</v>
      </c>
      <c r="W119">
        <v>100</v>
      </c>
      <c r="X119" t="s">
        <v>173</v>
      </c>
    </row>
    <row r="120" spans="1:24" x14ac:dyDescent="0.3">
      <c r="A120">
        <v>4020332650</v>
      </c>
      <c r="B120" s="1">
        <v>42493</v>
      </c>
      <c r="C120">
        <v>4496</v>
      </c>
      <c r="D120">
        <v>3.2200000286102299</v>
      </c>
      <c r="E120">
        <v>0</v>
      </c>
      <c r="F120">
        <v>0</v>
      </c>
      <c r="G120">
        <v>174</v>
      </c>
      <c r="H120">
        <v>950</v>
      </c>
      <c r="I120">
        <v>2828</v>
      </c>
      <c r="J120" t="s">
        <v>140</v>
      </c>
      <c r="K120" t="s">
        <v>156</v>
      </c>
      <c r="L120">
        <v>174</v>
      </c>
      <c r="M120">
        <v>1124</v>
      </c>
      <c r="N120">
        <v>15.83</v>
      </c>
      <c r="O120" t="s">
        <v>142</v>
      </c>
      <c r="P120" t="s">
        <v>142</v>
      </c>
      <c r="Q120">
        <v>1</v>
      </c>
      <c r="R120">
        <v>322</v>
      </c>
      <c r="S120">
        <v>332</v>
      </c>
      <c r="T120">
        <v>5.37</v>
      </c>
      <c r="U120">
        <v>5.53</v>
      </c>
      <c r="V120">
        <v>10</v>
      </c>
      <c r="W120">
        <v>96.99</v>
      </c>
      <c r="X120" t="s">
        <v>173</v>
      </c>
    </row>
    <row r="121" spans="1:24" x14ac:dyDescent="0.3">
      <c r="A121">
        <v>4020332650</v>
      </c>
      <c r="B121" s="1">
        <v>42494</v>
      </c>
      <c r="C121">
        <v>10252</v>
      </c>
      <c r="D121">
        <v>7.3499999046325701</v>
      </c>
      <c r="E121">
        <v>13</v>
      </c>
      <c r="F121">
        <v>46</v>
      </c>
      <c r="G121">
        <v>346</v>
      </c>
      <c r="H121">
        <v>531</v>
      </c>
      <c r="I121">
        <v>3879</v>
      </c>
      <c r="J121" t="s">
        <v>146</v>
      </c>
      <c r="K121" t="s">
        <v>156</v>
      </c>
      <c r="L121">
        <v>405</v>
      </c>
      <c r="M121">
        <v>936</v>
      </c>
      <c r="N121">
        <v>8.85</v>
      </c>
      <c r="O121" t="s">
        <v>147</v>
      </c>
      <c r="P121" t="s">
        <v>143</v>
      </c>
      <c r="Q121">
        <v>1</v>
      </c>
      <c r="R121">
        <v>478</v>
      </c>
      <c r="S121">
        <v>536</v>
      </c>
      <c r="T121">
        <v>7.97</v>
      </c>
      <c r="U121">
        <v>8.93</v>
      </c>
      <c r="V121">
        <v>58</v>
      </c>
      <c r="W121">
        <v>89.18</v>
      </c>
      <c r="X121" t="s">
        <v>175</v>
      </c>
    </row>
    <row r="122" spans="1:24" x14ac:dyDescent="0.3">
      <c r="A122">
        <v>4020332650</v>
      </c>
      <c r="B122" s="1">
        <v>42495</v>
      </c>
      <c r="C122">
        <v>11728</v>
      </c>
      <c r="D122">
        <v>8.4300003051757795</v>
      </c>
      <c r="E122">
        <v>38</v>
      </c>
      <c r="F122">
        <v>42</v>
      </c>
      <c r="G122">
        <v>196</v>
      </c>
      <c r="H122">
        <v>916</v>
      </c>
      <c r="I122">
        <v>3429</v>
      </c>
      <c r="J122" t="s">
        <v>154</v>
      </c>
      <c r="K122" t="s">
        <v>156</v>
      </c>
      <c r="L122">
        <v>276</v>
      </c>
      <c r="M122">
        <v>1192</v>
      </c>
      <c r="N122">
        <v>15.27</v>
      </c>
      <c r="O122" t="s">
        <v>147</v>
      </c>
      <c r="P122" t="s">
        <v>145</v>
      </c>
      <c r="Q122">
        <v>1</v>
      </c>
      <c r="R122">
        <v>226</v>
      </c>
      <c r="S122">
        <v>248</v>
      </c>
      <c r="T122">
        <v>3.77</v>
      </c>
      <c r="U122">
        <v>4.13</v>
      </c>
      <c r="V122">
        <v>22</v>
      </c>
      <c r="W122">
        <v>91.13</v>
      </c>
      <c r="X122" t="s">
        <v>173</v>
      </c>
    </row>
    <row r="123" spans="1:24" x14ac:dyDescent="0.3">
      <c r="A123">
        <v>4020332650</v>
      </c>
      <c r="B123" s="1">
        <v>42496</v>
      </c>
      <c r="C123">
        <v>4369</v>
      </c>
      <c r="D123">
        <v>3.1300001144409202</v>
      </c>
      <c r="E123">
        <v>0</v>
      </c>
      <c r="F123">
        <v>0</v>
      </c>
      <c r="G123">
        <v>177</v>
      </c>
      <c r="H123">
        <v>855</v>
      </c>
      <c r="I123">
        <v>2704</v>
      </c>
      <c r="J123" t="s">
        <v>149</v>
      </c>
      <c r="K123" t="s">
        <v>156</v>
      </c>
      <c r="L123">
        <v>177</v>
      </c>
      <c r="M123">
        <v>1032</v>
      </c>
      <c r="N123">
        <v>14.25</v>
      </c>
      <c r="O123" t="s">
        <v>142</v>
      </c>
      <c r="P123" t="s">
        <v>142</v>
      </c>
      <c r="Q123">
        <v>1</v>
      </c>
      <c r="R123">
        <v>385</v>
      </c>
      <c r="S123">
        <v>408</v>
      </c>
      <c r="T123">
        <v>6.42</v>
      </c>
      <c r="U123">
        <v>6.8</v>
      </c>
      <c r="V123">
        <v>23</v>
      </c>
      <c r="W123">
        <v>94.36</v>
      </c>
      <c r="X123" t="s">
        <v>176</v>
      </c>
    </row>
    <row r="124" spans="1:24" x14ac:dyDescent="0.3">
      <c r="A124">
        <v>4020332650</v>
      </c>
      <c r="B124" s="1">
        <v>42498</v>
      </c>
      <c r="C124">
        <v>5862</v>
      </c>
      <c r="D124">
        <v>4.1999998092651403</v>
      </c>
      <c r="E124">
        <v>0</v>
      </c>
      <c r="F124">
        <v>0</v>
      </c>
      <c r="G124">
        <v>263</v>
      </c>
      <c r="H124">
        <v>775</v>
      </c>
      <c r="I124">
        <v>3089</v>
      </c>
      <c r="J124" t="s">
        <v>153</v>
      </c>
      <c r="K124" t="s">
        <v>156</v>
      </c>
      <c r="L124">
        <v>263</v>
      </c>
      <c r="M124">
        <v>1038</v>
      </c>
      <c r="N124">
        <v>12.92</v>
      </c>
      <c r="O124" t="s">
        <v>144</v>
      </c>
      <c r="P124" t="s">
        <v>142</v>
      </c>
      <c r="Q124">
        <v>1</v>
      </c>
      <c r="R124">
        <v>364</v>
      </c>
      <c r="S124">
        <v>402</v>
      </c>
      <c r="T124">
        <v>6.07</v>
      </c>
      <c r="U124">
        <v>6.7</v>
      </c>
      <c r="V124">
        <v>38</v>
      </c>
      <c r="W124">
        <v>90.55</v>
      </c>
      <c r="X124" t="s">
        <v>176</v>
      </c>
    </row>
    <row r="125" spans="1:24" x14ac:dyDescent="0.3">
      <c r="A125">
        <v>4020332650</v>
      </c>
      <c r="B125" s="1">
        <v>42500</v>
      </c>
      <c r="C125">
        <v>5546</v>
      </c>
      <c r="D125">
        <v>3.9800000190734899</v>
      </c>
      <c r="E125">
        <v>0</v>
      </c>
      <c r="F125">
        <v>0</v>
      </c>
      <c r="G125">
        <v>206</v>
      </c>
      <c r="H125">
        <v>774</v>
      </c>
      <c r="I125">
        <v>2926</v>
      </c>
      <c r="J125" t="s">
        <v>140</v>
      </c>
      <c r="K125" t="s">
        <v>156</v>
      </c>
      <c r="L125">
        <v>206</v>
      </c>
      <c r="M125">
        <v>980</v>
      </c>
      <c r="N125">
        <v>12.9</v>
      </c>
      <c r="O125" t="s">
        <v>144</v>
      </c>
      <c r="P125" t="s">
        <v>142</v>
      </c>
      <c r="Q125">
        <v>1</v>
      </c>
      <c r="R125">
        <v>442</v>
      </c>
      <c r="S125">
        <v>494</v>
      </c>
      <c r="T125">
        <v>7.37</v>
      </c>
      <c r="U125">
        <v>8.23</v>
      </c>
      <c r="V125">
        <v>52</v>
      </c>
      <c r="W125">
        <v>89.47</v>
      </c>
      <c r="X125" t="s">
        <v>175</v>
      </c>
    </row>
    <row r="126" spans="1:24" x14ac:dyDescent="0.3">
      <c r="A126">
        <v>4319703577</v>
      </c>
      <c r="B126" s="1">
        <v>42474</v>
      </c>
      <c r="C126">
        <v>10210</v>
      </c>
      <c r="D126">
        <v>6.8800001144409197</v>
      </c>
      <c r="E126">
        <v>1</v>
      </c>
      <c r="F126">
        <v>9</v>
      </c>
      <c r="G126">
        <v>339</v>
      </c>
      <c r="H126">
        <v>589</v>
      </c>
      <c r="I126">
        <v>2302</v>
      </c>
      <c r="J126" t="s">
        <v>154</v>
      </c>
      <c r="K126" t="s">
        <v>141</v>
      </c>
      <c r="L126">
        <v>349</v>
      </c>
      <c r="M126">
        <v>938</v>
      </c>
      <c r="N126">
        <v>9.82</v>
      </c>
      <c r="O126" t="s">
        <v>147</v>
      </c>
      <c r="P126" t="s">
        <v>143</v>
      </c>
      <c r="Q126">
        <v>1</v>
      </c>
      <c r="R126">
        <v>535</v>
      </c>
      <c r="S126">
        <v>557</v>
      </c>
      <c r="T126">
        <v>8.92</v>
      </c>
      <c r="U126">
        <v>9.2799999999999994</v>
      </c>
      <c r="V126">
        <v>22</v>
      </c>
      <c r="W126">
        <v>96.05</v>
      </c>
      <c r="X126" t="s">
        <v>175</v>
      </c>
    </row>
    <row r="127" spans="1:24" x14ac:dyDescent="0.3">
      <c r="A127">
        <v>4319703577</v>
      </c>
      <c r="B127" s="1">
        <v>42475</v>
      </c>
      <c r="C127">
        <v>5664</v>
      </c>
      <c r="D127">
        <v>3.7999999523162802</v>
      </c>
      <c r="E127">
        <v>0</v>
      </c>
      <c r="F127">
        <v>0</v>
      </c>
      <c r="G127">
        <v>228</v>
      </c>
      <c r="H127">
        <v>752</v>
      </c>
      <c r="I127">
        <v>1985</v>
      </c>
      <c r="J127" t="s">
        <v>149</v>
      </c>
      <c r="K127" t="s">
        <v>141</v>
      </c>
      <c r="L127">
        <v>228</v>
      </c>
      <c r="M127">
        <v>980</v>
      </c>
      <c r="N127">
        <v>12.53</v>
      </c>
      <c r="O127" t="s">
        <v>144</v>
      </c>
      <c r="P127" t="s">
        <v>142</v>
      </c>
      <c r="Q127">
        <v>1</v>
      </c>
      <c r="R127">
        <v>465</v>
      </c>
      <c r="S127">
        <v>491</v>
      </c>
      <c r="T127">
        <v>7.75</v>
      </c>
      <c r="U127">
        <v>8.18</v>
      </c>
      <c r="V127">
        <v>26</v>
      </c>
      <c r="W127">
        <v>94.7</v>
      </c>
      <c r="X127" t="s">
        <v>175</v>
      </c>
    </row>
    <row r="128" spans="1:24" x14ac:dyDescent="0.3">
      <c r="A128">
        <v>4319703577</v>
      </c>
      <c r="B128" s="1">
        <v>42476</v>
      </c>
      <c r="C128">
        <v>4744</v>
      </c>
      <c r="D128">
        <v>3.1800000667571999</v>
      </c>
      <c r="E128">
        <v>0</v>
      </c>
      <c r="F128">
        <v>0</v>
      </c>
      <c r="G128">
        <v>194</v>
      </c>
      <c r="H128">
        <v>724</v>
      </c>
      <c r="I128">
        <v>1884</v>
      </c>
      <c r="J128" t="s">
        <v>151</v>
      </c>
      <c r="K128" t="s">
        <v>141</v>
      </c>
      <c r="L128">
        <v>194</v>
      </c>
      <c r="M128">
        <v>918</v>
      </c>
      <c r="N128">
        <v>12.07</v>
      </c>
      <c r="O128" t="s">
        <v>142</v>
      </c>
      <c r="P128" t="s">
        <v>142</v>
      </c>
      <c r="Q128">
        <v>1</v>
      </c>
      <c r="R128">
        <v>506</v>
      </c>
      <c r="S128">
        <v>522</v>
      </c>
      <c r="T128">
        <v>8.43</v>
      </c>
      <c r="U128">
        <v>8.6999999999999993</v>
      </c>
      <c r="V128">
        <v>16</v>
      </c>
      <c r="W128">
        <v>96.93</v>
      </c>
      <c r="X128" t="s">
        <v>175</v>
      </c>
    </row>
    <row r="129" spans="1:24" x14ac:dyDescent="0.3">
      <c r="A129">
        <v>4319703577</v>
      </c>
      <c r="B129" s="1">
        <v>42478</v>
      </c>
      <c r="C129">
        <v>2276</v>
      </c>
      <c r="D129">
        <v>1.54999995231628</v>
      </c>
      <c r="E129">
        <v>1</v>
      </c>
      <c r="F129">
        <v>9</v>
      </c>
      <c r="G129">
        <v>58</v>
      </c>
      <c r="H129">
        <v>824</v>
      </c>
      <c r="I129">
        <v>1632</v>
      </c>
      <c r="J129" t="s">
        <v>155</v>
      </c>
      <c r="K129" t="s">
        <v>141</v>
      </c>
      <c r="L129">
        <v>68</v>
      </c>
      <c r="M129">
        <v>892</v>
      </c>
      <c r="N129">
        <v>13.73</v>
      </c>
      <c r="O129" t="s">
        <v>142</v>
      </c>
      <c r="P129" t="s">
        <v>143</v>
      </c>
      <c r="Q129">
        <v>1</v>
      </c>
      <c r="R129">
        <v>515</v>
      </c>
      <c r="S129">
        <v>551</v>
      </c>
      <c r="T129">
        <v>8.58</v>
      </c>
      <c r="U129">
        <v>9.18</v>
      </c>
      <c r="V129">
        <v>36</v>
      </c>
      <c r="W129">
        <v>93.47</v>
      </c>
      <c r="X129" t="s">
        <v>175</v>
      </c>
    </row>
    <row r="130" spans="1:24" x14ac:dyDescent="0.3">
      <c r="A130">
        <v>4319703577</v>
      </c>
      <c r="B130" s="1">
        <v>42479</v>
      </c>
      <c r="C130">
        <v>8925</v>
      </c>
      <c r="D130">
        <v>5.9899997711181596</v>
      </c>
      <c r="E130">
        <v>0</v>
      </c>
      <c r="F130">
        <v>0</v>
      </c>
      <c r="G130">
        <v>311</v>
      </c>
      <c r="H130">
        <v>604</v>
      </c>
      <c r="I130">
        <v>2200</v>
      </c>
      <c r="J130" t="s">
        <v>140</v>
      </c>
      <c r="K130" t="s">
        <v>141</v>
      </c>
      <c r="L130">
        <v>311</v>
      </c>
      <c r="M130">
        <v>915</v>
      </c>
      <c r="N130">
        <v>10.07</v>
      </c>
      <c r="O130" t="s">
        <v>150</v>
      </c>
      <c r="P130" t="s">
        <v>142</v>
      </c>
      <c r="Q130">
        <v>2</v>
      </c>
      <c r="R130">
        <v>461</v>
      </c>
      <c r="S130">
        <v>498</v>
      </c>
      <c r="T130">
        <v>7.68</v>
      </c>
      <c r="U130">
        <v>8.3000000000000007</v>
      </c>
      <c r="V130">
        <v>37</v>
      </c>
      <c r="W130">
        <v>92.57</v>
      </c>
      <c r="X130" t="s">
        <v>175</v>
      </c>
    </row>
    <row r="131" spans="1:24" x14ac:dyDescent="0.3">
      <c r="A131">
        <v>4319703577</v>
      </c>
      <c r="B131" s="1">
        <v>42480</v>
      </c>
      <c r="C131">
        <v>8954</v>
      </c>
      <c r="D131">
        <v>6.0100002288818404</v>
      </c>
      <c r="E131">
        <v>0</v>
      </c>
      <c r="F131">
        <v>18</v>
      </c>
      <c r="G131">
        <v>306</v>
      </c>
      <c r="H131">
        <v>671</v>
      </c>
      <c r="I131">
        <v>2220</v>
      </c>
      <c r="J131" t="s">
        <v>146</v>
      </c>
      <c r="K131" t="s">
        <v>141</v>
      </c>
      <c r="L131">
        <v>324</v>
      </c>
      <c r="M131">
        <v>995</v>
      </c>
      <c r="N131">
        <v>11.18</v>
      </c>
      <c r="O131" t="s">
        <v>150</v>
      </c>
      <c r="P131" t="s">
        <v>142</v>
      </c>
      <c r="Q131">
        <v>1</v>
      </c>
      <c r="R131">
        <v>523</v>
      </c>
      <c r="S131">
        <v>543</v>
      </c>
      <c r="T131">
        <v>8.7200000000000006</v>
      </c>
      <c r="U131">
        <v>9.0500000000000007</v>
      </c>
      <c r="V131">
        <v>20</v>
      </c>
      <c r="W131">
        <v>96.32</v>
      </c>
      <c r="X131" t="s">
        <v>175</v>
      </c>
    </row>
    <row r="132" spans="1:24" x14ac:dyDescent="0.3">
      <c r="A132">
        <v>4319703577</v>
      </c>
      <c r="B132" s="1">
        <v>42481</v>
      </c>
      <c r="C132">
        <v>3702</v>
      </c>
      <c r="D132">
        <v>2.4800000190734899</v>
      </c>
      <c r="E132">
        <v>0</v>
      </c>
      <c r="F132">
        <v>0</v>
      </c>
      <c r="G132">
        <v>34</v>
      </c>
      <c r="H132">
        <v>1265</v>
      </c>
      <c r="I132">
        <v>1792</v>
      </c>
      <c r="J132" t="s">
        <v>154</v>
      </c>
      <c r="K132" t="s">
        <v>141</v>
      </c>
      <c r="L132">
        <v>34</v>
      </c>
      <c r="M132">
        <v>1299</v>
      </c>
      <c r="N132">
        <v>21.08</v>
      </c>
      <c r="O132" t="s">
        <v>142</v>
      </c>
      <c r="P132" t="s">
        <v>142</v>
      </c>
      <c r="Q132">
        <v>1</v>
      </c>
      <c r="R132">
        <v>59</v>
      </c>
      <c r="S132">
        <v>65</v>
      </c>
      <c r="T132">
        <v>0.98</v>
      </c>
      <c r="U132">
        <v>1.08</v>
      </c>
      <c r="V132">
        <v>6</v>
      </c>
      <c r="W132">
        <v>90.77</v>
      </c>
      <c r="X132" t="s">
        <v>173</v>
      </c>
    </row>
    <row r="133" spans="1:24" x14ac:dyDescent="0.3">
      <c r="A133">
        <v>4319703577</v>
      </c>
      <c r="B133" s="1">
        <v>42482</v>
      </c>
      <c r="C133">
        <v>4500</v>
      </c>
      <c r="D133">
        <v>3.0199999809265101</v>
      </c>
      <c r="E133">
        <v>1</v>
      </c>
      <c r="F133">
        <v>19</v>
      </c>
      <c r="G133">
        <v>176</v>
      </c>
      <c r="H133">
        <v>709</v>
      </c>
      <c r="I133">
        <v>1886</v>
      </c>
      <c r="J133" t="s">
        <v>149</v>
      </c>
      <c r="K133" t="s">
        <v>141</v>
      </c>
      <c r="L133">
        <v>196</v>
      </c>
      <c r="M133">
        <v>905</v>
      </c>
      <c r="N133">
        <v>11.82</v>
      </c>
      <c r="O133" t="s">
        <v>142</v>
      </c>
      <c r="P133" t="s">
        <v>143</v>
      </c>
      <c r="Q133">
        <v>1</v>
      </c>
      <c r="R133">
        <v>533</v>
      </c>
      <c r="S133">
        <v>550</v>
      </c>
      <c r="T133">
        <v>8.8800000000000008</v>
      </c>
      <c r="U133">
        <v>9.17</v>
      </c>
      <c r="V133">
        <v>17</v>
      </c>
      <c r="W133">
        <v>96.91</v>
      </c>
      <c r="X133" t="s">
        <v>175</v>
      </c>
    </row>
    <row r="134" spans="1:24" x14ac:dyDescent="0.3">
      <c r="A134">
        <v>4319703577</v>
      </c>
      <c r="B134" s="1">
        <v>42483</v>
      </c>
      <c r="C134">
        <v>4935</v>
      </c>
      <c r="D134">
        <v>3.3099999427795401</v>
      </c>
      <c r="E134">
        <v>0</v>
      </c>
      <c r="F134">
        <v>0</v>
      </c>
      <c r="G134">
        <v>233</v>
      </c>
      <c r="H134">
        <v>546</v>
      </c>
      <c r="I134">
        <v>1945</v>
      </c>
      <c r="J134" t="s">
        <v>151</v>
      </c>
      <c r="K134" t="s">
        <v>141</v>
      </c>
      <c r="L134">
        <v>233</v>
      </c>
      <c r="M134">
        <v>779</v>
      </c>
      <c r="N134">
        <v>9.1</v>
      </c>
      <c r="O134" t="s">
        <v>142</v>
      </c>
      <c r="P134" t="s">
        <v>142</v>
      </c>
      <c r="Q134">
        <v>1</v>
      </c>
      <c r="R134">
        <v>692</v>
      </c>
      <c r="S134">
        <v>722</v>
      </c>
      <c r="T134">
        <v>11.53</v>
      </c>
      <c r="U134">
        <v>12.03</v>
      </c>
      <c r="V134">
        <v>30</v>
      </c>
      <c r="W134">
        <v>95.84</v>
      </c>
      <c r="X134" t="s">
        <v>174</v>
      </c>
    </row>
    <row r="135" spans="1:24" x14ac:dyDescent="0.3">
      <c r="A135">
        <v>4319703577</v>
      </c>
      <c r="B135" s="1">
        <v>42484</v>
      </c>
      <c r="C135">
        <v>4081</v>
      </c>
      <c r="D135">
        <v>2.7400000095367401</v>
      </c>
      <c r="E135">
        <v>1</v>
      </c>
      <c r="F135">
        <v>5</v>
      </c>
      <c r="G135">
        <v>191</v>
      </c>
      <c r="H135">
        <v>692</v>
      </c>
      <c r="I135">
        <v>1880</v>
      </c>
      <c r="J135" t="s">
        <v>153</v>
      </c>
      <c r="K135" t="s">
        <v>141</v>
      </c>
      <c r="L135">
        <v>197</v>
      </c>
      <c r="M135">
        <v>889</v>
      </c>
      <c r="N135">
        <v>11.53</v>
      </c>
      <c r="O135" t="s">
        <v>142</v>
      </c>
      <c r="P135" t="s">
        <v>143</v>
      </c>
      <c r="Q135">
        <v>1</v>
      </c>
      <c r="R135">
        <v>467</v>
      </c>
      <c r="S135">
        <v>501</v>
      </c>
      <c r="T135">
        <v>7.78</v>
      </c>
      <c r="U135">
        <v>8.35</v>
      </c>
      <c r="V135">
        <v>34</v>
      </c>
      <c r="W135">
        <v>93.21</v>
      </c>
      <c r="X135" t="s">
        <v>175</v>
      </c>
    </row>
    <row r="136" spans="1:24" x14ac:dyDescent="0.3">
      <c r="A136">
        <v>4319703577</v>
      </c>
      <c r="B136" s="1">
        <v>42485</v>
      </c>
      <c r="C136">
        <v>9259</v>
      </c>
      <c r="D136">
        <v>6.21000003814697</v>
      </c>
      <c r="E136">
        <v>0</v>
      </c>
      <c r="F136">
        <v>8</v>
      </c>
      <c r="G136">
        <v>390</v>
      </c>
      <c r="H136">
        <v>544</v>
      </c>
      <c r="I136">
        <v>2314</v>
      </c>
      <c r="J136" t="s">
        <v>155</v>
      </c>
      <c r="K136" t="s">
        <v>141</v>
      </c>
      <c r="L136">
        <v>398</v>
      </c>
      <c r="M136">
        <v>942</v>
      </c>
      <c r="N136">
        <v>9.07</v>
      </c>
      <c r="O136" t="s">
        <v>150</v>
      </c>
      <c r="P136" t="s">
        <v>142</v>
      </c>
      <c r="Q136">
        <v>1</v>
      </c>
      <c r="R136">
        <v>488</v>
      </c>
      <c r="S136">
        <v>506</v>
      </c>
      <c r="T136">
        <v>8.1300000000000008</v>
      </c>
      <c r="U136">
        <v>8.43</v>
      </c>
      <c r="V136">
        <v>18</v>
      </c>
      <c r="W136">
        <v>96.44</v>
      </c>
      <c r="X136" t="s">
        <v>175</v>
      </c>
    </row>
    <row r="137" spans="1:24" x14ac:dyDescent="0.3">
      <c r="A137">
        <v>4319703577</v>
      </c>
      <c r="B137" s="1">
        <v>42486</v>
      </c>
      <c r="C137">
        <v>9899</v>
      </c>
      <c r="D137">
        <v>6.6399998664856001</v>
      </c>
      <c r="E137">
        <v>8</v>
      </c>
      <c r="F137">
        <v>21</v>
      </c>
      <c r="G137">
        <v>288</v>
      </c>
      <c r="H137">
        <v>649</v>
      </c>
      <c r="I137">
        <v>2236</v>
      </c>
      <c r="J137" t="s">
        <v>140</v>
      </c>
      <c r="K137" t="s">
        <v>141</v>
      </c>
      <c r="L137">
        <v>317</v>
      </c>
      <c r="M137">
        <v>966</v>
      </c>
      <c r="N137">
        <v>10.82</v>
      </c>
      <c r="O137" t="s">
        <v>150</v>
      </c>
      <c r="P137" t="s">
        <v>143</v>
      </c>
      <c r="Q137">
        <v>1</v>
      </c>
      <c r="R137">
        <v>505</v>
      </c>
      <c r="S137">
        <v>516</v>
      </c>
      <c r="T137">
        <v>8.42</v>
      </c>
      <c r="U137">
        <v>8.6</v>
      </c>
      <c r="V137">
        <v>11</v>
      </c>
      <c r="W137">
        <v>97.87</v>
      </c>
      <c r="X137" t="s">
        <v>175</v>
      </c>
    </row>
    <row r="138" spans="1:24" x14ac:dyDescent="0.3">
      <c r="A138">
        <v>4319703577</v>
      </c>
      <c r="B138" s="1">
        <v>42487</v>
      </c>
      <c r="C138">
        <v>10780</v>
      </c>
      <c r="D138">
        <v>7.2300000190734899</v>
      </c>
      <c r="E138">
        <v>6</v>
      </c>
      <c r="F138">
        <v>47</v>
      </c>
      <c r="G138">
        <v>300</v>
      </c>
      <c r="H138">
        <v>680</v>
      </c>
      <c r="I138">
        <v>2324</v>
      </c>
      <c r="J138" t="s">
        <v>146</v>
      </c>
      <c r="K138" t="s">
        <v>141</v>
      </c>
      <c r="L138">
        <v>353</v>
      </c>
      <c r="M138">
        <v>1033</v>
      </c>
      <c r="N138">
        <v>11.33</v>
      </c>
      <c r="O138" t="s">
        <v>147</v>
      </c>
      <c r="P138" t="s">
        <v>143</v>
      </c>
      <c r="Q138">
        <v>1</v>
      </c>
      <c r="R138">
        <v>286</v>
      </c>
      <c r="S138">
        <v>307</v>
      </c>
      <c r="T138">
        <v>4.7699999999999996</v>
      </c>
      <c r="U138">
        <v>5.12</v>
      </c>
      <c r="V138">
        <v>21</v>
      </c>
      <c r="W138">
        <v>93.16</v>
      </c>
      <c r="X138" t="s">
        <v>173</v>
      </c>
    </row>
    <row r="139" spans="1:24" x14ac:dyDescent="0.3">
      <c r="A139">
        <v>4319703577</v>
      </c>
      <c r="B139" s="1">
        <v>42488</v>
      </c>
      <c r="C139">
        <v>10817</v>
      </c>
      <c r="D139">
        <v>7.2800002098083496</v>
      </c>
      <c r="E139">
        <v>13</v>
      </c>
      <c r="F139">
        <v>8</v>
      </c>
      <c r="G139">
        <v>359</v>
      </c>
      <c r="H139">
        <v>552</v>
      </c>
      <c r="I139">
        <v>2367</v>
      </c>
      <c r="J139" t="s">
        <v>154</v>
      </c>
      <c r="K139" t="s">
        <v>141</v>
      </c>
      <c r="L139">
        <v>380</v>
      </c>
      <c r="M139">
        <v>932</v>
      </c>
      <c r="N139">
        <v>9.1999999999999993</v>
      </c>
      <c r="O139" t="s">
        <v>147</v>
      </c>
      <c r="P139" t="s">
        <v>143</v>
      </c>
      <c r="Q139">
        <v>1</v>
      </c>
      <c r="R139">
        <v>497</v>
      </c>
      <c r="S139">
        <v>522</v>
      </c>
      <c r="T139">
        <v>8.2799999999999994</v>
      </c>
      <c r="U139">
        <v>8.6999999999999993</v>
      </c>
      <c r="V139">
        <v>25</v>
      </c>
      <c r="W139">
        <v>95.21</v>
      </c>
      <c r="X139" t="s">
        <v>175</v>
      </c>
    </row>
    <row r="140" spans="1:24" x14ac:dyDescent="0.3">
      <c r="A140">
        <v>4319703577</v>
      </c>
      <c r="B140" s="1">
        <v>42489</v>
      </c>
      <c r="C140">
        <v>7990</v>
      </c>
      <c r="D140">
        <v>5.3600001335143999</v>
      </c>
      <c r="E140">
        <v>6</v>
      </c>
      <c r="F140">
        <v>18</v>
      </c>
      <c r="G140">
        <v>289</v>
      </c>
      <c r="H140">
        <v>624</v>
      </c>
      <c r="I140">
        <v>2175</v>
      </c>
      <c r="J140" t="s">
        <v>149</v>
      </c>
      <c r="K140" t="s">
        <v>141</v>
      </c>
      <c r="L140">
        <v>313</v>
      </c>
      <c r="M140">
        <v>937</v>
      </c>
      <c r="N140">
        <v>10.4</v>
      </c>
      <c r="O140" t="s">
        <v>150</v>
      </c>
      <c r="P140" t="s">
        <v>143</v>
      </c>
      <c r="Q140">
        <v>1</v>
      </c>
      <c r="R140">
        <v>523</v>
      </c>
      <c r="S140">
        <v>546</v>
      </c>
      <c r="T140">
        <v>8.7200000000000006</v>
      </c>
      <c r="U140">
        <v>9.1</v>
      </c>
      <c r="V140">
        <v>23</v>
      </c>
      <c r="W140">
        <v>95.79</v>
      </c>
      <c r="X140" t="s">
        <v>175</v>
      </c>
    </row>
    <row r="141" spans="1:24" x14ac:dyDescent="0.3">
      <c r="A141">
        <v>4319703577</v>
      </c>
      <c r="B141" s="1">
        <v>42490</v>
      </c>
      <c r="C141">
        <v>8221</v>
      </c>
      <c r="D141">
        <v>5.5199999809265101</v>
      </c>
      <c r="E141">
        <v>6</v>
      </c>
      <c r="F141">
        <v>38</v>
      </c>
      <c r="G141">
        <v>196</v>
      </c>
      <c r="H141">
        <v>695</v>
      </c>
      <c r="I141">
        <v>2092</v>
      </c>
      <c r="J141" t="s">
        <v>151</v>
      </c>
      <c r="K141" t="s">
        <v>141</v>
      </c>
      <c r="L141">
        <v>240</v>
      </c>
      <c r="M141">
        <v>935</v>
      </c>
      <c r="N141">
        <v>11.58</v>
      </c>
      <c r="O141" t="s">
        <v>150</v>
      </c>
      <c r="P141" t="s">
        <v>143</v>
      </c>
      <c r="Q141">
        <v>1</v>
      </c>
      <c r="R141">
        <v>490</v>
      </c>
      <c r="S141">
        <v>516</v>
      </c>
      <c r="T141">
        <v>8.17</v>
      </c>
      <c r="U141">
        <v>8.6</v>
      </c>
      <c r="V141">
        <v>26</v>
      </c>
      <c r="W141">
        <v>94.96</v>
      </c>
      <c r="X141" t="s">
        <v>175</v>
      </c>
    </row>
    <row r="142" spans="1:24" x14ac:dyDescent="0.3">
      <c r="A142">
        <v>4319703577</v>
      </c>
      <c r="B142" s="1">
        <v>42491</v>
      </c>
      <c r="C142">
        <v>1251</v>
      </c>
      <c r="D142">
        <v>0.83999997377395597</v>
      </c>
      <c r="E142">
        <v>0</v>
      </c>
      <c r="F142">
        <v>0</v>
      </c>
      <c r="G142">
        <v>67</v>
      </c>
      <c r="H142">
        <v>836</v>
      </c>
      <c r="I142">
        <v>1593</v>
      </c>
      <c r="J142" t="s">
        <v>153</v>
      </c>
      <c r="K142" t="s">
        <v>156</v>
      </c>
      <c r="L142">
        <v>67</v>
      </c>
      <c r="M142">
        <v>903</v>
      </c>
      <c r="N142">
        <v>13.93</v>
      </c>
      <c r="O142" t="s">
        <v>142</v>
      </c>
      <c r="P142" t="s">
        <v>142</v>
      </c>
      <c r="Q142">
        <v>1</v>
      </c>
      <c r="R142">
        <v>484</v>
      </c>
      <c r="S142">
        <v>500</v>
      </c>
      <c r="T142">
        <v>8.07</v>
      </c>
      <c r="U142">
        <v>8.33</v>
      </c>
      <c r="V142">
        <v>16</v>
      </c>
      <c r="W142">
        <v>96.8</v>
      </c>
      <c r="X142" t="s">
        <v>175</v>
      </c>
    </row>
    <row r="143" spans="1:24" x14ac:dyDescent="0.3">
      <c r="A143">
        <v>4319703577</v>
      </c>
      <c r="B143" s="1">
        <v>42492</v>
      </c>
      <c r="C143">
        <v>9261</v>
      </c>
      <c r="D143">
        <v>6.2399997711181596</v>
      </c>
      <c r="E143">
        <v>0</v>
      </c>
      <c r="F143">
        <v>11</v>
      </c>
      <c r="G143">
        <v>344</v>
      </c>
      <c r="H143">
        <v>585</v>
      </c>
      <c r="I143">
        <v>2270</v>
      </c>
      <c r="J143" t="s">
        <v>155</v>
      </c>
      <c r="K143" t="s">
        <v>156</v>
      </c>
      <c r="L143">
        <v>355</v>
      </c>
      <c r="M143">
        <v>940</v>
      </c>
      <c r="N143">
        <v>9.75</v>
      </c>
      <c r="O143" t="s">
        <v>150</v>
      </c>
      <c r="P143" t="s">
        <v>142</v>
      </c>
      <c r="Q143">
        <v>1</v>
      </c>
      <c r="R143">
        <v>478</v>
      </c>
      <c r="S143">
        <v>506</v>
      </c>
      <c r="T143">
        <v>7.97</v>
      </c>
      <c r="U143">
        <v>8.43</v>
      </c>
      <c r="V143">
        <v>28</v>
      </c>
      <c r="W143">
        <v>94.47</v>
      </c>
      <c r="X143" t="s">
        <v>175</v>
      </c>
    </row>
    <row r="144" spans="1:24" x14ac:dyDescent="0.3">
      <c r="A144">
        <v>4319703577</v>
      </c>
      <c r="B144" s="1">
        <v>42493</v>
      </c>
      <c r="C144">
        <v>9648</v>
      </c>
      <c r="D144">
        <v>6.4699997901916504</v>
      </c>
      <c r="E144">
        <v>8</v>
      </c>
      <c r="F144">
        <v>26</v>
      </c>
      <c r="G144">
        <v>287</v>
      </c>
      <c r="H144">
        <v>669</v>
      </c>
      <c r="I144">
        <v>2235</v>
      </c>
      <c r="J144" t="s">
        <v>140</v>
      </c>
      <c r="K144" t="s">
        <v>156</v>
      </c>
      <c r="L144">
        <v>321</v>
      </c>
      <c r="M144">
        <v>990</v>
      </c>
      <c r="N144">
        <v>11.15</v>
      </c>
      <c r="O144" t="s">
        <v>150</v>
      </c>
      <c r="P144" t="s">
        <v>143</v>
      </c>
      <c r="Q144">
        <v>1</v>
      </c>
      <c r="R144">
        <v>474</v>
      </c>
      <c r="S144">
        <v>512</v>
      </c>
      <c r="T144">
        <v>7.9</v>
      </c>
      <c r="U144">
        <v>8.5299999999999994</v>
      </c>
      <c r="V144">
        <v>38</v>
      </c>
      <c r="W144">
        <v>92.58</v>
      </c>
      <c r="X144" t="s">
        <v>175</v>
      </c>
    </row>
    <row r="145" spans="1:24" x14ac:dyDescent="0.3">
      <c r="A145">
        <v>4319703577</v>
      </c>
      <c r="B145" s="1">
        <v>42496</v>
      </c>
      <c r="C145">
        <v>9524</v>
      </c>
      <c r="D145">
        <v>6.4200000762939498</v>
      </c>
      <c r="E145">
        <v>6</v>
      </c>
      <c r="F145">
        <v>11</v>
      </c>
      <c r="G145">
        <v>314</v>
      </c>
      <c r="H145">
        <v>692</v>
      </c>
      <c r="I145">
        <v>2266</v>
      </c>
      <c r="J145" t="s">
        <v>149</v>
      </c>
      <c r="K145" t="s">
        <v>156</v>
      </c>
      <c r="L145">
        <v>331</v>
      </c>
      <c r="M145">
        <v>1023</v>
      </c>
      <c r="N145">
        <v>11.53</v>
      </c>
      <c r="O145" t="s">
        <v>150</v>
      </c>
      <c r="P145" t="s">
        <v>143</v>
      </c>
      <c r="Q145">
        <v>1</v>
      </c>
      <c r="R145">
        <v>450</v>
      </c>
      <c r="S145">
        <v>491</v>
      </c>
      <c r="T145">
        <v>7.5</v>
      </c>
      <c r="U145">
        <v>8.18</v>
      </c>
      <c r="V145">
        <v>41</v>
      </c>
      <c r="W145">
        <v>91.65</v>
      </c>
      <c r="X145" t="s">
        <v>175</v>
      </c>
    </row>
    <row r="146" spans="1:24" x14ac:dyDescent="0.3">
      <c r="A146">
        <v>4319703577</v>
      </c>
      <c r="B146" s="1">
        <v>42497</v>
      </c>
      <c r="C146">
        <v>7937</v>
      </c>
      <c r="D146">
        <v>5.3299999237060502</v>
      </c>
      <c r="E146">
        <v>3</v>
      </c>
      <c r="F146">
        <v>28</v>
      </c>
      <c r="G146">
        <v>279</v>
      </c>
      <c r="H146">
        <v>586</v>
      </c>
      <c r="I146">
        <v>2158</v>
      </c>
      <c r="J146" t="s">
        <v>151</v>
      </c>
      <c r="K146" t="s">
        <v>156</v>
      </c>
      <c r="L146">
        <v>310</v>
      </c>
      <c r="M146">
        <v>896</v>
      </c>
      <c r="N146">
        <v>9.77</v>
      </c>
      <c r="O146" t="s">
        <v>150</v>
      </c>
      <c r="P146" t="s">
        <v>143</v>
      </c>
      <c r="Q146">
        <v>1</v>
      </c>
      <c r="R146">
        <v>507</v>
      </c>
      <c r="S146">
        <v>530</v>
      </c>
      <c r="T146">
        <v>8.4499999999999993</v>
      </c>
      <c r="U146">
        <v>8.83</v>
      </c>
      <c r="V146">
        <v>23</v>
      </c>
      <c r="W146">
        <v>95.66</v>
      </c>
      <c r="X146" t="s">
        <v>175</v>
      </c>
    </row>
    <row r="147" spans="1:24" x14ac:dyDescent="0.3">
      <c r="A147">
        <v>4319703577</v>
      </c>
      <c r="B147" s="1">
        <v>42498</v>
      </c>
      <c r="C147">
        <v>3672</v>
      </c>
      <c r="D147">
        <v>2.46000003814697</v>
      </c>
      <c r="E147">
        <v>0</v>
      </c>
      <c r="F147">
        <v>0</v>
      </c>
      <c r="G147">
        <v>153</v>
      </c>
      <c r="H147">
        <v>603</v>
      </c>
      <c r="I147">
        <v>1792</v>
      </c>
      <c r="J147" t="s">
        <v>153</v>
      </c>
      <c r="K147" t="s">
        <v>156</v>
      </c>
      <c r="L147">
        <v>153</v>
      </c>
      <c r="M147">
        <v>756</v>
      </c>
      <c r="N147">
        <v>10.050000000000001</v>
      </c>
      <c r="O147" t="s">
        <v>142</v>
      </c>
      <c r="P147" t="s">
        <v>142</v>
      </c>
      <c r="Q147">
        <v>1</v>
      </c>
      <c r="R147">
        <v>602</v>
      </c>
      <c r="S147">
        <v>638</v>
      </c>
      <c r="T147">
        <v>10.029999999999999</v>
      </c>
      <c r="U147">
        <v>10.63</v>
      </c>
      <c r="V147">
        <v>36</v>
      </c>
      <c r="W147">
        <v>94.36</v>
      </c>
      <c r="X147" t="s">
        <v>174</v>
      </c>
    </row>
    <row r="148" spans="1:24" x14ac:dyDescent="0.3">
      <c r="A148">
        <v>4319703577</v>
      </c>
      <c r="B148" s="1">
        <v>42499</v>
      </c>
      <c r="C148">
        <v>10378</v>
      </c>
      <c r="D148">
        <v>6.96000003814697</v>
      </c>
      <c r="E148">
        <v>2</v>
      </c>
      <c r="F148">
        <v>14</v>
      </c>
      <c r="G148">
        <v>374</v>
      </c>
      <c r="H148">
        <v>490</v>
      </c>
      <c r="I148">
        <v>2345</v>
      </c>
      <c r="J148" t="s">
        <v>155</v>
      </c>
      <c r="K148" t="s">
        <v>156</v>
      </c>
      <c r="L148">
        <v>390</v>
      </c>
      <c r="M148">
        <v>880</v>
      </c>
      <c r="N148">
        <v>8.17</v>
      </c>
      <c r="O148" t="s">
        <v>147</v>
      </c>
      <c r="P148" t="s">
        <v>143</v>
      </c>
      <c r="Q148">
        <v>1</v>
      </c>
      <c r="R148">
        <v>535</v>
      </c>
      <c r="S148">
        <v>565</v>
      </c>
      <c r="T148">
        <v>8.92</v>
      </c>
      <c r="U148">
        <v>9.42</v>
      </c>
      <c r="V148">
        <v>30</v>
      </c>
      <c r="W148">
        <v>94.69</v>
      </c>
      <c r="X148" t="s">
        <v>175</v>
      </c>
    </row>
    <row r="149" spans="1:24" x14ac:dyDescent="0.3">
      <c r="A149">
        <v>4319703577</v>
      </c>
      <c r="B149" s="1">
        <v>42500</v>
      </c>
      <c r="C149">
        <v>9487</v>
      </c>
      <c r="D149">
        <v>6.3699998855590803</v>
      </c>
      <c r="E149">
        <v>3</v>
      </c>
      <c r="F149">
        <v>12</v>
      </c>
      <c r="G149">
        <v>329</v>
      </c>
      <c r="H149">
        <v>555</v>
      </c>
      <c r="I149">
        <v>2260</v>
      </c>
      <c r="J149" t="s">
        <v>140</v>
      </c>
      <c r="K149" t="s">
        <v>156</v>
      </c>
      <c r="L149">
        <v>344</v>
      </c>
      <c r="M149">
        <v>899</v>
      </c>
      <c r="N149">
        <v>9.25</v>
      </c>
      <c r="O149" t="s">
        <v>150</v>
      </c>
      <c r="P149" t="s">
        <v>143</v>
      </c>
      <c r="Q149">
        <v>1</v>
      </c>
      <c r="R149">
        <v>487</v>
      </c>
      <c r="S149">
        <v>517</v>
      </c>
      <c r="T149">
        <v>8.1199999999999992</v>
      </c>
      <c r="U149">
        <v>8.6199999999999992</v>
      </c>
      <c r="V149">
        <v>30</v>
      </c>
      <c r="W149">
        <v>94.2</v>
      </c>
      <c r="X149" t="s">
        <v>175</v>
      </c>
    </row>
    <row r="150" spans="1:24" x14ac:dyDescent="0.3">
      <c r="A150">
        <v>4319703577</v>
      </c>
      <c r="B150" s="1">
        <v>42501</v>
      </c>
      <c r="C150">
        <v>9129</v>
      </c>
      <c r="D150">
        <v>6.1300001144409197</v>
      </c>
      <c r="E150">
        <v>3</v>
      </c>
      <c r="F150">
        <v>18</v>
      </c>
      <c r="G150">
        <v>311</v>
      </c>
      <c r="H150">
        <v>574</v>
      </c>
      <c r="I150">
        <v>2232</v>
      </c>
      <c r="J150" t="s">
        <v>146</v>
      </c>
      <c r="K150" t="s">
        <v>156</v>
      </c>
      <c r="L150">
        <v>332</v>
      </c>
      <c r="M150">
        <v>906</v>
      </c>
      <c r="N150">
        <v>9.57</v>
      </c>
      <c r="O150" t="s">
        <v>150</v>
      </c>
      <c r="P150" t="s">
        <v>143</v>
      </c>
      <c r="Q150">
        <v>1</v>
      </c>
      <c r="R150">
        <v>529</v>
      </c>
      <c r="S150">
        <v>558</v>
      </c>
      <c r="T150">
        <v>8.82</v>
      </c>
      <c r="U150">
        <v>9.3000000000000007</v>
      </c>
      <c r="V150">
        <v>29</v>
      </c>
      <c r="W150">
        <v>94.8</v>
      </c>
      <c r="X150" t="s">
        <v>175</v>
      </c>
    </row>
    <row r="151" spans="1:24" x14ac:dyDescent="0.3">
      <c r="A151">
        <v>4319703577</v>
      </c>
      <c r="B151" s="1">
        <v>42502</v>
      </c>
      <c r="C151">
        <v>17</v>
      </c>
      <c r="D151">
        <v>9.9999997764825804E-3</v>
      </c>
      <c r="E151">
        <v>0</v>
      </c>
      <c r="F151">
        <v>0</v>
      </c>
      <c r="G151">
        <v>2</v>
      </c>
      <c r="H151">
        <v>0</v>
      </c>
      <c r="I151">
        <v>257</v>
      </c>
      <c r="J151" t="s">
        <v>154</v>
      </c>
      <c r="K151" t="s">
        <v>156</v>
      </c>
      <c r="L151">
        <v>2</v>
      </c>
      <c r="M151">
        <v>2</v>
      </c>
      <c r="N151">
        <v>0</v>
      </c>
      <c r="O151" t="s">
        <v>142</v>
      </c>
      <c r="P151" t="s">
        <v>142</v>
      </c>
      <c r="Q151">
        <v>1</v>
      </c>
      <c r="R151">
        <v>302</v>
      </c>
      <c r="S151">
        <v>321</v>
      </c>
      <c r="T151">
        <v>5.03</v>
      </c>
      <c r="U151">
        <v>5.35</v>
      </c>
      <c r="V151">
        <v>19</v>
      </c>
      <c r="W151">
        <v>94.08</v>
      </c>
      <c r="X151" t="s">
        <v>173</v>
      </c>
    </row>
    <row r="152" spans="1:24" x14ac:dyDescent="0.3">
      <c r="A152">
        <v>4388161847</v>
      </c>
      <c r="B152" s="1">
        <v>42475</v>
      </c>
      <c r="C152">
        <v>8758</v>
      </c>
      <c r="D152">
        <v>6.7300000190734899</v>
      </c>
      <c r="E152">
        <v>0</v>
      </c>
      <c r="F152">
        <v>0</v>
      </c>
      <c r="G152">
        <v>299</v>
      </c>
      <c r="H152">
        <v>837</v>
      </c>
      <c r="I152">
        <v>3066</v>
      </c>
      <c r="J152" t="s">
        <v>149</v>
      </c>
      <c r="K152" t="s">
        <v>141</v>
      </c>
      <c r="L152">
        <v>299</v>
      </c>
      <c r="M152">
        <v>1136</v>
      </c>
      <c r="N152">
        <v>13.95</v>
      </c>
      <c r="O152" t="s">
        <v>150</v>
      </c>
      <c r="P152" t="s">
        <v>142</v>
      </c>
      <c r="Q152">
        <v>1</v>
      </c>
      <c r="R152">
        <v>499</v>
      </c>
      <c r="S152">
        <v>526</v>
      </c>
      <c r="T152">
        <v>8.32</v>
      </c>
      <c r="U152">
        <v>8.77</v>
      </c>
      <c r="V152">
        <v>27</v>
      </c>
      <c r="W152">
        <v>94.87</v>
      </c>
      <c r="X152" t="s">
        <v>175</v>
      </c>
    </row>
    <row r="153" spans="1:24" x14ac:dyDescent="0.3">
      <c r="A153">
        <v>4388161847</v>
      </c>
      <c r="B153" s="1">
        <v>42476</v>
      </c>
      <c r="C153">
        <v>6580</v>
      </c>
      <c r="D153">
        <v>5.0599999427795401</v>
      </c>
      <c r="E153">
        <v>6</v>
      </c>
      <c r="F153">
        <v>9</v>
      </c>
      <c r="G153">
        <v>253</v>
      </c>
      <c r="H153">
        <v>609</v>
      </c>
      <c r="I153">
        <v>3073</v>
      </c>
      <c r="J153" t="s">
        <v>151</v>
      </c>
      <c r="K153" t="s">
        <v>141</v>
      </c>
      <c r="L153">
        <v>268</v>
      </c>
      <c r="M153">
        <v>877</v>
      </c>
      <c r="N153">
        <v>10.15</v>
      </c>
      <c r="O153" t="s">
        <v>144</v>
      </c>
      <c r="P153" t="s">
        <v>143</v>
      </c>
      <c r="Q153">
        <v>2</v>
      </c>
      <c r="R153">
        <v>426</v>
      </c>
      <c r="S153">
        <v>448</v>
      </c>
      <c r="T153">
        <v>7.1</v>
      </c>
      <c r="U153">
        <v>7.47</v>
      </c>
      <c r="V153">
        <v>22</v>
      </c>
      <c r="W153">
        <v>95.09</v>
      </c>
      <c r="X153" t="s">
        <v>175</v>
      </c>
    </row>
    <row r="154" spans="1:24" x14ac:dyDescent="0.3">
      <c r="A154">
        <v>4388161847</v>
      </c>
      <c r="B154" s="1">
        <v>42477</v>
      </c>
      <c r="C154">
        <v>4660</v>
      </c>
      <c r="D154">
        <v>3.5799999237060498</v>
      </c>
      <c r="E154">
        <v>0</v>
      </c>
      <c r="F154">
        <v>0</v>
      </c>
      <c r="G154">
        <v>201</v>
      </c>
      <c r="H154">
        <v>721</v>
      </c>
      <c r="I154">
        <v>2572</v>
      </c>
      <c r="J154" t="s">
        <v>153</v>
      </c>
      <c r="K154" t="s">
        <v>141</v>
      </c>
      <c r="L154">
        <v>201</v>
      </c>
      <c r="M154">
        <v>922</v>
      </c>
      <c r="N154">
        <v>12.02</v>
      </c>
      <c r="O154" t="s">
        <v>142</v>
      </c>
      <c r="P154" t="s">
        <v>142</v>
      </c>
      <c r="Q154">
        <v>2</v>
      </c>
      <c r="R154">
        <v>619</v>
      </c>
      <c r="S154">
        <v>641</v>
      </c>
      <c r="T154">
        <v>10.32</v>
      </c>
      <c r="U154">
        <v>10.68</v>
      </c>
      <c r="V154">
        <v>22</v>
      </c>
      <c r="W154">
        <v>96.57</v>
      </c>
      <c r="X154" t="s">
        <v>174</v>
      </c>
    </row>
    <row r="155" spans="1:24" x14ac:dyDescent="0.3">
      <c r="A155">
        <v>4388161847</v>
      </c>
      <c r="B155" s="1">
        <v>42478</v>
      </c>
      <c r="C155">
        <v>11009</v>
      </c>
      <c r="D155">
        <v>9.1000003814697301</v>
      </c>
      <c r="E155">
        <v>27</v>
      </c>
      <c r="F155">
        <v>8</v>
      </c>
      <c r="G155">
        <v>239</v>
      </c>
      <c r="H155">
        <v>1017</v>
      </c>
      <c r="I155">
        <v>3274</v>
      </c>
      <c r="J155" t="s">
        <v>155</v>
      </c>
      <c r="K155" t="s">
        <v>141</v>
      </c>
      <c r="L155">
        <v>274</v>
      </c>
      <c r="M155">
        <v>1291</v>
      </c>
      <c r="N155">
        <v>16.95</v>
      </c>
      <c r="O155" t="s">
        <v>147</v>
      </c>
      <c r="P155" t="s">
        <v>148</v>
      </c>
      <c r="Q155">
        <v>1</v>
      </c>
      <c r="R155">
        <v>99</v>
      </c>
      <c r="S155">
        <v>104</v>
      </c>
      <c r="T155">
        <v>1.65</v>
      </c>
      <c r="U155">
        <v>1.73</v>
      </c>
      <c r="V155">
        <v>5</v>
      </c>
      <c r="W155">
        <v>95.19</v>
      </c>
      <c r="X155" t="s">
        <v>173</v>
      </c>
    </row>
    <row r="156" spans="1:24" x14ac:dyDescent="0.3">
      <c r="A156">
        <v>4388161847</v>
      </c>
      <c r="B156" s="1">
        <v>42479</v>
      </c>
      <c r="C156">
        <v>10181</v>
      </c>
      <c r="D156">
        <v>7.8299999237060502</v>
      </c>
      <c r="E156">
        <v>20</v>
      </c>
      <c r="F156">
        <v>16</v>
      </c>
      <c r="G156">
        <v>249</v>
      </c>
      <c r="H156">
        <v>704</v>
      </c>
      <c r="I156">
        <v>3015</v>
      </c>
      <c r="J156" t="s">
        <v>140</v>
      </c>
      <c r="K156" t="s">
        <v>141</v>
      </c>
      <c r="L156">
        <v>285</v>
      </c>
      <c r="M156">
        <v>989</v>
      </c>
      <c r="N156">
        <v>11.73</v>
      </c>
      <c r="O156" t="s">
        <v>147</v>
      </c>
      <c r="P156" t="s">
        <v>148</v>
      </c>
      <c r="Q156">
        <v>1</v>
      </c>
      <c r="R156">
        <v>329</v>
      </c>
      <c r="S156">
        <v>338</v>
      </c>
      <c r="T156">
        <v>5.48</v>
      </c>
      <c r="U156">
        <v>5.63</v>
      </c>
      <c r="V156">
        <v>9</v>
      </c>
      <c r="W156">
        <v>97.34</v>
      </c>
      <c r="X156" t="s">
        <v>173</v>
      </c>
    </row>
    <row r="157" spans="1:24" x14ac:dyDescent="0.3">
      <c r="A157">
        <v>4388161847</v>
      </c>
      <c r="B157" s="1">
        <v>42480</v>
      </c>
      <c r="C157">
        <v>10553</v>
      </c>
      <c r="D157">
        <v>8.1199998855590803</v>
      </c>
      <c r="E157">
        <v>19</v>
      </c>
      <c r="F157">
        <v>42</v>
      </c>
      <c r="G157">
        <v>228</v>
      </c>
      <c r="H157">
        <v>696</v>
      </c>
      <c r="I157">
        <v>3083</v>
      </c>
      <c r="J157" t="s">
        <v>146</v>
      </c>
      <c r="K157" t="s">
        <v>141</v>
      </c>
      <c r="L157">
        <v>289</v>
      </c>
      <c r="M157">
        <v>985</v>
      </c>
      <c r="N157">
        <v>11.6</v>
      </c>
      <c r="O157" t="s">
        <v>147</v>
      </c>
      <c r="P157" t="s">
        <v>148</v>
      </c>
      <c r="Q157">
        <v>1</v>
      </c>
      <c r="R157">
        <v>421</v>
      </c>
      <c r="S157">
        <v>451</v>
      </c>
      <c r="T157">
        <v>7.02</v>
      </c>
      <c r="U157">
        <v>7.52</v>
      </c>
      <c r="V157">
        <v>30</v>
      </c>
      <c r="W157">
        <v>93.35</v>
      </c>
      <c r="X157" t="s">
        <v>175</v>
      </c>
    </row>
    <row r="158" spans="1:24" x14ac:dyDescent="0.3">
      <c r="A158">
        <v>4388161847</v>
      </c>
      <c r="B158" s="1">
        <v>42481</v>
      </c>
      <c r="C158">
        <v>10055</v>
      </c>
      <c r="D158">
        <v>7.7300000190734899</v>
      </c>
      <c r="E158">
        <v>7</v>
      </c>
      <c r="F158">
        <v>12</v>
      </c>
      <c r="G158">
        <v>272</v>
      </c>
      <c r="H158">
        <v>853</v>
      </c>
      <c r="I158">
        <v>3069</v>
      </c>
      <c r="J158" t="s">
        <v>154</v>
      </c>
      <c r="K158" t="s">
        <v>141</v>
      </c>
      <c r="L158">
        <v>291</v>
      </c>
      <c r="M158">
        <v>1144</v>
      </c>
      <c r="N158">
        <v>14.22</v>
      </c>
      <c r="O158" t="s">
        <v>147</v>
      </c>
      <c r="P158" t="s">
        <v>143</v>
      </c>
      <c r="Q158">
        <v>1</v>
      </c>
      <c r="R158">
        <v>442</v>
      </c>
      <c r="S158">
        <v>458</v>
      </c>
      <c r="T158">
        <v>7.37</v>
      </c>
      <c r="U158">
        <v>7.63</v>
      </c>
      <c r="V158">
        <v>16</v>
      </c>
      <c r="W158">
        <v>96.51</v>
      </c>
      <c r="X158" t="s">
        <v>175</v>
      </c>
    </row>
    <row r="159" spans="1:24" x14ac:dyDescent="0.3">
      <c r="A159">
        <v>4388161847</v>
      </c>
      <c r="B159" s="1">
        <v>42482</v>
      </c>
      <c r="C159">
        <v>12139</v>
      </c>
      <c r="D159">
        <v>9.3400001525878906</v>
      </c>
      <c r="E159">
        <v>77</v>
      </c>
      <c r="F159">
        <v>25</v>
      </c>
      <c r="G159">
        <v>220</v>
      </c>
      <c r="H159">
        <v>945</v>
      </c>
      <c r="I159">
        <v>3544</v>
      </c>
      <c r="J159" t="s">
        <v>149</v>
      </c>
      <c r="K159" t="s">
        <v>141</v>
      </c>
      <c r="L159">
        <v>322</v>
      </c>
      <c r="M159">
        <v>1267</v>
      </c>
      <c r="N159">
        <v>15.75</v>
      </c>
      <c r="O159" t="s">
        <v>147</v>
      </c>
      <c r="P159" t="s">
        <v>145</v>
      </c>
      <c r="Q159">
        <v>1</v>
      </c>
      <c r="R159">
        <v>82</v>
      </c>
      <c r="S159">
        <v>85</v>
      </c>
      <c r="T159">
        <v>1.37</v>
      </c>
      <c r="U159">
        <v>1.42</v>
      </c>
      <c r="V159">
        <v>3</v>
      </c>
      <c r="W159">
        <v>96.47</v>
      </c>
      <c r="X159" t="s">
        <v>173</v>
      </c>
    </row>
    <row r="160" spans="1:24" x14ac:dyDescent="0.3">
      <c r="A160">
        <v>4388161847</v>
      </c>
      <c r="B160" s="1">
        <v>42483</v>
      </c>
      <c r="C160">
        <v>13236</v>
      </c>
      <c r="D160">
        <v>10.180000305175801</v>
      </c>
      <c r="E160">
        <v>58</v>
      </c>
      <c r="F160">
        <v>5</v>
      </c>
      <c r="G160">
        <v>215</v>
      </c>
      <c r="H160">
        <v>749</v>
      </c>
      <c r="I160">
        <v>3306</v>
      </c>
      <c r="J160" t="s">
        <v>151</v>
      </c>
      <c r="K160" t="s">
        <v>141</v>
      </c>
      <c r="L160">
        <v>278</v>
      </c>
      <c r="M160">
        <v>1027</v>
      </c>
      <c r="N160">
        <v>12.48</v>
      </c>
      <c r="O160" t="s">
        <v>152</v>
      </c>
      <c r="P160" t="s">
        <v>145</v>
      </c>
      <c r="Q160">
        <v>1</v>
      </c>
      <c r="R160">
        <v>478</v>
      </c>
      <c r="S160">
        <v>501</v>
      </c>
      <c r="T160">
        <v>7.97</v>
      </c>
      <c r="U160">
        <v>8.35</v>
      </c>
      <c r="V160">
        <v>23</v>
      </c>
      <c r="W160">
        <v>95.41</v>
      </c>
      <c r="X160" t="s">
        <v>175</v>
      </c>
    </row>
    <row r="161" spans="1:24" x14ac:dyDescent="0.3">
      <c r="A161">
        <v>4388161847</v>
      </c>
      <c r="B161" s="1">
        <v>42484</v>
      </c>
      <c r="C161">
        <v>10243</v>
      </c>
      <c r="D161">
        <v>7.8800001144409197</v>
      </c>
      <c r="E161">
        <v>14</v>
      </c>
      <c r="F161">
        <v>8</v>
      </c>
      <c r="G161">
        <v>239</v>
      </c>
      <c r="H161">
        <v>584</v>
      </c>
      <c r="I161">
        <v>2885</v>
      </c>
      <c r="J161" t="s">
        <v>153</v>
      </c>
      <c r="K161" t="s">
        <v>141</v>
      </c>
      <c r="L161">
        <v>261</v>
      </c>
      <c r="M161">
        <v>845</v>
      </c>
      <c r="N161">
        <v>9.73</v>
      </c>
      <c r="O161" t="s">
        <v>147</v>
      </c>
      <c r="P161" t="s">
        <v>143</v>
      </c>
      <c r="Q161">
        <v>3</v>
      </c>
      <c r="R161">
        <v>552</v>
      </c>
      <c r="S161">
        <v>595</v>
      </c>
      <c r="T161">
        <v>9.1999999999999993</v>
      </c>
      <c r="U161">
        <v>9.92</v>
      </c>
      <c r="V161">
        <v>43</v>
      </c>
      <c r="W161">
        <v>92.77</v>
      </c>
      <c r="X161" t="s">
        <v>174</v>
      </c>
    </row>
    <row r="162" spans="1:24" x14ac:dyDescent="0.3">
      <c r="A162">
        <v>4388161847</v>
      </c>
      <c r="B162" s="1">
        <v>42486</v>
      </c>
      <c r="C162">
        <v>9461</v>
      </c>
      <c r="D162">
        <v>7.2800002098083496</v>
      </c>
      <c r="E162">
        <v>14</v>
      </c>
      <c r="F162">
        <v>23</v>
      </c>
      <c r="G162">
        <v>224</v>
      </c>
      <c r="H162">
        <v>673</v>
      </c>
      <c r="I162">
        <v>2929</v>
      </c>
      <c r="J162" t="s">
        <v>140</v>
      </c>
      <c r="K162" t="s">
        <v>141</v>
      </c>
      <c r="L162">
        <v>261</v>
      </c>
      <c r="M162">
        <v>934</v>
      </c>
      <c r="N162">
        <v>11.22</v>
      </c>
      <c r="O162" t="s">
        <v>150</v>
      </c>
      <c r="P162" t="s">
        <v>143</v>
      </c>
      <c r="Q162">
        <v>1</v>
      </c>
      <c r="R162">
        <v>319</v>
      </c>
      <c r="S162">
        <v>346</v>
      </c>
      <c r="T162">
        <v>5.32</v>
      </c>
      <c r="U162">
        <v>5.77</v>
      </c>
      <c r="V162">
        <v>27</v>
      </c>
      <c r="W162">
        <v>92.2</v>
      </c>
      <c r="X162" t="s">
        <v>173</v>
      </c>
    </row>
    <row r="163" spans="1:24" x14ac:dyDescent="0.3">
      <c r="A163">
        <v>4388161847</v>
      </c>
      <c r="B163" s="1">
        <v>42487</v>
      </c>
      <c r="C163">
        <v>11193</v>
      </c>
      <c r="D163">
        <v>8.6099996566772496</v>
      </c>
      <c r="E163">
        <v>11</v>
      </c>
      <c r="F163">
        <v>48</v>
      </c>
      <c r="G163">
        <v>241</v>
      </c>
      <c r="H163">
        <v>684</v>
      </c>
      <c r="I163">
        <v>3074</v>
      </c>
      <c r="J163" t="s">
        <v>146</v>
      </c>
      <c r="K163" t="s">
        <v>141</v>
      </c>
      <c r="L163">
        <v>300</v>
      </c>
      <c r="M163">
        <v>984</v>
      </c>
      <c r="N163">
        <v>11.4</v>
      </c>
      <c r="O163" t="s">
        <v>147</v>
      </c>
      <c r="P163" t="s">
        <v>143</v>
      </c>
      <c r="Q163">
        <v>1</v>
      </c>
      <c r="R163">
        <v>439</v>
      </c>
      <c r="S163">
        <v>500</v>
      </c>
      <c r="T163">
        <v>7.32</v>
      </c>
      <c r="U163">
        <v>8.33</v>
      </c>
      <c r="V163">
        <v>61</v>
      </c>
      <c r="W163">
        <v>87.8</v>
      </c>
      <c r="X163" t="s">
        <v>175</v>
      </c>
    </row>
    <row r="164" spans="1:24" x14ac:dyDescent="0.3">
      <c r="A164">
        <v>4388161847</v>
      </c>
      <c r="B164" s="1">
        <v>42488</v>
      </c>
      <c r="C164">
        <v>10074</v>
      </c>
      <c r="D164">
        <v>7.75</v>
      </c>
      <c r="E164">
        <v>19</v>
      </c>
      <c r="F164">
        <v>9</v>
      </c>
      <c r="G164">
        <v>234</v>
      </c>
      <c r="H164">
        <v>878</v>
      </c>
      <c r="I164">
        <v>2969</v>
      </c>
      <c r="J164" t="s">
        <v>154</v>
      </c>
      <c r="K164" t="s">
        <v>141</v>
      </c>
      <c r="L164">
        <v>262</v>
      </c>
      <c r="M164">
        <v>1140</v>
      </c>
      <c r="N164">
        <v>14.63</v>
      </c>
      <c r="O164" t="s">
        <v>147</v>
      </c>
      <c r="P164" t="s">
        <v>148</v>
      </c>
      <c r="Q164">
        <v>1</v>
      </c>
      <c r="R164">
        <v>428</v>
      </c>
      <c r="S164">
        <v>458</v>
      </c>
      <c r="T164">
        <v>7.13</v>
      </c>
      <c r="U164">
        <v>7.63</v>
      </c>
      <c r="V164">
        <v>30</v>
      </c>
      <c r="W164">
        <v>93.45</v>
      </c>
      <c r="X164" t="s">
        <v>175</v>
      </c>
    </row>
    <row r="165" spans="1:24" x14ac:dyDescent="0.3">
      <c r="A165">
        <v>4388161847</v>
      </c>
      <c r="B165" s="1">
        <v>42490</v>
      </c>
      <c r="C165">
        <v>12533</v>
      </c>
      <c r="D165">
        <v>9.6400003433227504</v>
      </c>
      <c r="E165">
        <v>14</v>
      </c>
      <c r="F165">
        <v>43</v>
      </c>
      <c r="G165">
        <v>300</v>
      </c>
      <c r="H165">
        <v>537</v>
      </c>
      <c r="I165">
        <v>3283</v>
      </c>
      <c r="J165" t="s">
        <v>151</v>
      </c>
      <c r="K165" t="s">
        <v>141</v>
      </c>
      <c r="L165">
        <v>357</v>
      </c>
      <c r="M165">
        <v>894</v>
      </c>
      <c r="N165">
        <v>8.9499999999999993</v>
      </c>
      <c r="O165" t="s">
        <v>152</v>
      </c>
      <c r="P165" t="s">
        <v>143</v>
      </c>
      <c r="Q165">
        <v>2</v>
      </c>
      <c r="R165">
        <v>409</v>
      </c>
      <c r="S165">
        <v>430</v>
      </c>
      <c r="T165">
        <v>6.82</v>
      </c>
      <c r="U165">
        <v>7.17</v>
      </c>
      <c r="V165">
        <v>21</v>
      </c>
      <c r="W165">
        <v>95.12</v>
      </c>
      <c r="X165" t="s">
        <v>176</v>
      </c>
    </row>
    <row r="166" spans="1:24" x14ac:dyDescent="0.3">
      <c r="A166">
        <v>4388161847</v>
      </c>
      <c r="B166" s="1">
        <v>42491</v>
      </c>
      <c r="C166">
        <v>10255</v>
      </c>
      <c r="D166">
        <v>7.8899998664856001</v>
      </c>
      <c r="E166">
        <v>12</v>
      </c>
      <c r="F166">
        <v>15</v>
      </c>
      <c r="G166">
        <v>241</v>
      </c>
      <c r="H166">
        <v>579</v>
      </c>
      <c r="I166">
        <v>2926</v>
      </c>
      <c r="J166" t="s">
        <v>153</v>
      </c>
      <c r="K166" t="s">
        <v>156</v>
      </c>
      <c r="L166">
        <v>268</v>
      </c>
      <c r="M166">
        <v>847</v>
      </c>
      <c r="N166">
        <v>9.65</v>
      </c>
      <c r="O166" t="s">
        <v>147</v>
      </c>
      <c r="P166" t="s">
        <v>143</v>
      </c>
      <c r="Q166">
        <v>1</v>
      </c>
      <c r="R166">
        <v>547</v>
      </c>
      <c r="S166">
        <v>597</v>
      </c>
      <c r="T166">
        <v>9.1199999999999992</v>
      </c>
      <c r="U166">
        <v>9.9499999999999993</v>
      </c>
      <c r="V166">
        <v>50</v>
      </c>
      <c r="W166">
        <v>91.62</v>
      </c>
      <c r="X166" t="s">
        <v>174</v>
      </c>
    </row>
    <row r="167" spans="1:24" x14ac:dyDescent="0.3">
      <c r="A167">
        <v>4388161847</v>
      </c>
      <c r="B167" s="1">
        <v>42492</v>
      </c>
      <c r="C167">
        <v>10096</v>
      </c>
      <c r="D167">
        <v>8.3999996185302699</v>
      </c>
      <c r="E167">
        <v>33</v>
      </c>
      <c r="F167">
        <v>4</v>
      </c>
      <c r="G167">
        <v>204</v>
      </c>
      <c r="H167">
        <v>935</v>
      </c>
      <c r="I167">
        <v>3147</v>
      </c>
      <c r="J167" t="s">
        <v>155</v>
      </c>
      <c r="K167" t="s">
        <v>156</v>
      </c>
      <c r="L167">
        <v>241</v>
      </c>
      <c r="M167">
        <v>1176</v>
      </c>
      <c r="N167">
        <v>15.58</v>
      </c>
      <c r="O167" t="s">
        <v>147</v>
      </c>
      <c r="P167" t="s">
        <v>145</v>
      </c>
      <c r="Q167">
        <v>2</v>
      </c>
      <c r="R167">
        <v>368</v>
      </c>
      <c r="S167">
        <v>376</v>
      </c>
      <c r="T167">
        <v>6.13</v>
      </c>
      <c r="U167">
        <v>6.27</v>
      </c>
      <c r="V167">
        <v>8</v>
      </c>
      <c r="W167">
        <v>97.87</v>
      </c>
      <c r="X167" t="s">
        <v>176</v>
      </c>
    </row>
    <row r="168" spans="1:24" x14ac:dyDescent="0.3">
      <c r="A168">
        <v>4388161847</v>
      </c>
      <c r="B168" s="1">
        <v>42494</v>
      </c>
      <c r="C168">
        <v>12375</v>
      </c>
      <c r="D168">
        <v>9.5200004577636701</v>
      </c>
      <c r="E168">
        <v>35</v>
      </c>
      <c r="F168">
        <v>21</v>
      </c>
      <c r="G168">
        <v>251</v>
      </c>
      <c r="H168">
        <v>632</v>
      </c>
      <c r="I168">
        <v>3162</v>
      </c>
      <c r="J168" t="s">
        <v>146</v>
      </c>
      <c r="K168" t="s">
        <v>156</v>
      </c>
      <c r="L168">
        <v>307</v>
      </c>
      <c r="M168">
        <v>939</v>
      </c>
      <c r="N168">
        <v>10.53</v>
      </c>
      <c r="O168" t="s">
        <v>147</v>
      </c>
      <c r="P168" t="s">
        <v>145</v>
      </c>
      <c r="Q168">
        <v>1</v>
      </c>
      <c r="R168">
        <v>390</v>
      </c>
      <c r="S168">
        <v>414</v>
      </c>
      <c r="T168">
        <v>6.5</v>
      </c>
      <c r="U168">
        <v>6.9</v>
      </c>
      <c r="V168">
        <v>24</v>
      </c>
      <c r="W168">
        <v>94.2</v>
      </c>
      <c r="X168" t="s">
        <v>176</v>
      </c>
    </row>
    <row r="169" spans="1:24" x14ac:dyDescent="0.3">
      <c r="A169">
        <v>4388161847</v>
      </c>
      <c r="B169" s="1">
        <v>42495</v>
      </c>
      <c r="C169">
        <v>9603</v>
      </c>
      <c r="D169">
        <v>7.3800001144409197</v>
      </c>
      <c r="E169">
        <v>12</v>
      </c>
      <c r="F169">
        <v>39</v>
      </c>
      <c r="G169">
        <v>199</v>
      </c>
      <c r="H169">
        <v>896</v>
      </c>
      <c r="I169">
        <v>2899</v>
      </c>
      <c r="J169" t="s">
        <v>154</v>
      </c>
      <c r="K169" t="s">
        <v>156</v>
      </c>
      <c r="L169">
        <v>250</v>
      </c>
      <c r="M169">
        <v>1146</v>
      </c>
      <c r="N169">
        <v>14.93</v>
      </c>
      <c r="O169" t="s">
        <v>150</v>
      </c>
      <c r="P169" t="s">
        <v>143</v>
      </c>
      <c r="Q169">
        <v>1</v>
      </c>
      <c r="R169">
        <v>471</v>
      </c>
      <c r="S169">
        <v>495</v>
      </c>
      <c r="T169">
        <v>7.85</v>
      </c>
      <c r="U169">
        <v>8.25</v>
      </c>
      <c r="V169">
        <v>24</v>
      </c>
      <c r="W169">
        <v>95.15</v>
      </c>
      <c r="X169" t="s">
        <v>175</v>
      </c>
    </row>
    <row r="170" spans="1:24" x14ac:dyDescent="0.3">
      <c r="A170">
        <v>4388161847</v>
      </c>
      <c r="B170" s="1">
        <v>42497</v>
      </c>
      <c r="C170">
        <v>22770</v>
      </c>
      <c r="D170">
        <v>17.540000915527301</v>
      </c>
      <c r="E170">
        <v>120</v>
      </c>
      <c r="F170">
        <v>56</v>
      </c>
      <c r="G170">
        <v>260</v>
      </c>
      <c r="H170">
        <v>508</v>
      </c>
      <c r="I170">
        <v>4022</v>
      </c>
      <c r="J170" t="s">
        <v>151</v>
      </c>
      <c r="K170" t="s">
        <v>156</v>
      </c>
      <c r="L170">
        <v>436</v>
      </c>
      <c r="M170">
        <v>944</v>
      </c>
      <c r="N170">
        <v>8.4700000000000006</v>
      </c>
      <c r="O170" t="s">
        <v>152</v>
      </c>
      <c r="P170" t="s">
        <v>145</v>
      </c>
      <c r="Q170">
        <v>1</v>
      </c>
      <c r="R170">
        <v>472</v>
      </c>
      <c r="S170">
        <v>496</v>
      </c>
      <c r="T170">
        <v>7.87</v>
      </c>
      <c r="U170">
        <v>8.27</v>
      </c>
      <c r="V170">
        <v>24</v>
      </c>
      <c r="W170">
        <v>95.16</v>
      </c>
      <c r="X170" t="s">
        <v>175</v>
      </c>
    </row>
    <row r="171" spans="1:24" x14ac:dyDescent="0.3">
      <c r="A171">
        <v>4388161847</v>
      </c>
      <c r="B171" s="1">
        <v>42498</v>
      </c>
      <c r="C171">
        <v>17298</v>
      </c>
      <c r="D171">
        <v>14.3800001144409</v>
      </c>
      <c r="E171">
        <v>107</v>
      </c>
      <c r="F171">
        <v>38</v>
      </c>
      <c r="G171">
        <v>178</v>
      </c>
      <c r="H171">
        <v>576</v>
      </c>
      <c r="I171">
        <v>3934</v>
      </c>
      <c r="J171" t="s">
        <v>153</v>
      </c>
      <c r="K171" t="s">
        <v>156</v>
      </c>
      <c r="L171">
        <v>323</v>
      </c>
      <c r="M171">
        <v>899</v>
      </c>
      <c r="N171">
        <v>9.6</v>
      </c>
      <c r="O171" t="s">
        <v>152</v>
      </c>
      <c r="P171" t="s">
        <v>145</v>
      </c>
      <c r="Q171">
        <v>2</v>
      </c>
      <c r="R171">
        <v>529</v>
      </c>
      <c r="S171">
        <v>541</v>
      </c>
      <c r="T171">
        <v>8.82</v>
      </c>
      <c r="U171">
        <v>9.02</v>
      </c>
      <c r="V171">
        <v>12</v>
      </c>
      <c r="W171">
        <v>97.78</v>
      </c>
      <c r="X171" t="s">
        <v>175</v>
      </c>
    </row>
    <row r="172" spans="1:24" x14ac:dyDescent="0.3">
      <c r="A172">
        <v>4388161847</v>
      </c>
      <c r="B172" s="1">
        <v>42499</v>
      </c>
      <c r="C172">
        <v>10218</v>
      </c>
      <c r="D172">
        <v>7.8600001335143999</v>
      </c>
      <c r="E172">
        <v>6</v>
      </c>
      <c r="F172">
        <v>19</v>
      </c>
      <c r="G172">
        <v>258</v>
      </c>
      <c r="H172">
        <v>1020</v>
      </c>
      <c r="I172">
        <v>3013</v>
      </c>
      <c r="J172" t="s">
        <v>155</v>
      </c>
      <c r="K172" t="s">
        <v>156</v>
      </c>
      <c r="L172">
        <v>283</v>
      </c>
      <c r="M172">
        <v>1303</v>
      </c>
      <c r="N172">
        <v>17</v>
      </c>
      <c r="O172" t="s">
        <v>147</v>
      </c>
      <c r="P172" t="s">
        <v>143</v>
      </c>
      <c r="Q172">
        <v>1</v>
      </c>
      <c r="R172">
        <v>62</v>
      </c>
      <c r="S172">
        <v>65</v>
      </c>
      <c r="T172">
        <v>1.03</v>
      </c>
      <c r="U172">
        <v>1.08</v>
      </c>
      <c r="V172">
        <v>3</v>
      </c>
      <c r="W172">
        <v>95.38</v>
      </c>
      <c r="X172" t="s">
        <v>173</v>
      </c>
    </row>
    <row r="173" spans="1:24" x14ac:dyDescent="0.3">
      <c r="A173">
        <v>4388161847</v>
      </c>
      <c r="B173" s="1">
        <v>42500</v>
      </c>
      <c r="C173">
        <v>10299</v>
      </c>
      <c r="D173">
        <v>7.9200000762939498</v>
      </c>
      <c r="E173">
        <v>13</v>
      </c>
      <c r="F173">
        <v>14</v>
      </c>
      <c r="G173">
        <v>267</v>
      </c>
      <c r="H173">
        <v>648</v>
      </c>
      <c r="I173">
        <v>3061</v>
      </c>
      <c r="J173" t="s">
        <v>140</v>
      </c>
      <c r="K173" t="s">
        <v>156</v>
      </c>
      <c r="L173">
        <v>294</v>
      </c>
      <c r="M173">
        <v>942</v>
      </c>
      <c r="N173">
        <v>10.8</v>
      </c>
      <c r="O173" t="s">
        <v>147</v>
      </c>
      <c r="P173" t="s">
        <v>143</v>
      </c>
      <c r="Q173">
        <v>1</v>
      </c>
      <c r="R173">
        <v>354</v>
      </c>
      <c r="S173">
        <v>375</v>
      </c>
      <c r="T173">
        <v>5.9</v>
      </c>
      <c r="U173">
        <v>6.25</v>
      </c>
      <c r="V173">
        <v>21</v>
      </c>
      <c r="W173">
        <v>94.4</v>
      </c>
      <c r="X173" t="s">
        <v>173</v>
      </c>
    </row>
    <row r="174" spans="1:24" x14ac:dyDescent="0.3">
      <c r="A174">
        <v>4388161847</v>
      </c>
      <c r="B174" s="1">
        <v>42501</v>
      </c>
      <c r="C174">
        <v>10201</v>
      </c>
      <c r="D174">
        <v>7.8400001525878897</v>
      </c>
      <c r="E174">
        <v>8</v>
      </c>
      <c r="F174">
        <v>18</v>
      </c>
      <c r="G174">
        <v>256</v>
      </c>
      <c r="H174">
        <v>858</v>
      </c>
      <c r="I174">
        <v>2954</v>
      </c>
      <c r="J174" t="s">
        <v>146</v>
      </c>
      <c r="K174" t="s">
        <v>156</v>
      </c>
      <c r="L174">
        <v>282</v>
      </c>
      <c r="M174">
        <v>1140</v>
      </c>
      <c r="N174">
        <v>14.3</v>
      </c>
      <c r="O174" t="s">
        <v>147</v>
      </c>
      <c r="P174" t="s">
        <v>143</v>
      </c>
      <c r="Q174">
        <v>1</v>
      </c>
      <c r="R174">
        <v>469</v>
      </c>
      <c r="S174">
        <v>494</v>
      </c>
      <c r="T174">
        <v>7.82</v>
      </c>
      <c r="U174">
        <v>8.23</v>
      </c>
      <c r="V174">
        <v>25</v>
      </c>
      <c r="W174">
        <v>94.94</v>
      </c>
      <c r="X174" t="s">
        <v>175</v>
      </c>
    </row>
    <row r="175" spans="1:24" x14ac:dyDescent="0.3">
      <c r="A175">
        <v>4445114986</v>
      </c>
      <c r="B175" s="1">
        <v>42473</v>
      </c>
      <c r="C175">
        <v>2961</v>
      </c>
      <c r="D175">
        <v>1.9900000095367401</v>
      </c>
      <c r="E175">
        <v>0</v>
      </c>
      <c r="F175">
        <v>0</v>
      </c>
      <c r="G175">
        <v>194</v>
      </c>
      <c r="H175">
        <v>840</v>
      </c>
      <c r="I175">
        <v>2095</v>
      </c>
      <c r="J175" t="s">
        <v>146</v>
      </c>
      <c r="K175" t="s">
        <v>141</v>
      </c>
      <c r="L175">
        <v>194</v>
      </c>
      <c r="M175">
        <v>1034</v>
      </c>
      <c r="N175">
        <v>14</v>
      </c>
      <c r="O175" t="s">
        <v>142</v>
      </c>
      <c r="P175" t="s">
        <v>142</v>
      </c>
      <c r="Q175">
        <v>2</v>
      </c>
      <c r="R175">
        <v>370</v>
      </c>
      <c r="S175">
        <v>406</v>
      </c>
      <c r="T175">
        <v>6.17</v>
      </c>
      <c r="U175">
        <v>6.77</v>
      </c>
      <c r="V175">
        <v>36</v>
      </c>
      <c r="W175">
        <v>91.13</v>
      </c>
      <c r="X175" t="s">
        <v>176</v>
      </c>
    </row>
    <row r="176" spans="1:24" x14ac:dyDescent="0.3">
      <c r="A176">
        <v>4445114986</v>
      </c>
      <c r="B176" s="1">
        <v>42474</v>
      </c>
      <c r="C176">
        <v>3974</v>
      </c>
      <c r="D176">
        <v>2.6700000762939502</v>
      </c>
      <c r="E176">
        <v>0</v>
      </c>
      <c r="F176">
        <v>0</v>
      </c>
      <c r="G176">
        <v>231</v>
      </c>
      <c r="H176">
        <v>717</v>
      </c>
      <c r="I176">
        <v>2194</v>
      </c>
      <c r="J176" t="s">
        <v>154</v>
      </c>
      <c r="K176" t="s">
        <v>141</v>
      </c>
      <c r="L176">
        <v>231</v>
      </c>
      <c r="M176">
        <v>948</v>
      </c>
      <c r="N176">
        <v>11.95</v>
      </c>
      <c r="O176" t="s">
        <v>142</v>
      </c>
      <c r="P176" t="s">
        <v>142</v>
      </c>
      <c r="Q176">
        <v>1</v>
      </c>
      <c r="R176">
        <v>441</v>
      </c>
      <c r="S176">
        <v>492</v>
      </c>
      <c r="T176">
        <v>7.35</v>
      </c>
      <c r="U176">
        <v>8.1999999999999993</v>
      </c>
      <c r="V176">
        <v>51</v>
      </c>
      <c r="W176">
        <v>89.63</v>
      </c>
      <c r="X176" t="s">
        <v>175</v>
      </c>
    </row>
    <row r="177" spans="1:24" x14ac:dyDescent="0.3">
      <c r="A177">
        <v>4445114986</v>
      </c>
      <c r="B177" s="1">
        <v>42475</v>
      </c>
      <c r="C177">
        <v>7198</v>
      </c>
      <c r="D177">
        <v>4.8299999237060502</v>
      </c>
      <c r="E177">
        <v>0</v>
      </c>
      <c r="F177">
        <v>0</v>
      </c>
      <c r="G177">
        <v>350</v>
      </c>
      <c r="H177">
        <v>711</v>
      </c>
      <c r="I177">
        <v>2496</v>
      </c>
      <c r="J177" t="s">
        <v>149</v>
      </c>
      <c r="K177" t="s">
        <v>141</v>
      </c>
      <c r="L177">
        <v>350</v>
      </c>
      <c r="M177">
        <v>1061</v>
      </c>
      <c r="N177">
        <v>11.85</v>
      </c>
      <c r="O177" t="s">
        <v>144</v>
      </c>
      <c r="P177" t="s">
        <v>142</v>
      </c>
      <c r="Q177">
        <v>2</v>
      </c>
      <c r="R177">
        <v>337</v>
      </c>
      <c r="S177">
        <v>379</v>
      </c>
      <c r="T177">
        <v>5.62</v>
      </c>
      <c r="U177">
        <v>6.32</v>
      </c>
      <c r="V177">
        <v>42</v>
      </c>
      <c r="W177">
        <v>88.92</v>
      </c>
      <c r="X177" t="s">
        <v>173</v>
      </c>
    </row>
    <row r="178" spans="1:24" x14ac:dyDescent="0.3">
      <c r="A178">
        <v>4445114986</v>
      </c>
      <c r="B178" s="1">
        <v>42476</v>
      </c>
      <c r="C178">
        <v>3945</v>
      </c>
      <c r="D178">
        <v>2.6500000953674299</v>
      </c>
      <c r="E178">
        <v>0</v>
      </c>
      <c r="F178">
        <v>0</v>
      </c>
      <c r="G178">
        <v>225</v>
      </c>
      <c r="H178">
        <v>716</v>
      </c>
      <c r="I178">
        <v>2180</v>
      </c>
      <c r="J178" t="s">
        <v>151</v>
      </c>
      <c r="K178" t="s">
        <v>141</v>
      </c>
      <c r="L178">
        <v>225</v>
      </c>
      <c r="M178">
        <v>941</v>
      </c>
      <c r="N178">
        <v>11.93</v>
      </c>
      <c r="O178" t="s">
        <v>142</v>
      </c>
      <c r="P178" t="s">
        <v>142</v>
      </c>
      <c r="Q178">
        <v>1</v>
      </c>
      <c r="R178">
        <v>462</v>
      </c>
      <c r="S178">
        <v>499</v>
      </c>
      <c r="T178">
        <v>7.7</v>
      </c>
      <c r="U178">
        <v>8.32</v>
      </c>
      <c r="V178">
        <v>37</v>
      </c>
      <c r="W178">
        <v>92.59</v>
      </c>
      <c r="X178" t="s">
        <v>175</v>
      </c>
    </row>
    <row r="179" spans="1:24" x14ac:dyDescent="0.3">
      <c r="A179">
        <v>4445114986</v>
      </c>
      <c r="B179" s="1">
        <v>42477</v>
      </c>
      <c r="C179">
        <v>2268</v>
      </c>
      <c r="D179">
        <v>1.5199999809265099</v>
      </c>
      <c r="E179">
        <v>0</v>
      </c>
      <c r="F179">
        <v>0</v>
      </c>
      <c r="G179">
        <v>114</v>
      </c>
      <c r="H179">
        <v>1219</v>
      </c>
      <c r="I179">
        <v>1933</v>
      </c>
      <c r="J179" t="s">
        <v>153</v>
      </c>
      <c r="K179" t="s">
        <v>141</v>
      </c>
      <c r="L179">
        <v>114</v>
      </c>
      <c r="M179">
        <v>1333</v>
      </c>
      <c r="N179">
        <v>20.32</v>
      </c>
      <c r="O179" t="s">
        <v>142</v>
      </c>
      <c r="P179" t="s">
        <v>142</v>
      </c>
      <c r="Q179">
        <v>1</v>
      </c>
      <c r="R179">
        <v>98</v>
      </c>
      <c r="S179">
        <v>107</v>
      </c>
      <c r="T179">
        <v>1.63</v>
      </c>
      <c r="U179">
        <v>1.78</v>
      </c>
      <c r="V179">
        <v>9</v>
      </c>
      <c r="W179">
        <v>91.59</v>
      </c>
      <c r="X179" t="s">
        <v>173</v>
      </c>
    </row>
    <row r="180" spans="1:24" x14ac:dyDescent="0.3">
      <c r="A180">
        <v>4445114986</v>
      </c>
      <c r="B180" s="1">
        <v>42479</v>
      </c>
      <c r="C180">
        <v>2064</v>
      </c>
      <c r="D180">
        <v>1.3899999856948899</v>
      </c>
      <c r="E180">
        <v>0</v>
      </c>
      <c r="F180">
        <v>0</v>
      </c>
      <c r="G180">
        <v>121</v>
      </c>
      <c r="H180">
        <v>895</v>
      </c>
      <c r="I180">
        <v>1954</v>
      </c>
      <c r="J180" t="s">
        <v>140</v>
      </c>
      <c r="K180" t="s">
        <v>141</v>
      </c>
      <c r="L180">
        <v>121</v>
      </c>
      <c r="M180">
        <v>1016</v>
      </c>
      <c r="N180">
        <v>14.92</v>
      </c>
      <c r="O180" t="s">
        <v>142</v>
      </c>
      <c r="P180" t="s">
        <v>142</v>
      </c>
      <c r="Q180">
        <v>2</v>
      </c>
      <c r="R180">
        <v>388</v>
      </c>
      <c r="S180">
        <v>424</v>
      </c>
      <c r="T180">
        <v>6.47</v>
      </c>
      <c r="U180">
        <v>7.07</v>
      </c>
      <c r="V180">
        <v>36</v>
      </c>
      <c r="W180">
        <v>91.51</v>
      </c>
      <c r="X180" t="s">
        <v>176</v>
      </c>
    </row>
    <row r="181" spans="1:24" x14ac:dyDescent="0.3">
      <c r="A181">
        <v>4445114986</v>
      </c>
      <c r="B181" s="1">
        <v>42480</v>
      </c>
      <c r="C181">
        <v>2072</v>
      </c>
      <c r="D181">
        <v>1.3899999856948899</v>
      </c>
      <c r="E181">
        <v>0</v>
      </c>
      <c r="F181">
        <v>0</v>
      </c>
      <c r="G181">
        <v>137</v>
      </c>
      <c r="H181">
        <v>841</v>
      </c>
      <c r="I181">
        <v>1974</v>
      </c>
      <c r="J181" t="s">
        <v>146</v>
      </c>
      <c r="K181" t="s">
        <v>141</v>
      </c>
      <c r="L181">
        <v>137</v>
      </c>
      <c r="M181">
        <v>978</v>
      </c>
      <c r="N181">
        <v>14.02</v>
      </c>
      <c r="O181" t="s">
        <v>142</v>
      </c>
      <c r="P181" t="s">
        <v>142</v>
      </c>
      <c r="Q181">
        <v>1</v>
      </c>
      <c r="R181">
        <v>439</v>
      </c>
      <c r="S181">
        <v>462</v>
      </c>
      <c r="T181">
        <v>7.32</v>
      </c>
      <c r="U181">
        <v>7.7</v>
      </c>
      <c r="V181">
        <v>23</v>
      </c>
      <c r="W181">
        <v>95.02</v>
      </c>
      <c r="X181" t="s">
        <v>175</v>
      </c>
    </row>
    <row r="182" spans="1:24" x14ac:dyDescent="0.3">
      <c r="A182">
        <v>4445114986</v>
      </c>
      <c r="B182" s="1">
        <v>42481</v>
      </c>
      <c r="C182">
        <v>3809</v>
      </c>
      <c r="D182">
        <v>2.5599999427795401</v>
      </c>
      <c r="E182">
        <v>0</v>
      </c>
      <c r="F182">
        <v>0</v>
      </c>
      <c r="G182">
        <v>215</v>
      </c>
      <c r="H182">
        <v>756</v>
      </c>
      <c r="I182">
        <v>2150</v>
      </c>
      <c r="J182" t="s">
        <v>154</v>
      </c>
      <c r="K182" t="s">
        <v>141</v>
      </c>
      <c r="L182">
        <v>215</v>
      </c>
      <c r="M182">
        <v>971</v>
      </c>
      <c r="N182">
        <v>12.6</v>
      </c>
      <c r="O182" t="s">
        <v>142</v>
      </c>
      <c r="P182" t="s">
        <v>142</v>
      </c>
      <c r="Q182">
        <v>1</v>
      </c>
      <c r="R182">
        <v>436</v>
      </c>
      <c r="S182">
        <v>469</v>
      </c>
      <c r="T182">
        <v>7.27</v>
      </c>
      <c r="U182">
        <v>7.82</v>
      </c>
      <c r="V182">
        <v>33</v>
      </c>
      <c r="W182">
        <v>92.96</v>
      </c>
      <c r="X182" t="s">
        <v>175</v>
      </c>
    </row>
    <row r="183" spans="1:24" x14ac:dyDescent="0.3">
      <c r="A183">
        <v>4445114986</v>
      </c>
      <c r="B183" s="1">
        <v>42482</v>
      </c>
      <c r="C183">
        <v>6831</v>
      </c>
      <c r="D183">
        <v>4.5799999237060502</v>
      </c>
      <c r="E183">
        <v>0</v>
      </c>
      <c r="F183">
        <v>0</v>
      </c>
      <c r="G183">
        <v>317</v>
      </c>
      <c r="H183">
        <v>706</v>
      </c>
      <c r="I183">
        <v>2432</v>
      </c>
      <c r="J183" t="s">
        <v>149</v>
      </c>
      <c r="K183" t="s">
        <v>141</v>
      </c>
      <c r="L183">
        <v>317</v>
      </c>
      <c r="M183">
        <v>1023</v>
      </c>
      <c r="N183">
        <v>11.77</v>
      </c>
      <c r="O183" t="s">
        <v>144</v>
      </c>
      <c r="P183" t="s">
        <v>142</v>
      </c>
      <c r="Q183">
        <v>1</v>
      </c>
      <c r="R183">
        <v>388</v>
      </c>
      <c r="S183">
        <v>417</v>
      </c>
      <c r="T183">
        <v>6.47</v>
      </c>
      <c r="U183">
        <v>6.95</v>
      </c>
      <c r="V183">
        <v>29</v>
      </c>
      <c r="W183">
        <v>93.05</v>
      </c>
      <c r="X183" t="s">
        <v>176</v>
      </c>
    </row>
    <row r="184" spans="1:24" x14ac:dyDescent="0.3">
      <c r="A184">
        <v>4445114986</v>
      </c>
      <c r="B184" s="1">
        <v>42485</v>
      </c>
      <c r="C184">
        <v>3385</v>
      </c>
      <c r="D184">
        <v>2.2699999809265101</v>
      </c>
      <c r="E184">
        <v>0</v>
      </c>
      <c r="F184">
        <v>0</v>
      </c>
      <c r="G184">
        <v>179</v>
      </c>
      <c r="H184">
        <v>916</v>
      </c>
      <c r="I184">
        <v>2070</v>
      </c>
      <c r="J184" t="s">
        <v>155</v>
      </c>
      <c r="K184" t="s">
        <v>141</v>
      </c>
      <c r="L184">
        <v>179</v>
      </c>
      <c r="M184">
        <v>1095</v>
      </c>
      <c r="N184">
        <v>15.27</v>
      </c>
      <c r="O184" t="s">
        <v>142</v>
      </c>
      <c r="P184" t="s">
        <v>142</v>
      </c>
      <c r="Q184">
        <v>1</v>
      </c>
      <c r="R184">
        <v>328</v>
      </c>
      <c r="S184">
        <v>345</v>
      </c>
      <c r="T184">
        <v>5.47</v>
      </c>
      <c r="U184">
        <v>5.75</v>
      </c>
      <c r="V184">
        <v>17</v>
      </c>
      <c r="W184">
        <v>95.07</v>
      </c>
      <c r="X184" t="s">
        <v>173</v>
      </c>
    </row>
    <row r="185" spans="1:24" x14ac:dyDescent="0.3">
      <c r="A185">
        <v>4445114986</v>
      </c>
      <c r="B185" s="1">
        <v>42486</v>
      </c>
      <c r="C185">
        <v>6326</v>
      </c>
      <c r="D185">
        <v>4.4099998474121103</v>
      </c>
      <c r="E185">
        <v>29</v>
      </c>
      <c r="F185">
        <v>1</v>
      </c>
      <c r="G185">
        <v>180</v>
      </c>
      <c r="H185">
        <v>839</v>
      </c>
      <c r="I185">
        <v>2291</v>
      </c>
      <c r="J185" t="s">
        <v>140</v>
      </c>
      <c r="K185" t="s">
        <v>141</v>
      </c>
      <c r="L185">
        <v>210</v>
      </c>
      <c r="M185">
        <v>1049</v>
      </c>
      <c r="N185">
        <v>13.98</v>
      </c>
      <c r="O185" t="s">
        <v>144</v>
      </c>
      <c r="P185" t="s">
        <v>148</v>
      </c>
      <c r="Q185">
        <v>2</v>
      </c>
      <c r="R185">
        <v>353</v>
      </c>
      <c r="S185">
        <v>391</v>
      </c>
      <c r="T185">
        <v>5.88</v>
      </c>
      <c r="U185">
        <v>6.52</v>
      </c>
      <c r="V185">
        <v>38</v>
      </c>
      <c r="W185">
        <v>90.28</v>
      </c>
      <c r="X185" t="s">
        <v>173</v>
      </c>
    </row>
    <row r="186" spans="1:24" x14ac:dyDescent="0.3">
      <c r="A186">
        <v>4445114986</v>
      </c>
      <c r="B186" s="1">
        <v>42487</v>
      </c>
      <c r="C186">
        <v>7243</v>
      </c>
      <c r="D186">
        <v>5.0300002098083496</v>
      </c>
      <c r="E186">
        <v>32</v>
      </c>
      <c r="F186">
        <v>1</v>
      </c>
      <c r="G186">
        <v>194</v>
      </c>
      <c r="H186">
        <v>839</v>
      </c>
      <c r="I186">
        <v>2361</v>
      </c>
      <c r="J186" t="s">
        <v>146</v>
      </c>
      <c r="K186" t="s">
        <v>141</v>
      </c>
      <c r="L186">
        <v>227</v>
      </c>
      <c r="M186">
        <v>1066</v>
      </c>
      <c r="N186">
        <v>13.98</v>
      </c>
      <c r="O186" t="s">
        <v>144</v>
      </c>
      <c r="P186" t="s">
        <v>145</v>
      </c>
      <c r="Q186">
        <v>1</v>
      </c>
      <c r="R186">
        <v>332</v>
      </c>
      <c r="S186">
        <v>374</v>
      </c>
      <c r="T186">
        <v>5.53</v>
      </c>
      <c r="U186">
        <v>6.23</v>
      </c>
      <c r="V186">
        <v>42</v>
      </c>
      <c r="W186">
        <v>88.77</v>
      </c>
      <c r="X186" t="s">
        <v>173</v>
      </c>
    </row>
    <row r="187" spans="1:24" x14ac:dyDescent="0.3">
      <c r="A187">
        <v>4445114986</v>
      </c>
      <c r="B187" s="1">
        <v>42488</v>
      </c>
      <c r="C187">
        <v>4493</v>
      </c>
      <c r="D187">
        <v>3.0099999904632599</v>
      </c>
      <c r="E187">
        <v>0</v>
      </c>
      <c r="F187">
        <v>0</v>
      </c>
      <c r="G187">
        <v>236</v>
      </c>
      <c r="H187">
        <v>762</v>
      </c>
      <c r="I187">
        <v>2203</v>
      </c>
      <c r="J187" t="s">
        <v>154</v>
      </c>
      <c r="K187" t="s">
        <v>141</v>
      </c>
      <c r="L187">
        <v>236</v>
      </c>
      <c r="M187">
        <v>998</v>
      </c>
      <c r="N187">
        <v>12.7</v>
      </c>
      <c r="O187" t="s">
        <v>142</v>
      </c>
      <c r="P187" t="s">
        <v>142</v>
      </c>
      <c r="Q187">
        <v>1</v>
      </c>
      <c r="R187">
        <v>419</v>
      </c>
      <c r="S187">
        <v>442</v>
      </c>
      <c r="T187">
        <v>6.98</v>
      </c>
      <c r="U187">
        <v>7.37</v>
      </c>
      <c r="V187">
        <v>23</v>
      </c>
      <c r="W187">
        <v>94.8</v>
      </c>
      <c r="X187" t="s">
        <v>176</v>
      </c>
    </row>
    <row r="188" spans="1:24" x14ac:dyDescent="0.3">
      <c r="A188">
        <v>4445114986</v>
      </c>
      <c r="B188" s="1">
        <v>42489</v>
      </c>
      <c r="C188">
        <v>4676</v>
      </c>
      <c r="D188">
        <v>3.1400001049041699</v>
      </c>
      <c r="E188">
        <v>0</v>
      </c>
      <c r="F188">
        <v>0</v>
      </c>
      <c r="G188">
        <v>226</v>
      </c>
      <c r="H188">
        <v>1106</v>
      </c>
      <c r="I188">
        <v>2196</v>
      </c>
      <c r="J188" t="s">
        <v>149</v>
      </c>
      <c r="K188" t="s">
        <v>141</v>
      </c>
      <c r="L188">
        <v>226</v>
      </c>
      <c r="M188">
        <v>1332</v>
      </c>
      <c r="N188">
        <v>18.43</v>
      </c>
      <c r="O188" t="s">
        <v>142</v>
      </c>
      <c r="P188" t="s">
        <v>142</v>
      </c>
      <c r="Q188">
        <v>1</v>
      </c>
      <c r="R188">
        <v>106</v>
      </c>
      <c r="S188">
        <v>108</v>
      </c>
      <c r="T188">
        <v>1.77</v>
      </c>
      <c r="U188">
        <v>1.8</v>
      </c>
      <c r="V188">
        <v>2</v>
      </c>
      <c r="W188">
        <v>98.15</v>
      </c>
      <c r="X188" t="s">
        <v>173</v>
      </c>
    </row>
    <row r="189" spans="1:24" x14ac:dyDescent="0.3">
      <c r="A189">
        <v>4445114986</v>
      </c>
      <c r="B189" s="1">
        <v>42490</v>
      </c>
      <c r="C189">
        <v>6222</v>
      </c>
      <c r="D189">
        <v>4.1799998283386204</v>
      </c>
      <c r="E189">
        <v>0</v>
      </c>
      <c r="F189">
        <v>0</v>
      </c>
      <c r="G189">
        <v>290</v>
      </c>
      <c r="H189">
        <v>797</v>
      </c>
      <c r="I189">
        <v>2363</v>
      </c>
      <c r="J189" t="s">
        <v>151</v>
      </c>
      <c r="K189" t="s">
        <v>141</v>
      </c>
      <c r="L189">
        <v>290</v>
      </c>
      <c r="M189">
        <v>1087</v>
      </c>
      <c r="N189">
        <v>13.28</v>
      </c>
      <c r="O189" t="s">
        <v>144</v>
      </c>
      <c r="P189" t="s">
        <v>142</v>
      </c>
      <c r="Q189">
        <v>1</v>
      </c>
      <c r="R189">
        <v>322</v>
      </c>
      <c r="S189">
        <v>353</v>
      </c>
      <c r="T189">
        <v>5.37</v>
      </c>
      <c r="U189">
        <v>5.88</v>
      </c>
      <c r="V189">
        <v>31</v>
      </c>
      <c r="W189">
        <v>91.22</v>
      </c>
      <c r="X189" t="s">
        <v>173</v>
      </c>
    </row>
    <row r="190" spans="1:24" x14ac:dyDescent="0.3">
      <c r="A190">
        <v>4445114986</v>
      </c>
      <c r="B190" s="1">
        <v>42491</v>
      </c>
      <c r="C190">
        <v>5232</v>
      </c>
      <c r="D190">
        <v>3.5099999904632599</v>
      </c>
      <c r="E190">
        <v>0</v>
      </c>
      <c r="F190">
        <v>0</v>
      </c>
      <c r="G190">
        <v>240</v>
      </c>
      <c r="H190">
        <v>741</v>
      </c>
      <c r="I190">
        <v>2246</v>
      </c>
      <c r="J190" t="s">
        <v>153</v>
      </c>
      <c r="K190" t="s">
        <v>156</v>
      </c>
      <c r="L190">
        <v>240</v>
      </c>
      <c r="M190">
        <v>981</v>
      </c>
      <c r="N190">
        <v>12.35</v>
      </c>
      <c r="O190" t="s">
        <v>144</v>
      </c>
      <c r="P190" t="s">
        <v>142</v>
      </c>
      <c r="Q190">
        <v>2</v>
      </c>
      <c r="R190">
        <v>439</v>
      </c>
      <c r="S190">
        <v>459</v>
      </c>
      <c r="T190">
        <v>7.32</v>
      </c>
      <c r="U190">
        <v>7.65</v>
      </c>
      <c r="V190">
        <v>20</v>
      </c>
      <c r="W190">
        <v>95.64</v>
      </c>
      <c r="X190" t="s">
        <v>175</v>
      </c>
    </row>
    <row r="191" spans="1:24" x14ac:dyDescent="0.3">
      <c r="A191">
        <v>4445114986</v>
      </c>
      <c r="B191" s="1">
        <v>42492</v>
      </c>
      <c r="C191">
        <v>6910</v>
      </c>
      <c r="D191">
        <v>4.75</v>
      </c>
      <c r="E191">
        <v>27</v>
      </c>
      <c r="F191">
        <v>4</v>
      </c>
      <c r="G191">
        <v>200</v>
      </c>
      <c r="H191">
        <v>667</v>
      </c>
      <c r="I191">
        <v>2336</v>
      </c>
      <c r="J191" t="s">
        <v>155</v>
      </c>
      <c r="K191" t="s">
        <v>156</v>
      </c>
      <c r="L191">
        <v>231</v>
      </c>
      <c r="M191">
        <v>898</v>
      </c>
      <c r="N191">
        <v>11.12</v>
      </c>
      <c r="O191" t="s">
        <v>144</v>
      </c>
      <c r="P191" t="s">
        <v>148</v>
      </c>
      <c r="Q191">
        <v>1</v>
      </c>
      <c r="R191">
        <v>502</v>
      </c>
      <c r="S191">
        <v>542</v>
      </c>
      <c r="T191">
        <v>8.3699999999999992</v>
      </c>
      <c r="U191">
        <v>9.0299999999999994</v>
      </c>
      <c r="V191">
        <v>40</v>
      </c>
      <c r="W191">
        <v>92.62</v>
      </c>
      <c r="X191" t="s">
        <v>175</v>
      </c>
    </row>
    <row r="192" spans="1:24" x14ac:dyDescent="0.3">
      <c r="A192">
        <v>4445114986</v>
      </c>
      <c r="B192" s="1">
        <v>42493</v>
      </c>
      <c r="C192">
        <v>7502</v>
      </c>
      <c r="D192">
        <v>5.1799998283386204</v>
      </c>
      <c r="E192">
        <v>30</v>
      </c>
      <c r="F192">
        <v>2</v>
      </c>
      <c r="G192">
        <v>233</v>
      </c>
      <c r="H192">
        <v>725</v>
      </c>
      <c r="I192">
        <v>2421</v>
      </c>
      <c r="J192" t="s">
        <v>140</v>
      </c>
      <c r="K192" t="s">
        <v>156</v>
      </c>
      <c r="L192">
        <v>265</v>
      </c>
      <c r="M192">
        <v>990</v>
      </c>
      <c r="N192">
        <v>12.08</v>
      </c>
      <c r="O192" t="s">
        <v>150</v>
      </c>
      <c r="P192" t="s">
        <v>145</v>
      </c>
      <c r="Q192">
        <v>2</v>
      </c>
      <c r="R192">
        <v>417</v>
      </c>
      <c r="S192">
        <v>450</v>
      </c>
      <c r="T192">
        <v>6.95</v>
      </c>
      <c r="U192">
        <v>7.5</v>
      </c>
      <c r="V192">
        <v>33</v>
      </c>
      <c r="W192">
        <v>92.67</v>
      </c>
      <c r="X192" t="s">
        <v>176</v>
      </c>
    </row>
    <row r="193" spans="1:24" x14ac:dyDescent="0.3">
      <c r="A193">
        <v>4445114986</v>
      </c>
      <c r="B193" s="1">
        <v>42494</v>
      </c>
      <c r="C193">
        <v>2923</v>
      </c>
      <c r="D193">
        <v>1.96000003814697</v>
      </c>
      <c r="E193">
        <v>0</v>
      </c>
      <c r="F193">
        <v>0</v>
      </c>
      <c r="G193">
        <v>180</v>
      </c>
      <c r="H193">
        <v>897</v>
      </c>
      <c r="I193">
        <v>2070</v>
      </c>
      <c r="J193" t="s">
        <v>146</v>
      </c>
      <c r="K193" t="s">
        <v>156</v>
      </c>
      <c r="L193">
        <v>180</v>
      </c>
      <c r="M193">
        <v>1077</v>
      </c>
      <c r="N193">
        <v>14.95</v>
      </c>
      <c r="O193" t="s">
        <v>142</v>
      </c>
      <c r="P193" t="s">
        <v>142</v>
      </c>
      <c r="Q193">
        <v>2</v>
      </c>
      <c r="R193">
        <v>337</v>
      </c>
      <c r="S193">
        <v>363</v>
      </c>
      <c r="T193">
        <v>5.62</v>
      </c>
      <c r="U193">
        <v>6.05</v>
      </c>
      <c r="V193">
        <v>26</v>
      </c>
      <c r="W193">
        <v>92.84</v>
      </c>
      <c r="X193" t="s">
        <v>173</v>
      </c>
    </row>
    <row r="194" spans="1:24" x14ac:dyDescent="0.3">
      <c r="A194">
        <v>4445114986</v>
      </c>
      <c r="B194" s="1">
        <v>42495</v>
      </c>
      <c r="C194">
        <v>3800</v>
      </c>
      <c r="D194">
        <v>2.5499999523162802</v>
      </c>
      <c r="E194">
        <v>2</v>
      </c>
      <c r="F194">
        <v>6</v>
      </c>
      <c r="G194">
        <v>185</v>
      </c>
      <c r="H194">
        <v>734</v>
      </c>
      <c r="I194">
        <v>2120</v>
      </c>
      <c r="J194" t="s">
        <v>154</v>
      </c>
      <c r="K194" t="s">
        <v>156</v>
      </c>
      <c r="L194">
        <v>193</v>
      </c>
      <c r="M194">
        <v>927</v>
      </c>
      <c r="N194">
        <v>12.23</v>
      </c>
      <c r="O194" t="s">
        <v>142</v>
      </c>
      <c r="P194" t="s">
        <v>143</v>
      </c>
      <c r="Q194">
        <v>2</v>
      </c>
      <c r="R194">
        <v>462</v>
      </c>
      <c r="S194">
        <v>513</v>
      </c>
      <c r="T194">
        <v>7.7</v>
      </c>
      <c r="U194">
        <v>8.5500000000000007</v>
      </c>
      <c r="V194">
        <v>51</v>
      </c>
      <c r="W194">
        <v>90.06</v>
      </c>
      <c r="X194" t="s">
        <v>175</v>
      </c>
    </row>
    <row r="195" spans="1:24" x14ac:dyDescent="0.3">
      <c r="A195">
        <v>4445114986</v>
      </c>
      <c r="B195" s="1">
        <v>42496</v>
      </c>
      <c r="C195">
        <v>4514</v>
      </c>
      <c r="D195">
        <v>3.0299999713897701</v>
      </c>
      <c r="E195">
        <v>0</v>
      </c>
      <c r="F195">
        <v>0</v>
      </c>
      <c r="G195">
        <v>229</v>
      </c>
      <c r="H195">
        <v>809</v>
      </c>
      <c r="I195">
        <v>2211</v>
      </c>
      <c r="J195" t="s">
        <v>149</v>
      </c>
      <c r="K195" t="s">
        <v>156</v>
      </c>
      <c r="L195">
        <v>229</v>
      </c>
      <c r="M195">
        <v>1038</v>
      </c>
      <c r="N195">
        <v>13.48</v>
      </c>
      <c r="O195" t="s">
        <v>142</v>
      </c>
      <c r="P195" t="s">
        <v>142</v>
      </c>
      <c r="Q195">
        <v>2</v>
      </c>
      <c r="R195">
        <v>374</v>
      </c>
      <c r="S195">
        <v>402</v>
      </c>
      <c r="T195">
        <v>6.23</v>
      </c>
      <c r="U195">
        <v>6.7</v>
      </c>
      <c r="V195">
        <v>28</v>
      </c>
      <c r="W195">
        <v>93.03</v>
      </c>
      <c r="X195" t="s">
        <v>176</v>
      </c>
    </row>
    <row r="196" spans="1:24" x14ac:dyDescent="0.3">
      <c r="A196">
        <v>4445114986</v>
      </c>
      <c r="B196" s="1">
        <v>42497</v>
      </c>
      <c r="C196">
        <v>5183</v>
      </c>
      <c r="D196">
        <v>3.5899999141693102</v>
      </c>
      <c r="E196">
        <v>26</v>
      </c>
      <c r="F196">
        <v>4</v>
      </c>
      <c r="G196">
        <v>108</v>
      </c>
      <c r="H196">
        <v>866</v>
      </c>
      <c r="I196">
        <v>2123</v>
      </c>
      <c r="J196" t="s">
        <v>151</v>
      </c>
      <c r="K196" t="s">
        <v>156</v>
      </c>
      <c r="L196">
        <v>138</v>
      </c>
      <c r="M196">
        <v>1004</v>
      </c>
      <c r="N196">
        <v>14.43</v>
      </c>
      <c r="O196" t="s">
        <v>144</v>
      </c>
      <c r="P196" t="s">
        <v>148</v>
      </c>
      <c r="Q196">
        <v>2</v>
      </c>
      <c r="R196">
        <v>401</v>
      </c>
      <c r="S196">
        <v>436</v>
      </c>
      <c r="T196">
        <v>6.68</v>
      </c>
      <c r="U196">
        <v>7.27</v>
      </c>
      <c r="V196">
        <v>35</v>
      </c>
      <c r="W196">
        <v>91.97</v>
      </c>
      <c r="X196" t="s">
        <v>176</v>
      </c>
    </row>
    <row r="197" spans="1:24" x14ac:dyDescent="0.3">
      <c r="A197">
        <v>4445114986</v>
      </c>
      <c r="B197" s="1">
        <v>42498</v>
      </c>
      <c r="C197">
        <v>7303</v>
      </c>
      <c r="D197">
        <v>4.9000000953674299</v>
      </c>
      <c r="E197">
        <v>0</v>
      </c>
      <c r="F197">
        <v>8</v>
      </c>
      <c r="G197">
        <v>308</v>
      </c>
      <c r="H197">
        <v>733</v>
      </c>
      <c r="I197">
        <v>2423</v>
      </c>
      <c r="J197" t="s">
        <v>153</v>
      </c>
      <c r="K197" t="s">
        <v>156</v>
      </c>
      <c r="L197">
        <v>316</v>
      </c>
      <c r="M197">
        <v>1049</v>
      </c>
      <c r="N197">
        <v>12.22</v>
      </c>
      <c r="O197" t="s">
        <v>144</v>
      </c>
      <c r="P197" t="s">
        <v>142</v>
      </c>
      <c r="Q197">
        <v>1</v>
      </c>
      <c r="R197">
        <v>361</v>
      </c>
      <c r="S197">
        <v>391</v>
      </c>
      <c r="T197">
        <v>6.02</v>
      </c>
      <c r="U197">
        <v>6.52</v>
      </c>
      <c r="V197">
        <v>30</v>
      </c>
      <c r="W197">
        <v>92.33</v>
      </c>
      <c r="X197" t="s">
        <v>176</v>
      </c>
    </row>
    <row r="198" spans="1:24" x14ac:dyDescent="0.3">
      <c r="A198">
        <v>4445114986</v>
      </c>
      <c r="B198" s="1">
        <v>42499</v>
      </c>
      <c r="C198">
        <v>5275</v>
      </c>
      <c r="D198">
        <v>3.53999996185303</v>
      </c>
      <c r="E198">
        <v>0</v>
      </c>
      <c r="F198">
        <v>0</v>
      </c>
      <c r="G198">
        <v>266</v>
      </c>
      <c r="H198">
        <v>641</v>
      </c>
      <c r="I198">
        <v>2281</v>
      </c>
      <c r="J198" t="s">
        <v>155</v>
      </c>
      <c r="K198" t="s">
        <v>156</v>
      </c>
      <c r="L198">
        <v>266</v>
      </c>
      <c r="M198">
        <v>907</v>
      </c>
      <c r="N198">
        <v>10.68</v>
      </c>
      <c r="O198" t="s">
        <v>144</v>
      </c>
      <c r="P198" t="s">
        <v>142</v>
      </c>
      <c r="Q198">
        <v>1</v>
      </c>
      <c r="R198">
        <v>457</v>
      </c>
      <c r="S198">
        <v>533</v>
      </c>
      <c r="T198">
        <v>7.62</v>
      </c>
      <c r="U198">
        <v>8.8800000000000008</v>
      </c>
      <c r="V198">
        <v>76</v>
      </c>
      <c r="W198">
        <v>85.74</v>
      </c>
      <c r="X198" t="s">
        <v>175</v>
      </c>
    </row>
    <row r="199" spans="1:24" x14ac:dyDescent="0.3">
      <c r="A199">
        <v>4445114986</v>
      </c>
      <c r="B199" s="1">
        <v>42500</v>
      </c>
      <c r="C199">
        <v>3915</v>
      </c>
      <c r="D199">
        <v>2.6300001144409202</v>
      </c>
      <c r="E199">
        <v>0</v>
      </c>
      <c r="F199">
        <v>0</v>
      </c>
      <c r="G199">
        <v>231</v>
      </c>
      <c r="H199">
        <v>783</v>
      </c>
      <c r="I199">
        <v>2181</v>
      </c>
      <c r="J199" t="s">
        <v>140</v>
      </c>
      <c r="K199" t="s">
        <v>156</v>
      </c>
      <c r="L199">
        <v>231</v>
      </c>
      <c r="M199">
        <v>1014</v>
      </c>
      <c r="N199">
        <v>13.05</v>
      </c>
      <c r="O199" t="s">
        <v>142</v>
      </c>
      <c r="P199" t="s">
        <v>142</v>
      </c>
      <c r="Q199">
        <v>1</v>
      </c>
      <c r="R199">
        <v>405</v>
      </c>
      <c r="S199">
        <v>426</v>
      </c>
      <c r="T199">
        <v>6.75</v>
      </c>
      <c r="U199">
        <v>7.1</v>
      </c>
      <c r="V199">
        <v>21</v>
      </c>
      <c r="W199">
        <v>95.07</v>
      </c>
      <c r="X199" t="s">
        <v>176</v>
      </c>
    </row>
    <row r="200" spans="1:24" x14ac:dyDescent="0.3">
      <c r="A200">
        <v>4445114986</v>
      </c>
      <c r="B200" s="1">
        <v>42501</v>
      </c>
      <c r="C200">
        <v>9105</v>
      </c>
      <c r="D200">
        <v>6.1100001335143999</v>
      </c>
      <c r="E200">
        <v>34</v>
      </c>
      <c r="F200">
        <v>22</v>
      </c>
      <c r="G200">
        <v>232</v>
      </c>
      <c r="H200">
        <v>622</v>
      </c>
      <c r="I200">
        <v>2499</v>
      </c>
      <c r="J200" t="s">
        <v>146</v>
      </c>
      <c r="K200" t="s">
        <v>156</v>
      </c>
      <c r="L200">
        <v>288</v>
      </c>
      <c r="M200">
        <v>910</v>
      </c>
      <c r="N200">
        <v>10.37</v>
      </c>
      <c r="O200" t="s">
        <v>150</v>
      </c>
      <c r="P200" t="s">
        <v>145</v>
      </c>
      <c r="Q200">
        <v>1</v>
      </c>
      <c r="R200">
        <v>499</v>
      </c>
      <c r="S200">
        <v>530</v>
      </c>
      <c r="T200">
        <v>8.32</v>
      </c>
      <c r="U200">
        <v>8.83</v>
      </c>
      <c r="V200">
        <v>31</v>
      </c>
      <c r="W200">
        <v>94.15</v>
      </c>
      <c r="X200" t="s">
        <v>175</v>
      </c>
    </row>
    <row r="201" spans="1:24" x14ac:dyDescent="0.3">
      <c r="A201">
        <v>4445114986</v>
      </c>
      <c r="B201" s="1">
        <v>42502</v>
      </c>
      <c r="C201">
        <v>768</v>
      </c>
      <c r="D201">
        <v>0.519999980926514</v>
      </c>
      <c r="E201">
        <v>0</v>
      </c>
      <c r="F201">
        <v>0</v>
      </c>
      <c r="G201">
        <v>58</v>
      </c>
      <c r="H201">
        <v>380</v>
      </c>
      <c r="I201">
        <v>1212</v>
      </c>
      <c r="J201" t="s">
        <v>154</v>
      </c>
      <c r="K201" t="s">
        <v>156</v>
      </c>
      <c r="L201">
        <v>58</v>
      </c>
      <c r="M201">
        <v>438</v>
      </c>
      <c r="N201">
        <v>6.33</v>
      </c>
      <c r="O201" t="s">
        <v>142</v>
      </c>
      <c r="P201" t="s">
        <v>142</v>
      </c>
      <c r="Q201">
        <v>1</v>
      </c>
      <c r="R201">
        <v>483</v>
      </c>
      <c r="S201">
        <v>501</v>
      </c>
      <c r="T201">
        <v>8.0500000000000007</v>
      </c>
      <c r="U201">
        <v>8.35</v>
      </c>
      <c r="V201">
        <v>18</v>
      </c>
      <c r="W201">
        <v>96.41</v>
      </c>
      <c r="X201" t="s">
        <v>175</v>
      </c>
    </row>
    <row r="202" spans="1:24" x14ac:dyDescent="0.3">
      <c r="A202">
        <v>4558609924</v>
      </c>
      <c r="B202" s="1">
        <v>42481</v>
      </c>
      <c r="C202">
        <v>13743</v>
      </c>
      <c r="D202">
        <v>9.0799999237060494</v>
      </c>
      <c r="E202">
        <v>6</v>
      </c>
      <c r="F202">
        <v>21</v>
      </c>
      <c r="G202">
        <v>432</v>
      </c>
      <c r="H202">
        <v>844</v>
      </c>
      <c r="I202">
        <v>2486</v>
      </c>
      <c r="J202" t="s">
        <v>154</v>
      </c>
      <c r="K202" t="s">
        <v>141</v>
      </c>
      <c r="L202">
        <v>459</v>
      </c>
      <c r="M202">
        <v>1303</v>
      </c>
      <c r="N202">
        <v>14.07</v>
      </c>
      <c r="O202" t="s">
        <v>152</v>
      </c>
      <c r="P202" t="s">
        <v>143</v>
      </c>
      <c r="Q202">
        <v>1</v>
      </c>
      <c r="R202">
        <v>126</v>
      </c>
      <c r="S202">
        <v>137</v>
      </c>
      <c r="T202">
        <v>2.1</v>
      </c>
      <c r="U202">
        <v>2.2799999999999998</v>
      </c>
      <c r="V202">
        <v>11</v>
      </c>
      <c r="W202">
        <v>91.97</v>
      </c>
      <c r="X202" t="s">
        <v>173</v>
      </c>
    </row>
    <row r="203" spans="1:24" x14ac:dyDescent="0.3">
      <c r="A203">
        <v>4558609924</v>
      </c>
      <c r="B203" s="1">
        <v>42486</v>
      </c>
      <c r="C203">
        <v>9148</v>
      </c>
      <c r="D203">
        <v>6.0500001907348597</v>
      </c>
      <c r="E203">
        <v>12</v>
      </c>
      <c r="F203">
        <v>41</v>
      </c>
      <c r="G203">
        <v>283</v>
      </c>
      <c r="H203">
        <v>1062</v>
      </c>
      <c r="I203">
        <v>2223</v>
      </c>
      <c r="J203" t="s">
        <v>140</v>
      </c>
      <c r="K203" t="s">
        <v>141</v>
      </c>
      <c r="L203">
        <v>336</v>
      </c>
      <c r="M203">
        <v>1398</v>
      </c>
      <c r="N203">
        <v>17.7</v>
      </c>
      <c r="O203" t="s">
        <v>150</v>
      </c>
      <c r="P203" t="s">
        <v>143</v>
      </c>
      <c r="Q203">
        <v>1</v>
      </c>
      <c r="R203">
        <v>103</v>
      </c>
      <c r="S203">
        <v>121</v>
      </c>
      <c r="T203">
        <v>1.72</v>
      </c>
      <c r="U203">
        <v>2.02</v>
      </c>
      <c r="V203">
        <v>18</v>
      </c>
      <c r="W203">
        <v>85.12</v>
      </c>
      <c r="X203" t="s">
        <v>173</v>
      </c>
    </row>
    <row r="204" spans="1:24" x14ac:dyDescent="0.3">
      <c r="A204">
        <v>4558609924</v>
      </c>
      <c r="B204" s="1">
        <v>42489</v>
      </c>
      <c r="C204">
        <v>7833</v>
      </c>
      <c r="D204">
        <v>5.1799998283386204</v>
      </c>
      <c r="E204">
        <v>15</v>
      </c>
      <c r="F204">
        <v>29</v>
      </c>
      <c r="G204">
        <v>197</v>
      </c>
      <c r="H204">
        <v>1096</v>
      </c>
      <c r="I204">
        <v>1918</v>
      </c>
      <c r="J204" t="s">
        <v>149</v>
      </c>
      <c r="K204" t="s">
        <v>141</v>
      </c>
      <c r="L204">
        <v>241</v>
      </c>
      <c r="M204">
        <v>1337</v>
      </c>
      <c r="N204">
        <v>18.27</v>
      </c>
      <c r="O204" t="s">
        <v>150</v>
      </c>
      <c r="P204" t="s">
        <v>148</v>
      </c>
      <c r="Q204">
        <v>1</v>
      </c>
      <c r="R204">
        <v>171</v>
      </c>
      <c r="S204">
        <v>179</v>
      </c>
      <c r="T204">
        <v>2.85</v>
      </c>
      <c r="U204">
        <v>2.98</v>
      </c>
      <c r="V204">
        <v>8</v>
      </c>
      <c r="W204">
        <v>95.53</v>
      </c>
      <c r="X204" t="s">
        <v>173</v>
      </c>
    </row>
    <row r="205" spans="1:24" x14ac:dyDescent="0.3">
      <c r="A205">
        <v>4558609924</v>
      </c>
      <c r="B205" s="1">
        <v>42491</v>
      </c>
      <c r="C205">
        <v>3428</v>
      </c>
      <c r="D205">
        <v>2.2699999809265101</v>
      </c>
      <c r="E205">
        <v>0</v>
      </c>
      <c r="F205">
        <v>0</v>
      </c>
      <c r="G205">
        <v>190</v>
      </c>
      <c r="H205">
        <v>1121</v>
      </c>
      <c r="I205">
        <v>1692</v>
      </c>
      <c r="J205" t="s">
        <v>153</v>
      </c>
      <c r="K205" t="s">
        <v>156</v>
      </c>
      <c r="L205">
        <v>190</v>
      </c>
      <c r="M205">
        <v>1311</v>
      </c>
      <c r="N205">
        <v>18.68</v>
      </c>
      <c r="O205" t="s">
        <v>142</v>
      </c>
      <c r="P205" t="s">
        <v>142</v>
      </c>
      <c r="Q205">
        <v>1</v>
      </c>
      <c r="R205">
        <v>115</v>
      </c>
      <c r="S205">
        <v>129</v>
      </c>
      <c r="T205">
        <v>1.92</v>
      </c>
      <c r="U205">
        <v>2.15</v>
      </c>
      <c r="V205">
        <v>14</v>
      </c>
      <c r="W205">
        <v>89.15</v>
      </c>
      <c r="X205" t="s">
        <v>173</v>
      </c>
    </row>
    <row r="206" spans="1:24" x14ac:dyDescent="0.3">
      <c r="A206">
        <v>4558609924</v>
      </c>
      <c r="B206" s="1">
        <v>42498</v>
      </c>
      <c r="C206">
        <v>6543</v>
      </c>
      <c r="D206">
        <v>4.3299999237060502</v>
      </c>
      <c r="E206">
        <v>66</v>
      </c>
      <c r="F206">
        <v>35</v>
      </c>
      <c r="G206">
        <v>238</v>
      </c>
      <c r="H206">
        <v>1019</v>
      </c>
      <c r="I206">
        <v>2666</v>
      </c>
      <c r="J206" t="s">
        <v>153</v>
      </c>
      <c r="K206" t="s">
        <v>156</v>
      </c>
      <c r="L206">
        <v>339</v>
      </c>
      <c r="M206">
        <v>1358</v>
      </c>
      <c r="N206">
        <v>16.98</v>
      </c>
      <c r="O206" t="s">
        <v>144</v>
      </c>
      <c r="P206" t="s">
        <v>145</v>
      </c>
      <c r="Q206">
        <v>1</v>
      </c>
      <c r="R206">
        <v>123</v>
      </c>
      <c r="S206">
        <v>134</v>
      </c>
      <c r="T206">
        <v>2.0499999999999998</v>
      </c>
      <c r="U206">
        <v>2.23</v>
      </c>
      <c r="V206">
        <v>11</v>
      </c>
      <c r="W206">
        <v>91.79</v>
      </c>
      <c r="X206" t="s">
        <v>173</v>
      </c>
    </row>
    <row r="207" spans="1:24" x14ac:dyDescent="0.3">
      <c r="A207">
        <v>4702921684</v>
      </c>
      <c r="B207" s="1">
        <v>42473</v>
      </c>
      <c r="C207">
        <v>6877</v>
      </c>
      <c r="D207">
        <v>5.5799999237060502</v>
      </c>
      <c r="E207">
        <v>0</v>
      </c>
      <c r="F207">
        <v>0</v>
      </c>
      <c r="G207">
        <v>258</v>
      </c>
      <c r="H207">
        <v>777</v>
      </c>
      <c r="I207">
        <v>2898</v>
      </c>
      <c r="J207" t="s">
        <v>146</v>
      </c>
      <c r="K207" t="s">
        <v>141</v>
      </c>
      <c r="L207">
        <v>258</v>
      </c>
      <c r="M207">
        <v>1035</v>
      </c>
      <c r="N207">
        <v>12.95</v>
      </c>
      <c r="O207" t="s">
        <v>144</v>
      </c>
      <c r="P207" t="s">
        <v>142</v>
      </c>
      <c r="Q207">
        <v>2</v>
      </c>
      <c r="R207">
        <v>400</v>
      </c>
      <c r="S207">
        <v>430</v>
      </c>
      <c r="T207">
        <v>6.67</v>
      </c>
      <c r="U207">
        <v>7.17</v>
      </c>
      <c r="V207">
        <v>30</v>
      </c>
      <c r="W207">
        <v>93.02</v>
      </c>
      <c r="X207" t="s">
        <v>176</v>
      </c>
    </row>
    <row r="208" spans="1:24" x14ac:dyDescent="0.3">
      <c r="A208">
        <v>4702921684</v>
      </c>
      <c r="B208" s="1">
        <v>42474</v>
      </c>
      <c r="C208">
        <v>7860</v>
      </c>
      <c r="D208">
        <v>6.3699998855590803</v>
      </c>
      <c r="E208">
        <v>0</v>
      </c>
      <c r="F208">
        <v>0</v>
      </c>
      <c r="G208">
        <v>271</v>
      </c>
      <c r="H208">
        <v>772</v>
      </c>
      <c r="I208">
        <v>2984</v>
      </c>
      <c r="J208" t="s">
        <v>154</v>
      </c>
      <c r="K208" t="s">
        <v>141</v>
      </c>
      <c r="L208">
        <v>271</v>
      </c>
      <c r="M208">
        <v>1043</v>
      </c>
      <c r="N208">
        <v>12.87</v>
      </c>
      <c r="O208" t="s">
        <v>150</v>
      </c>
      <c r="P208" t="s">
        <v>142</v>
      </c>
      <c r="Q208">
        <v>1</v>
      </c>
      <c r="R208">
        <v>384</v>
      </c>
      <c r="S208">
        <v>415</v>
      </c>
      <c r="T208">
        <v>6.4</v>
      </c>
      <c r="U208">
        <v>6.92</v>
      </c>
      <c r="V208">
        <v>31</v>
      </c>
      <c r="W208">
        <v>92.53</v>
      </c>
      <c r="X208" t="s">
        <v>176</v>
      </c>
    </row>
    <row r="209" spans="1:24" x14ac:dyDescent="0.3">
      <c r="A209">
        <v>4702921684</v>
      </c>
      <c r="B209" s="1">
        <v>42475</v>
      </c>
      <c r="C209">
        <v>6506</v>
      </c>
      <c r="D209">
        <v>5.2800002098083496</v>
      </c>
      <c r="E209">
        <v>1</v>
      </c>
      <c r="F209">
        <v>8</v>
      </c>
      <c r="G209">
        <v>256</v>
      </c>
      <c r="H209">
        <v>944</v>
      </c>
      <c r="I209">
        <v>2896</v>
      </c>
      <c r="J209" t="s">
        <v>149</v>
      </c>
      <c r="K209" t="s">
        <v>141</v>
      </c>
      <c r="L209">
        <v>265</v>
      </c>
      <c r="M209">
        <v>1209</v>
      </c>
      <c r="N209">
        <v>15.73</v>
      </c>
      <c r="O209" t="s">
        <v>144</v>
      </c>
      <c r="P209" t="s">
        <v>143</v>
      </c>
      <c r="Q209">
        <v>1</v>
      </c>
      <c r="R209">
        <v>253</v>
      </c>
      <c r="S209">
        <v>257</v>
      </c>
      <c r="T209">
        <v>4.22</v>
      </c>
      <c r="U209">
        <v>4.28</v>
      </c>
      <c r="V209">
        <v>4</v>
      </c>
      <c r="W209">
        <v>98.44</v>
      </c>
      <c r="X209" t="s">
        <v>173</v>
      </c>
    </row>
    <row r="210" spans="1:24" x14ac:dyDescent="0.3">
      <c r="A210">
        <v>4702921684</v>
      </c>
      <c r="B210" s="1">
        <v>42476</v>
      </c>
      <c r="C210">
        <v>11140</v>
      </c>
      <c r="D210">
        <v>9.0299997329711896</v>
      </c>
      <c r="E210">
        <v>3</v>
      </c>
      <c r="F210">
        <v>24</v>
      </c>
      <c r="G210">
        <v>335</v>
      </c>
      <c r="H210">
        <v>556</v>
      </c>
      <c r="I210">
        <v>3328</v>
      </c>
      <c r="J210" t="s">
        <v>151</v>
      </c>
      <c r="K210" t="s">
        <v>141</v>
      </c>
      <c r="L210">
        <v>362</v>
      </c>
      <c r="M210">
        <v>918</v>
      </c>
      <c r="N210">
        <v>9.27</v>
      </c>
      <c r="O210" t="s">
        <v>147</v>
      </c>
      <c r="P210" t="s">
        <v>143</v>
      </c>
      <c r="Q210">
        <v>2</v>
      </c>
      <c r="R210">
        <v>382</v>
      </c>
      <c r="S210">
        <v>406</v>
      </c>
      <c r="T210">
        <v>6.37</v>
      </c>
      <c r="U210">
        <v>6.77</v>
      </c>
      <c r="V210">
        <v>24</v>
      </c>
      <c r="W210">
        <v>94.09</v>
      </c>
      <c r="X210" t="s">
        <v>176</v>
      </c>
    </row>
    <row r="211" spans="1:24" x14ac:dyDescent="0.3">
      <c r="A211">
        <v>4702921684</v>
      </c>
      <c r="B211" s="1">
        <v>42477</v>
      </c>
      <c r="C211">
        <v>12692</v>
      </c>
      <c r="D211">
        <v>10.289999961853001</v>
      </c>
      <c r="E211">
        <v>12</v>
      </c>
      <c r="F211">
        <v>66</v>
      </c>
      <c r="G211">
        <v>302</v>
      </c>
      <c r="H211">
        <v>437</v>
      </c>
      <c r="I211">
        <v>3394</v>
      </c>
      <c r="J211" t="s">
        <v>153</v>
      </c>
      <c r="K211" t="s">
        <v>141</v>
      </c>
      <c r="L211">
        <v>380</v>
      </c>
      <c r="M211">
        <v>817</v>
      </c>
      <c r="N211">
        <v>7.28</v>
      </c>
      <c r="O211" t="s">
        <v>152</v>
      </c>
      <c r="P211" t="s">
        <v>143</v>
      </c>
      <c r="Q211">
        <v>1</v>
      </c>
      <c r="R211">
        <v>591</v>
      </c>
      <c r="S211">
        <v>612</v>
      </c>
      <c r="T211">
        <v>9.85</v>
      </c>
      <c r="U211">
        <v>10.199999999999999</v>
      </c>
      <c r="V211">
        <v>21</v>
      </c>
      <c r="W211">
        <v>96.57</v>
      </c>
      <c r="X211" t="s">
        <v>174</v>
      </c>
    </row>
    <row r="212" spans="1:24" x14ac:dyDescent="0.3">
      <c r="A212">
        <v>4702921684</v>
      </c>
      <c r="B212" s="1">
        <v>42478</v>
      </c>
      <c r="C212">
        <v>9105</v>
      </c>
      <c r="D212">
        <v>7.3800001144409197</v>
      </c>
      <c r="E212">
        <v>22</v>
      </c>
      <c r="F212">
        <v>30</v>
      </c>
      <c r="G212">
        <v>191</v>
      </c>
      <c r="H212">
        <v>890</v>
      </c>
      <c r="I212">
        <v>3013</v>
      </c>
      <c r="J212" t="s">
        <v>155</v>
      </c>
      <c r="K212" t="s">
        <v>141</v>
      </c>
      <c r="L212">
        <v>243</v>
      </c>
      <c r="M212">
        <v>1133</v>
      </c>
      <c r="N212">
        <v>14.83</v>
      </c>
      <c r="O212" t="s">
        <v>150</v>
      </c>
      <c r="P212" t="s">
        <v>148</v>
      </c>
      <c r="Q212">
        <v>1</v>
      </c>
      <c r="R212">
        <v>293</v>
      </c>
      <c r="S212">
        <v>312</v>
      </c>
      <c r="T212">
        <v>4.88</v>
      </c>
      <c r="U212">
        <v>5.2</v>
      </c>
      <c r="V212">
        <v>19</v>
      </c>
      <c r="W212">
        <v>93.91</v>
      </c>
      <c r="X212" t="s">
        <v>173</v>
      </c>
    </row>
    <row r="213" spans="1:24" x14ac:dyDescent="0.3">
      <c r="A213">
        <v>4702921684</v>
      </c>
      <c r="B213" s="1">
        <v>42479</v>
      </c>
      <c r="C213">
        <v>6708</v>
      </c>
      <c r="D213">
        <v>5.4400000572204599</v>
      </c>
      <c r="E213">
        <v>10</v>
      </c>
      <c r="F213">
        <v>8</v>
      </c>
      <c r="G213">
        <v>179</v>
      </c>
      <c r="H213">
        <v>757</v>
      </c>
      <c r="I213">
        <v>2812</v>
      </c>
      <c r="J213" t="s">
        <v>140</v>
      </c>
      <c r="K213" t="s">
        <v>141</v>
      </c>
      <c r="L213">
        <v>197</v>
      </c>
      <c r="M213">
        <v>954</v>
      </c>
      <c r="N213">
        <v>12.62</v>
      </c>
      <c r="O213" t="s">
        <v>144</v>
      </c>
      <c r="P213" t="s">
        <v>143</v>
      </c>
      <c r="Q213">
        <v>1</v>
      </c>
      <c r="R213">
        <v>457</v>
      </c>
      <c r="S213">
        <v>487</v>
      </c>
      <c r="T213">
        <v>7.62</v>
      </c>
      <c r="U213">
        <v>8.1199999999999992</v>
      </c>
      <c r="V213">
        <v>30</v>
      </c>
      <c r="W213">
        <v>93.84</v>
      </c>
      <c r="X213" t="s">
        <v>175</v>
      </c>
    </row>
    <row r="214" spans="1:24" x14ac:dyDescent="0.3">
      <c r="A214">
        <v>4702921684</v>
      </c>
      <c r="B214" s="1">
        <v>42480</v>
      </c>
      <c r="C214">
        <v>8793</v>
      </c>
      <c r="D214">
        <v>7.1300001144409197</v>
      </c>
      <c r="E214">
        <v>2</v>
      </c>
      <c r="F214">
        <v>29</v>
      </c>
      <c r="G214">
        <v>260</v>
      </c>
      <c r="H214">
        <v>717</v>
      </c>
      <c r="I214">
        <v>3061</v>
      </c>
      <c r="J214" t="s">
        <v>146</v>
      </c>
      <c r="K214" t="s">
        <v>141</v>
      </c>
      <c r="L214">
        <v>291</v>
      </c>
      <c r="M214">
        <v>1008</v>
      </c>
      <c r="N214">
        <v>11.95</v>
      </c>
      <c r="O214" t="s">
        <v>150</v>
      </c>
      <c r="P214" t="s">
        <v>143</v>
      </c>
      <c r="Q214">
        <v>1</v>
      </c>
      <c r="R214">
        <v>454</v>
      </c>
      <c r="S214">
        <v>468</v>
      </c>
      <c r="T214">
        <v>7.57</v>
      </c>
      <c r="U214">
        <v>7.8</v>
      </c>
      <c r="V214">
        <v>14</v>
      </c>
      <c r="W214">
        <v>97.01</v>
      </c>
      <c r="X214" t="s">
        <v>175</v>
      </c>
    </row>
    <row r="215" spans="1:24" x14ac:dyDescent="0.3">
      <c r="A215">
        <v>4702921684</v>
      </c>
      <c r="B215" s="1">
        <v>42481</v>
      </c>
      <c r="C215">
        <v>6530</v>
      </c>
      <c r="D215">
        <v>5.3000001907348597</v>
      </c>
      <c r="E215">
        <v>4</v>
      </c>
      <c r="F215">
        <v>41</v>
      </c>
      <c r="G215">
        <v>144</v>
      </c>
      <c r="H215">
        <v>901</v>
      </c>
      <c r="I215">
        <v>2729</v>
      </c>
      <c r="J215" t="s">
        <v>154</v>
      </c>
      <c r="K215" t="s">
        <v>141</v>
      </c>
      <c r="L215">
        <v>189</v>
      </c>
      <c r="M215">
        <v>1090</v>
      </c>
      <c r="N215">
        <v>15.02</v>
      </c>
      <c r="O215" t="s">
        <v>144</v>
      </c>
      <c r="P215" t="s">
        <v>143</v>
      </c>
      <c r="Q215">
        <v>1</v>
      </c>
      <c r="R215">
        <v>425</v>
      </c>
      <c r="S215">
        <v>434</v>
      </c>
      <c r="T215">
        <v>7.08</v>
      </c>
      <c r="U215">
        <v>7.23</v>
      </c>
      <c r="V215">
        <v>9</v>
      </c>
      <c r="W215">
        <v>97.93</v>
      </c>
      <c r="X215" t="s">
        <v>175</v>
      </c>
    </row>
    <row r="216" spans="1:24" x14ac:dyDescent="0.3">
      <c r="A216">
        <v>4702921684</v>
      </c>
      <c r="B216" s="1">
        <v>42483</v>
      </c>
      <c r="C216">
        <v>15126</v>
      </c>
      <c r="D216">
        <v>12.2700004577637</v>
      </c>
      <c r="E216">
        <v>9</v>
      </c>
      <c r="F216">
        <v>66</v>
      </c>
      <c r="G216">
        <v>408</v>
      </c>
      <c r="H216">
        <v>469</v>
      </c>
      <c r="I216">
        <v>3691</v>
      </c>
      <c r="J216" t="s">
        <v>151</v>
      </c>
      <c r="K216" t="s">
        <v>141</v>
      </c>
      <c r="L216">
        <v>483</v>
      </c>
      <c r="M216">
        <v>952</v>
      </c>
      <c r="N216">
        <v>7.82</v>
      </c>
      <c r="O216" t="s">
        <v>152</v>
      </c>
      <c r="P216" t="s">
        <v>143</v>
      </c>
      <c r="Q216">
        <v>1</v>
      </c>
      <c r="R216">
        <v>465</v>
      </c>
      <c r="S216">
        <v>475</v>
      </c>
      <c r="T216">
        <v>7.75</v>
      </c>
      <c r="U216">
        <v>7.92</v>
      </c>
      <c r="V216">
        <v>10</v>
      </c>
      <c r="W216">
        <v>97.89</v>
      </c>
      <c r="X216" t="s">
        <v>175</v>
      </c>
    </row>
    <row r="217" spans="1:24" x14ac:dyDescent="0.3">
      <c r="A217">
        <v>4702921684</v>
      </c>
      <c r="B217" s="1">
        <v>42484</v>
      </c>
      <c r="C217">
        <v>15050</v>
      </c>
      <c r="D217">
        <v>12.2200002670288</v>
      </c>
      <c r="E217">
        <v>15</v>
      </c>
      <c r="F217">
        <v>95</v>
      </c>
      <c r="G217">
        <v>281</v>
      </c>
      <c r="H217">
        <v>542</v>
      </c>
      <c r="I217">
        <v>3538</v>
      </c>
      <c r="J217" t="s">
        <v>153</v>
      </c>
      <c r="K217" t="s">
        <v>141</v>
      </c>
      <c r="L217">
        <v>391</v>
      </c>
      <c r="M217">
        <v>933</v>
      </c>
      <c r="N217">
        <v>9.0299999999999994</v>
      </c>
      <c r="O217" t="s">
        <v>152</v>
      </c>
      <c r="P217" t="s">
        <v>148</v>
      </c>
      <c r="Q217">
        <v>1</v>
      </c>
      <c r="R217">
        <v>480</v>
      </c>
      <c r="S217">
        <v>506</v>
      </c>
      <c r="T217">
        <v>8</v>
      </c>
      <c r="U217">
        <v>8.43</v>
      </c>
      <c r="V217">
        <v>26</v>
      </c>
      <c r="W217">
        <v>94.86</v>
      </c>
      <c r="X217" t="s">
        <v>175</v>
      </c>
    </row>
    <row r="218" spans="1:24" x14ac:dyDescent="0.3">
      <c r="A218">
        <v>4702921684</v>
      </c>
      <c r="B218" s="1">
        <v>42485</v>
      </c>
      <c r="C218">
        <v>9167</v>
      </c>
      <c r="D218">
        <v>7.4299998283386204</v>
      </c>
      <c r="E218">
        <v>6</v>
      </c>
      <c r="F218">
        <v>15</v>
      </c>
      <c r="G218">
        <v>270</v>
      </c>
      <c r="H218">
        <v>730</v>
      </c>
      <c r="I218">
        <v>3064</v>
      </c>
      <c r="J218" t="s">
        <v>155</v>
      </c>
      <c r="K218" t="s">
        <v>141</v>
      </c>
      <c r="L218">
        <v>291</v>
      </c>
      <c r="M218">
        <v>1021</v>
      </c>
      <c r="N218">
        <v>12.17</v>
      </c>
      <c r="O218" t="s">
        <v>150</v>
      </c>
      <c r="P218" t="s">
        <v>143</v>
      </c>
      <c r="Q218">
        <v>1</v>
      </c>
      <c r="R218">
        <v>370</v>
      </c>
      <c r="S218">
        <v>380</v>
      </c>
      <c r="T218">
        <v>6.17</v>
      </c>
      <c r="U218">
        <v>6.33</v>
      </c>
      <c r="V218">
        <v>10</v>
      </c>
      <c r="W218">
        <v>97.37</v>
      </c>
      <c r="X218" t="s">
        <v>176</v>
      </c>
    </row>
    <row r="219" spans="1:24" x14ac:dyDescent="0.3">
      <c r="A219">
        <v>4702921684</v>
      </c>
      <c r="B219" s="1">
        <v>42486</v>
      </c>
      <c r="C219">
        <v>6108</v>
      </c>
      <c r="D219">
        <v>4.9499998092651403</v>
      </c>
      <c r="E219">
        <v>1</v>
      </c>
      <c r="F219">
        <v>8</v>
      </c>
      <c r="G219">
        <v>216</v>
      </c>
      <c r="H219">
        <v>765</v>
      </c>
      <c r="I219">
        <v>2784</v>
      </c>
      <c r="J219" t="s">
        <v>140</v>
      </c>
      <c r="K219" t="s">
        <v>141</v>
      </c>
      <c r="L219">
        <v>225</v>
      </c>
      <c r="M219">
        <v>990</v>
      </c>
      <c r="N219">
        <v>12.75</v>
      </c>
      <c r="O219" t="s">
        <v>144</v>
      </c>
      <c r="P219" t="s">
        <v>143</v>
      </c>
      <c r="Q219">
        <v>1</v>
      </c>
      <c r="R219">
        <v>421</v>
      </c>
      <c r="S219">
        <v>429</v>
      </c>
      <c r="T219">
        <v>7.02</v>
      </c>
      <c r="U219">
        <v>7.15</v>
      </c>
      <c r="V219">
        <v>8</v>
      </c>
      <c r="W219">
        <v>98.14</v>
      </c>
      <c r="X219" t="s">
        <v>175</v>
      </c>
    </row>
    <row r="220" spans="1:24" x14ac:dyDescent="0.3">
      <c r="A220">
        <v>4702921684</v>
      </c>
      <c r="B220" s="1">
        <v>42487</v>
      </c>
      <c r="C220">
        <v>7047</v>
      </c>
      <c r="D220">
        <v>5.7199997901916504</v>
      </c>
      <c r="E220">
        <v>1</v>
      </c>
      <c r="F220">
        <v>16</v>
      </c>
      <c r="G220">
        <v>238</v>
      </c>
      <c r="H220">
        <v>733</v>
      </c>
      <c r="I220">
        <v>2908</v>
      </c>
      <c r="J220" t="s">
        <v>146</v>
      </c>
      <c r="K220" t="s">
        <v>141</v>
      </c>
      <c r="L220">
        <v>255</v>
      </c>
      <c r="M220">
        <v>988</v>
      </c>
      <c r="N220">
        <v>12.22</v>
      </c>
      <c r="O220" t="s">
        <v>144</v>
      </c>
      <c r="P220" t="s">
        <v>143</v>
      </c>
      <c r="Q220">
        <v>1</v>
      </c>
      <c r="R220">
        <v>432</v>
      </c>
      <c r="S220">
        <v>449</v>
      </c>
      <c r="T220">
        <v>7.2</v>
      </c>
      <c r="U220">
        <v>7.48</v>
      </c>
      <c r="V220">
        <v>17</v>
      </c>
      <c r="W220">
        <v>96.21</v>
      </c>
      <c r="X220" t="s">
        <v>175</v>
      </c>
    </row>
    <row r="221" spans="1:24" x14ac:dyDescent="0.3">
      <c r="A221">
        <v>4702921684</v>
      </c>
      <c r="B221" s="1">
        <v>42488</v>
      </c>
      <c r="C221">
        <v>9023</v>
      </c>
      <c r="D221">
        <v>7.3200001716613796</v>
      </c>
      <c r="E221">
        <v>14</v>
      </c>
      <c r="F221">
        <v>9</v>
      </c>
      <c r="G221">
        <v>232</v>
      </c>
      <c r="H221">
        <v>738</v>
      </c>
      <c r="I221">
        <v>3033</v>
      </c>
      <c r="J221" t="s">
        <v>154</v>
      </c>
      <c r="K221" t="s">
        <v>141</v>
      </c>
      <c r="L221">
        <v>255</v>
      </c>
      <c r="M221">
        <v>993</v>
      </c>
      <c r="N221">
        <v>12.3</v>
      </c>
      <c r="O221" t="s">
        <v>150</v>
      </c>
      <c r="P221" t="s">
        <v>143</v>
      </c>
      <c r="Q221">
        <v>1</v>
      </c>
      <c r="R221">
        <v>442</v>
      </c>
      <c r="S221">
        <v>461</v>
      </c>
      <c r="T221">
        <v>7.37</v>
      </c>
      <c r="U221">
        <v>7.68</v>
      </c>
      <c r="V221">
        <v>19</v>
      </c>
      <c r="W221">
        <v>95.88</v>
      </c>
      <c r="X221" t="s">
        <v>175</v>
      </c>
    </row>
    <row r="222" spans="1:24" x14ac:dyDescent="0.3">
      <c r="A222">
        <v>4702921684</v>
      </c>
      <c r="B222" s="1">
        <v>42489</v>
      </c>
      <c r="C222">
        <v>9930</v>
      </c>
      <c r="D222">
        <v>8.0500001907348597</v>
      </c>
      <c r="E222">
        <v>12</v>
      </c>
      <c r="F222">
        <v>19</v>
      </c>
      <c r="G222">
        <v>267</v>
      </c>
      <c r="H222">
        <v>692</v>
      </c>
      <c r="I222">
        <v>3165</v>
      </c>
      <c r="J222" t="s">
        <v>149</v>
      </c>
      <c r="K222" t="s">
        <v>141</v>
      </c>
      <c r="L222">
        <v>298</v>
      </c>
      <c r="M222">
        <v>990</v>
      </c>
      <c r="N222">
        <v>11.53</v>
      </c>
      <c r="O222" t="s">
        <v>150</v>
      </c>
      <c r="P222" t="s">
        <v>143</v>
      </c>
      <c r="Q222">
        <v>1</v>
      </c>
      <c r="R222">
        <v>433</v>
      </c>
      <c r="S222">
        <v>447</v>
      </c>
      <c r="T222">
        <v>7.22</v>
      </c>
      <c r="U222">
        <v>7.45</v>
      </c>
      <c r="V222">
        <v>14</v>
      </c>
      <c r="W222">
        <v>96.87</v>
      </c>
      <c r="X222" t="s">
        <v>175</v>
      </c>
    </row>
    <row r="223" spans="1:24" x14ac:dyDescent="0.3">
      <c r="A223">
        <v>4702921684</v>
      </c>
      <c r="B223" s="1">
        <v>42490</v>
      </c>
      <c r="C223">
        <v>10144</v>
      </c>
      <c r="D223">
        <v>8.2299995422363299</v>
      </c>
      <c r="E223">
        <v>4</v>
      </c>
      <c r="F223">
        <v>36</v>
      </c>
      <c r="G223">
        <v>263</v>
      </c>
      <c r="H223">
        <v>728</v>
      </c>
      <c r="I223">
        <v>3115</v>
      </c>
      <c r="J223" t="s">
        <v>151</v>
      </c>
      <c r="K223" t="s">
        <v>141</v>
      </c>
      <c r="L223">
        <v>303</v>
      </c>
      <c r="M223">
        <v>1031</v>
      </c>
      <c r="N223">
        <v>12.13</v>
      </c>
      <c r="O223" t="s">
        <v>147</v>
      </c>
      <c r="P223" t="s">
        <v>143</v>
      </c>
      <c r="Q223">
        <v>1</v>
      </c>
      <c r="R223">
        <v>479</v>
      </c>
      <c r="S223">
        <v>501</v>
      </c>
      <c r="T223">
        <v>7.98</v>
      </c>
      <c r="U223">
        <v>8.35</v>
      </c>
      <c r="V223">
        <v>22</v>
      </c>
      <c r="W223">
        <v>95.61</v>
      </c>
      <c r="X223" t="s">
        <v>175</v>
      </c>
    </row>
    <row r="224" spans="1:24" x14ac:dyDescent="0.3">
      <c r="A224">
        <v>4702921684</v>
      </c>
      <c r="B224" s="1">
        <v>42493</v>
      </c>
      <c r="C224">
        <v>9454</v>
      </c>
      <c r="D224">
        <v>7.6700000762939498</v>
      </c>
      <c r="E224">
        <v>0</v>
      </c>
      <c r="F224">
        <v>0</v>
      </c>
      <c r="G224">
        <v>313</v>
      </c>
      <c r="H224">
        <v>729</v>
      </c>
      <c r="I224">
        <v>3145</v>
      </c>
      <c r="J224" t="s">
        <v>140</v>
      </c>
      <c r="K224" t="s">
        <v>156</v>
      </c>
      <c r="L224">
        <v>313</v>
      </c>
      <c r="M224">
        <v>1042</v>
      </c>
      <c r="N224">
        <v>12.15</v>
      </c>
      <c r="O224" t="s">
        <v>150</v>
      </c>
      <c r="P224" t="s">
        <v>142</v>
      </c>
      <c r="Q224">
        <v>1</v>
      </c>
      <c r="R224">
        <v>327</v>
      </c>
      <c r="S224">
        <v>373</v>
      </c>
      <c r="T224">
        <v>5.45</v>
      </c>
      <c r="U224">
        <v>6.22</v>
      </c>
      <c r="V224">
        <v>46</v>
      </c>
      <c r="W224">
        <v>87.67</v>
      </c>
      <c r="X224" t="s">
        <v>173</v>
      </c>
    </row>
    <row r="225" spans="1:24" x14ac:dyDescent="0.3">
      <c r="A225">
        <v>4702921684</v>
      </c>
      <c r="B225" s="1">
        <v>42494</v>
      </c>
      <c r="C225">
        <v>8161</v>
      </c>
      <c r="D225">
        <v>6.6199998855590803</v>
      </c>
      <c r="E225">
        <v>4</v>
      </c>
      <c r="F225">
        <v>15</v>
      </c>
      <c r="G225">
        <v>251</v>
      </c>
      <c r="H225">
        <v>757</v>
      </c>
      <c r="I225">
        <v>3004</v>
      </c>
      <c r="J225" t="s">
        <v>146</v>
      </c>
      <c r="K225" t="s">
        <v>156</v>
      </c>
      <c r="L225">
        <v>270</v>
      </c>
      <c r="M225">
        <v>1027</v>
      </c>
      <c r="N225">
        <v>12.62</v>
      </c>
      <c r="O225" t="s">
        <v>150</v>
      </c>
      <c r="P225" t="s">
        <v>143</v>
      </c>
      <c r="Q225">
        <v>1</v>
      </c>
      <c r="R225">
        <v>412</v>
      </c>
      <c r="S225">
        <v>434</v>
      </c>
      <c r="T225">
        <v>6.87</v>
      </c>
      <c r="U225">
        <v>7.23</v>
      </c>
      <c r="V225">
        <v>22</v>
      </c>
      <c r="W225">
        <v>94.93</v>
      </c>
      <c r="X225" t="s">
        <v>176</v>
      </c>
    </row>
    <row r="226" spans="1:24" x14ac:dyDescent="0.3">
      <c r="A226">
        <v>4702921684</v>
      </c>
      <c r="B226" s="1">
        <v>42495</v>
      </c>
      <c r="C226">
        <v>8614</v>
      </c>
      <c r="D226">
        <v>6.9899997711181596</v>
      </c>
      <c r="E226">
        <v>8</v>
      </c>
      <c r="F226">
        <v>5</v>
      </c>
      <c r="G226">
        <v>241</v>
      </c>
      <c r="H226">
        <v>745</v>
      </c>
      <c r="I226">
        <v>3006</v>
      </c>
      <c r="J226" t="s">
        <v>154</v>
      </c>
      <c r="K226" t="s">
        <v>156</v>
      </c>
      <c r="L226">
        <v>254</v>
      </c>
      <c r="M226">
        <v>999</v>
      </c>
      <c r="N226">
        <v>12.42</v>
      </c>
      <c r="O226" t="s">
        <v>150</v>
      </c>
      <c r="P226" t="s">
        <v>143</v>
      </c>
      <c r="Q226">
        <v>1</v>
      </c>
      <c r="R226">
        <v>414</v>
      </c>
      <c r="S226">
        <v>428</v>
      </c>
      <c r="T226">
        <v>6.9</v>
      </c>
      <c r="U226">
        <v>7.13</v>
      </c>
      <c r="V226">
        <v>14</v>
      </c>
      <c r="W226">
        <v>96.73</v>
      </c>
      <c r="X226" t="s">
        <v>176</v>
      </c>
    </row>
    <row r="227" spans="1:24" x14ac:dyDescent="0.3">
      <c r="A227">
        <v>4702921684</v>
      </c>
      <c r="B227" s="1">
        <v>42496</v>
      </c>
      <c r="C227">
        <v>6943</v>
      </c>
      <c r="D227">
        <v>5.6300001144409197</v>
      </c>
      <c r="E227">
        <v>1</v>
      </c>
      <c r="F227">
        <v>16</v>
      </c>
      <c r="G227">
        <v>207</v>
      </c>
      <c r="H227">
        <v>682</v>
      </c>
      <c r="I227">
        <v>2859</v>
      </c>
      <c r="J227" t="s">
        <v>149</v>
      </c>
      <c r="K227" t="s">
        <v>156</v>
      </c>
      <c r="L227">
        <v>224</v>
      </c>
      <c r="M227">
        <v>906</v>
      </c>
      <c r="N227">
        <v>11.37</v>
      </c>
      <c r="O227" t="s">
        <v>144</v>
      </c>
      <c r="P227" t="s">
        <v>143</v>
      </c>
      <c r="Q227">
        <v>1</v>
      </c>
      <c r="R227">
        <v>404</v>
      </c>
      <c r="S227">
        <v>449</v>
      </c>
      <c r="T227">
        <v>6.73</v>
      </c>
      <c r="U227">
        <v>7.48</v>
      </c>
      <c r="V227">
        <v>45</v>
      </c>
      <c r="W227">
        <v>89.98</v>
      </c>
      <c r="X227" t="s">
        <v>176</v>
      </c>
    </row>
    <row r="228" spans="1:24" x14ac:dyDescent="0.3">
      <c r="A228">
        <v>4702921684</v>
      </c>
      <c r="B228" s="1">
        <v>42497</v>
      </c>
      <c r="C228">
        <v>14370</v>
      </c>
      <c r="D228">
        <v>11.6499996185303</v>
      </c>
      <c r="E228">
        <v>5</v>
      </c>
      <c r="F228">
        <v>46</v>
      </c>
      <c r="G228">
        <v>439</v>
      </c>
      <c r="H228">
        <v>577</v>
      </c>
      <c r="I228">
        <v>3683</v>
      </c>
      <c r="J228" t="s">
        <v>151</v>
      </c>
      <c r="K228" t="s">
        <v>156</v>
      </c>
      <c r="L228">
        <v>490</v>
      </c>
      <c r="M228">
        <v>1067</v>
      </c>
      <c r="N228">
        <v>9.6199999999999992</v>
      </c>
      <c r="O228" t="s">
        <v>152</v>
      </c>
      <c r="P228" t="s">
        <v>143</v>
      </c>
      <c r="Q228">
        <v>1</v>
      </c>
      <c r="R228">
        <v>520</v>
      </c>
      <c r="S228">
        <v>543</v>
      </c>
      <c r="T228">
        <v>8.67</v>
      </c>
      <c r="U228">
        <v>9.0500000000000007</v>
      </c>
      <c r="V228">
        <v>23</v>
      </c>
      <c r="W228">
        <v>95.76</v>
      </c>
      <c r="X228" t="s">
        <v>175</v>
      </c>
    </row>
    <row r="229" spans="1:24" x14ac:dyDescent="0.3">
      <c r="A229">
        <v>4702921684</v>
      </c>
      <c r="B229" s="1">
        <v>42499</v>
      </c>
      <c r="C229">
        <v>8232</v>
      </c>
      <c r="D229">
        <v>6.6799998283386204</v>
      </c>
      <c r="E229">
        <v>0</v>
      </c>
      <c r="F229">
        <v>12</v>
      </c>
      <c r="G229">
        <v>253</v>
      </c>
      <c r="H229">
        <v>746</v>
      </c>
      <c r="I229">
        <v>2990</v>
      </c>
      <c r="J229" t="s">
        <v>155</v>
      </c>
      <c r="K229" t="s">
        <v>156</v>
      </c>
      <c r="L229">
        <v>265</v>
      </c>
      <c r="M229">
        <v>1011</v>
      </c>
      <c r="N229">
        <v>12.43</v>
      </c>
      <c r="O229" t="s">
        <v>150</v>
      </c>
      <c r="P229" t="s">
        <v>142</v>
      </c>
      <c r="Q229">
        <v>1</v>
      </c>
      <c r="R229">
        <v>435</v>
      </c>
      <c r="S229">
        <v>458</v>
      </c>
      <c r="T229">
        <v>7.25</v>
      </c>
      <c r="U229">
        <v>7.63</v>
      </c>
      <c r="V229">
        <v>23</v>
      </c>
      <c r="W229">
        <v>94.98</v>
      </c>
      <c r="X229" t="s">
        <v>175</v>
      </c>
    </row>
    <row r="230" spans="1:24" x14ac:dyDescent="0.3">
      <c r="A230">
        <v>4702921684</v>
      </c>
      <c r="B230" s="1">
        <v>42500</v>
      </c>
      <c r="C230">
        <v>10613</v>
      </c>
      <c r="D230">
        <v>8.6099996566772496</v>
      </c>
      <c r="E230">
        <v>1</v>
      </c>
      <c r="F230">
        <v>37</v>
      </c>
      <c r="G230">
        <v>262</v>
      </c>
      <c r="H230">
        <v>701</v>
      </c>
      <c r="I230">
        <v>3172</v>
      </c>
      <c r="J230" t="s">
        <v>140</v>
      </c>
      <c r="K230" t="s">
        <v>156</v>
      </c>
      <c r="L230">
        <v>300</v>
      </c>
      <c r="M230">
        <v>1001</v>
      </c>
      <c r="N230">
        <v>11.68</v>
      </c>
      <c r="O230" t="s">
        <v>147</v>
      </c>
      <c r="P230" t="s">
        <v>143</v>
      </c>
      <c r="Q230">
        <v>1</v>
      </c>
      <c r="R230">
        <v>416</v>
      </c>
      <c r="S230">
        <v>431</v>
      </c>
      <c r="T230">
        <v>6.93</v>
      </c>
      <c r="U230">
        <v>7.18</v>
      </c>
      <c r="V230">
        <v>15</v>
      </c>
      <c r="W230">
        <v>96.52</v>
      </c>
      <c r="X230" t="s">
        <v>176</v>
      </c>
    </row>
    <row r="231" spans="1:24" x14ac:dyDescent="0.3">
      <c r="A231">
        <v>4702921684</v>
      </c>
      <c r="B231" s="1">
        <v>42501</v>
      </c>
      <c r="C231">
        <v>9810</v>
      </c>
      <c r="D231">
        <v>7.96000003814697</v>
      </c>
      <c r="E231">
        <v>10</v>
      </c>
      <c r="F231">
        <v>41</v>
      </c>
      <c r="G231">
        <v>235</v>
      </c>
      <c r="H231">
        <v>784</v>
      </c>
      <c r="I231">
        <v>3069</v>
      </c>
      <c r="J231" t="s">
        <v>146</v>
      </c>
      <c r="K231" t="s">
        <v>156</v>
      </c>
      <c r="L231">
        <v>286</v>
      </c>
      <c r="M231">
        <v>1070</v>
      </c>
      <c r="N231">
        <v>13.07</v>
      </c>
      <c r="O231" t="s">
        <v>150</v>
      </c>
      <c r="P231" t="s">
        <v>143</v>
      </c>
      <c r="Q231">
        <v>1</v>
      </c>
      <c r="R231">
        <v>354</v>
      </c>
      <c r="S231">
        <v>366</v>
      </c>
      <c r="T231">
        <v>5.9</v>
      </c>
      <c r="U231">
        <v>6.1</v>
      </c>
      <c r="V231">
        <v>12</v>
      </c>
      <c r="W231">
        <v>96.72</v>
      </c>
      <c r="X231" t="s">
        <v>173</v>
      </c>
    </row>
    <row r="232" spans="1:24" x14ac:dyDescent="0.3">
      <c r="A232">
        <v>4702921684</v>
      </c>
      <c r="B232" s="1">
        <v>42502</v>
      </c>
      <c r="C232">
        <v>2752</v>
      </c>
      <c r="D232">
        <v>2.2300000190734899</v>
      </c>
      <c r="E232">
        <v>0</v>
      </c>
      <c r="F232">
        <v>0</v>
      </c>
      <c r="G232">
        <v>68</v>
      </c>
      <c r="H232">
        <v>241</v>
      </c>
      <c r="I232">
        <v>1240</v>
      </c>
      <c r="J232" t="s">
        <v>154</v>
      </c>
      <c r="K232" t="s">
        <v>156</v>
      </c>
      <c r="L232">
        <v>68</v>
      </c>
      <c r="M232">
        <v>309</v>
      </c>
      <c r="N232">
        <v>4.0199999999999996</v>
      </c>
      <c r="O232" t="s">
        <v>142</v>
      </c>
      <c r="P232" t="s">
        <v>142</v>
      </c>
      <c r="Q232">
        <v>1</v>
      </c>
      <c r="R232">
        <v>404</v>
      </c>
      <c r="S232">
        <v>442</v>
      </c>
      <c r="T232">
        <v>6.73</v>
      </c>
      <c r="U232">
        <v>7.37</v>
      </c>
      <c r="V232">
        <v>38</v>
      </c>
      <c r="W232">
        <v>91.4</v>
      </c>
      <c r="X232" t="s">
        <v>176</v>
      </c>
    </row>
    <row r="233" spans="1:24" x14ac:dyDescent="0.3">
      <c r="A233">
        <v>5553957443</v>
      </c>
      <c r="B233" s="1">
        <v>42473</v>
      </c>
      <c r="C233">
        <v>4832</v>
      </c>
      <c r="D233">
        <v>3.1600000858306898</v>
      </c>
      <c r="E233">
        <v>0</v>
      </c>
      <c r="F233">
        <v>0</v>
      </c>
      <c r="G233">
        <v>226</v>
      </c>
      <c r="H233">
        <v>647</v>
      </c>
      <c r="I233">
        <v>1718</v>
      </c>
      <c r="J233" t="s">
        <v>146</v>
      </c>
      <c r="K233" t="s">
        <v>141</v>
      </c>
      <c r="L233">
        <v>226</v>
      </c>
      <c r="M233">
        <v>873</v>
      </c>
      <c r="N233">
        <v>10.78</v>
      </c>
      <c r="O233" t="s">
        <v>142</v>
      </c>
      <c r="P233" t="s">
        <v>142</v>
      </c>
      <c r="Q233">
        <v>2</v>
      </c>
      <c r="R233">
        <v>455</v>
      </c>
      <c r="S233">
        <v>488</v>
      </c>
      <c r="T233">
        <v>7.58</v>
      </c>
      <c r="U233">
        <v>8.1300000000000008</v>
      </c>
      <c r="V233">
        <v>33</v>
      </c>
      <c r="W233">
        <v>93.24</v>
      </c>
      <c r="X233" t="s">
        <v>175</v>
      </c>
    </row>
    <row r="234" spans="1:24" x14ac:dyDescent="0.3">
      <c r="A234">
        <v>5553957443</v>
      </c>
      <c r="B234" s="1">
        <v>42474</v>
      </c>
      <c r="C234">
        <v>17022</v>
      </c>
      <c r="D234">
        <v>11.1199998855591</v>
      </c>
      <c r="E234">
        <v>61</v>
      </c>
      <c r="F234">
        <v>41</v>
      </c>
      <c r="G234">
        <v>256</v>
      </c>
      <c r="H234">
        <v>693</v>
      </c>
      <c r="I234">
        <v>2324</v>
      </c>
      <c r="J234" t="s">
        <v>154</v>
      </c>
      <c r="K234" t="s">
        <v>141</v>
      </c>
      <c r="L234">
        <v>358</v>
      </c>
      <c r="M234">
        <v>1051</v>
      </c>
      <c r="N234">
        <v>11.55</v>
      </c>
      <c r="O234" t="s">
        <v>152</v>
      </c>
      <c r="P234" t="s">
        <v>145</v>
      </c>
      <c r="Q234">
        <v>1</v>
      </c>
      <c r="R234">
        <v>357</v>
      </c>
      <c r="S234">
        <v>418</v>
      </c>
      <c r="T234">
        <v>5.95</v>
      </c>
      <c r="U234">
        <v>6.97</v>
      </c>
      <c r="V234">
        <v>61</v>
      </c>
      <c r="W234">
        <v>85.41</v>
      </c>
      <c r="X234" t="s">
        <v>173</v>
      </c>
    </row>
    <row r="235" spans="1:24" x14ac:dyDescent="0.3">
      <c r="A235">
        <v>5553957443</v>
      </c>
      <c r="B235" s="1">
        <v>42475</v>
      </c>
      <c r="C235">
        <v>16556</v>
      </c>
      <c r="D235">
        <v>10.8599996566772</v>
      </c>
      <c r="E235">
        <v>58</v>
      </c>
      <c r="F235">
        <v>38</v>
      </c>
      <c r="G235">
        <v>239</v>
      </c>
      <c r="H235">
        <v>689</v>
      </c>
      <c r="I235">
        <v>2254</v>
      </c>
      <c r="J235" t="s">
        <v>149</v>
      </c>
      <c r="K235" t="s">
        <v>141</v>
      </c>
      <c r="L235">
        <v>335</v>
      </c>
      <c r="M235">
        <v>1024</v>
      </c>
      <c r="N235">
        <v>11.48</v>
      </c>
      <c r="O235" t="s">
        <v>152</v>
      </c>
      <c r="P235" t="s">
        <v>145</v>
      </c>
      <c r="Q235">
        <v>1</v>
      </c>
      <c r="R235">
        <v>377</v>
      </c>
      <c r="S235">
        <v>409</v>
      </c>
      <c r="T235">
        <v>6.28</v>
      </c>
      <c r="U235">
        <v>6.82</v>
      </c>
      <c r="V235">
        <v>32</v>
      </c>
      <c r="W235">
        <v>92.18</v>
      </c>
      <c r="X235" t="s">
        <v>176</v>
      </c>
    </row>
    <row r="236" spans="1:24" x14ac:dyDescent="0.3">
      <c r="A236">
        <v>5553957443</v>
      </c>
      <c r="B236" s="1">
        <v>42476</v>
      </c>
      <c r="C236">
        <v>5771</v>
      </c>
      <c r="D236">
        <v>3.7699999809265101</v>
      </c>
      <c r="E236">
        <v>0</v>
      </c>
      <c r="F236">
        <v>0</v>
      </c>
      <c r="G236">
        <v>288</v>
      </c>
      <c r="H236">
        <v>521</v>
      </c>
      <c r="I236">
        <v>1831</v>
      </c>
      <c r="J236" t="s">
        <v>151</v>
      </c>
      <c r="K236" t="s">
        <v>141</v>
      </c>
      <c r="L236">
        <v>288</v>
      </c>
      <c r="M236">
        <v>809</v>
      </c>
      <c r="N236">
        <v>8.68</v>
      </c>
      <c r="O236" t="s">
        <v>144</v>
      </c>
      <c r="P236" t="s">
        <v>142</v>
      </c>
      <c r="Q236">
        <v>2</v>
      </c>
      <c r="R236">
        <v>651</v>
      </c>
      <c r="S236">
        <v>686</v>
      </c>
      <c r="T236">
        <v>10.85</v>
      </c>
      <c r="U236">
        <v>11.43</v>
      </c>
      <c r="V236">
        <v>35</v>
      </c>
      <c r="W236">
        <v>94.9</v>
      </c>
      <c r="X236" t="s">
        <v>174</v>
      </c>
    </row>
    <row r="237" spans="1:24" x14ac:dyDescent="0.3">
      <c r="A237">
        <v>5553957443</v>
      </c>
      <c r="B237" s="1">
        <v>42477</v>
      </c>
      <c r="C237">
        <v>655</v>
      </c>
      <c r="D237">
        <v>0.43000000715255698</v>
      </c>
      <c r="E237">
        <v>0</v>
      </c>
      <c r="F237">
        <v>0</v>
      </c>
      <c r="G237">
        <v>46</v>
      </c>
      <c r="H237">
        <v>943</v>
      </c>
      <c r="I237">
        <v>1397</v>
      </c>
      <c r="J237" t="s">
        <v>153</v>
      </c>
      <c r="K237" t="s">
        <v>141</v>
      </c>
      <c r="L237">
        <v>46</v>
      </c>
      <c r="M237">
        <v>989</v>
      </c>
      <c r="N237">
        <v>15.72</v>
      </c>
      <c r="O237" t="s">
        <v>142</v>
      </c>
      <c r="P237" t="s">
        <v>142</v>
      </c>
      <c r="Q237">
        <v>1</v>
      </c>
      <c r="R237">
        <v>350</v>
      </c>
      <c r="S237">
        <v>402</v>
      </c>
      <c r="T237">
        <v>5.83</v>
      </c>
      <c r="U237">
        <v>6.7</v>
      </c>
      <c r="V237">
        <v>52</v>
      </c>
      <c r="W237">
        <v>87.06</v>
      </c>
      <c r="X237" t="s">
        <v>173</v>
      </c>
    </row>
    <row r="238" spans="1:24" x14ac:dyDescent="0.3">
      <c r="A238">
        <v>5553957443</v>
      </c>
      <c r="B238" s="1">
        <v>42478</v>
      </c>
      <c r="C238">
        <v>3727</v>
      </c>
      <c r="D238">
        <v>2.4300000667571999</v>
      </c>
      <c r="E238">
        <v>0</v>
      </c>
      <c r="F238">
        <v>0</v>
      </c>
      <c r="G238">
        <v>206</v>
      </c>
      <c r="H238">
        <v>622</v>
      </c>
      <c r="I238">
        <v>1683</v>
      </c>
      <c r="J238" t="s">
        <v>155</v>
      </c>
      <c r="K238" t="s">
        <v>141</v>
      </c>
      <c r="L238">
        <v>206</v>
      </c>
      <c r="M238">
        <v>828</v>
      </c>
      <c r="N238">
        <v>10.37</v>
      </c>
      <c r="O238" t="s">
        <v>142</v>
      </c>
      <c r="P238" t="s">
        <v>142</v>
      </c>
      <c r="Q238">
        <v>2</v>
      </c>
      <c r="R238">
        <v>520</v>
      </c>
      <c r="S238">
        <v>541</v>
      </c>
      <c r="T238">
        <v>8.67</v>
      </c>
      <c r="U238">
        <v>9.02</v>
      </c>
      <c r="V238">
        <v>21</v>
      </c>
      <c r="W238">
        <v>96.12</v>
      </c>
      <c r="X238" t="s">
        <v>175</v>
      </c>
    </row>
    <row r="239" spans="1:24" x14ac:dyDescent="0.3">
      <c r="A239">
        <v>5553957443</v>
      </c>
      <c r="B239" s="1">
        <v>42479</v>
      </c>
      <c r="C239">
        <v>15482</v>
      </c>
      <c r="D239">
        <v>10.1099996566772</v>
      </c>
      <c r="E239">
        <v>69</v>
      </c>
      <c r="F239">
        <v>28</v>
      </c>
      <c r="G239">
        <v>249</v>
      </c>
      <c r="H239">
        <v>756</v>
      </c>
      <c r="I239">
        <v>2284</v>
      </c>
      <c r="J239" t="s">
        <v>140</v>
      </c>
      <c r="K239" t="s">
        <v>141</v>
      </c>
      <c r="L239">
        <v>346</v>
      </c>
      <c r="M239">
        <v>1102</v>
      </c>
      <c r="N239">
        <v>12.6</v>
      </c>
      <c r="O239" t="s">
        <v>152</v>
      </c>
      <c r="P239" t="s">
        <v>145</v>
      </c>
      <c r="Q239">
        <v>1</v>
      </c>
      <c r="R239">
        <v>357</v>
      </c>
      <c r="S239">
        <v>410</v>
      </c>
      <c r="T239">
        <v>5.95</v>
      </c>
      <c r="U239">
        <v>6.83</v>
      </c>
      <c r="V239">
        <v>53</v>
      </c>
      <c r="W239">
        <v>87.07</v>
      </c>
      <c r="X239" t="s">
        <v>173</v>
      </c>
    </row>
    <row r="240" spans="1:24" x14ac:dyDescent="0.3">
      <c r="A240">
        <v>5553957443</v>
      </c>
      <c r="B240" s="1">
        <v>42480</v>
      </c>
      <c r="C240">
        <v>2713</v>
      </c>
      <c r="D240">
        <v>1.7699999809265099</v>
      </c>
      <c r="E240">
        <v>0</v>
      </c>
      <c r="F240">
        <v>0</v>
      </c>
      <c r="G240">
        <v>148</v>
      </c>
      <c r="H240">
        <v>598</v>
      </c>
      <c r="I240">
        <v>1570</v>
      </c>
      <c r="J240" t="s">
        <v>146</v>
      </c>
      <c r="K240" t="s">
        <v>141</v>
      </c>
      <c r="L240">
        <v>148</v>
      </c>
      <c r="M240">
        <v>746</v>
      </c>
      <c r="N240">
        <v>9.9700000000000006</v>
      </c>
      <c r="O240" t="s">
        <v>142</v>
      </c>
      <c r="P240" t="s">
        <v>142</v>
      </c>
      <c r="Q240">
        <v>1</v>
      </c>
      <c r="R240">
        <v>658</v>
      </c>
      <c r="S240">
        <v>678</v>
      </c>
      <c r="T240">
        <v>10.97</v>
      </c>
      <c r="U240">
        <v>11.3</v>
      </c>
      <c r="V240">
        <v>20</v>
      </c>
      <c r="W240">
        <v>97.05</v>
      </c>
      <c r="X240" t="s">
        <v>174</v>
      </c>
    </row>
    <row r="241" spans="1:24" x14ac:dyDescent="0.3">
      <c r="A241">
        <v>5553957443</v>
      </c>
      <c r="B241" s="1">
        <v>42481</v>
      </c>
      <c r="C241">
        <v>12346</v>
      </c>
      <c r="D241">
        <v>8.0600004196166992</v>
      </c>
      <c r="E241">
        <v>47</v>
      </c>
      <c r="F241">
        <v>42</v>
      </c>
      <c r="G241">
        <v>177</v>
      </c>
      <c r="H241">
        <v>801</v>
      </c>
      <c r="I241">
        <v>2066</v>
      </c>
      <c r="J241" t="s">
        <v>154</v>
      </c>
      <c r="K241" t="s">
        <v>141</v>
      </c>
      <c r="L241">
        <v>266</v>
      </c>
      <c r="M241">
        <v>1067</v>
      </c>
      <c r="N241">
        <v>13.35</v>
      </c>
      <c r="O241" t="s">
        <v>147</v>
      </c>
      <c r="P241" t="s">
        <v>145</v>
      </c>
      <c r="Q241">
        <v>1</v>
      </c>
      <c r="R241">
        <v>399</v>
      </c>
      <c r="S241">
        <v>431</v>
      </c>
      <c r="T241">
        <v>6.65</v>
      </c>
      <c r="U241">
        <v>7.18</v>
      </c>
      <c r="V241">
        <v>32</v>
      </c>
      <c r="W241">
        <v>92.58</v>
      </c>
      <c r="X241" t="s">
        <v>176</v>
      </c>
    </row>
    <row r="242" spans="1:24" x14ac:dyDescent="0.3">
      <c r="A242">
        <v>5553957443</v>
      </c>
      <c r="B242" s="1">
        <v>42482</v>
      </c>
      <c r="C242">
        <v>11682</v>
      </c>
      <c r="D242">
        <v>7.6300001144409197</v>
      </c>
      <c r="E242">
        <v>25</v>
      </c>
      <c r="F242">
        <v>16</v>
      </c>
      <c r="G242">
        <v>270</v>
      </c>
      <c r="H242">
        <v>781</v>
      </c>
      <c r="I242">
        <v>2105</v>
      </c>
      <c r="J242" t="s">
        <v>149</v>
      </c>
      <c r="K242" t="s">
        <v>141</v>
      </c>
      <c r="L242">
        <v>311</v>
      </c>
      <c r="M242">
        <v>1092</v>
      </c>
      <c r="N242">
        <v>13.02</v>
      </c>
      <c r="O242" t="s">
        <v>147</v>
      </c>
      <c r="P242" t="s">
        <v>148</v>
      </c>
      <c r="Q242">
        <v>1</v>
      </c>
      <c r="R242">
        <v>322</v>
      </c>
      <c r="S242">
        <v>353</v>
      </c>
      <c r="T242">
        <v>5.37</v>
      </c>
      <c r="U242">
        <v>5.88</v>
      </c>
      <c r="V242">
        <v>31</v>
      </c>
      <c r="W242">
        <v>91.22</v>
      </c>
      <c r="X242" t="s">
        <v>173</v>
      </c>
    </row>
    <row r="243" spans="1:24" x14ac:dyDescent="0.3">
      <c r="A243">
        <v>5553957443</v>
      </c>
      <c r="B243" s="1">
        <v>42483</v>
      </c>
      <c r="C243">
        <v>4112</v>
      </c>
      <c r="D243">
        <v>2.6900000572204599</v>
      </c>
      <c r="E243">
        <v>0</v>
      </c>
      <c r="F243">
        <v>0</v>
      </c>
      <c r="G243">
        <v>272</v>
      </c>
      <c r="H243">
        <v>443</v>
      </c>
      <c r="I243">
        <v>1776</v>
      </c>
      <c r="J243" t="s">
        <v>151</v>
      </c>
      <c r="K243" t="s">
        <v>141</v>
      </c>
      <c r="L243">
        <v>272</v>
      </c>
      <c r="M243">
        <v>715</v>
      </c>
      <c r="N243">
        <v>7.38</v>
      </c>
      <c r="O243" t="s">
        <v>142</v>
      </c>
      <c r="P243" t="s">
        <v>142</v>
      </c>
      <c r="Q243">
        <v>2</v>
      </c>
      <c r="R243">
        <v>631</v>
      </c>
      <c r="S243">
        <v>725</v>
      </c>
      <c r="T243">
        <v>10.52</v>
      </c>
      <c r="U243">
        <v>12.08</v>
      </c>
      <c r="V243">
        <v>94</v>
      </c>
      <c r="W243">
        <v>87.03</v>
      </c>
      <c r="X243" t="s">
        <v>174</v>
      </c>
    </row>
    <row r="244" spans="1:24" x14ac:dyDescent="0.3">
      <c r="A244">
        <v>5553957443</v>
      </c>
      <c r="B244" s="1">
        <v>42484</v>
      </c>
      <c r="C244">
        <v>1807</v>
      </c>
      <c r="D244">
        <v>1.1799999475479099</v>
      </c>
      <c r="E244">
        <v>0</v>
      </c>
      <c r="F244">
        <v>0</v>
      </c>
      <c r="G244">
        <v>104</v>
      </c>
      <c r="H244">
        <v>582</v>
      </c>
      <c r="I244">
        <v>1507</v>
      </c>
      <c r="J244" t="s">
        <v>153</v>
      </c>
      <c r="K244" t="s">
        <v>141</v>
      </c>
      <c r="L244">
        <v>104</v>
      </c>
      <c r="M244">
        <v>686</v>
      </c>
      <c r="N244">
        <v>9.6999999999999993</v>
      </c>
      <c r="O244" t="s">
        <v>142</v>
      </c>
      <c r="P244" t="s">
        <v>142</v>
      </c>
      <c r="Q244">
        <v>2</v>
      </c>
      <c r="R244">
        <v>553</v>
      </c>
      <c r="S244">
        <v>640</v>
      </c>
      <c r="T244">
        <v>9.2200000000000006</v>
      </c>
      <c r="U244">
        <v>10.67</v>
      </c>
      <c r="V244">
        <v>87</v>
      </c>
      <c r="W244">
        <v>86.41</v>
      </c>
      <c r="X244" t="s">
        <v>174</v>
      </c>
    </row>
    <row r="245" spans="1:24" x14ac:dyDescent="0.3">
      <c r="A245">
        <v>5553957443</v>
      </c>
      <c r="B245" s="1">
        <v>42485</v>
      </c>
      <c r="C245">
        <v>10946</v>
      </c>
      <c r="D245">
        <v>7.1900000572204599</v>
      </c>
      <c r="E245">
        <v>51</v>
      </c>
      <c r="F245">
        <v>11</v>
      </c>
      <c r="G245">
        <v>201</v>
      </c>
      <c r="H245">
        <v>732</v>
      </c>
      <c r="I245">
        <v>2033</v>
      </c>
      <c r="J245" t="s">
        <v>155</v>
      </c>
      <c r="K245" t="s">
        <v>141</v>
      </c>
      <c r="L245">
        <v>263</v>
      </c>
      <c r="M245">
        <v>995</v>
      </c>
      <c r="N245">
        <v>12.2</v>
      </c>
      <c r="O245" t="s">
        <v>147</v>
      </c>
      <c r="P245" t="s">
        <v>145</v>
      </c>
      <c r="Q245">
        <v>1</v>
      </c>
      <c r="R245">
        <v>433</v>
      </c>
      <c r="S245">
        <v>468</v>
      </c>
      <c r="T245">
        <v>7.22</v>
      </c>
      <c r="U245">
        <v>7.8</v>
      </c>
      <c r="V245">
        <v>35</v>
      </c>
      <c r="W245">
        <v>92.52</v>
      </c>
      <c r="X245" t="s">
        <v>175</v>
      </c>
    </row>
    <row r="246" spans="1:24" x14ac:dyDescent="0.3">
      <c r="A246">
        <v>5553957443</v>
      </c>
      <c r="B246" s="1">
        <v>42486</v>
      </c>
      <c r="C246">
        <v>11886</v>
      </c>
      <c r="D246">
        <v>7.7600002288818404</v>
      </c>
      <c r="E246">
        <v>40</v>
      </c>
      <c r="F246">
        <v>18</v>
      </c>
      <c r="G246">
        <v>238</v>
      </c>
      <c r="H246">
        <v>750</v>
      </c>
      <c r="I246">
        <v>2093</v>
      </c>
      <c r="J246" t="s">
        <v>140</v>
      </c>
      <c r="K246" t="s">
        <v>141</v>
      </c>
      <c r="L246">
        <v>296</v>
      </c>
      <c r="M246">
        <v>1046</v>
      </c>
      <c r="N246">
        <v>12.5</v>
      </c>
      <c r="O246" t="s">
        <v>147</v>
      </c>
      <c r="P246" t="s">
        <v>145</v>
      </c>
      <c r="Q246">
        <v>1</v>
      </c>
      <c r="R246">
        <v>412</v>
      </c>
      <c r="S246">
        <v>453</v>
      </c>
      <c r="T246">
        <v>6.87</v>
      </c>
      <c r="U246">
        <v>7.55</v>
      </c>
      <c r="V246">
        <v>41</v>
      </c>
      <c r="W246">
        <v>90.95</v>
      </c>
      <c r="X246" t="s">
        <v>176</v>
      </c>
    </row>
    <row r="247" spans="1:24" x14ac:dyDescent="0.3">
      <c r="A247">
        <v>5553957443</v>
      </c>
      <c r="B247" s="1">
        <v>42487</v>
      </c>
      <c r="C247">
        <v>10538</v>
      </c>
      <c r="D247">
        <v>6.8800001144409197</v>
      </c>
      <c r="E247">
        <v>16</v>
      </c>
      <c r="F247">
        <v>16</v>
      </c>
      <c r="G247">
        <v>206</v>
      </c>
      <c r="H247">
        <v>745</v>
      </c>
      <c r="I247">
        <v>1922</v>
      </c>
      <c r="J247" t="s">
        <v>146</v>
      </c>
      <c r="K247" t="s">
        <v>141</v>
      </c>
      <c r="L247">
        <v>238</v>
      </c>
      <c r="M247">
        <v>983</v>
      </c>
      <c r="N247">
        <v>12.42</v>
      </c>
      <c r="O247" t="s">
        <v>147</v>
      </c>
      <c r="P247" t="s">
        <v>148</v>
      </c>
      <c r="Q247">
        <v>1</v>
      </c>
      <c r="R247">
        <v>347</v>
      </c>
      <c r="S247">
        <v>391</v>
      </c>
      <c r="T247">
        <v>5.78</v>
      </c>
      <c r="U247">
        <v>6.52</v>
      </c>
      <c r="V247">
        <v>44</v>
      </c>
      <c r="W247">
        <v>88.75</v>
      </c>
      <c r="X247" t="s">
        <v>173</v>
      </c>
    </row>
    <row r="248" spans="1:24" x14ac:dyDescent="0.3">
      <c r="A248">
        <v>5553957443</v>
      </c>
      <c r="B248" s="1">
        <v>42488</v>
      </c>
      <c r="C248">
        <v>11393</v>
      </c>
      <c r="D248">
        <v>7.6300001144409197</v>
      </c>
      <c r="E248">
        <v>49</v>
      </c>
      <c r="F248">
        <v>13</v>
      </c>
      <c r="G248">
        <v>165</v>
      </c>
      <c r="H248">
        <v>727</v>
      </c>
      <c r="I248">
        <v>1999</v>
      </c>
      <c r="J248" t="s">
        <v>154</v>
      </c>
      <c r="K248" t="s">
        <v>141</v>
      </c>
      <c r="L248">
        <v>227</v>
      </c>
      <c r="M248">
        <v>954</v>
      </c>
      <c r="N248">
        <v>12.12</v>
      </c>
      <c r="O248" t="s">
        <v>147</v>
      </c>
      <c r="P248" t="s">
        <v>145</v>
      </c>
      <c r="Q248">
        <v>1</v>
      </c>
      <c r="R248">
        <v>421</v>
      </c>
      <c r="S248">
        <v>457</v>
      </c>
      <c r="T248">
        <v>7.02</v>
      </c>
      <c r="U248">
        <v>7.62</v>
      </c>
      <c r="V248">
        <v>36</v>
      </c>
      <c r="W248">
        <v>92.12</v>
      </c>
      <c r="X248" t="s">
        <v>175</v>
      </c>
    </row>
    <row r="249" spans="1:24" x14ac:dyDescent="0.3">
      <c r="A249">
        <v>5553957443</v>
      </c>
      <c r="B249" s="1">
        <v>42489</v>
      </c>
      <c r="C249">
        <v>12764</v>
      </c>
      <c r="D249">
        <v>8.3299999237060494</v>
      </c>
      <c r="E249">
        <v>46</v>
      </c>
      <c r="F249">
        <v>15</v>
      </c>
      <c r="G249">
        <v>270</v>
      </c>
      <c r="H249">
        <v>709</v>
      </c>
      <c r="I249">
        <v>2169</v>
      </c>
      <c r="J249" t="s">
        <v>149</v>
      </c>
      <c r="K249" t="s">
        <v>141</v>
      </c>
      <c r="L249">
        <v>331</v>
      </c>
      <c r="M249">
        <v>1040</v>
      </c>
      <c r="N249">
        <v>11.82</v>
      </c>
      <c r="O249" t="s">
        <v>152</v>
      </c>
      <c r="P249" t="s">
        <v>145</v>
      </c>
      <c r="Q249">
        <v>1</v>
      </c>
      <c r="R249">
        <v>450</v>
      </c>
      <c r="S249">
        <v>495</v>
      </c>
      <c r="T249">
        <v>7.5</v>
      </c>
      <c r="U249">
        <v>8.25</v>
      </c>
      <c r="V249">
        <v>45</v>
      </c>
      <c r="W249">
        <v>90.91</v>
      </c>
      <c r="X249" t="s">
        <v>175</v>
      </c>
    </row>
    <row r="250" spans="1:24" x14ac:dyDescent="0.3">
      <c r="A250">
        <v>5553957443</v>
      </c>
      <c r="B250" s="1">
        <v>42490</v>
      </c>
      <c r="C250">
        <v>1202</v>
      </c>
      <c r="D250">
        <v>0.77999997138977095</v>
      </c>
      <c r="E250">
        <v>0</v>
      </c>
      <c r="F250">
        <v>0</v>
      </c>
      <c r="G250">
        <v>84</v>
      </c>
      <c r="H250">
        <v>506</v>
      </c>
      <c r="I250">
        <v>1463</v>
      </c>
      <c r="J250" t="s">
        <v>151</v>
      </c>
      <c r="K250" t="s">
        <v>141</v>
      </c>
      <c r="L250">
        <v>84</v>
      </c>
      <c r="M250">
        <v>590</v>
      </c>
      <c r="N250">
        <v>8.43</v>
      </c>
      <c r="O250" t="s">
        <v>142</v>
      </c>
      <c r="P250" t="s">
        <v>142</v>
      </c>
      <c r="Q250">
        <v>2</v>
      </c>
      <c r="R250">
        <v>775</v>
      </c>
      <c r="S250">
        <v>843</v>
      </c>
      <c r="T250">
        <v>12.92</v>
      </c>
      <c r="U250">
        <v>14.05</v>
      </c>
      <c r="V250">
        <v>68</v>
      </c>
      <c r="W250">
        <v>91.93</v>
      </c>
      <c r="X250" t="s">
        <v>174</v>
      </c>
    </row>
    <row r="251" spans="1:24" x14ac:dyDescent="0.3">
      <c r="A251">
        <v>5553957443</v>
      </c>
      <c r="B251" s="1">
        <v>42491</v>
      </c>
      <c r="C251">
        <v>5164</v>
      </c>
      <c r="D251">
        <v>3.3699998855590798</v>
      </c>
      <c r="E251">
        <v>0</v>
      </c>
      <c r="F251">
        <v>0</v>
      </c>
      <c r="G251">
        <v>237</v>
      </c>
      <c r="H251">
        <v>436</v>
      </c>
      <c r="I251">
        <v>1747</v>
      </c>
      <c r="J251" t="s">
        <v>153</v>
      </c>
      <c r="K251" t="s">
        <v>156</v>
      </c>
      <c r="L251">
        <v>237</v>
      </c>
      <c r="M251">
        <v>673</v>
      </c>
      <c r="N251">
        <v>7.27</v>
      </c>
      <c r="O251" t="s">
        <v>144</v>
      </c>
      <c r="P251" t="s">
        <v>142</v>
      </c>
      <c r="Q251">
        <v>2</v>
      </c>
      <c r="R251">
        <v>622</v>
      </c>
      <c r="S251">
        <v>686</v>
      </c>
      <c r="T251">
        <v>10.37</v>
      </c>
      <c r="U251">
        <v>11.43</v>
      </c>
      <c r="V251">
        <v>64</v>
      </c>
      <c r="W251">
        <v>90.67</v>
      </c>
      <c r="X251" t="s">
        <v>174</v>
      </c>
    </row>
    <row r="252" spans="1:24" x14ac:dyDescent="0.3">
      <c r="A252">
        <v>5553957443</v>
      </c>
      <c r="B252" s="1">
        <v>42492</v>
      </c>
      <c r="C252">
        <v>9769</v>
      </c>
      <c r="D252">
        <v>6.3800001144409197</v>
      </c>
      <c r="E252">
        <v>23</v>
      </c>
      <c r="F252">
        <v>9</v>
      </c>
      <c r="G252">
        <v>227</v>
      </c>
      <c r="H252">
        <v>724</v>
      </c>
      <c r="I252">
        <v>1996</v>
      </c>
      <c r="J252" t="s">
        <v>155</v>
      </c>
      <c r="K252" t="s">
        <v>156</v>
      </c>
      <c r="L252">
        <v>259</v>
      </c>
      <c r="M252">
        <v>983</v>
      </c>
      <c r="N252">
        <v>12.07</v>
      </c>
      <c r="O252" t="s">
        <v>150</v>
      </c>
      <c r="P252" t="s">
        <v>148</v>
      </c>
      <c r="Q252">
        <v>1</v>
      </c>
      <c r="R252">
        <v>409</v>
      </c>
      <c r="S252">
        <v>471</v>
      </c>
      <c r="T252">
        <v>6.82</v>
      </c>
      <c r="U252">
        <v>7.85</v>
      </c>
      <c r="V252">
        <v>62</v>
      </c>
      <c r="W252">
        <v>86.84</v>
      </c>
      <c r="X252" t="s">
        <v>176</v>
      </c>
    </row>
    <row r="253" spans="1:24" x14ac:dyDescent="0.3">
      <c r="A253">
        <v>5553957443</v>
      </c>
      <c r="B253" s="1">
        <v>42493</v>
      </c>
      <c r="C253">
        <v>12848</v>
      </c>
      <c r="D253">
        <v>8.3900003433227504</v>
      </c>
      <c r="E253">
        <v>26</v>
      </c>
      <c r="F253">
        <v>29</v>
      </c>
      <c r="G253">
        <v>247</v>
      </c>
      <c r="H253">
        <v>812</v>
      </c>
      <c r="I253">
        <v>2116</v>
      </c>
      <c r="J253" t="s">
        <v>140</v>
      </c>
      <c r="K253" t="s">
        <v>156</v>
      </c>
      <c r="L253">
        <v>302</v>
      </c>
      <c r="M253">
        <v>1114</v>
      </c>
      <c r="N253">
        <v>13.53</v>
      </c>
      <c r="O253" t="s">
        <v>152</v>
      </c>
      <c r="P253" t="s">
        <v>148</v>
      </c>
      <c r="Q253">
        <v>1</v>
      </c>
      <c r="R253">
        <v>380</v>
      </c>
      <c r="S253">
        <v>429</v>
      </c>
      <c r="T253">
        <v>6.33</v>
      </c>
      <c r="U253">
        <v>7.15</v>
      </c>
      <c r="V253">
        <v>49</v>
      </c>
      <c r="W253">
        <v>88.58</v>
      </c>
      <c r="X253" t="s">
        <v>176</v>
      </c>
    </row>
    <row r="254" spans="1:24" x14ac:dyDescent="0.3">
      <c r="A254">
        <v>5553957443</v>
      </c>
      <c r="B254" s="1">
        <v>42494</v>
      </c>
      <c r="C254">
        <v>4249</v>
      </c>
      <c r="D254">
        <v>2.7699999809265101</v>
      </c>
      <c r="E254">
        <v>0</v>
      </c>
      <c r="F254">
        <v>0</v>
      </c>
      <c r="G254">
        <v>224</v>
      </c>
      <c r="H254">
        <v>651</v>
      </c>
      <c r="I254">
        <v>1698</v>
      </c>
      <c r="J254" t="s">
        <v>146</v>
      </c>
      <c r="K254" t="s">
        <v>156</v>
      </c>
      <c r="L254">
        <v>224</v>
      </c>
      <c r="M254">
        <v>875</v>
      </c>
      <c r="N254">
        <v>10.85</v>
      </c>
      <c r="O254" t="s">
        <v>142</v>
      </c>
      <c r="P254" t="s">
        <v>142</v>
      </c>
      <c r="Q254">
        <v>1</v>
      </c>
      <c r="R254">
        <v>447</v>
      </c>
      <c r="S254">
        <v>470</v>
      </c>
      <c r="T254">
        <v>7.45</v>
      </c>
      <c r="U254">
        <v>7.83</v>
      </c>
      <c r="V254">
        <v>23</v>
      </c>
      <c r="W254">
        <v>95.11</v>
      </c>
      <c r="X254" t="s">
        <v>175</v>
      </c>
    </row>
    <row r="255" spans="1:24" x14ac:dyDescent="0.3">
      <c r="A255">
        <v>5553957443</v>
      </c>
      <c r="B255" s="1">
        <v>42495</v>
      </c>
      <c r="C255">
        <v>14331</v>
      </c>
      <c r="D255">
        <v>9.5100002288818395</v>
      </c>
      <c r="E255">
        <v>44</v>
      </c>
      <c r="F255">
        <v>29</v>
      </c>
      <c r="G255">
        <v>241</v>
      </c>
      <c r="H255">
        <v>692</v>
      </c>
      <c r="I255">
        <v>2156</v>
      </c>
      <c r="J255" t="s">
        <v>154</v>
      </c>
      <c r="K255" t="s">
        <v>156</v>
      </c>
      <c r="L255">
        <v>314</v>
      </c>
      <c r="M255">
        <v>1006</v>
      </c>
      <c r="N255">
        <v>11.53</v>
      </c>
      <c r="O255" t="s">
        <v>152</v>
      </c>
      <c r="P255" t="s">
        <v>145</v>
      </c>
      <c r="Q255">
        <v>1</v>
      </c>
      <c r="R255">
        <v>419</v>
      </c>
      <c r="S255">
        <v>464</v>
      </c>
      <c r="T255">
        <v>6.98</v>
      </c>
      <c r="U255">
        <v>7.73</v>
      </c>
      <c r="V255">
        <v>45</v>
      </c>
      <c r="W255">
        <v>90.3</v>
      </c>
      <c r="X255" t="s">
        <v>176</v>
      </c>
    </row>
    <row r="256" spans="1:24" x14ac:dyDescent="0.3">
      <c r="A256">
        <v>5553957443</v>
      </c>
      <c r="B256" s="1">
        <v>42496</v>
      </c>
      <c r="C256">
        <v>9632</v>
      </c>
      <c r="D256">
        <v>6.28999996185303</v>
      </c>
      <c r="E256">
        <v>21</v>
      </c>
      <c r="F256">
        <v>9</v>
      </c>
      <c r="G256">
        <v>229</v>
      </c>
      <c r="H256">
        <v>761</v>
      </c>
      <c r="I256">
        <v>1916</v>
      </c>
      <c r="J256" t="s">
        <v>149</v>
      </c>
      <c r="K256" t="s">
        <v>156</v>
      </c>
      <c r="L256">
        <v>259</v>
      </c>
      <c r="M256">
        <v>1020</v>
      </c>
      <c r="N256">
        <v>12.68</v>
      </c>
      <c r="O256" t="s">
        <v>150</v>
      </c>
      <c r="P256" t="s">
        <v>148</v>
      </c>
      <c r="Q256">
        <v>1</v>
      </c>
      <c r="R256">
        <v>400</v>
      </c>
      <c r="S256">
        <v>434</v>
      </c>
      <c r="T256">
        <v>6.67</v>
      </c>
      <c r="U256">
        <v>7.23</v>
      </c>
      <c r="V256">
        <v>34</v>
      </c>
      <c r="W256">
        <v>92.17</v>
      </c>
      <c r="X256" t="s">
        <v>176</v>
      </c>
    </row>
    <row r="257" spans="1:24" x14ac:dyDescent="0.3">
      <c r="A257">
        <v>5553957443</v>
      </c>
      <c r="B257" s="1">
        <v>42497</v>
      </c>
      <c r="C257">
        <v>1868</v>
      </c>
      <c r="D257">
        <v>1.2200000286102299</v>
      </c>
      <c r="E257">
        <v>0</v>
      </c>
      <c r="F257">
        <v>0</v>
      </c>
      <c r="G257">
        <v>96</v>
      </c>
      <c r="H257">
        <v>902</v>
      </c>
      <c r="I257">
        <v>1494</v>
      </c>
      <c r="J257" t="s">
        <v>151</v>
      </c>
      <c r="K257" t="s">
        <v>156</v>
      </c>
      <c r="L257">
        <v>96</v>
      </c>
      <c r="M257">
        <v>998</v>
      </c>
      <c r="N257">
        <v>15.03</v>
      </c>
      <c r="O257" t="s">
        <v>142</v>
      </c>
      <c r="P257" t="s">
        <v>142</v>
      </c>
      <c r="Q257">
        <v>1</v>
      </c>
      <c r="R257">
        <v>442</v>
      </c>
      <c r="S257">
        <v>470</v>
      </c>
      <c r="T257">
        <v>7.37</v>
      </c>
      <c r="U257">
        <v>7.83</v>
      </c>
      <c r="V257">
        <v>28</v>
      </c>
      <c r="W257">
        <v>94.04</v>
      </c>
      <c r="X257" t="s">
        <v>175</v>
      </c>
    </row>
    <row r="258" spans="1:24" x14ac:dyDescent="0.3">
      <c r="A258">
        <v>5553957443</v>
      </c>
      <c r="B258" s="1">
        <v>42498</v>
      </c>
      <c r="C258">
        <v>6083</v>
      </c>
      <c r="D258">
        <v>4</v>
      </c>
      <c r="E258">
        <v>3</v>
      </c>
      <c r="F258">
        <v>8</v>
      </c>
      <c r="G258">
        <v>210</v>
      </c>
      <c r="H258">
        <v>505</v>
      </c>
      <c r="I258">
        <v>1762</v>
      </c>
      <c r="J258" t="s">
        <v>153</v>
      </c>
      <c r="K258" t="s">
        <v>156</v>
      </c>
      <c r="L258">
        <v>221</v>
      </c>
      <c r="M258">
        <v>726</v>
      </c>
      <c r="N258">
        <v>8.42</v>
      </c>
      <c r="O258" t="s">
        <v>144</v>
      </c>
      <c r="P258" t="s">
        <v>143</v>
      </c>
      <c r="Q258">
        <v>1</v>
      </c>
      <c r="R258">
        <v>568</v>
      </c>
      <c r="S258">
        <v>608</v>
      </c>
      <c r="T258">
        <v>9.4700000000000006</v>
      </c>
      <c r="U258">
        <v>10.130000000000001</v>
      </c>
      <c r="V258">
        <v>40</v>
      </c>
      <c r="W258">
        <v>93.42</v>
      </c>
      <c r="X258" t="s">
        <v>174</v>
      </c>
    </row>
    <row r="259" spans="1:24" x14ac:dyDescent="0.3">
      <c r="A259">
        <v>5553957443</v>
      </c>
      <c r="B259" s="1">
        <v>42499</v>
      </c>
      <c r="C259">
        <v>11611</v>
      </c>
      <c r="D259">
        <v>7.5799999237060502</v>
      </c>
      <c r="E259">
        <v>59</v>
      </c>
      <c r="F259">
        <v>22</v>
      </c>
      <c r="G259">
        <v>251</v>
      </c>
      <c r="H259">
        <v>667</v>
      </c>
      <c r="I259">
        <v>2272</v>
      </c>
      <c r="J259" t="s">
        <v>155</v>
      </c>
      <c r="K259" t="s">
        <v>156</v>
      </c>
      <c r="L259">
        <v>332</v>
      </c>
      <c r="M259">
        <v>999</v>
      </c>
      <c r="N259">
        <v>11.12</v>
      </c>
      <c r="O259" t="s">
        <v>147</v>
      </c>
      <c r="P259" t="s">
        <v>145</v>
      </c>
      <c r="Q259">
        <v>1</v>
      </c>
      <c r="R259">
        <v>453</v>
      </c>
      <c r="S259">
        <v>494</v>
      </c>
      <c r="T259">
        <v>7.55</v>
      </c>
      <c r="U259">
        <v>8.23</v>
      </c>
      <c r="V259">
        <v>41</v>
      </c>
      <c r="W259">
        <v>91.7</v>
      </c>
      <c r="X259" t="s">
        <v>175</v>
      </c>
    </row>
    <row r="260" spans="1:24" x14ac:dyDescent="0.3">
      <c r="A260">
        <v>5553957443</v>
      </c>
      <c r="B260" s="1">
        <v>42500</v>
      </c>
      <c r="C260">
        <v>16358</v>
      </c>
      <c r="D260">
        <v>10.710000038146999</v>
      </c>
      <c r="E260">
        <v>61</v>
      </c>
      <c r="F260">
        <v>40</v>
      </c>
      <c r="G260">
        <v>265</v>
      </c>
      <c r="H260">
        <v>707</v>
      </c>
      <c r="I260">
        <v>2335</v>
      </c>
      <c r="J260" t="s">
        <v>140</v>
      </c>
      <c r="K260" t="s">
        <v>156</v>
      </c>
      <c r="L260">
        <v>366</v>
      </c>
      <c r="M260">
        <v>1073</v>
      </c>
      <c r="N260">
        <v>11.78</v>
      </c>
      <c r="O260" t="s">
        <v>152</v>
      </c>
      <c r="P260" t="s">
        <v>145</v>
      </c>
      <c r="Q260">
        <v>1</v>
      </c>
      <c r="R260">
        <v>418</v>
      </c>
      <c r="S260">
        <v>443</v>
      </c>
      <c r="T260">
        <v>6.97</v>
      </c>
      <c r="U260">
        <v>7.38</v>
      </c>
      <c r="V260">
        <v>25</v>
      </c>
      <c r="W260">
        <v>94.36</v>
      </c>
      <c r="X260" t="s">
        <v>176</v>
      </c>
    </row>
    <row r="261" spans="1:24" x14ac:dyDescent="0.3">
      <c r="A261">
        <v>5553957443</v>
      </c>
      <c r="B261" s="1">
        <v>42501</v>
      </c>
      <c r="C261">
        <v>4926</v>
      </c>
      <c r="D261">
        <v>3.2200000286102299</v>
      </c>
      <c r="E261">
        <v>0</v>
      </c>
      <c r="F261">
        <v>0</v>
      </c>
      <c r="G261">
        <v>195</v>
      </c>
      <c r="H261">
        <v>628</v>
      </c>
      <c r="I261">
        <v>1693</v>
      </c>
      <c r="J261" t="s">
        <v>146</v>
      </c>
      <c r="K261" t="s">
        <v>156</v>
      </c>
      <c r="L261">
        <v>195</v>
      </c>
      <c r="M261">
        <v>823</v>
      </c>
      <c r="N261">
        <v>10.47</v>
      </c>
      <c r="O261" t="s">
        <v>142</v>
      </c>
      <c r="P261" t="s">
        <v>142</v>
      </c>
      <c r="Q261">
        <v>1</v>
      </c>
      <c r="R261">
        <v>463</v>
      </c>
      <c r="S261">
        <v>486</v>
      </c>
      <c r="T261">
        <v>7.72</v>
      </c>
      <c r="U261">
        <v>8.1</v>
      </c>
      <c r="V261">
        <v>23</v>
      </c>
      <c r="W261">
        <v>95.27</v>
      </c>
      <c r="X261" t="s">
        <v>175</v>
      </c>
    </row>
    <row r="262" spans="1:24" x14ac:dyDescent="0.3">
      <c r="A262">
        <v>5553957443</v>
      </c>
      <c r="B262" s="1">
        <v>42502</v>
      </c>
      <c r="C262">
        <v>3121</v>
      </c>
      <c r="D262">
        <v>2.03999996185303</v>
      </c>
      <c r="E262">
        <v>8</v>
      </c>
      <c r="F262">
        <v>6</v>
      </c>
      <c r="G262">
        <v>48</v>
      </c>
      <c r="H262">
        <v>222</v>
      </c>
      <c r="I262">
        <v>741</v>
      </c>
      <c r="J262" t="s">
        <v>154</v>
      </c>
      <c r="K262" t="s">
        <v>156</v>
      </c>
      <c r="L262">
        <v>62</v>
      </c>
      <c r="M262">
        <v>284</v>
      </c>
      <c r="N262">
        <v>3.7</v>
      </c>
      <c r="O262" t="s">
        <v>142</v>
      </c>
      <c r="P262" t="s">
        <v>143</v>
      </c>
      <c r="Q262">
        <v>1</v>
      </c>
      <c r="R262">
        <v>438</v>
      </c>
      <c r="S262">
        <v>475</v>
      </c>
      <c r="T262">
        <v>7.3</v>
      </c>
      <c r="U262">
        <v>7.92</v>
      </c>
      <c r="V262">
        <v>37</v>
      </c>
      <c r="W262">
        <v>92.21</v>
      </c>
      <c r="X262" t="s">
        <v>175</v>
      </c>
    </row>
    <row r="263" spans="1:24" x14ac:dyDescent="0.3">
      <c r="A263">
        <v>5577150313</v>
      </c>
      <c r="B263" s="1">
        <v>42472</v>
      </c>
      <c r="C263">
        <v>8135</v>
      </c>
      <c r="D263">
        <v>6.0799999237060502</v>
      </c>
      <c r="E263">
        <v>86</v>
      </c>
      <c r="F263">
        <v>16</v>
      </c>
      <c r="G263">
        <v>140</v>
      </c>
      <c r="H263">
        <v>728</v>
      </c>
      <c r="I263">
        <v>3405</v>
      </c>
      <c r="J263" t="s">
        <v>140</v>
      </c>
      <c r="K263" t="s">
        <v>141</v>
      </c>
      <c r="L263">
        <v>242</v>
      </c>
      <c r="M263">
        <v>970</v>
      </c>
      <c r="N263">
        <v>12.13</v>
      </c>
      <c r="O263" t="s">
        <v>150</v>
      </c>
      <c r="P263" t="s">
        <v>145</v>
      </c>
      <c r="Q263">
        <v>1</v>
      </c>
      <c r="R263">
        <v>419</v>
      </c>
      <c r="S263">
        <v>438</v>
      </c>
      <c r="T263">
        <v>6.98</v>
      </c>
      <c r="U263">
        <v>7.3</v>
      </c>
      <c r="V263">
        <v>19</v>
      </c>
      <c r="W263">
        <v>95.66</v>
      </c>
      <c r="X263" t="s">
        <v>176</v>
      </c>
    </row>
    <row r="264" spans="1:24" x14ac:dyDescent="0.3">
      <c r="A264">
        <v>5577150313</v>
      </c>
      <c r="B264" s="1">
        <v>42473</v>
      </c>
      <c r="C264">
        <v>5077</v>
      </c>
      <c r="D264">
        <v>3.78999996185303</v>
      </c>
      <c r="E264">
        <v>15</v>
      </c>
      <c r="F264">
        <v>11</v>
      </c>
      <c r="G264">
        <v>144</v>
      </c>
      <c r="H264">
        <v>776</v>
      </c>
      <c r="I264">
        <v>2551</v>
      </c>
      <c r="J264" t="s">
        <v>146</v>
      </c>
      <c r="K264" t="s">
        <v>141</v>
      </c>
      <c r="L264">
        <v>170</v>
      </c>
      <c r="M264">
        <v>946</v>
      </c>
      <c r="N264">
        <v>12.93</v>
      </c>
      <c r="O264" t="s">
        <v>144</v>
      </c>
      <c r="P264" t="s">
        <v>148</v>
      </c>
      <c r="Q264">
        <v>1</v>
      </c>
      <c r="R264">
        <v>432</v>
      </c>
      <c r="S264">
        <v>458</v>
      </c>
      <c r="T264">
        <v>7.2</v>
      </c>
      <c r="U264">
        <v>7.63</v>
      </c>
      <c r="V264">
        <v>26</v>
      </c>
      <c r="W264">
        <v>94.32</v>
      </c>
      <c r="X264" t="s">
        <v>175</v>
      </c>
    </row>
    <row r="265" spans="1:24" x14ac:dyDescent="0.3">
      <c r="A265">
        <v>5577150313</v>
      </c>
      <c r="B265" s="1">
        <v>42474</v>
      </c>
      <c r="C265">
        <v>8596</v>
      </c>
      <c r="D265">
        <v>6.4200000762939498</v>
      </c>
      <c r="E265">
        <v>118</v>
      </c>
      <c r="F265">
        <v>30</v>
      </c>
      <c r="G265">
        <v>176</v>
      </c>
      <c r="H265">
        <v>662</v>
      </c>
      <c r="I265">
        <v>4022</v>
      </c>
      <c r="J265" t="s">
        <v>154</v>
      </c>
      <c r="K265" t="s">
        <v>141</v>
      </c>
      <c r="L265">
        <v>324</v>
      </c>
      <c r="M265">
        <v>986</v>
      </c>
      <c r="N265">
        <v>11.03</v>
      </c>
      <c r="O265" t="s">
        <v>150</v>
      </c>
      <c r="P265" t="s">
        <v>145</v>
      </c>
      <c r="Q265">
        <v>1</v>
      </c>
      <c r="R265">
        <v>477</v>
      </c>
      <c r="S265">
        <v>497</v>
      </c>
      <c r="T265">
        <v>7.95</v>
      </c>
      <c r="U265">
        <v>8.2799999999999994</v>
      </c>
      <c r="V265">
        <v>20</v>
      </c>
      <c r="W265">
        <v>95.98</v>
      </c>
      <c r="X265" t="s">
        <v>175</v>
      </c>
    </row>
    <row r="266" spans="1:24" x14ac:dyDescent="0.3">
      <c r="A266">
        <v>5577150313</v>
      </c>
      <c r="B266" s="1">
        <v>42475</v>
      </c>
      <c r="C266">
        <v>12087</v>
      </c>
      <c r="D266">
        <v>9.0799999237060494</v>
      </c>
      <c r="E266">
        <v>115</v>
      </c>
      <c r="F266">
        <v>54</v>
      </c>
      <c r="G266">
        <v>199</v>
      </c>
      <c r="H266">
        <v>695</v>
      </c>
      <c r="I266">
        <v>4005</v>
      </c>
      <c r="J266" t="s">
        <v>149</v>
      </c>
      <c r="K266" t="s">
        <v>141</v>
      </c>
      <c r="L266">
        <v>368</v>
      </c>
      <c r="M266">
        <v>1063</v>
      </c>
      <c r="N266">
        <v>11.58</v>
      </c>
      <c r="O266" t="s">
        <v>147</v>
      </c>
      <c r="P266" t="s">
        <v>145</v>
      </c>
      <c r="Q266">
        <v>1</v>
      </c>
      <c r="R266">
        <v>392</v>
      </c>
      <c r="S266">
        <v>413</v>
      </c>
      <c r="T266">
        <v>6.53</v>
      </c>
      <c r="U266">
        <v>6.88</v>
      </c>
      <c r="V266">
        <v>21</v>
      </c>
      <c r="W266">
        <v>94.92</v>
      </c>
      <c r="X266" t="s">
        <v>176</v>
      </c>
    </row>
    <row r="267" spans="1:24" x14ac:dyDescent="0.3">
      <c r="A267">
        <v>5577150313</v>
      </c>
      <c r="B267" s="1">
        <v>42476</v>
      </c>
      <c r="C267">
        <v>14269</v>
      </c>
      <c r="D267">
        <v>10.6599998474121</v>
      </c>
      <c r="E267">
        <v>184</v>
      </c>
      <c r="F267">
        <v>56</v>
      </c>
      <c r="G267">
        <v>158</v>
      </c>
      <c r="H267">
        <v>472</v>
      </c>
      <c r="I267">
        <v>4274</v>
      </c>
      <c r="J267" t="s">
        <v>151</v>
      </c>
      <c r="K267" t="s">
        <v>141</v>
      </c>
      <c r="L267">
        <v>398</v>
      </c>
      <c r="M267">
        <v>870</v>
      </c>
      <c r="N267">
        <v>7.87</v>
      </c>
      <c r="O267" t="s">
        <v>152</v>
      </c>
      <c r="P267" t="s">
        <v>145</v>
      </c>
      <c r="Q267">
        <v>1</v>
      </c>
      <c r="R267">
        <v>406</v>
      </c>
      <c r="S267">
        <v>445</v>
      </c>
      <c r="T267">
        <v>6.77</v>
      </c>
      <c r="U267">
        <v>7.42</v>
      </c>
      <c r="V267">
        <v>39</v>
      </c>
      <c r="W267">
        <v>91.24</v>
      </c>
      <c r="X267" t="s">
        <v>176</v>
      </c>
    </row>
    <row r="268" spans="1:24" x14ac:dyDescent="0.3">
      <c r="A268">
        <v>5577150313</v>
      </c>
      <c r="B268" s="1">
        <v>42477</v>
      </c>
      <c r="C268">
        <v>12231</v>
      </c>
      <c r="D268">
        <v>9.1400003433227504</v>
      </c>
      <c r="E268">
        <v>200</v>
      </c>
      <c r="F268">
        <v>37</v>
      </c>
      <c r="G268">
        <v>159</v>
      </c>
      <c r="H268">
        <v>525</v>
      </c>
      <c r="I268">
        <v>4552</v>
      </c>
      <c r="J268" t="s">
        <v>153</v>
      </c>
      <c r="K268" t="s">
        <v>141</v>
      </c>
      <c r="L268">
        <v>396</v>
      </c>
      <c r="M268">
        <v>921</v>
      </c>
      <c r="N268">
        <v>8.75</v>
      </c>
      <c r="O268" t="s">
        <v>147</v>
      </c>
      <c r="P268" t="s">
        <v>145</v>
      </c>
      <c r="Q268">
        <v>1</v>
      </c>
      <c r="R268">
        <v>549</v>
      </c>
      <c r="S268">
        <v>583</v>
      </c>
      <c r="T268">
        <v>9.15</v>
      </c>
      <c r="U268">
        <v>9.7200000000000006</v>
      </c>
      <c r="V268">
        <v>34</v>
      </c>
      <c r="W268">
        <v>94.17</v>
      </c>
      <c r="X268" t="s">
        <v>174</v>
      </c>
    </row>
    <row r="269" spans="1:24" x14ac:dyDescent="0.3">
      <c r="A269">
        <v>5577150313</v>
      </c>
      <c r="B269" s="1">
        <v>42478</v>
      </c>
      <c r="C269">
        <v>9893</v>
      </c>
      <c r="D269">
        <v>7.3899998664856001</v>
      </c>
      <c r="E269">
        <v>114</v>
      </c>
      <c r="F269">
        <v>32</v>
      </c>
      <c r="G269">
        <v>130</v>
      </c>
      <c r="H269">
        <v>623</v>
      </c>
      <c r="I269">
        <v>3625</v>
      </c>
      <c r="J269" t="s">
        <v>155</v>
      </c>
      <c r="K269" t="s">
        <v>141</v>
      </c>
      <c r="L269">
        <v>276</v>
      </c>
      <c r="M269">
        <v>899</v>
      </c>
      <c r="N269">
        <v>10.38</v>
      </c>
      <c r="O269" t="s">
        <v>150</v>
      </c>
      <c r="P269" t="s">
        <v>145</v>
      </c>
      <c r="Q269">
        <v>1</v>
      </c>
      <c r="R269">
        <v>527</v>
      </c>
      <c r="S269">
        <v>553</v>
      </c>
      <c r="T269">
        <v>8.7799999999999994</v>
      </c>
      <c r="U269">
        <v>9.2200000000000006</v>
      </c>
      <c r="V269">
        <v>26</v>
      </c>
      <c r="W269">
        <v>95.3</v>
      </c>
      <c r="X269" t="s">
        <v>175</v>
      </c>
    </row>
    <row r="270" spans="1:24" x14ac:dyDescent="0.3">
      <c r="A270">
        <v>5577150313</v>
      </c>
      <c r="B270" s="1">
        <v>42479</v>
      </c>
      <c r="C270">
        <v>12574</v>
      </c>
      <c r="D270">
        <v>9.4200000762939506</v>
      </c>
      <c r="E270">
        <v>108</v>
      </c>
      <c r="F270">
        <v>23</v>
      </c>
      <c r="G270">
        <v>111</v>
      </c>
      <c r="H270">
        <v>733</v>
      </c>
      <c r="I270">
        <v>3501</v>
      </c>
      <c r="J270" t="s">
        <v>140</v>
      </c>
      <c r="K270" t="s">
        <v>141</v>
      </c>
      <c r="L270">
        <v>242</v>
      </c>
      <c r="M270">
        <v>975</v>
      </c>
      <c r="N270">
        <v>12.22</v>
      </c>
      <c r="O270" t="s">
        <v>152</v>
      </c>
      <c r="P270" t="s">
        <v>145</v>
      </c>
      <c r="Q270">
        <v>1</v>
      </c>
      <c r="R270">
        <v>449</v>
      </c>
      <c r="S270">
        <v>465</v>
      </c>
      <c r="T270">
        <v>7.48</v>
      </c>
      <c r="U270">
        <v>7.75</v>
      </c>
      <c r="V270">
        <v>16</v>
      </c>
      <c r="W270">
        <v>96.56</v>
      </c>
      <c r="X270" t="s">
        <v>175</v>
      </c>
    </row>
    <row r="271" spans="1:24" x14ac:dyDescent="0.3">
      <c r="A271">
        <v>5577150313</v>
      </c>
      <c r="B271" s="1">
        <v>42480</v>
      </c>
      <c r="C271">
        <v>8330</v>
      </c>
      <c r="D271">
        <v>6.2199997901916504</v>
      </c>
      <c r="E271">
        <v>87</v>
      </c>
      <c r="F271">
        <v>16</v>
      </c>
      <c r="G271">
        <v>113</v>
      </c>
      <c r="H271">
        <v>773</v>
      </c>
      <c r="I271">
        <v>3192</v>
      </c>
      <c r="J271" t="s">
        <v>146</v>
      </c>
      <c r="K271" t="s">
        <v>141</v>
      </c>
      <c r="L271">
        <v>216</v>
      </c>
      <c r="M271">
        <v>989</v>
      </c>
      <c r="N271">
        <v>12.88</v>
      </c>
      <c r="O271" t="s">
        <v>150</v>
      </c>
      <c r="P271" t="s">
        <v>145</v>
      </c>
      <c r="Q271">
        <v>1</v>
      </c>
      <c r="R271">
        <v>447</v>
      </c>
      <c r="S271">
        <v>480</v>
      </c>
      <c r="T271">
        <v>7.45</v>
      </c>
      <c r="U271">
        <v>8</v>
      </c>
      <c r="V271">
        <v>33</v>
      </c>
      <c r="W271">
        <v>93.13</v>
      </c>
      <c r="X271" t="s">
        <v>175</v>
      </c>
    </row>
    <row r="272" spans="1:24" x14ac:dyDescent="0.3">
      <c r="A272">
        <v>5577150313</v>
      </c>
      <c r="B272" s="1">
        <v>42481</v>
      </c>
      <c r="C272">
        <v>10830</v>
      </c>
      <c r="D272">
        <v>8.0900001525878906</v>
      </c>
      <c r="E272">
        <v>110</v>
      </c>
      <c r="F272">
        <v>74</v>
      </c>
      <c r="G272">
        <v>175</v>
      </c>
      <c r="H272">
        <v>670</v>
      </c>
      <c r="I272">
        <v>4018</v>
      </c>
      <c r="J272" t="s">
        <v>154</v>
      </c>
      <c r="K272" t="s">
        <v>141</v>
      </c>
      <c r="L272">
        <v>359</v>
      </c>
      <c r="M272">
        <v>1029</v>
      </c>
      <c r="N272">
        <v>11.17</v>
      </c>
      <c r="O272" t="s">
        <v>147</v>
      </c>
      <c r="P272" t="s">
        <v>145</v>
      </c>
      <c r="Q272">
        <v>1</v>
      </c>
      <c r="R272">
        <v>414</v>
      </c>
      <c r="S272">
        <v>437</v>
      </c>
      <c r="T272">
        <v>6.9</v>
      </c>
      <c r="U272">
        <v>7.28</v>
      </c>
      <c r="V272">
        <v>23</v>
      </c>
      <c r="W272">
        <v>94.74</v>
      </c>
      <c r="X272" t="s">
        <v>176</v>
      </c>
    </row>
    <row r="273" spans="1:24" x14ac:dyDescent="0.3">
      <c r="A273">
        <v>5577150313</v>
      </c>
      <c r="B273" s="1">
        <v>42482</v>
      </c>
      <c r="C273">
        <v>9172</v>
      </c>
      <c r="D273">
        <v>6.8499999046325701</v>
      </c>
      <c r="E273">
        <v>62</v>
      </c>
      <c r="F273">
        <v>30</v>
      </c>
      <c r="G273">
        <v>200</v>
      </c>
      <c r="H273">
        <v>823</v>
      </c>
      <c r="I273">
        <v>3329</v>
      </c>
      <c r="J273" t="s">
        <v>149</v>
      </c>
      <c r="K273" t="s">
        <v>141</v>
      </c>
      <c r="L273">
        <v>292</v>
      </c>
      <c r="M273">
        <v>1115</v>
      </c>
      <c r="N273">
        <v>13.72</v>
      </c>
      <c r="O273" t="s">
        <v>150</v>
      </c>
      <c r="P273" t="s">
        <v>145</v>
      </c>
      <c r="Q273">
        <v>1</v>
      </c>
      <c r="R273">
        <v>338</v>
      </c>
      <c r="S273">
        <v>366</v>
      </c>
      <c r="T273">
        <v>5.63</v>
      </c>
      <c r="U273">
        <v>6.1</v>
      </c>
      <c r="V273">
        <v>28</v>
      </c>
      <c r="W273">
        <v>92.35</v>
      </c>
      <c r="X273" t="s">
        <v>173</v>
      </c>
    </row>
    <row r="274" spans="1:24" x14ac:dyDescent="0.3">
      <c r="A274">
        <v>5577150313</v>
      </c>
      <c r="B274" s="1">
        <v>42483</v>
      </c>
      <c r="C274">
        <v>7638</v>
      </c>
      <c r="D274">
        <v>5.71000003814697</v>
      </c>
      <c r="E274">
        <v>24</v>
      </c>
      <c r="F274">
        <v>24</v>
      </c>
      <c r="G274">
        <v>223</v>
      </c>
      <c r="H274">
        <v>627</v>
      </c>
      <c r="I274">
        <v>3152</v>
      </c>
      <c r="J274" t="s">
        <v>151</v>
      </c>
      <c r="K274" t="s">
        <v>141</v>
      </c>
      <c r="L274">
        <v>271</v>
      </c>
      <c r="M274">
        <v>898</v>
      </c>
      <c r="N274">
        <v>10.45</v>
      </c>
      <c r="O274" t="s">
        <v>150</v>
      </c>
      <c r="P274" t="s">
        <v>148</v>
      </c>
      <c r="Q274">
        <v>1</v>
      </c>
      <c r="R274">
        <v>384</v>
      </c>
      <c r="S274">
        <v>402</v>
      </c>
      <c r="T274">
        <v>6.4</v>
      </c>
      <c r="U274">
        <v>6.7</v>
      </c>
      <c r="V274">
        <v>18</v>
      </c>
      <c r="W274">
        <v>95.52</v>
      </c>
      <c r="X274" t="s">
        <v>176</v>
      </c>
    </row>
    <row r="275" spans="1:24" x14ac:dyDescent="0.3">
      <c r="A275">
        <v>5577150313</v>
      </c>
      <c r="B275" s="1">
        <v>42484</v>
      </c>
      <c r="C275">
        <v>15764</v>
      </c>
      <c r="D275">
        <v>11.7799997329712</v>
      </c>
      <c r="E275">
        <v>210</v>
      </c>
      <c r="F275">
        <v>65</v>
      </c>
      <c r="G275">
        <v>141</v>
      </c>
      <c r="H275">
        <v>425</v>
      </c>
      <c r="I275">
        <v>4392</v>
      </c>
      <c r="J275" t="s">
        <v>153</v>
      </c>
      <c r="K275" t="s">
        <v>141</v>
      </c>
      <c r="L275">
        <v>416</v>
      </c>
      <c r="M275">
        <v>841</v>
      </c>
      <c r="N275">
        <v>7.08</v>
      </c>
      <c r="O275" t="s">
        <v>152</v>
      </c>
      <c r="P275" t="s">
        <v>145</v>
      </c>
      <c r="Q275">
        <v>1</v>
      </c>
      <c r="R275">
        <v>543</v>
      </c>
      <c r="S275">
        <v>615</v>
      </c>
      <c r="T275">
        <v>9.0500000000000007</v>
      </c>
      <c r="U275">
        <v>10.25</v>
      </c>
      <c r="V275">
        <v>72</v>
      </c>
      <c r="W275">
        <v>88.29</v>
      </c>
      <c r="X275" t="s">
        <v>174</v>
      </c>
    </row>
    <row r="276" spans="1:24" x14ac:dyDescent="0.3">
      <c r="A276">
        <v>5577150313</v>
      </c>
      <c r="B276" s="1">
        <v>42485</v>
      </c>
      <c r="C276">
        <v>6393</v>
      </c>
      <c r="D276">
        <v>4.7800002098083496</v>
      </c>
      <c r="E276">
        <v>61</v>
      </c>
      <c r="F276">
        <v>38</v>
      </c>
      <c r="G276">
        <v>214</v>
      </c>
      <c r="H276">
        <v>743</v>
      </c>
      <c r="I276">
        <v>3374</v>
      </c>
      <c r="J276" t="s">
        <v>155</v>
      </c>
      <c r="K276" t="s">
        <v>141</v>
      </c>
      <c r="L276">
        <v>313</v>
      </c>
      <c r="M276">
        <v>1056</v>
      </c>
      <c r="N276">
        <v>12.38</v>
      </c>
      <c r="O276" t="s">
        <v>144</v>
      </c>
      <c r="P276" t="s">
        <v>145</v>
      </c>
      <c r="Q276">
        <v>1</v>
      </c>
      <c r="R276">
        <v>421</v>
      </c>
      <c r="S276">
        <v>461</v>
      </c>
      <c r="T276">
        <v>7.02</v>
      </c>
      <c r="U276">
        <v>7.68</v>
      </c>
      <c r="V276">
        <v>40</v>
      </c>
      <c r="W276">
        <v>91.32</v>
      </c>
      <c r="X276" t="s">
        <v>175</v>
      </c>
    </row>
    <row r="277" spans="1:24" x14ac:dyDescent="0.3">
      <c r="A277">
        <v>5577150313</v>
      </c>
      <c r="B277" s="1">
        <v>42486</v>
      </c>
      <c r="C277">
        <v>5325</v>
      </c>
      <c r="D277">
        <v>3.9800000190734899</v>
      </c>
      <c r="E277">
        <v>38</v>
      </c>
      <c r="F277">
        <v>32</v>
      </c>
      <c r="G277">
        <v>181</v>
      </c>
      <c r="H277">
        <v>759</v>
      </c>
      <c r="I277">
        <v>3088</v>
      </c>
      <c r="J277" t="s">
        <v>140</v>
      </c>
      <c r="K277" t="s">
        <v>141</v>
      </c>
      <c r="L277">
        <v>251</v>
      </c>
      <c r="M277">
        <v>1010</v>
      </c>
      <c r="N277">
        <v>12.65</v>
      </c>
      <c r="O277" t="s">
        <v>144</v>
      </c>
      <c r="P277" t="s">
        <v>145</v>
      </c>
      <c r="Q277">
        <v>1</v>
      </c>
      <c r="R277">
        <v>354</v>
      </c>
      <c r="S277">
        <v>377</v>
      </c>
      <c r="T277">
        <v>5.9</v>
      </c>
      <c r="U277">
        <v>6.28</v>
      </c>
      <c r="V277">
        <v>23</v>
      </c>
      <c r="W277">
        <v>93.9</v>
      </c>
      <c r="X277" t="s">
        <v>173</v>
      </c>
    </row>
    <row r="278" spans="1:24" x14ac:dyDescent="0.3">
      <c r="A278">
        <v>5577150313</v>
      </c>
      <c r="B278" s="1">
        <v>42487</v>
      </c>
      <c r="C278">
        <v>6805</v>
      </c>
      <c r="D278">
        <v>5.1399998664856001</v>
      </c>
      <c r="E278">
        <v>63</v>
      </c>
      <c r="F278">
        <v>16</v>
      </c>
      <c r="G278">
        <v>190</v>
      </c>
      <c r="H278">
        <v>773</v>
      </c>
      <c r="I278">
        <v>3294</v>
      </c>
      <c r="J278" t="s">
        <v>146</v>
      </c>
      <c r="K278" t="s">
        <v>141</v>
      </c>
      <c r="L278">
        <v>269</v>
      </c>
      <c r="M278">
        <v>1042</v>
      </c>
      <c r="N278">
        <v>12.88</v>
      </c>
      <c r="O278" t="s">
        <v>144</v>
      </c>
      <c r="P278" t="s">
        <v>145</v>
      </c>
      <c r="Q278">
        <v>1</v>
      </c>
      <c r="R278">
        <v>424</v>
      </c>
      <c r="S278">
        <v>452</v>
      </c>
      <c r="T278">
        <v>7.07</v>
      </c>
      <c r="U278">
        <v>7.53</v>
      </c>
      <c r="V278">
        <v>28</v>
      </c>
      <c r="W278">
        <v>93.81</v>
      </c>
      <c r="X278" t="s">
        <v>175</v>
      </c>
    </row>
    <row r="279" spans="1:24" x14ac:dyDescent="0.3">
      <c r="A279">
        <v>5577150313</v>
      </c>
      <c r="B279" s="1">
        <v>42488</v>
      </c>
      <c r="C279">
        <v>9841</v>
      </c>
      <c r="D279">
        <v>7.4299998283386204</v>
      </c>
      <c r="E279">
        <v>99</v>
      </c>
      <c r="F279">
        <v>51</v>
      </c>
      <c r="G279">
        <v>141</v>
      </c>
      <c r="H279">
        <v>692</v>
      </c>
      <c r="I279">
        <v>3580</v>
      </c>
      <c r="J279" t="s">
        <v>154</v>
      </c>
      <c r="K279" t="s">
        <v>141</v>
      </c>
      <c r="L279">
        <v>291</v>
      </c>
      <c r="M279">
        <v>983</v>
      </c>
      <c r="N279">
        <v>11.53</v>
      </c>
      <c r="O279" t="s">
        <v>150</v>
      </c>
      <c r="P279" t="s">
        <v>145</v>
      </c>
      <c r="Q279">
        <v>1</v>
      </c>
      <c r="R279">
        <v>361</v>
      </c>
      <c r="S279">
        <v>372</v>
      </c>
      <c r="T279">
        <v>6.02</v>
      </c>
      <c r="U279">
        <v>6.2</v>
      </c>
      <c r="V279">
        <v>11</v>
      </c>
      <c r="W279">
        <v>97.04</v>
      </c>
      <c r="X279" t="s">
        <v>176</v>
      </c>
    </row>
    <row r="280" spans="1:24" x14ac:dyDescent="0.3">
      <c r="A280">
        <v>5577150313</v>
      </c>
      <c r="B280" s="1">
        <v>42489</v>
      </c>
      <c r="C280">
        <v>7924</v>
      </c>
      <c r="D280">
        <v>5.9200000762939498</v>
      </c>
      <c r="E280">
        <v>97</v>
      </c>
      <c r="F280">
        <v>36</v>
      </c>
      <c r="G280">
        <v>165</v>
      </c>
      <c r="H280">
        <v>739</v>
      </c>
      <c r="I280">
        <v>3544</v>
      </c>
      <c r="J280" t="s">
        <v>149</v>
      </c>
      <c r="K280" t="s">
        <v>141</v>
      </c>
      <c r="L280">
        <v>298</v>
      </c>
      <c r="M280">
        <v>1037</v>
      </c>
      <c r="N280">
        <v>12.32</v>
      </c>
      <c r="O280" t="s">
        <v>150</v>
      </c>
      <c r="P280" t="s">
        <v>145</v>
      </c>
      <c r="Q280">
        <v>1</v>
      </c>
      <c r="R280">
        <v>459</v>
      </c>
      <c r="S280">
        <v>485</v>
      </c>
      <c r="T280">
        <v>7.65</v>
      </c>
      <c r="U280">
        <v>8.08</v>
      </c>
      <c r="V280">
        <v>26</v>
      </c>
      <c r="W280">
        <v>94.64</v>
      </c>
      <c r="X280" t="s">
        <v>175</v>
      </c>
    </row>
    <row r="281" spans="1:24" x14ac:dyDescent="0.3">
      <c r="A281">
        <v>5577150313</v>
      </c>
      <c r="B281" s="1">
        <v>42490</v>
      </c>
      <c r="C281">
        <v>12363</v>
      </c>
      <c r="D281">
        <v>9.2399997711181605</v>
      </c>
      <c r="E281">
        <v>207</v>
      </c>
      <c r="F281">
        <v>45</v>
      </c>
      <c r="G281">
        <v>163</v>
      </c>
      <c r="H281">
        <v>621</v>
      </c>
      <c r="I281">
        <v>4501</v>
      </c>
      <c r="J281" t="s">
        <v>151</v>
      </c>
      <c r="K281" t="s">
        <v>141</v>
      </c>
      <c r="L281">
        <v>415</v>
      </c>
      <c r="M281">
        <v>1036</v>
      </c>
      <c r="N281">
        <v>10.35</v>
      </c>
      <c r="O281" t="s">
        <v>147</v>
      </c>
      <c r="P281" t="s">
        <v>145</v>
      </c>
      <c r="Q281">
        <v>1</v>
      </c>
      <c r="R281">
        <v>412</v>
      </c>
      <c r="S281">
        <v>433</v>
      </c>
      <c r="T281">
        <v>6.87</v>
      </c>
      <c r="U281">
        <v>7.22</v>
      </c>
      <c r="V281">
        <v>21</v>
      </c>
      <c r="W281">
        <v>95.15</v>
      </c>
      <c r="X281" t="s">
        <v>176</v>
      </c>
    </row>
    <row r="282" spans="1:24" x14ac:dyDescent="0.3">
      <c r="A282">
        <v>5577150313</v>
      </c>
      <c r="B282" s="1">
        <v>42491</v>
      </c>
      <c r="C282">
        <v>13368</v>
      </c>
      <c r="D282">
        <v>9.9899997711181605</v>
      </c>
      <c r="E282">
        <v>194</v>
      </c>
      <c r="F282">
        <v>72</v>
      </c>
      <c r="G282">
        <v>178</v>
      </c>
      <c r="H282">
        <v>499</v>
      </c>
      <c r="I282">
        <v>4546</v>
      </c>
      <c r="J282" t="s">
        <v>153</v>
      </c>
      <c r="K282" t="s">
        <v>156</v>
      </c>
      <c r="L282">
        <v>444</v>
      </c>
      <c r="M282">
        <v>943</v>
      </c>
      <c r="N282">
        <v>8.32</v>
      </c>
      <c r="O282" t="s">
        <v>152</v>
      </c>
      <c r="P282" t="s">
        <v>145</v>
      </c>
      <c r="Q282">
        <v>1</v>
      </c>
      <c r="R282">
        <v>379</v>
      </c>
      <c r="S282">
        <v>398</v>
      </c>
      <c r="T282">
        <v>6.32</v>
      </c>
      <c r="U282">
        <v>6.63</v>
      </c>
      <c r="V282">
        <v>19</v>
      </c>
      <c r="W282">
        <v>95.23</v>
      </c>
      <c r="X282" t="s">
        <v>176</v>
      </c>
    </row>
    <row r="283" spans="1:24" x14ac:dyDescent="0.3">
      <c r="A283">
        <v>5577150313</v>
      </c>
      <c r="B283" s="1">
        <v>42492</v>
      </c>
      <c r="C283">
        <v>7439</v>
      </c>
      <c r="D283">
        <v>5.5599999427795401</v>
      </c>
      <c r="E283">
        <v>37</v>
      </c>
      <c r="F283">
        <v>20</v>
      </c>
      <c r="G283">
        <v>235</v>
      </c>
      <c r="H283">
        <v>732</v>
      </c>
      <c r="I283">
        <v>3014</v>
      </c>
      <c r="J283" t="s">
        <v>155</v>
      </c>
      <c r="K283" t="s">
        <v>156</v>
      </c>
      <c r="L283">
        <v>292</v>
      </c>
      <c r="M283">
        <v>1024</v>
      </c>
      <c r="N283">
        <v>12.2</v>
      </c>
      <c r="O283" t="s">
        <v>144</v>
      </c>
      <c r="P283" t="s">
        <v>145</v>
      </c>
      <c r="Q283">
        <v>2</v>
      </c>
      <c r="R283">
        <v>525</v>
      </c>
      <c r="S283">
        <v>553</v>
      </c>
      <c r="T283">
        <v>8.75</v>
      </c>
      <c r="U283">
        <v>9.2200000000000006</v>
      </c>
      <c r="V283">
        <v>28</v>
      </c>
      <c r="W283">
        <v>94.94</v>
      </c>
      <c r="X283" t="s">
        <v>175</v>
      </c>
    </row>
    <row r="284" spans="1:24" x14ac:dyDescent="0.3">
      <c r="A284">
        <v>5577150313</v>
      </c>
      <c r="B284" s="1">
        <v>42493</v>
      </c>
      <c r="C284">
        <v>11045</v>
      </c>
      <c r="D284">
        <v>8.25</v>
      </c>
      <c r="E284">
        <v>97</v>
      </c>
      <c r="F284">
        <v>8</v>
      </c>
      <c r="G284">
        <v>212</v>
      </c>
      <c r="H284">
        <v>580</v>
      </c>
      <c r="I284">
        <v>3795</v>
      </c>
      <c r="J284" t="s">
        <v>140</v>
      </c>
      <c r="K284" t="s">
        <v>156</v>
      </c>
      <c r="L284">
        <v>317</v>
      </c>
      <c r="M284">
        <v>897</v>
      </c>
      <c r="N284">
        <v>9.67</v>
      </c>
      <c r="O284" t="s">
        <v>147</v>
      </c>
      <c r="P284" t="s">
        <v>145</v>
      </c>
      <c r="Q284">
        <v>1</v>
      </c>
      <c r="R284">
        <v>508</v>
      </c>
      <c r="S284">
        <v>543</v>
      </c>
      <c r="T284">
        <v>8.4700000000000006</v>
      </c>
      <c r="U284">
        <v>9.0500000000000007</v>
      </c>
      <c r="V284">
        <v>35</v>
      </c>
      <c r="W284">
        <v>93.55</v>
      </c>
      <c r="X284" t="s">
        <v>175</v>
      </c>
    </row>
    <row r="285" spans="1:24" x14ac:dyDescent="0.3">
      <c r="A285">
        <v>5577150313</v>
      </c>
      <c r="B285" s="1">
        <v>42494</v>
      </c>
      <c r="C285">
        <v>5206</v>
      </c>
      <c r="D285">
        <v>3.8900001049041699</v>
      </c>
      <c r="E285">
        <v>25</v>
      </c>
      <c r="F285">
        <v>9</v>
      </c>
      <c r="G285">
        <v>141</v>
      </c>
      <c r="H285">
        <v>631</v>
      </c>
      <c r="I285">
        <v>2755</v>
      </c>
      <c r="J285" t="s">
        <v>146</v>
      </c>
      <c r="K285" t="s">
        <v>156</v>
      </c>
      <c r="L285">
        <v>175</v>
      </c>
      <c r="M285">
        <v>806</v>
      </c>
      <c r="N285">
        <v>10.52</v>
      </c>
      <c r="O285" t="s">
        <v>144</v>
      </c>
      <c r="P285" t="s">
        <v>148</v>
      </c>
      <c r="Q285">
        <v>1</v>
      </c>
      <c r="R285">
        <v>603</v>
      </c>
      <c r="S285">
        <v>634</v>
      </c>
      <c r="T285">
        <v>10.050000000000001</v>
      </c>
      <c r="U285">
        <v>10.57</v>
      </c>
      <c r="V285">
        <v>31</v>
      </c>
      <c r="W285">
        <v>95.11</v>
      </c>
      <c r="X285" t="s">
        <v>174</v>
      </c>
    </row>
    <row r="286" spans="1:24" x14ac:dyDescent="0.3">
      <c r="A286">
        <v>5577150313</v>
      </c>
      <c r="B286" s="1">
        <v>42495</v>
      </c>
      <c r="C286">
        <v>7550</v>
      </c>
      <c r="D286">
        <v>5.6399998664856001</v>
      </c>
      <c r="E286">
        <v>45</v>
      </c>
      <c r="F286">
        <v>21</v>
      </c>
      <c r="G286">
        <v>143</v>
      </c>
      <c r="H286">
        <v>1153</v>
      </c>
      <c r="I286">
        <v>3004</v>
      </c>
      <c r="J286" t="s">
        <v>154</v>
      </c>
      <c r="K286" t="s">
        <v>156</v>
      </c>
      <c r="L286">
        <v>209</v>
      </c>
      <c r="M286">
        <v>1362</v>
      </c>
      <c r="N286">
        <v>19.22</v>
      </c>
      <c r="O286" t="s">
        <v>150</v>
      </c>
      <c r="P286" t="s">
        <v>145</v>
      </c>
      <c r="Q286">
        <v>1</v>
      </c>
      <c r="R286">
        <v>74</v>
      </c>
      <c r="S286">
        <v>78</v>
      </c>
      <c r="T286">
        <v>1.23</v>
      </c>
      <c r="U286">
        <v>1.3</v>
      </c>
      <c r="V286">
        <v>4</v>
      </c>
      <c r="W286">
        <v>94.87</v>
      </c>
      <c r="X286" t="s">
        <v>173</v>
      </c>
    </row>
    <row r="287" spans="1:24" x14ac:dyDescent="0.3">
      <c r="A287">
        <v>5577150313</v>
      </c>
      <c r="B287" s="1">
        <v>42500</v>
      </c>
      <c r="C287">
        <v>8869</v>
      </c>
      <c r="D287">
        <v>6.6500000953674299</v>
      </c>
      <c r="E287">
        <v>104</v>
      </c>
      <c r="F287">
        <v>37</v>
      </c>
      <c r="G287">
        <v>194</v>
      </c>
      <c r="H287">
        <v>639</v>
      </c>
      <c r="I287">
        <v>3841</v>
      </c>
      <c r="J287" t="s">
        <v>140</v>
      </c>
      <c r="K287" t="s">
        <v>156</v>
      </c>
      <c r="L287">
        <v>335</v>
      </c>
      <c r="M287">
        <v>974</v>
      </c>
      <c r="N287">
        <v>10.65</v>
      </c>
      <c r="O287" t="s">
        <v>150</v>
      </c>
      <c r="P287" t="s">
        <v>145</v>
      </c>
      <c r="Q287">
        <v>1</v>
      </c>
      <c r="R287">
        <v>504</v>
      </c>
      <c r="S287">
        <v>562</v>
      </c>
      <c r="T287">
        <v>8.4</v>
      </c>
      <c r="U287">
        <v>9.3699999999999992</v>
      </c>
      <c r="V287">
        <v>58</v>
      </c>
      <c r="W287">
        <v>89.68</v>
      </c>
      <c r="X287" t="s">
        <v>175</v>
      </c>
    </row>
    <row r="288" spans="1:24" x14ac:dyDescent="0.3">
      <c r="A288">
        <v>5577150313</v>
      </c>
      <c r="B288" s="1">
        <v>42501</v>
      </c>
      <c r="C288">
        <v>4038</v>
      </c>
      <c r="D288">
        <v>3.03999996185303</v>
      </c>
      <c r="E288">
        <v>45</v>
      </c>
      <c r="F288">
        <v>15</v>
      </c>
      <c r="G288">
        <v>63</v>
      </c>
      <c r="H288">
        <v>257</v>
      </c>
      <c r="I288">
        <v>1665</v>
      </c>
      <c r="J288" t="s">
        <v>146</v>
      </c>
      <c r="K288" t="s">
        <v>156</v>
      </c>
      <c r="L288">
        <v>123</v>
      </c>
      <c r="M288">
        <v>380</v>
      </c>
      <c r="N288">
        <v>4.28</v>
      </c>
      <c r="O288" t="s">
        <v>142</v>
      </c>
      <c r="P288" t="s">
        <v>145</v>
      </c>
      <c r="Q288">
        <v>1</v>
      </c>
      <c r="R288">
        <v>431</v>
      </c>
      <c r="S288">
        <v>476</v>
      </c>
      <c r="T288">
        <v>7.18</v>
      </c>
      <c r="U288">
        <v>7.93</v>
      </c>
      <c r="V288">
        <v>45</v>
      </c>
      <c r="W288">
        <v>90.55</v>
      </c>
      <c r="X288" t="s">
        <v>175</v>
      </c>
    </row>
    <row r="289" spans="1:24" x14ac:dyDescent="0.3">
      <c r="A289">
        <v>6117666160</v>
      </c>
      <c r="B289" s="1">
        <v>42476</v>
      </c>
      <c r="C289">
        <v>14450</v>
      </c>
      <c r="D289">
        <v>10.9099998474121</v>
      </c>
      <c r="E289">
        <v>7</v>
      </c>
      <c r="F289">
        <v>15</v>
      </c>
      <c r="G289">
        <v>518</v>
      </c>
      <c r="H289">
        <v>502</v>
      </c>
      <c r="I289">
        <v>2828</v>
      </c>
      <c r="J289" t="s">
        <v>151</v>
      </c>
      <c r="K289" t="s">
        <v>141</v>
      </c>
      <c r="L289">
        <v>540</v>
      </c>
      <c r="M289">
        <v>1042</v>
      </c>
      <c r="N289">
        <v>8.3699999999999992</v>
      </c>
      <c r="O289" t="s">
        <v>152</v>
      </c>
      <c r="P289" t="s">
        <v>143</v>
      </c>
      <c r="Q289">
        <v>1</v>
      </c>
      <c r="R289">
        <v>380</v>
      </c>
      <c r="S289">
        <v>398</v>
      </c>
      <c r="T289">
        <v>6.33</v>
      </c>
      <c r="U289">
        <v>6.63</v>
      </c>
      <c r="V289">
        <v>18</v>
      </c>
      <c r="W289">
        <v>95.48</v>
      </c>
      <c r="X289" t="s">
        <v>176</v>
      </c>
    </row>
    <row r="290" spans="1:24" x14ac:dyDescent="0.3">
      <c r="A290">
        <v>6117666160</v>
      </c>
      <c r="B290" s="1">
        <v>42477</v>
      </c>
      <c r="C290">
        <v>7150</v>
      </c>
      <c r="D290">
        <v>5.4000000953674299</v>
      </c>
      <c r="E290">
        <v>0</v>
      </c>
      <c r="F290">
        <v>0</v>
      </c>
      <c r="G290">
        <v>312</v>
      </c>
      <c r="H290">
        <v>702</v>
      </c>
      <c r="I290">
        <v>2225</v>
      </c>
      <c r="J290" t="s">
        <v>153</v>
      </c>
      <c r="K290" t="s">
        <v>141</v>
      </c>
      <c r="L290">
        <v>312</v>
      </c>
      <c r="M290">
        <v>1014</v>
      </c>
      <c r="N290">
        <v>11.7</v>
      </c>
      <c r="O290" t="s">
        <v>144</v>
      </c>
      <c r="P290" t="s">
        <v>142</v>
      </c>
      <c r="Q290">
        <v>2</v>
      </c>
      <c r="R290">
        <v>336</v>
      </c>
      <c r="S290">
        <v>350</v>
      </c>
      <c r="T290">
        <v>5.6</v>
      </c>
      <c r="U290">
        <v>5.83</v>
      </c>
      <c r="V290">
        <v>14</v>
      </c>
      <c r="W290">
        <v>96</v>
      </c>
      <c r="X290" t="s">
        <v>173</v>
      </c>
    </row>
    <row r="291" spans="1:24" x14ac:dyDescent="0.3">
      <c r="A291">
        <v>6117666160</v>
      </c>
      <c r="B291" s="1">
        <v>42478</v>
      </c>
      <c r="C291">
        <v>5153</v>
      </c>
      <c r="D291">
        <v>3.9100000858306898</v>
      </c>
      <c r="E291">
        <v>0</v>
      </c>
      <c r="F291">
        <v>0</v>
      </c>
      <c r="G291">
        <v>241</v>
      </c>
      <c r="H291">
        <v>759</v>
      </c>
      <c r="I291">
        <v>2018</v>
      </c>
      <c r="J291" t="s">
        <v>155</v>
      </c>
      <c r="K291" t="s">
        <v>141</v>
      </c>
      <c r="L291">
        <v>241</v>
      </c>
      <c r="M291">
        <v>1000</v>
      </c>
      <c r="N291">
        <v>12.65</v>
      </c>
      <c r="O291" t="s">
        <v>144</v>
      </c>
      <c r="P291" t="s">
        <v>142</v>
      </c>
      <c r="Q291">
        <v>2</v>
      </c>
      <c r="R291">
        <v>493</v>
      </c>
      <c r="S291">
        <v>510</v>
      </c>
      <c r="T291">
        <v>8.2200000000000006</v>
      </c>
      <c r="U291">
        <v>8.5</v>
      </c>
      <c r="V291">
        <v>17</v>
      </c>
      <c r="W291">
        <v>96.67</v>
      </c>
      <c r="X291" t="s">
        <v>175</v>
      </c>
    </row>
    <row r="292" spans="1:24" x14ac:dyDescent="0.3">
      <c r="A292">
        <v>6117666160</v>
      </c>
      <c r="B292" s="1">
        <v>42479</v>
      </c>
      <c r="C292">
        <v>11135</v>
      </c>
      <c r="D292">
        <v>8.4099998474121094</v>
      </c>
      <c r="E292">
        <v>0</v>
      </c>
      <c r="F292">
        <v>0</v>
      </c>
      <c r="G292">
        <v>480</v>
      </c>
      <c r="H292">
        <v>425</v>
      </c>
      <c r="I292">
        <v>2606</v>
      </c>
      <c r="J292" t="s">
        <v>140</v>
      </c>
      <c r="K292" t="s">
        <v>141</v>
      </c>
      <c r="L292">
        <v>480</v>
      </c>
      <c r="M292">
        <v>905</v>
      </c>
      <c r="N292">
        <v>7.08</v>
      </c>
      <c r="O292" t="s">
        <v>147</v>
      </c>
      <c r="P292" t="s">
        <v>142</v>
      </c>
      <c r="Q292">
        <v>1</v>
      </c>
      <c r="R292">
        <v>465</v>
      </c>
      <c r="S292">
        <v>492</v>
      </c>
      <c r="T292">
        <v>7.75</v>
      </c>
      <c r="U292">
        <v>8.1999999999999993</v>
      </c>
      <c r="V292">
        <v>27</v>
      </c>
      <c r="W292">
        <v>94.51</v>
      </c>
      <c r="X292" t="s">
        <v>175</v>
      </c>
    </row>
    <row r="293" spans="1:24" x14ac:dyDescent="0.3">
      <c r="A293">
        <v>6117666160</v>
      </c>
      <c r="B293" s="1">
        <v>42480</v>
      </c>
      <c r="C293">
        <v>10449</v>
      </c>
      <c r="D293">
        <v>8.0200004577636701</v>
      </c>
      <c r="E293">
        <v>26</v>
      </c>
      <c r="F293">
        <v>10</v>
      </c>
      <c r="G293">
        <v>349</v>
      </c>
      <c r="H293">
        <v>587</v>
      </c>
      <c r="I293">
        <v>2536</v>
      </c>
      <c r="J293" t="s">
        <v>146</v>
      </c>
      <c r="K293" t="s">
        <v>141</v>
      </c>
      <c r="L293">
        <v>385</v>
      </c>
      <c r="M293">
        <v>972</v>
      </c>
      <c r="N293">
        <v>9.7799999999999994</v>
      </c>
      <c r="O293" t="s">
        <v>147</v>
      </c>
      <c r="P293" t="s">
        <v>148</v>
      </c>
      <c r="Q293">
        <v>1</v>
      </c>
      <c r="R293">
        <v>474</v>
      </c>
      <c r="S293">
        <v>502</v>
      </c>
      <c r="T293">
        <v>7.9</v>
      </c>
      <c r="U293">
        <v>8.3699999999999992</v>
      </c>
      <c r="V293">
        <v>28</v>
      </c>
      <c r="W293">
        <v>94.42</v>
      </c>
      <c r="X293" t="s">
        <v>175</v>
      </c>
    </row>
    <row r="294" spans="1:24" x14ac:dyDescent="0.3">
      <c r="A294">
        <v>6117666160</v>
      </c>
      <c r="B294" s="1">
        <v>42481</v>
      </c>
      <c r="C294">
        <v>19542</v>
      </c>
      <c r="D294">
        <v>15.0100002288818</v>
      </c>
      <c r="E294">
        <v>11</v>
      </c>
      <c r="F294">
        <v>19</v>
      </c>
      <c r="G294">
        <v>294</v>
      </c>
      <c r="H294">
        <v>579</v>
      </c>
      <c r="I294">
        <v>4900</v>
      </c>
      <c r="J294" t="s">
        <v>154</v>
      </c>
      <c r="K294" t="s">
        <v>141</v>
      </c>
      <c r="L294">
        <v>324</v>
      </c>
      <c r="M294">
        <v>903</v>
      </c>
      <c r="N294">
        <v>9.65</v>
      </c>
      <c r="O294" t="s">
        <v>152</v>
      </c>
      <c r="P294" t="s">
        <v>143</v>
      </c>
      <c r="Q294">
        <v>1</v>
      </c>
      <c r="R294">
        <v>508</v>
      </c>
      <c r="S294">
        <v>550</v>
      </c>
      <c r="T294">
        <v>8.4700000000000006</v>
      </c>
      <c r="U294">
        <v>9.17</v>
      </c>
      <c r="V294">
        <v>42</v>
      </c>
      <c r="W294">
        <v>92.36</v>
      </c>
      <c r="X294" t="s">
        <v>175</v>
      </c>
    </row>
    <row r="295" spans="1:24" x14ac:dyDescent="0.3">
      <c r="A295">
        <v>6117666160</v>
      </c>
      <c r="B295" s="1">
        <v>42482</v>
      </c>
      <c r="C295">
        <v>8206</v>
      </c>
      <c r="D295">
        <v>6.1999998092651403</v>
      </c>
      <c r="E295">
        <v>0</v>
      </c>
      <c r="F295">
        <v>0</v>
      </c>
      <c r="G295">
        <v>402</v>
      </c>
      <c r="H295">
        <v>413</v>
      </c>
      <c r="I295">
        <v>2409</v>
      </c>
      <c r="J295" t="s">
        <v>149</v>
      </c>
      <c r="K295" t="s">
        <v>141</v>
      </c>
      <c r="L295">
        <v>402</v>
      </c>
      <c r="M295">
        <v>815</v>
      </c>
      <c r="N295">
        <v>6.88</v>
      </c>
      <c r="O295" t="s">
        <v>150</v>
      </c>
      <c r="P295" t="s">
        <v>142</v>
      </c>
      <c r="Q295">
        <v>1</v>
      </c>
      <c r="R295">
        <v>480</v>
      </c>
      <c r="S295">
        <v>546</v>
      </c>
      <c r="T295">
        <v>8</v>
      </c>
      <c r="U295">
        <v>9.1</v>
      </c>
      <c r="V295">
        <v>66</v>
      </c>
      <c r="W295">
        <v>87.91</v>
      </c>
      <c r="X295" t="s">
        <v>175</v>
      </c>
    </row>
    <row r="296" spans="1:24" x14ac:dyDescent="0.3">
      <c r="A296">
        <v>6117666160</v>
      </c>
      <c r="B296" s="1">
        <v>42483</v>
      </c>
      <c r="C296">
        <v>11495</v>
      </c>
      <c r="D296">
        <v>8.6800003051757795</v>
      </c>
      <c r="E296">
        <v>0</v>
      </c>
      <c r="F296">
        <v>0</v>
      </c>
      <c r="G296">
        <v>512</v>
      </c>
      <c r="H296">
        <v>468</v>
      </c>
      <c r="I296">
        <v>2651</v>
      </c>
      <c r="J296" t="s">
        <v>151</v>
      </c>
      <c r="K296" t="s">
        <v>141</v>
      </c>
      <c r="L296">
        <v>512</v>
      </c>
      <c r="M296">
        <v>980</v>
      </c>
      <c r="N296">
        <v>7.8</v>
      </c>
      <c r="O296" t="s">
        <v>147</v>
      </c>
      <c r="P296" t="s">
        <v>142</v>
      </c>
      <c r="Q296">
        <v>1</v>
      </c>
      <c r="R296">
        <v>492</v>
      </c>
      <c r="S296">
        <v>539</v>
      </c>
      <c r="T296">
        <v>8.1999999999999993</v>
      </c>
      <c r="U296">
        <v>8.98</v>
      </c>
      <c r="V296">
        <v>47</v>
      </c>
      <c r="W296">
        <v>91.28</v>
      </c>
      <c r="X296" t="s">
        <v>175</v>
      </c>
    </row>
    <row r="297" spans="1:24" x14ac:dyDescent="0.3">
      <c r="A297">
        <v>6117666160</v>
      </c>
      <c r="B297" s="1">
        <v>42484</v>
      </c>
      <c r="C297">
        <v>7623</v>
      </c>
      <c r="D297">
        <v>5.7600002288818404</v>
      </c>
      <c r="E297">
        <v>0</v>
      </c>
      <c r="F297">
        <v>0</v>
      </c>
      <c r="G297">
        <v>362</v>
      </c>
      <c r="H297">
        <v>711</v>
      </c>
      <c r="I297">
        <v>2305</v>
      </c>
      <c r="J297" t="s">
        <v>153</v>
      </c>
      <c r="K297" t="s">
        <v>141</v>
      </c>
      <c r="L297">
        <v>362</v>
      </c>
      <c r="M297">
        <v>1073</v>
      </c>
      <c r="N297">
        <v>11.85</v>
      </c>
      <c r="O297" t="s">
        <v>150</v>
      </c>
      <c r="P297" t="s">
        <v>142</v>
      </c>
      <c r="Q297">
        <v>1</v>
      </c>
      <c r="R297">
        <v>353</v>
      </c>
      <c r="S297">
        <v>367</v>
      </c>
      <c r="T297">
        <v>5.88</v>
      </c>
      <c r="U297">
        <v>6.12</v>
      </c>
      <c r="V297">
        <v>14</v>
      </c>
      <c r="W297">
        <v>96.19</v>
      </c>
      <c r="X297" t="s">
        <v>173</v>
      </c>
    </row>
    <row r="298" spans="1:24" x14ac:dyDescent="0.3">
      <c r="A298">
        <v>6117666160</v>
      </c>
      <c r="B298" s="1">
        <v>42487</v>
      </c>
      <c r="C298">
        <v>9411</v>
      </c>
      <c r="D298">
        <v>7.1100001335143999</v>
      </c>
      <c r="E298">
        <v>0</v>
      </c>
      <c r="F298">
        <v>0</v>
      </c>
      <c r="G298">
        <v>458</v>
      </c>
      <c r="H298">
        <v>417</v>
      </c>
      <c r="I298">
        <v>2576</v>
      </c>
      <c r="J298" t="s">
        <v>146</v>
      </c>
      <c r="K298" t="s">
        <v>141</v>
      </c>
      <c r="L298">
        <v>458</v>
      </c>
      <c r="M298">
        <v>875</v>
      </c>
      <c r="N298">
        <v>6.95</v>
      </c>
      <c r="O298" t="s">
        <v>150</v>
      </c>
      <c r="P298" t="s">
        <v>142</v>
      </c>
      <c r="Q298">
        <v>1</v>
      </c>
      <c r="R298">
        <v>542</v>
      </c>
      <c r="S298">
        <v>557</v>
      </c>
      <c r="T298">
        <v>9.0299999999999994</v>
      </c>
      <c r="U298">
        <v>9.2799999999999994</v>
      </c>
      <c r="V298">
        <v>15</v>
      </c>
      <c r="W298">
        <v>97.31</v>
      </c>
      <c r="X298" t="s">
        <v>174</v>
      </c>
    </row>
    <row r="299" spans="1:24" x14ac:dyDescent="0.3">
      <c r="A299">
        <v>6117666160</v>
      </c>
      <c r="B299" s="1">
        <v>42488</v>
      </c>
      <c r="C299">
        <v>3403</v>
      </c>
      <c r="D299">
        <v>2.5999999046325701</v>
      </c>
      <c r="E299">
        <v>0</v>
      </c>
      <c r="F299">
        <v>0</v>
      </c>
      <c r="G299">
        <v>141</v>
      </c>
      <c r="H299">
        <v>758</v>
      </c>
      <c r="I299">
        <v>1879</v>
      </c>
      <c r="J299" t="s">
        <v>154</v>
      </c>
      <c r="K299" t="s">
        <v>141</v>
      </c>
      <c r="L299">
        <v>141</v>
      </c>
      <c r="M299">
        <v>899</v>
      </c>
      <c r="N299">
        <v>12.63</v>
      </c>
      <c r="O299" t="s">
        <v>142</v>
      </c>
      <c r="P299" t="s">
        <v>142</v>
      </c>
      <c r="Q299">
        <v>1</v>
      </c>
      <c r="R299">
        <v>393</v>
      </c>
      <c r="S299">
        <v>416</v>
      </c>
      <c r="T299">
        <v>6.55</v>
      </c>
      <c r="U299">
        <v>6.93</v>
      </c>
      <c r="V299">
        <v>23</v>
      </c>
      <c r="W299">
        <v>94.47</v>
      </c>
      <c r="X299" t="s">
        <v>176</v>
      </c>
    </row>
    <row r="300" spans="1:24" x14ac:dyDescent="0.3">
      <c r="A300">
        <v>6117666160</v>
      </c>
      <c r="B300" s="1">
        <v>42489</v>
      </c>
      <c r="C300">
        <v>9592</v>
      </c>
      <c r="D300">
        <v>7.2399997711181596</v>
      </c>
      <c r="E300">
        <v>0</v>
      </c>
      <c r="F300">
        <v>0</v>
      </c>
      <c r="G300">
        <v>461</v>
      </c>
      <c r="H300">
        <v>479</v>
      </c>
      <c r="I300">
        <v>2560</v>
      </c>
      <c r="J300" t="s">
        <v>149</v>
      </c>
      <c r="K300" t="s">
        <v>141</v>
      </c>
      <c r="L300">
        <v>461</v>
      </c>
      <c r="M300">
        <v>940</v>
      </c>
      <c r="N300">
        <v>7.98</v>
      </c>
      <c r="O300" t="s">
        <v>150</v>
      </c>
      <c r="P300" t="s">
        <v>142</v>
      </c>
      <c r="Q300">
        <v>1</v>
      </c>
      <c r="R300">
        <v>600</v>
      </c>
      <c r="S300">
        <v>636</v>
      </c>
      <c r="T300">
        <v>10</v>
      </c>
      <c r="U300">
        <v>10.6</v>
      </c>
      <c r="V300">
        <v>36</v>
      </c>
      <c r="W300">
        <v>94.34</v>
      </c>
      <c r="X300" t="s">
        <v>174</v>
      </c>
    </row>
    <row r="301" spans="1:24" x14ac:dyDescent="0.3">
      <c r="A301">
        <v>6117666160</v>
      </c>
      <c r="B301" s="1">
        <v>42491</v>
      </c>
      <c r="C301">
        <v>8915</v>
      </c>
      <c r="D301">
        <v>6.7300000190734899</v>
      </c>
      <c r="E301">
        <v>0</v>
      </c>
      <c r="F301">
        <v>0</v>
      </c>
      <c r="G301">
        <v>397</v>
      </c>
      <c r="H301">
        <v>525</v>
      </c>
      <c r="I301">
        <v>2361</v>
      </c>
      <c r="J301" t="s">
        <v>153</v>
      </c>
      <c r="K301" t="s">
        <v>156</v>
      </c>
      <c r="L301">
        <v>397</v>
      </c>
      <c r="M301">
        <v>922</v>
      </c>
      <c r="N301">
        <v>8.75</v>
      </c>
      <c r="O301" t="s">
        <v>150</v>
      </c>
      <c r="P301" t="s">
        <v>142</v>
      </c>
      <c r="Q301">
        <v>1</v>
      </c>
      <c r="R301">
        <v>507</v>
      </c>
      <c r="S301">
        <v>575</v>
      </c>
      <c r="T301">
        <v>8.4499999999999993</v>
      </c>
      <c r="U301">
        <v>9.58</v>
      </c>
      <c r="V301">
        <v>68</v>
      </c>
      <c r="W301">
        <v>88.17</v>
      </c>
      <c r="X301" t="s">
        <v>175</v>
      </c>
    </row>
    <row r="302" spans="1:24" x14ac:dyDescent="0.3">
      <c r="A302">
        <v>6117666160</v>
      </c>
      <c r="B302" s="1">
        <v>42495</v>
      </c>
      <c r="C302">
        <v>9799</v>
      </c>
      <c r="D302">
        <v>7.4000000953674299</v>
      </c>
      <c r="E302">
        <v>0</v>
      </c>
      <c r="F302">
        <v>0</v>
      </c>
      <c r="G302">
        <v>487</v>
      </c>
      <c r="H302">
        <v>479</v>
      </c>
      <c r="I302">
        <v>2636</v>
      </c>
      <c r="J302" t="s">
        <v>154</v>
      </c>
      <c r="K302" t="s">
        <v>156</v>
      </c>
      <c r="L302">
        <v>487</v>
      </c>
      <c r="M302">
        <v>966</v>
      </c>
      <c r="N302">
        <v>7.98</v>
      </c>
      <c r="O302" t="s">
        <v>150</v>
      </c>
      <c r="P302" t="s">
        <v>142</v>
      </c>
      <c r="Q302">
        <v>1</v>
      </c>
      <c r="R302">
        <v>392</v>
      </c>
      <c r="S302">
        <v>415</v>
      </c>
      <c r="T302">
        <v>6.53</v>
      </c>
      <c r="U302">
        <v>6.92</v>
      </c>
      <c r="V302">
        <v>23</v>
      </c>
      <c r="W302">
        <v>94.46</v>
      </c>
      <c r="X302" t="s">
        <v>176</v>
      </c>
    </row>
    <row r="303" spans="1:24" x14ac:dyDescent="0.3">
      <c r="A303">
        <v>6117666160</v>
      </c>
      <c r="B303" s="1">
        <v>42496</v>
      </c>
      <c r="C303">
        <v>3365</v>
      </c>
      <c r="D303">
        <v>2.6800000667571999</v>
      </c>
      <c r="E303">
        <v>0</v>
      </c>
      <c r="F303">
        <v>0</v>
      </c>
      <c r="G303">
        <v>133</v>
      </c>
      <c r="H303">
        <v>673</v>
      </c>
      <c r="I303">
        <v>1838</v>
      </c>
      <c r="J303" t="s">
        <v>149</v>
      </c>
      <c r="K303" t="s">
        <v>156</v>
      </c>
      <c r="L303">
        <v>133</v>
      </c>
      <c r="M303">
        <v>806</v>
      </c>
      <c r="N303">
        <v>11.22</v>
      </c>
      <c r="O303" t="s">
        <v>142</v>
      </c>
      <c r="P303" t="s">
        <v>142</v>
      </c>
      <c r="Q303">
        <v>2</v>
      </c>
      <c r="R303">
        <v>658</v>
      </c>
      <c r="S303">
        <v>698</v>
      </c>
      <c r="T303">
        <v>10.97</v>
      </c>
      <c r="U303">
        <v>11.63</v>
      </c>
      <c r="V303">
        <v>40</v>
      </c>
      <c r="W303">
        <v>94.27</v>
      </c>
      <c r="X303" t="s">
        <v>174</v>
      </c>
    </row>
    <row r="304" spans="1:24" x14ac:dyDescent="0.3">
      <c r="A304">
        <v>6117666160</v>
      </c>
      <c r="B304" s="1">
        <v>42497</v>
      </c>
      <c r="C304">
        <v>7336</v>
      </c>
      <c r="D304">
        <v>5.53999996185303</v>
      </c>
      <c r="E304">
        <v>0</v>
      </c>
      <c r="F304">
        <v>0</v>
      </c>
      <c r="G304">
        <v>412</v>
      </c>
      <c r="H304">
        <v>456</v>
      </c>
      <c r="I304">
        <v>2469</v>
      </c>
      <c r="J304" t="s">
        <v>151</v>
      </c>
      <c r="K304" t="s">
        <v>156</v>
      </c>
      <c r="L304">
        <v>412</v>
      </c>
      <c r="M304">
        <v>868</v>
      </c>
      <c r="N304">
        <v>7.6</v>
      </c>
      <c r="O304" t="s">
        <v>144</v>
      </c>
      <c r="P304" t="s">
        <v>142</v>
      </c>
      <c r="Q304">
        <v>2</v>
      </c>
      <c r="R304">
        <v>498</v>
      </c>
      <c r="S304">
        <v>507</v>
      </c>
      <c r="T304">
        <v>8.3000000000000007</v>
      </c>
      <c r="U304">
        <v>8.4499999999999993</v>
      </c>
      <c r="V304">
        <v>9</v>
      </c>
      <c r="W304">
        <v>98.22</v>
      </c>
      <c r="X304" t="s">
        <v>175</v>
      </c>
    </row>
    <row r="305" spans="1:24" x14ac:dyDescent="0.3">
      <c r="A305">
        <v>6117666160</v>
      </c>
      <c r="B305" s="1">
        <v>42498</v>
      </c>
      <c r="C305">
        <v>7328</v>
      </c>
      <c r="D305">
        <v>5.5300002098083496</v>
      </c>
      <c r="E305">
        <v>0</v>
      </c>
      <c r="F305">
        <v>0</v>
      </c>
      <c r="G305">
        <v>318</v>
      </c>
      <c r="H305">
        <v>517</v>
      </c>
      <c r="I305">
        <v>2250</v>
      </c>
      <c r="J305" t="s">
        <v>153</v>
      </c>
      <c r="K305" t="s">
        <v>156</v>
      </c>
      <c r="L305">
        <v>318</v>
      </c>
      <c r="M305">
        <v>835</v>
      </c>
      <c r="N305">
        <v>8.6199999999999992</v>
      </c>
      <c r="O305" t="s">
        <v>144</v>
      </c>
      <c r="P305" t="s">
        <v>142</v>
      </c>
      <c r="Q305">
        <v>1</v>
      </c>
      <c r="R305">
        <v>555</v>
      </c>
      <c r="S305">
        <v>603</v>
      </c>
      <c r="T305">
        <v>9.25</v>
      </c>
      <c r="U305">
        <v>10.050000000000001</v>
      </c>
      <c r="V305">
        <v>48</v>
      </c>
      <c r="W305">
        <v>92.04</v>
      </c>
      <c r="X305" t="s">
        <v>174</v>
      </c>
    </row>
    <row r="306" spans="1:24" x14ac:dyDescent="0.3">
      <c r="A306">
        <v>6117666160</v>
      </c>
      <c r="B306" s="1">
        <v>42499</v>
      </c>
      <c r="C306">
        <v>4477</v>
      </c>
      <c r="D306">
        <v>3.3800001144409202</v>
      </c>
      <c r="E306">
        <v>0</v>
      </c>
      <c r="F306">
        <v>0</v>
      </c>
      <c r="G306">
        <v>197</v>
      </c>
      <c r="H306">
        <v>125</v>
      </c>
      <c r="I306">
        <v>1248</v>
      </c>
      <c r="J306" t="s">
        <v>155</v>
      </c>
      <c r="K306" t="s">
        <v>156</v>
      </c>
      <c r="L306">
        <v>197</v>
      </c>
      <c r="M306">
        <v>322</v>
      </c>
      <c r="N306">
        <v>2.08</v>
      </c>
      <c r="O306" t="s">
        <v>142</v>
      </c>
      <c r="P306" t="s">
        <v>142</v>
      </c>
      <c r="Q306">
        <v>1</v>
      </c>
      <c r="R306">
        <v>492</v>
      </c>
      <c r="S306">
        <v>522</v>
      </c>
      <c r="T306">
        <v>8.1999999999999993</v>
      </c>
      <c r="U306">
        <v>8.6999999999999993</v>
      </c>
      <c r="V306">
        <v>30</v>
      </c>
      <c r="W306">
        <v>94.25</v>
      </c>
      <c r="X306" t="s">
        <v>175</v>
      </c>
    </row>
    <row r="307" spans="1:24" x14ac:dyDescent="0.3">
      <c r="A307">
        <v>6775888955</v>
      </c>
      <c r="B307" s="1">
        <v>42473</v>
      </c>
      <c r="C307">
        <v>4053</v>
      </c>
      <c r="D307">
        <v>2.9100000858306898</v>
      </c>
      <c r="E307">
        <v>17</v>
      </c>
      <c r="F307">
        <v>18</v>
      </c>
      <c r="G307">
        <v>85</v>
      </c>
      <c r="H307">
        <v>1053</v>
      </c>
      <c r="I307">
        <v>2400</v>
      </c>
      <c r="J307" t="s">
        <v>146</v>
      </c>
      <c r="K307" t="s">
        <v>141</v>
      </c>
      <c r="L307">
        <v>120</v>
      </c>
      <c r="M307">
        <v>1173</v>
      </c>
      <c r="N307">
        <v>17.55</v>
      </c>
      <c r="O307" t="s">
        <v>142</v>
      </c>
      <c r="P307" t="s">
        <v>148</v>
      </c>
      <c r="Q307">
        <v>1</v>
      </c>
      <c r="R307">
        <v>235</v>
      </c>
      <c r="S307">
        <v>260</v>
      </c>
      <c r="T307">
        <v>3.92</v>
      </c>
      <c r="U307">
        <v>4.33</v>
      </c>
      <c r="V307">
        <v>25</v>
      </c>
      <c r="W307">
        <v>90.38</v>
      </c>
      <c r="X307" t="s">
        <v>173</v>
      </c>
    </row>
    <row r="308" spans="1:24" x14ac:dyDescent="0.3">
      <c r="A308">
        <v>6775888955</v>
      </c>
      <c r="B308" s="1">
        <v>42474</v>
      </c>
      <c r="C308">
        <v>5162</v>
      </c>
      <c r="D308">
        <v>3.7000000476837198</v>
      </c>
      <c r="E308">
        <v>14</v>
      </c>
      <c r="F308">
        <v>24</v>
      </c>
      <c r="G308">
        <v>105</v>
      </c>
      <c r="H308">
        <v>863</v>
      </c>
      <c r="I308">
        <v>2507</v>
      </c>
      <c r="J308" t="s">
        <v>154</v>
      </c>
      <c r="K308" t="s">
        <v>141</v>
      </c>
      <c r="L308">
        <v>143</v>
      </c>
      <c r="M308">
        <v>1006</v>
      </c>
      <c r="N308">
        <v>14.38</v>
      </c>
      <c r="O308" t="s">
        <v>144</v>
      </c>
      <c r="P308" t="s">
        <v>143</v>
      </c>
      <c r="Q308">
        <v>1</v>
      </c>
      <c r="R308">
        <v>423</v>
      </c>
      <c r="S308">
        <v>441</v>
      </c>
      <c r="T308">
        <v>7.05</v>
      </c>
      <c r="U308">
        <v>7.35</v>
      </c>
      <c r="V308">
        <v>18</v>
      </c>
      <c r="W308">
        <v>95.92</v>
      </c>
      <c r="X308" t="s">
        <v>175</v>
      </c>
    </row>
    <row r="309" spans="1:24" x14ac:dyDescent="0.3">
      <c r="A309">
        <v>6775888955</v>
      </c>
      <c r="B309" s="1">
        <v>42475</v>
      </c>
      <c r="C309">
        <v>1282</v>
      </c>
      <c r="D309">
        <v>0.92000001668930098</v>
      </c>
      <c r="E309">
        <v>0</v>
      </c>
      <c r="F309">
        <v>0</v>
      </c>
      <c r="G309">
        <v>58</v>
      </c>
      <c r="H309">
        <v>976</v>
      </c>
      <c r="I309">
        <v>2127</v>
      </c>
      <c r="J309" t="s">
        <v>149</v>
      </c>
      <c r="K309" t="s">
        <v>141</v>
      </c>
      <c r="L309">
        <v>58</v>
      </c>
      <c r="M309">
        <v>1034</v>
      </c>
      <c r="N309">
        <v>16.27</v>
      </c>
      <c r="O309" t="s">
        <v>142</v>
      </c>
      <c r="P309" t="s">
        <v>142</v>
      </c>
      <c r="Q309">
        <v>1</v>
      </c>
      <c r="R309">
        <v>391</v>
      </c>
      <c r="S309">
        <v>406</v>
      </c>
      <c r="T309">
        <v>6.52</v>
      </c>
      <c r="U309">
        <v>6.77</v>
      </c>
      <c r="V309">
        <v>15</v>
      </c>
      <c r="W309">
        <v>96.31</v>
      </c>
      <c r="X309" t="s">
        <v>176</v>
      </c>
    </row>
    <row r="310" spans="1:24" x14ac:dyDescent="0.3">
      <c r="A310">
        <v>6962181067</v>
      </c>
      <c r="B310" s="1">
        <v>42473</v>
      </c>
      <c r="C310">
        <v>5652</v>
      </c>
      <c r="D310">
        <v>3.7400000095367401</v>
      </c>
      <c r="E310">
        <v>8</v>
      </c>
      <c r="F310">
        <v>24</v>
      </c>
      <c r="G310">
        <v>142</v>
      </c>
      <c r="H310">
        <v>548</v>
      </c>
      <c r="I310">
        <v>1718</v>
      </c>
      <c r="J310" t="s">
        <v>146</v>
      </c>
      <c r="K310" t="s">
        <v>141</v>
      </c>
      <c r="L310">
        <v>174</v>
      </c>
      <c r="M310">
        <v>722</v>
      </c>
      <c r="N310">
        <v>9.1300000000000008</v>
      </c>
      <c r="O310" t="s">
        <v>144</v>
      </c>
      <c r="P310" t="s">
        <v>143</v>
      </c>
      <c r="Q310">
        <v>3</v>
      </c>
      <c r="R310">
        <v>630</v>
      </c>
      <c r="S310">
        <v>679</v>
      </c>
      <c r="T310">
        <v>10.5</v>
      </c>
      <c r="U310">
        <v>11.32</v>
      </c>
      <c r="V310">
        <v>49</v>
      </c>
      <c r="W310">
        <v>92.78</v>
      </c>
      <c r="X310" t="s">
        <v>174</v>
      </c>
    </row>
    <row r="311" spans="1:24" x14ac:dyDescent="0.3">
      <c r="A311">
        <v>6962181067</v>
      </c>
      <c r="B311" s="1">
        <v>42474</v>
      </c>
      <c r="C311">
        <v>1551</v>
      </c>
      <c r="D311">
        <v>1.0299999713897701</v>
      </c>
      <c r="E311">
        <v>0</v>
      </c>
      <c r="F311">
        <v>0</v>
      </c>
      <c r="G311">
        <v>86</v>
      </c>
      <c r="H311">
        <v>862</v>
      </c>
      <c r="I311">
        <v>1466</v>
      </c>
      <c r="J311" t="s">
        <v>154</v>
      </c>
      <c r="K311" t="s">
        <v>141</v>
      </c>
      <c r="L311">
        <v>86</v>
      </c>
      <c r="M311">
        <v>948</v>
      </c>
      <c r="N311">
        <v>14.37</v>
      </c>
      <c r="O311" t="s">
        <v>142</v>
      </c>
      <c r="P311" t="s">
        <v>142</v>
      </c>
      <c r="Q311">
        <v>2</v>
      </c>
      <c r="R311">
        <v>508</v>
      </c>
      <c r="S311">
        <v>535</v>
      </c>
      <c r="T311">
        <v>8.4700000000000006</v>
      </c>
      <c r="U311">
        <v>8.92</v>
      </c>
      <c r="V311">
        <v>27</v>
      </c>
      <c r="W311">
        <v>94.95</v>
      </c>
      <c r="X311" t="s">
        <v>175</v>
      </c>
    </row>
    <row r="312" spans="1:24" x14ac:dyDescent="0.3">
      <c r="A312">
        <v>6962181067</v>
      </c>
      <c r="B312" s="1">
        <v>42475</v>
      </c>
      <c r="C312">
        <v>5563</v>
      </c>
      <c r="D312">
        <v>3.6800000667571999</v>
      </c>
      <c r="E312">
        <v>0</v>
      </c>
      <c r="F312">
        <v>0</v>
      </c>
      <c r="G312">
        <v>217</v>
      </c>
      <c r="H312">
        <v>837</v>
      </c>
      <c r="I312">
        <v>1756</v>
      </c>
      <c r="J312" t="s">
        <v>149</v>
      </c>
      <c r="K312" t="s">
        <v>141</v>
      </c>
      <c r="L312">
        <v>217</v>
      </c>
      <c r="M312">
        <v>1054</v>
      </c>
      <c r="N312">
        <v>13.95</v>
      </c>
      <c r="O312" t="s">
        <v>144</v>
      </c>
      <c r="P312" t="s">
        <v>142</v>
      </c>
      <c r="Q312">
        <v>1</v>
      </c>
      <c r="R312">
        <v>370</v>
      </c>
      <c r="S312">
        <v>386</v>
      </c>
      <c r="T312">
        <v>6.17</v>
      </c>
      <c r="U312">
        <v>6.43</v>
      </c>
      <c r="V312">
        <v>16</v>
      </c>
      <c r="W312">
        <v>95.85</v>
      </c>
      <c r="X312" t="s">
        <v>176</v>
      </c>
    </row>
    <row r="313" spans="1:24" x14ac:dyDescent="0.3">
      <c r="A313">
        <v>6962181067</v>
      </c>
      <c r="B313" s="1">
        <v>42476</v>
      </c>
      <c r="C313">
        <v>13217</v>
      </c>
      <c r="D313">
        <v>8.7399997711181605</v>
      </c>
      <c r="E313">
        <v>50</v>
      </c>
      <c r="F313">
        <v>3</v>
      </c>
      <c r="G313">
        <v>280</v>
      </c>
      <c r="H313">
        <v>741</v>
      </c>
      <c r="I313">
        <v>2173</v>
      </c>
      <c r="J313" t="s">
        <v>151</v>
      </c>
      <c r="K313" t="s">
        <v>141</v>
      </c>
      <c r="L313">
        <v>333</v>
      </c>
      <c r="M313">
        <v>1074</v>
      </c>
      <c r="N313">
        <v>12.35</v>
      </c>
      <c r="O313" t="s">
        <v>152</v>
      </c>
      <c r="P313" t="s">
        <v>145</v>
      </c>
      <c r="Q313">
        <v>1</v>
      </c>
      <c r="R313">
        <v>357</v>
      </c>
      <c r="S313">
        <v>366</v>
      </c>
      <c r="T313">
        <v>5.95</v>
      </c>
      <c r="U313">
        <v>6.1</v>
      </c>
      <c r="V313">
        <v>9</v>
      </c>
      <c r="W313">
        <v>97.54</v>
      </c>
      <c r="X313" t="s">
        <v>173</v>
      </c>
    </row>
    <row r="314" spans="1:24" x14ac:dyDescent="0.3">
      <c r="A314">
        <v>6962181067</v>
      </c>
      <c r="B314" s="1">
        <v>42477</v>
      </c>
      <c r="C314">
        <v>10145</v>
      </c>
      <c r="D314">
        <v>6.71000003814697</v>
      </c>
      <c r="E314">
        <v>5</v>
      </c>
      <c r="F314">
        <v>13</v>
      </c>
      <c r="G314">
        <v>295</v>
      </c>
      <c r="H314">
        <v>634</v>
      </c>
      <c r="I314">
        <v>2027</v>
      </c>
      <c r="J314" t="s">
        <v>153</v>
      </c>
      <c r="K314" t="s">
        <v>141</v>
      </c>
      <c r="L314">
        <v>313</v>
      </c>
      <c r="M314">
        <v>947</v>
      </c>
      <c r="N314">
        <v>10.57</v>
      </c>
      <c r="O314" t="s">
        <v>147</v>
      </c>
      <c r="P314" t="s">
        <v>143</v>
      </c>
      <c r="Q314">
        <v>1</v>
      </c>
      <c r="R314">
        <v>427</v>
      </c>
      <c r="S314">
        <v>446</v>
      </c>
      <c r="T314">
        <v>7.12</v>
      </c>
      <c r="U314">
        <v>7.43</v>
      </c>
      <c r="V314">
        <v>19</v>
      </c>
      <c r="W314">
        <v>95.74</v>
      </c>
      <c r="X314" t="s">
        <v>175</v>
      </c>
    </row>
    <row r="315" spans="1:24" x14ac:dyDescent="0.3">
      <c r="A315">
        <v>6962181067</v>
      </c>
      <c r="B315" s="1">
        <v>42478</v>
      </c>
      <c r="C315">
        <v>11404</v>
      </c>
      <c r="D315">
        <v>7.53999996185303</v>
      </c>
      <c r="E315">
        <v>13</v>
      </c>
      <c r="F315">
        <v>42</v>
      </c>
      <c r="G315">
        <v>238</v>
      </c>
      <c r="H315">
        <v>689</v>
      </c>
      <c r="I315">
        <v>2039</v>
      </c>
      <c r="J315" t="s">
        <v>155</v>
      </c>
      <c r="K315" t="s">
        <v>141</v>
      </c>
      <c r="L315">
        <v>293</v>
      </c>
      <c r="M315">
        <v>982</v>
      </c>
      <c r="N315">
        <v>11.48</v>
      </c>
      <c r="O315" t="s">
        <v>147</v>
      </c>
      <c r="P315" t="s">
        <v>143</v>
      </c>
      <c r="Q315">
        <v>1</v>
      </c>
      <c r="R315">
        <v>442</v>
      </c>
      <c r="S315">
        <v>458</v>
      </c>
      <c r="T315">
        <v>7.37</v>
      </c>
      <c r="U315">
        <v>7.63</v>
      </c>
      <c r="V315">
        <v>16</v>
      </c>
      <c r="W315">
        <v>96.51</v>
      </c>
      <c r="X315" t="s">
        <v>175</v>
      </c>
    </row>
    <row r="316" spans="1:24" x14ac:dyDescent="0.3">
      <c r="A316">
        <v>6962181067</v>
      </c>
      <c r="B316" s="1">
        <v>42479</v>
      </c>
      <c r="C316">
        <v>10742</v>
      </c>
      <c r="D316">
        <v>7.0999999046325701</v>
      </c>
      <c r="E316">
        <v>35</v>
      </c>
      <c r="F316">
        <v>41</v>
      </c>
      <c r="G316">
        <v>195</v>
      </c>
      <c r="H316">
        <v>659</v>
      </c>
      <c r="I316">
        <v>2046</v>
      </c>
      <c r="J316" t="s">
        <v>140</v>
      </c>
      <c r="K316" t="s">
        <v>141</v>
      </c>
      <c r="L316">
        <v>271</v>
      </c>
      <c r="M316">
        <v>930</v>
      </c>
      <c r="N316">
        <v>10.98</v>
      </c>
      <c r="O316" t="s">
        <v>147</v>
      </c>
      <c r="P316" t="s">
        <v>145</v>
      </c>
      <c r="Q316">
        <v>1</v>
      </c>
      <c r="R316">
        <v>476</v>
      </c>
      <c r="S316">
        <v>535</v>
      </c>
      <c r="T316">
        <v>7.93</v>
      </c>
      <c r="U316">
        <v>8.92</v>
      </c>
      <c r="V316">
        <v>59</v>
      </c>
      <c r="W316">
        <v>88.97</v>
      </c>
      <c r="X316" t="s">
        <v>175</v>
      </c>
    </row>
    <row r="317" spans="1:24" x14ac:dyDescent="0.3">
      <c r="A317">
        <v>6962181067</v>
      </c>
      <c r="B317" s="1">
        <v>42480</v>
      </c>
      <c r="C317">
        <v>13928</v>
      </c>
      <c r="D317">
        <v>9.5500001907348597</v>
      </c>
      <c r="E317">
        <v>48</v>
      </c>
      <c r="F317">
        <v>4</v>
      </c>
      <c r="G317">
        <v>297</v>
      </c>
      <c r="H317">
        <v>639</v>
      </c>
      <c r="I317">
        <v>2174</v>
      </c>
      <c r="J317" t="s">
        <v>146</v>
      </c>
      <c r="K317" t="s">
        <v>141</v>
      </c>
      <c r="L317">
        <v>349</v>
      </c>
      <c r="M317">
        <v>988</v>
      </c>
      <c r="N317">
        <v>10.65</v>
      </c>
      <c r="O317" t="s">
        <v>152</v>
      </c>
      <c r="P317" t="s">
        <v>145</v>
      </c>
      <c r="Q317">
        <v>1</v>
      </c>
      <c r="R317">
        <v>418</v>
      </c>
      <c r="S317">
        <v>424</v>
      </c>
      <c r="T317">
        <v>6.97</v>
      </c>
      <c r="U317">
        <v>7.07</v>
      </c>
      <c r="V317">
        <v>6</v>
      </c>
      <c r="W317">
        <v>98.58</v>
      </c>
      <c r="X317" t="s">
        <v>176</v>
      </c>
    </row>
    <row r="318" spans="1:24" x14ac:dyDescent="0.3">
      <c r="A318">
        <v>6962181067</v>
      </c>
      <c r="B318" s="1">
        <v>42481</v>
      </c>
      <c r="C318">
        <v>11835</v>
      </c>
      <c r="D318">
        <v>9.7100000381469709</v>
      </c>
      <c r="E318">
        <v>53</v>
      </c>
      <c r="F318">
        <v>27</v>
      </c>
      <c r="G318">
        <v>214</v>
      </c>
      <c r="H318">
        <v>708</v>
      </c>
      <c r="I318">
        <v>2179</v>
      </c>
      <c r="J318" t="s">
        <v>154</v>
      </c>
      <c r="K318" t="s">
        <v>141</v>
      </c>
      <c r="L318">
        <v>294</v>
      </c>
      <c r="M318">
        <v>1002</v>
      </c>
      <c r="N318">
        <v>11.8</v>
      </c>
      <c r="O318" t="s">
        <v>147</v>
      </c>
      <c r="P318" t="s">
        <v>145</v>
      </c>
      <c r="Q318">
        <v>1</v>
      </c>
      <c r="R318">
        <v>451</v>
      </c>
      <c r="S318">
        <v>457</v>
      </c>
      <c r="T318">
        <v>7.52</v>
      </c>
      <c r="U318">
        <v>7.62</v>
      </c>
      <c r="V318">
        <v>6</v>
      </c>
      <c r="W318">
        <v>98.69</v>
      </c>
      <c r="X318" t="s">
        <v>175</v>
      </c>
    </row>
    <row r="319" spans="1:24" x14ac:dyDescent="0.3">
      <c r="A319">
        <v>6962181067</v>
      </c>
      <c r="B319" s="1">
        <v>42482</v>
      </c>
      <c r="C319">
        <v>10725</v>
      </c>
      <c r="D319">
        <v>7.0900001525878897</v>
      </c>
      <c r="E319">
        <v>30</v>
      </c>
      <c r="F319">
        <v>33</v>
      </c>
      <c r="G319">
        <v>240</v>
      </c>
      <c r="H319">
        <v>659</v>
      </c>
      <c r="I319">
        <v>2086</v>
      </c>
      <c r="J319" t="s">
        <v>149</v>
      </c>
      <c r="K319" t="s">
        <v>141</v>
      </c>
      <c r="L319">
        <v>303</v>
      </c>
      <c r="M319">
        <v>962</v>
      </c>
      <c r="N319">
        <v>10.98</v>
      </c>
      <c r="O319" t="s">
        <v>147</v>
      </c>
      <c r="P319" t="s">
        <v>145</v>
      </c>
      <c r="Q319">
        <v>1</v>
      </c>
      <c r="R319">
        <v>425</v>
      </c>
      <c r="S319">
        <v>435</v>
      </c>
      <c r="T319">
        <v>7.08</v>
      </c>
      <c r="U319">
        <v>7.25</v>
      </c>
      <c r="V319">
        <v>10</v>
      </c>
      <c r="W319">
        <v>97.7</v>
      </c>
      <c r="X319" t="s">
        <v>175</v>
      </c>
    </row>
    <row r="320" spans="1:24" x14ac:dyDescent="0.3">
      <c r="A320">
        <v>6962181067</v>
      </c>
      <c r="B320" s="1">
        <v>42483</v>
      </c>
      <c r="C320">
        <v>20031</v>
      </c>
      <c r="D320">
        <v>13.2399997711182</v>
      </c>
      <c r="E320">
        <v>58</v>
      </c>
      <c r="F320">
        <v>41</v>
      </c>
      <c r="G320">
        <v>347</v>
      </c>
      <c r="H320">
        <v>484</v>
      </c>
      <c r="I320">
        <v>2571</v>
      </c>
      <c r="J320" t="s">
        <v>151</v>
      </c>
      <c r="K320" t="s">
        <v>141</v>
      </c>
      <c r="L320">
        <v>446</v>
      </c>
      <c r="M320">
        <v>930</v>
      </c>
      <c r="N320">
        <v>8.07</v>
      </c>
      <c r="O320" t="s">
        <v>152</v>
      </c>
      <c r="P320" t="s">
        <v>145</v>
      </c>
      <c r="Q320">
        <v>1</v>
      </c>
      <c r="R320">
        <v>528</v>
      </c>
      <c r="S320">
        <v>546</v>
      </c>
      <c r="T320">
        <v>8.8000000000000007</v>
      </c>
      <c r="U320">
        <v>9.1</v>
      </c>
      <c r="V320">
        <v>18</v>
      </c>
      <c r="W320">
        <v>96.7</v>
      </c>
      <c r="X320" t="s">
        <v>175</v>
      </c>
    </row>
    <row r="321" spans="1:24" x14ac:dyDescent="0.3">
      <c r="A321">
        <v>6962181067</v>
      </c>
      <c r="B321" s="1">
        <v>42484</v>
      </c>
      <c r="C321">
        <v>5029</v>
      </c>
      <c r="D321">
        <v>3.3199999332428001</v>
      </c>
      <c r="E321">
        <v>0</v>
      </c>
      <c r="F321">
        <v>0</v>
      </c>
      <c r="G321">
        <v>199</v>
      </c>
      <c r="H321">
        <v>720</v>
      </c>
      <c r="I321">
        <v>1705</v>
      </c>
      <c r="J321" t="s">
        <v>153</v>
      </c>
      <c r="K321" t="s">
        <v>141</v>
      </c>
      <c r="L321">
        <v>199</v>
      </c>
      <c r="M321">
        <v>919</v>
      </c>
      <c r="N321">
        <v>12</v>
      </c>
      <c r="O321" t="s">
        <v>144</v>
      </c>
      <c r="P321" t="s">
        <v>142</v>
      </c>
      <c r="Q321">
        <v>1</v>
      </c>
      <c r="R321">
        <v>511</v>
      </c>
      <c r="S321">
        <v>514</v>
      </c>
      <c r="T321">
        <v>8.52</v>
      </c>
      <c r="U321">
        <v>8.57</v>
      </c>
      <c r="V321">
        <v>3</v>
      </c>
      <c r="W321">
        <v>99.42</v>
      </c>
      <c r="X321" t="s">
        <v>175</v>
      </c>
    </row>
    <row r="322" spans="1:24" x14ac:dyDescent="0.3">
      <c r="A322">
        <v>6962181067</v>
      </c>
      <c r="B322" s="1">
        <v>42485</v>
      </c>
      <c r="C322">
        <v>13239</v>
      </c>
      <c r="D322">
        <v>9.2700004577636701</v>
      </c>
      <c r="E322">
        <v>35</v>
      </c>
      <c r="F322">
        <v>31</v>
      </c>
      <c r="G322">
        <v>282</v>
      </c>
      <c r="H322">
        <v>637</v>
      </c>
      <c r="I322">
        <v>2194</v>
      </c>
      <c r="J322" t="s">
        <v>155</v>
      </c>
      <c r="K322" t="s">
        <v>141</v>
      </c>
      <c r="L322">
        <v>348</v>
      </c>
      <c r="M322">
        <v>985</v>
      </c>
      <c r="N322">
        <v>10.62</v>
      </c>
      <c r="O322" t="s">
        <v>152</v>
      </c>
      <c r="P322" t="s">
        <v>145</v>
      </c>
      <c r="Q322">
        <v>1</v>
      </c>
      <c r="R322">
        <v>400</v>
      </c>
      <c r="S322">
        <v>415</v>
      </c>
      <c r="T322">
        <v>6.67</v>
      </c>
      <c r="U322">
        <v>6.92</v>
      </c>
      <c r="V322">
        <v>15</v>
      </c>
      <c r="W322">
        <v>96.39</v>
      </c>
      <c r="X322" t="s">
        <v>176</v>
      </c>
    </row>
    <row r="323" spans="1:24" x14ac:dyDescent="0.3">
      <c r="A323">
        <v>6962181067</v>
      </c>
      <c r="B323" s="1">
        <v>42486</v>
      </c>
      <c r="C323">
        <v>10433</v>
      </c>
      <c r="D323">
        <v>6.9000000953674299</v>
      </c>
      <c r="E323">
        <v>36</v>
      </c>
      <c r="F323">
        <v>7</v>
      </c>
      <c r="G323">
        <v>254</v>
      </c>
      <c r="H323">
        <v>680</v>
      </c>
      <c r="I323">
        <v>2012</v>
      </c>
      <c r="J323" t="s">
        <v>140</v>
      </c>
      <c r="K323" t="s">
        <v>141</v>
      </c>
      <c r="L323">
        <v>297</v>
      </c>
      <c r="M323">
        <v>977</v>
      </c>
      <c r="N323">
        <v>11.33</v>
      </c>
      <c r="O323" t="s">
        <v>147</v>
      </c>
      <c r="P323" t="s">
        <v>145</v>
      </c>
      <c r="Q323">
        <v>1</v>
      </c>
      <c r="R323">
        <v>441</v>
      </c>
      <c r="S323">
        <v>446</v>
      </c>
      <c r="T323">
        <v>7.35</v>
      </c>
      <c r="U323">
        <v>7.43</v>
      </c>
      <c r="V323">
        <v>5</v>
      </c>
      <c r="W323">
        <v>98.88</v>
      </c>
      <c r="X323" t="s">
        <v>175</v>
      </c>
    </row>
    <row r="324" spans="1:24" x14ac:dyDescent="0.3">
      <c r="A324">
        <v>6962181067</v>
      </c>
      <c r="B324" s="1">
        <v>42487</v>
      </c>
      <c r="C324">
        <v>10320</v>
      </c>
      <c r="D324">
        <v>6.8200001716613796</v>
      </c>
      <c r="E324">
        <v>7</v>
      </c>
      <c r="F324">
        <v>38</v>
      </c>
      <c r="G324">
        <v>279</v>
      </c>
      <c r="H324">
        <v>697</v>
      </c>
      <c r="I324">
        <v>2034</v>
      </c>
      <c r="J324" t="s">
        <v>146</v>
      </c>
      <c r="K324" t="s">
        <v>141</v>
      </c>
      <c r="L324">
        <v>324</v>
      </c>
      <c r="M324">
        <v>1021</v>
      </c>
      <c r="N324">
        <v>11.62</v>
      </c>
      <c r="O324" t="s">
        <v>147</v>
      </c>
      <c r="P324" t="s">
        <v>143</v>
      </c>
      <c r="Q324">
        <v>1</v>
      </c>
      <c r="R324">
        <v>455</v>
      </c>
      <c r="S324">
        <v>467</v>
      </c>
      <c r="T324">
        <v>7.58</v>
      </c>
      <c r="U324">
        <v>7.78</v>
      </c>
      <c r="V324">
        <v>12</v>
      </c>
      <c r="W324">
        <v>97.43</v>
      </c>
      <c r="X324" t="s">
        <v>175</v>
      </c>
    </row>
    <row r="325" spans="1:24" x14ac:dyDescent="0.3">
      <c r="A325">
        <v>6962181067</v>
      </c>
      <c r="B325" s="1">
        <v>42488</v>
      </c>
      <c r="C325">
        <v>12627</v>
      </c>
      <c r="D325">
        <v>8.3500003814697301</v>
      </c>
      <c r="E325">
        <v>38</v>
      </c>
      <c r="F325">
        <v>8</v>
      </c>
      <c r="G325">
        <v>288</v>
      </c>
      <c r="H325">
        <v>621</v>
      </c>
      <c r="I325">
        <v>2182</v>
      </c>
      <c r="J325" t="s">
        <v>154</v>
      </c>
      <c r="K325" t="s">
        <v>141</v>
      </c>
      <c r="L325">
        <v>334</v>
      </c>
      <c r="M325">
        <v>955</v>
      </c>
      <c r="N325">
        <v>10.35</v>
      </c>
      <c r="O325" t="s">
        <v>152</v>
      </c>
      <c r="P325" t="s">
        <v>145</v>
      </c>
      <c r="Q325">
        <v>1</v>
      </c>
      <c r="R325">
        <v>440</v>
      </c>
      <c r="S325">
        <v>453</v>
      </c>
      <c r="T325">
        <v>7.33</v>
      </c>
      <c r="U325">
        <v>7.55</v>
      </c>
      <c r="V325">
        <v>13</v>
      </c>
      <c r="W325">
        <v>97.13</v>
      </c>
      <c r="X325" t="s">
        <v>175</v>
      </c>
    </row>
    <row r="326" spans="1:24" x14ac:dyDescent="0.3">
      <c r="A326">
        <v>6962181067</v>
      </c>
      <c r="B326" s="1">
        <v>42489</v>
      </c>
      <c r="C326">
        <v>10762</v>
      </c>
      <c r="D326">
        <v>7.1100001335143999</v>
      </c>
      <c r="E326">
        <v>12</v>
      </c>
      <c r="F326">
        <v>15</v>
      </c>
      <c r="G326">
        <v>369</v>
      </c>
      <c r="H326">
        <v>645</v>
      </c>
      <c r="I326">
        <v>2254</v>
      </c>
      <c r="J326" t="s">
        <v>149</v>
      </c>
      <c r="K326" t="s">
        <v>141</v>
      </c>
      <c r="L326">
        <v>396</v>
      </c>
      <c r="M326">
        <v>1041</v>
      </c>
      <c r="N326">
        <v>10.75</v>
      </c>
      <c r="O326" t="s">
        <v>147</v>
      </c>
      <c r="P326" t="s">
        <v>143</v>
      </c>
      <c r="Q326">
        <v>1</v>
      </c>
      <c r="R326">
        <v>433</v>
      </c>
      <c r="S326">
        <v>447</v>
      </c>
      <c r="T326">
        <v>7.22</v>
      </c>
      <c r="U326">
        <v>7.45</v>
      </c>
      <c r="V326">
        <v>14</v>
      </c>
      <c r="W326">
        <v>96.87</v>
      </c>
      <c r="X326" t="s">
        <v>175</v>
      </c>
    </row>
    <row r="327" spans="1:24" x14ac:dyDescent="0.3">
      <c r="A327">
        <v>6962181067</v>
      </c>
      <c r="B327" s="1">
        <v>42490</v>
      </c>
      <c r="C327">
        <v>10081</v>
      </c>
      <c r="D327">
        <v>6.6599998474121103</v>
      </c>
      <c r="E327">
        <v>32</v>
      </c>
      <c r="F327">
        <v>16</v>
      </c>
      <c r="G327">
        <v>237</v>
      </c>
      <c r="H327">
        <v>731</v>
      </c>
      <c r="I327">
        <v>2002</v>
      </c>
      <c r="J327" t="s">
        <v>151</v>
      </c>
      <c r="K327" t="s">
        <v>141</v>
      </c>
      <c r="L327">
        <v>285</v>
      </c>
      <c r="M327">
        <v>1016</v>
      </c>
      <c r="N327">
        <v>12.18</v>
      </c>
      <c r="O327" t="s">
        <v>147</v>
      </c>
      <c r="P327" t="s">
        <v>145</v>
      </c>
      <c r="Q327">
        <v>1</v>
      </c>
      <c r="R327">
        <v>422</v>
      </c>
      <c r="S327">
        <v>424</v>
      </c>
      <c r="T327">
        <v>7.03</v>
      </c>
      <c r="U327">
        <v>7.07</v>
      </c>
      <c r="V327">
        <v>2</v>
      </c>
      <c r="W327">
        <v>99.53</v>
      </c>
      <c r="X327" t="s">
        <v>175</v>
      </c>
    </row>
    <row r="328" spans="1:24" x14ac:dyDescent="0.3">
      <c r="A328">
        <v>6962181067</v>
      </c>
      <c r="B328" s="1">
        <v>42491</v>
      </c>
      <c r="C328">
        <v>5454</v>
      </c>
      <c r="D328">
        <v>3.6099998950958301</v>
      </c>
      <c r="E328">
        <v>0</v>
      </c>
      <c r="F328">
        <v>0</v>
      </c>
      <c r="G328">
        <v>215</v>
      </c>
      <c r="H328">
        <v>722</v>
      </c>
      <c r="I328">
        <v>1740</v>
      </c>
      <c r="J328" t="s">
        <v>153</v>
      </c>
      <c r="K328" t="s">
        <v>156</v>
      </c>
      <c r="L328">
        <v>215</v>
      </c>
      <c r="M328">
        <v>937</v>
      </c>
      <c r="N328">
        <v>12.03</v>
      </c>
      <c r="O328" t="s">
        <v>144</v>
      </c>
      <c r="P328" t="s">
        <v>142</v>
      </c>
      <c r="Q328">
        <v>1</v>
      </c>
      <c r="R328">
        <v>411</v>
      </c>
      <c r="S328">
        <v>426</v>
      </c>
      <c r="T328">
        <v>6.85</v>
      </c>
      <c r="U328">
        <v>7.1</v>
      </c>
      <c r="V328">
        <v>15</v>
      </c>
      <c r="W328">
        <v>96.48</v>
      </c>
      <c r="X328" t="s">
        <v>176</v>
      </c>
    </row>
    <row r="329" spans="1:24" x14ac:dyDescent="0.3">
      <c r="A329">
        <v>6962181067</v>
      </c>
      <c r="B329" s="1">
        <v>42492</v>
      </c>
      <c r="C329">
        <v>12912</v>
      </c>
      <c r="D329">
        <v>8.5399999618530291</v>
      </c>
      <c r="E329">
        <v>18</v>
      </c>
      <c r="F329">
        <v>39</v>
      </c>
      <c r="G329">
        <v>313</v>
      </c>
      <c r="H329">
        <v>655</v>
      </c>
      <c r="I329">
        <v>2162</v>
      </c>
      <c r="J329" t="s">
        <v>155</v>
      </c>
      <c r="K329" t="s">
        <v>156</v>
      </c>
      <c r="L329">
        <v>370</v>
      </c>
      <c r="M329">
        <v>1025</v>
      </c>
      <c r="N329">
        <v>10.92</v>
      </c>
      <c r="O329" t="s">
        <v>152</v>
      </c>
      <c r="P329" t="s">
        <v>148</v>
      </c>
      <c r="Q329">
        <v>1</v>
      </c>
      <c r="R329">
        <v>466</v>
      </c>
      <c r="S329">
        <v>482</v>
      </c>
      <c r="T329">
        <v>7.77</v>
      </c>
      <c r="U329">
        <v>8.0299999999999994</v>
      </c>
      <c r="V329">
        <v>16</v>
      </c>
      <c r="W329">
        <v>96.68</v>
      </c>
      <c r="X329" t="s">
        <v>175</v>
      </c>
    </row>
    <row r="330" spans="1:24" x14ac:dyDescent="0.3">
      <c r="A330">
        <v>6962181067</v>
      </c>
      <c r="B330" s="1">
        <v>42493</v>
      </c>
      <c r="C330">
        <v>12109</v>
      </c>
      <c r="D330">
        <v>8.1199998855590803</v>
      </c>
      <c r="E330">
        <v>21</v>
      </c>
      <c r="F330">
        <v>36</v>
      </c>
      <c r="G330">
        <v>267</v>
      </c>
      <c r="H330">
        <v>654</v>
      </c>
      <c r="I330">
        <v>2072</v>
      </c>
      <c r="J330" t="s">
        <v>140</v>
      </c>
      <c r="K330" t="s">
        <v>156</v>
      </c>
      <c r="L330">
        <v>324</v>
      </c>
      <c r="M330">
        <v>978</v>
      </c>
      <c r="N330">
        <v>10.9</v>
      </c>
      <c r="O330" t="s">
        <v>147</v>
      </c>
      <c r="P330" t="s">
        <v>148</v>
      </c>
      <c r="Q330">
        <v>1</v>
      </c>
      <c r="R330">
        <v>394</v>
      </c>
      <c r="S330">
        <v>418</v>
      </c>
      <c r="T330">
        <v>6.57</v>
      </c>
      <c r="U330">
        <v>6.97</v>
      </c>
      <c r="V330">
        <v>24</v>
      </c>
      <c r="W330">
        <v>94.26</v>
      </c>
      <c r="X330" t="s">
        <v>176</v>
      </c>
    </row>
    <row r="331" spans="1:24" x14ac:dyDescent="0.3">
      <c r="A331">
        <v>6962181067</v>
      </c>
      <c r="B331" s="1">
        <v>42494</v>
      </c>
      <c r="C331">
        <v>10147</v>
      </c>
      <c r="D331">
        <v>6.71000003814697</v>
      </c>
      <c r="E331">
        <v>15</v>
      </c>
      <c r="F331">
        <v>36</v>
      </c>
      <c r="G331">
        <v>284</v>
      </c>
      <c r="H331">
        <v>683</v>
      </c>
      <c r="I331">
        <v>2086</v>
      </c>
      <c r="J331" t="s">
        <v>146</v>
      </c>
      <c r="K331" t="s">
        <v>156</v>
      </c>
      <c r="L331">
        <v>335</v>
      </c>
      <c r="M331">
        <v>1018</v>
      </c>
      <c r="N331">
        <v>11.38</v>
      </c>
      <c r="O331" t="s">
        <v>147</v>
      </c>
      <c r="P331" t="s">
        <v>148</v>
      </c>
      <c r="Q331">
        <v>1</v>
      </c>
      <c r="R331">
        <v>442</v>
      </c>
      <c r="S331">
        <v>455</v>
      </c>
      <c r="T331">
        <v>7.37</v>
      </c>
      <c r="U331">
        <v>7.58</v>
      </c>
      <c r="V331">
        <v>13</v>
      </c>
      <c r="W331">
        <v>97.14</v>
      </c>
      <c r="X331" t="s">
        <v>175</v>
      </c>
    </row>
    <row r="332" spans="1:24" x14ac:dyDescent="0.3">
      <c r="A332">
        <v>6962181067</v>
      </c>
      <c r="B332" s="1">
        <v>42495</v>
      </c>
      <c r="C332">
        <v>10524</v>
      </c>
      <c r="D332">
        <v>6.96000003814697</v>
      </c>
      <c r="E332">
        <v>14</v>
      </c>
      <c r="F332">
        <v>22</v>
      </c>
      <c r="G332">
        <v>305</v>
      </c>
      <c r="H332">
        <v>591</v>
      </c>
      <c r="I332">
        <v>2066</v>
      </c>
      <c r="J332" t="s">
        <v>154</v>
      </c>
      <c r="K332" t="s">
        <v>156</v>
      </c>
      <c r="L332">
        <v>341</v>
      </c>
      <c r="M332">
        <v>932</v>
      </c>
      <c r="N332">
        <v>9.85</v>
      </c>
      <c r="O332" t="s">
        <v>147</v>
      </c>
      <c r="P332" t="s">
        <v>143</v>
      </c>
      <c r="Q332">
        <v>1</v>
      </c>
      <c r="R332">
        <v>467</v>
      </c>
      <c r="S332">
        <v>491</v>
      </c>
      <c r="T332">
        <v>7.78</v>
      </c>
      <c r="U332">
        <v>8.18</v>
      </c>
      <c r="V332">
        <v>24</v>
      </c>
      <c r="W332">
        <v>95.11</v>
      </c>
      <c r="X332" t="s">
        <v>175</v>
      </c>
    </row>
    <row r="333" spans="1:24" x14ac:dyDescent="0.3">
      <c r="A333">
        <v>6962181067</v>
      </c>
      <c r="B333" s="1">
        <v>42496</v>
      </c>
      <c r="C333">
        <v>5908</v>
      </c>
      <c r="D333">
        <v>3.9100000858306898</v>
      </c>
      <c r="E333">
        <v>0</v>
      </c>
      <c r="F333">
        <v>0</v>
      </c>
      <c r="G333">
        <v>299</v>
      </c>
      <c r="H333">
        <v>717</v>
      </c>
      <c r="I333">
        <v>1850</v>
      </c>
      <c r="J333" t="s">
        <v>149</v>
      </c>
      <c r="K333" t="s">
        <v>156</v>
      </c>
      <c r="L333">
        <v>299</v>
      </c>
      <c r="M333">
        <v>1016</v>
      </c>
      <c r="N333">
        <v>11.95</v>
      </c>
      <c r="O333" t="s">
        <v>144</v>
      </c>
      <c r="P333" t="s">
        <v>142</v>
      </c>
      <c r="Q333">
        <v>1</v>
      </c>
      <c r="R333">
        <v>443</v>
      </c>
      <c r="S333">
        <v>462</v>
      </c>
      <c r="T333">
        <v>7.38</v>
      </c>
      <c r="U333">
        <v>7.7</v>
      </c>
      <c r="V333">
        <v>19</v>
      </c>
      <c r="W333">
        <v>95.89</v>
      </c>
      <c r="X333" t="s">
        <v>175</v>
      </c>
    </row>
    <row r="334" spans="1:24" x14ac:dyDescent="0.3">
      <c r="A334">
        <v>6962181067</v>
      </c>
      <c r="B334" s="1">
        <v>42497</v>
      </c>
      <c r="C334">
        <v>6815</v>
      </c>
      <c r="D334">
        <v>4.5</v>
      </c>
      <c r="E334">
        <v>0</v>
      </c>
      <c r="F334">
        <v>0</v>
      </c>
      <c r="G334">
        <v>328</v>
      </c>
      <c r="H334">
        <v>745</v>
      </c>
      <c r="I334">
        <v>1947</v>
      </c>
      <c r="J334" t="s">
        <v>151</v>
      </c>
      <c r="K334" t="s">
        <v>156</v>
      </c>
      <c r="L334">
        <v>328</v>
      </c>
      <c r="M334">
        <v>1073</v>
      </c>
      <c r="N334">
        <v>12.42</v>
      </c>
      <c r="O334" t="s">
        <v>144</v>
      </c>
      <c r="P334" t="s">
        <v>142</v>
      </c>
      <c r="Q334">
        <v>1</v>
      </c>
      <c r="R334">
        <v>298</v>
      </c>
      <c r="S334">
        <v>334</v>
      </c>
      <c r="T334">
        <v>4.97</v>
      </c>
      <c r="U334">
        <v>5.57</v>
      </c>
      <c r="V334">
        <v>36</v>
      </c>
      <c r="W334">
        <v>89.22</v>
      </c>
      <c r="X334" t="s">
        <v>173</v>
      </c>
    </row>
    <row r="335" spans="1:24" x14ac:dyDescent="0.3">
      <c r="A335">
        <v>6962181067</v>
      </c>
      <c r="B335" s="1">
        <v>42498</v>
      </c>
      <c r="C335">
        <v>4188</v>
      </c>
      <c r="D335">
        <v>2.7699999809265101</v>
      </c>
      <c r="E335">
        <v>0</v>
      </c>
      <c r="F335">
        <v>14</v>
      </c>
      <c r="G335">
        <v>151</v>
      </c>
      <c r="H335">
        <v>709</v>
      </c>
      <c r="I335">
        <v>1659</v>
      </c>
      <c r="J335" t="s">
        <v>153</v>
      </c>
      <c r="K335" t="s">
        <v>156</v>
      </c>
      <c r="L335">
        <v>165</v>
      </c>
      <c r="M335">
        <v>874</v>
      </c>
      <c r="N335">
        <v>11.82</v>
      </c>
      <c r="O335" t="s">
        <v>142</v>
      </c>
      <c r="P335" t="s">
        <v>142</v>
      </c>
      <c r="Q335">
        <v>1</v>
      </c>
      <c r="R335">
        <v>541</v>
      </c>
      <c r="S335">
        <v>569</v>
      </c>
      <c r="T335">
        <v>9.02</v>
      </c>
      <c r="U335">
        <v>9.48</v>
      </c>
      <c r="V335">
        <v>28</v>
      </c>
      <c r="W335">
        <v>95.08</v>
      </c>
      <c r="X335" t="s">
        <v>174</v>
      </c>
    </row>
    <row r="336" spans="1:24" x14ac:dyDescent="0.3">
      <c r="A336">
        <v>6962181067</v>
      </c>
      <c r="B336" s="1">
        <v>42499</v>
      </c>
      <c r="C336">
        <v>12342</v>
      </c>
      <c r="D336">
        <v>8.7200002670288104</v>
      </c>
      <c r="E336">
        <v>43</v>
      </c>
      <c r="F336">
        <v>21</v>
      </c>
      <c r="G336">
        <v>231</v>
      </c>
      <c r="H336">
        <v>607</v>
      </c>
      <c r="I336">
        <v>2105</v>
      </c>
      <c r="J336" t="s">
        <v>155</v>
      </c>
      <c r="K336" t="s">
        <v>156</v>
      </c>
      <c r="L336">
        <v>295</v>
      </c>
      <c r="M336">
        <v>902</v>
      </c>
      <c r="N336">
        <v>10.119999999999999</v>
      </c>
      <c r="O336" t="s">
        <v>147</v>
      </c>
      <c r="P336" t="s">
        <v>145</v>
      </c>
      <c r="Q336">
        <v>1</v>
      </c>
      <c r="R336">
        <v>489</v>
      </c>
      <c r="S336">
        <v>497</v>
      </c>
      <c r="T336">
        <v>8.15</v>
      </c>
      <c r="U336">
        <v>8.2799999999999994</v>
      </c>
      <c r="V336">
        <v>8</v>
      </c>
      <c r="W336">
        <v>98.39</v>
      </c>
      <c r="X336" t="s">
        <v>175</v>
      </c>
    </row>
    <row r="337" spans="1:24" x14ac:dyDescent="0.3">
      <c r="A337">
        <v>6962181067</v>
      </c>
      <c r="B337" s="1">
        <v>42500</v>
      </c>
      <c r="C337">
        <v>15448</v>
      </c>
      <c r="D337">
        <v>10.210000038146999</v>
      </c>
      <c r="E337">
        <v>62</v>
      </c>
      <c r="F337">
        <v>34</v>
      </c>
      <c r="G337">
        <v>275</v>
      </c>
      <c r="H337">
        <v>626</v>
      </c>
      <c r="I337">
        <v>2361</v>
      </c>
      <c r="J337" t="s">
        <v>140</v>
      </c>
      <c r="K337" t="s">
        <v>156</v>
      </c>
      <c r="L337">
        <v>371</v>
      </c>
      <c r="M337">
        <v>997</v>
      </c>
      <c r="N337">
        <v>10.43</v>
      </c>
      <c r="O337" t="s">
        <v>152</v>
      </c>
      <c r="P337" t="s">
        <v>145</v>
      </c>
      <c r="Q337">
        <v>1</v>
      </c>
      <c r="R337">
        <v>469</v>
      </c>
      <c r="S337">
        <v>481</v>
      </c>
      <c r="T337">
        <v>7.82</v>
      </c>
      <c r="U337">
        <v>8.02</v>
      </c>
      <c r="V337">
        <v>12</v>
      </c>
      <c r="W337">
        <v>97.51</v>
      </c>
      <c r="X337" t="s">
        <v>175</v>
      </c>
    </row>
    <row r="338" spans="1:24" x14ac:dyDescent="0.3">
      <c r="A338">
        <v>6962181067</v>
      </c>
      <c r="B338" s="1">
        <v>42501</v>
      </c>
      <c r="C338">
        <v>6722</v>
      </c>
      <c r="D338">
        <v>4.4400000572204599</v>
      </c>
      <c r="E338">
        <v>24</v>
      </c>
      <c r="F338">
        <v>7</v>
      </c>
      <c r="G338">
        <v>199</v>
      </c>
      <c r="H338">
        <v>709</v>
      </c>
      <c r="I338">
        <v>1855</v>
      </c>
      <c r="J338" t="s">
        <v>146</v>
      </c>
      <c r="K338" t="s">
        <v>156</v>
      </c>
      <c r="L338">
        <v>230</v>
      </c>
      <c r="M338">
        <v>939</v>
      </c>
      <c r="N338">
        <v>11.82</v>
      </c>
      <c r="O338" t="s">
        <v>144</v>
      </c>
      <c r="P338" t="s">
        <v>148</v>
      </c>
      <c r="Q338">
        <v>1</v>
      </c>
      <c r="R338">
        <v>452</v>
      </c>
      <c r="S338">
        <v>480</v>
      </c>
      <c r="T338">
        <v>7.53</v>
      </c>
      <c r="U338">
        <v>8</v>
      </c>
      <c r="V338">
        <v>28</v>
      </c>
      <c r="W338">
        <v>94.17</v>
      </c>
      <c r="X338" t="s">
        <v>175</v>
      </c>
    </row>
    <row r="339" spans="1:24" x14ac:dyDescent="0.3">
      <c r="A339">
        <v>6962181067</v>
      </c>
      <c r="B339" s="1">
        <v>42502</v>
      </c>
      <c r="C339">
        <v>3587</v>
      </c>
      <c r="D339">
        <v>2.3699998855590798</v>
      </c>
      <c r="E339">
        <v>0</v>
      </c>
      <c r="F339">
        <v>8</v>
      </c>
      <c r="G339">
        <v>105</v>
      </c>
      <c r="H339">
        <v>127</v>
      </c>
      <c r="I339">
        <v>928</v>
      </c>
      <c r="J339" t="s">
        <v>154</v>
      </c>
      <c r="K339" t="s">
        <v>156</v>
      </c>
      <c r="L339">
        <v>113</v>
      </c>
      <c r="M339">
        <v>240</v>
      </c>
      <c r="N339">
        <v>2.12</v>
      </c>
      <c r="O339" t="s">
        <v>142</v>
      </c>
      <c r="P339" t="s">
        <v>142</v>
      </c>
      <c r="Q339">
        <v>1</v>
      </c>
      <c r="R339">
        <v>516</v>
      </c>
      <c r="S339">
        <v>535</v>
      </c>
      <c r="T339">
        <v>8.6</v>
      </c>
      <c r="U339">
        <v>8.92</v>
      </c>
      <c r="V339">
        <v>19</v>
      </c>
      <c r="W339">
        <v>96.45</v>
      </c>
      <c r="X339" t="s">
        <v>175</v>
      </c>
    </row>
    <row r="340" spans="1:24" x14ac:dyDescent="0.3">
      <c r="A340">
        <v>7007744171</v>
      </c>
      <c r="B340" s="1">
        <v>42476</v>
      </c>
      <c r="C340">
        <v>4631</v>
      </c>
      <c r="D340">
        <v>3.0999999046325701</v>
      </c>
      <c r="E340">
        <v>0</v>
      </c>
      <c r="F340">
        <v>0</v>
      </c>
      <c r="G340">
        <v>203</v>
      </c>
      <c r="H340">
        <v>1155</v>
      </c>
      <c r="I340">
        <v>2076</v>
      </c>
      <c r="J340" t="s">
        <v>151</v>
      </c>
      <c r="K340" t="s">
        <v>141</v>
      </c>
      <c r="L340">
        <v>203</v>
      </c>
      <c r="M340">
        <v>1358</v>
      </c>
      <c r="N340">
        <v>19.25</v>
      </c>
      <c r="O340" t="s">
        <v>142</v>
      </c>
      <c r="P340" t="s">
        <v>142</v>
      </c>
      <c r="Q340">
        <v>1</v>
      </c>
      <c r="R340">
        <v>79</v>
      </c>
      <c r="S340">
        <v>82</v>
      </c>
      <c r="T340">
        <v>1.32</v>
      </c>
      <c r="U340">
        <v>1.37</v>
      </c>
      <c r="V340">
        <v>3</v>
      </c>
      <c r="W340">
        <v>96.34</v>
      </c>
      <c r="X340" t="s">
        <v>173</v>
      </c>
    </row>
    <row r="341" spans="1:24" x14ac:dyDescent="0.3">
      <c r="A341">
        <v>7007744171</v>
      </c>
      <c r="B341" s="1">
        <v>42491</v>
      </c>
      <c r="C341">
        <v>5600</v>
      </c>
      <c r="D341">
        <v>3.75</v>
      </c>
      <c r="E341">
        <v>0</v>
      </c>
      <c r="F341">
        <v>0</v>
      </c>
      <c r="G341">
        <v>237</v>
      </c>
      <c r="H341">
        <v>1142</v>
      </c>
      <c r="I341">
        <v>2225</v>
      </c>
      <c r="J341" t="s">
        <v>153</v>
      </c>
      <c r="K341" t="s">
        <v>156</v>
      </c>
      <c r="L341">
        <v>237</v>
      </c>
      <c r="M341">
        <v>1379</v>
      </c>
      <c r="N341">
        <v>19.03</v>
      </c>
      <c r="O341" t="s">
        <v>144</v>
      </c>
      <c r="P341" t="s">
        <v>142</v>
      </c>
      <c r="Q341">
        <v>1</v>
      </c>
      <c r="R341">
        <v>58</v>
      </c>
      <c r="S341">
        <v>61</v>
      </c>
      <c r="T341">
        <v>0.97</v>
      </c>
      <c r="U341">
        <v>1.02</v>
      </c>
      <c r="V341">
        <v>3</v>
      </c>
      <c r="W341">
        <v>95.08</v>
      </c>
      <c r="X341" t="s">
        <v>173</v>
      </c>
    </row>
    <row r="342" spans="1:24" x14ac:dyDescent="0.3">
      <c r="A342">
        <v>7086361926</v>
      </c>
      <c r="B342" s="1">
        <v>42473</v>
      </c>
      <c r="C342">
        <v>5813</v>
      </c>
      <c r="D342">
        <v>3.6199998855590798</v>
      </c>
      <c r="E342">
        <v>31</v>
      </c>
      <c r="F342">
        <v>26</v>
      </c>
      <c r="G342">
        <v>155</v>
      </c>
      <c r="H342">
        <v>744</v>
      </c>
      <c r="I342">
        <v>2516</v>
      </c>
      <c r="J342" t="s">
        <v>146</v>
      </c>
      <c r="K342" t="s">
        <v>141</v>
      </c>
      <c r="L342">
        <v>212</v>
      </c>
      <c r="M342">
        <v>956</v>
      </c>
      <c r="N342">
        <v>12.4</v>
      </c>
      <c r="O342" t="s">
        <v>144</v>
      </c>
      <c r="P342" t="s">
        <v>145</v>
      </c>
      <c r="Q342">
        <v>1</v>
      </c>
      <c r="R342">
        <v>451</v>
      </c>
      <c r="S342">
        <v>465</v>
      </c>
      <c r="T342">
        <v>7.52</v>
      </c>
      <c r="U342">
        <v>7.75</v>
      </c>
      <c r="V342">
        <v>14</v>
      </c>
      <c r="W342">
        <v>96.99</v>
      </c>
      <c r="X342" t="s">
        <v>175</v>
      </c>
    </row>
    <row r="343" spans="1:24" x14ac:dyDescent="0.3">
      <c r="A343">
        <v>7086361926</v>
      </c>
      <c r="B343" s="1">
        <v>42474</v>
      </c>
      <c r="C343">
        <v>9123</v>
      </c>
      <c r="D343">
        <v>6.1199998855590803</v>
      </c>
      <c r="E343">
        <v>35</v>
      </c>
      <c r="F343">
        <v>32</v>
      </c>
      <c r="G343">
        <v>189</v>
      </c>
      <c r="H343">
        <v>787</v>
      </c>
      <c r="I343">
        <v>2734</v>
      </c>
      <c r="J343" t="s">
        <v>154</v>
      </c>
      <c r="K343" t="s">
        <v>141</v>
      </c>
      <c r="L343">
        <v>256</v>
      </c>
      <c r="M343">
        <v>1043</v>
      </c>
      <c r="N343">
        <v>13.12</v>
      </c>
      <c r="O343" t="s">
        <v>150</v>
      </c>
      <c r="P343" t="s">
        <v>145</v>
      </c>
      <c r="Q343">
        <v>1</v>
      </c>
      <c r="R343">
        <v>472</v>
      </c>
      <c r="S343">
        <v>476</v>
      </c>
      <c r="T343">
        <v>7.87</v>
      </c>
      <c r="U343">
        <v>7.93</v>
      </c>
      <c r="V343">
        <v>4</v>
      </c>
      <c r="W343">
        <v>99.16</v>
      </c>
      <c r="X343" t="s">
        <v>175</v>
      </c>
    </row>
    <row r="344" spans="1:24" x14ac:dyDescent="0.3">
      <c r="A344">
        <v>7086361926</v>
      </c>
      <c r="B344" s="1">
        <v>42475</v>
      </c>
      <c r="C344">
        <v>8585</v>
      </c>
      <c r="D344">
        <v>5.6700000762939498</v>
      </c>
      <c r="E344">
        <v>30</v>
      </c>
      <c r="F344">
        <v>21</v>
      </c>
      <c r="G344">
        <v>139</v>
      </c>
      <c r="H344">
        <v>864</v>
      </c>
      <c r="I344">
        <v>2395</v>
      </c>
      <c r="J344" t="s">
        <v>149</v>
      </c>
      <c r="K344" t="s">
        <v>141</v>
      </c>
      <c r="L344">
        <v>190</v>
      </c>
      <c r="M344">
        <v>1054</v>
      </c>
      <c r="N344">
        <v>14.4</v>
      </c>
      <c r="O344" t="s">
        <v>150</v>
      </c>
      <c r="P344" t="s">
        <v>145</v>
      </c>
      <c r="Q344">
        <v>1</v>
      </c>
      <c r="R344">
        <v>377</v>
      </c>
      <c r="S344">
        <v>386</v>
      </c>
      <c r="T344">
        <v>6.28</v>
      </c>
      <c r="U344">
        <v>6.43</v>
      </c>
      <c r="V344">
        <v>9</v>
      </c>
      <c r="W344">
        <v>97.67</v>
      </c>
      <c r="X344" t="s">
        <v>176</v>
      </c>
    </row>
    <row r="345" spans="1:24" x14ac:dyDescent="0.3">
      <c r="A345">
        <v>7086361926</v>
      </c>
      <c r="B345" s="1">
        <v>42479</v>
      </c>
      <c r="C345">
        <v>10688</v>
      </c>
      <c r="D345">
        <v>7.28999996185303</v>
      </c>
      <c r="E345">
        <v>67</v>
      </c>
      <c r="F345">
        <v>69</v>
      </c>
      <c r="G345">
        <v>124</v>
      </c>
      <c r="H345">
        <v>671</v>
      </c>
      <c r="I345">
        <v>2944</v>
      </c>
      <c r="J345" t="s">
        <v>140</v>
      </c>
      <c r="K345" t="s">
        <v>141</v>
      </c>
      <c r="L345">
        <v>260</v>
      </c>
      <c r="M345">
        <v>931</v>
      </c>
      <c r="N345">
        <v>11.18</v>
      </c>
      <c r="O345" t="s">
        <v>147</v>
      </c>
      <c r="P345" t="s">
        <v>145</v>
      </c>
      <c r="Q345">
        <v>1</v>
      </c>
      <c r="R345">
        <v>472</v>
      </c>
      <c r="S345">
        <v>483</v>
      </c>
      <c r="T345">
        <v>7.87</v>
      </c>
      <c r="U345">
        <v>8.0500000000000007</v>
      </c>
      <c r="V345">
        <v>11</v>
      </c>
      <c r="W345">
        <v>97.72</v>
      </c>
      <c r="X345" t="s">
        <v>175</v>
      </c>
    </row>
    <row r="346" spans="1:24" x14ac:dyDescent="0.3">
      <c r="A346">
        <v>7086361926</v>
      </c>
      <c r="B346" s="1">
        <v>42480</v>
      </c>
      <c r="C346">
        <v>14365</v>
      </c>
      <c r="D346">
        <v>10.6400003433228</v>
      </c>
      <c r="E346">
        <v>87</v>
      </c>
      <c r="F346">
        <v>13</v>
      </c>
      <c r="G346">
        <v>145</v>
      </c>
      <c r="H346">
        <v>797</v>
      </c>
      <c r="I346">
        <v>2997</v>
      </c>
      <c r="J346" t="s">
        <v>146</v>
      </c>
      <c r="K346" t="s">
        <v>141</v>
      </c>
      <c r="L346">
        <v>245</v>
      </c>
      <c r="M346">
        <v>1042</v>
      </c>
      <c r="N346">
        <v>13.28</v>
      </c>
      <c r="O346" t="s">
        <v>152</v>
      </c>
      <c r="P346" t="s">
        <v>145</v>
      </c>
      <c r="Q346">
        <v>1</v>
      </c>
      <c r="R346">
        <v>492</v>
      </c>
      <c r="S346">
        <v>502</v>
      </c>
      <c r="T346">
        <v>8.1999999999999993</v>
      </c>
      <c r="U346">
        <v>8.3699999999999992</v>
      </c>
      <c r="V346">
        <v>10</v>
      </c>
      <c r="W346">
        <v>98.01</v>
      </c>
      <c r="X346" t="s">
        <v>175</v>
      </c>
    </row>
    <row r="347" spans="1:24" x14ac:dyDescent="0.3">
      <c r="A347">
        <v>7086361926</v>
      </c>
      <c r="B347" s="1">
        <v>42481</v>
      </c>
      <c r="C347">
        <v>9469</v>
      </c>
      <c r="D347">
        <v>6.1799998283386204</v>
      </c>
      <c r="E347">
        <v>19</v>
      </c>
      <c r="F347">
        <v>6</v>
      </c>
      <c r="G347">
        <v>206</v>
      </c>
      <c r="H347">
        <v>758</v>
      </c>
      <c r="I347">
        <v>2463</v>
      </c>
      <c r="J347" t="s">
        <v>154</v>
      </c>
      <c r="K347" t="s">
        <v>141</v>
      </c>
      <c r="L347">
        <v>231</v>
      </c>
      <c r="M347">
        <v>989</v>
      </c>
      <c r="N347">
        <v>12.63</v>
      </c>
      <c r="O347" t="s">
        <v>150</v>
      </c>
      <c r="P347" t="s">
        <v>148</v>
      </c>
      <c r="Q347">
        <v>1</v>
      </c>
      <c r="R347">
        <v>390</v>
      </c>
      <c r="S347">
        <v>411</v>
      </c>
      <c r="T347">
        <v>6.5</v>
      </c>
      <c r="U347">
        <v>6.85</v>
      </c>
      <c r="V347">
        <v>21</v>
      </c>
      <c r="W347">
        <v>94.89</v>
      </c>
      <c r="X347" t="s">
        <v>176</v>
      </c>
    </row>
    <row r="348" spans="1:24" x14ac:dyDescent="0.3">
      <c r="A348">
        <v>7086361926</v>
      </c>
      <c r="B348" s="1">
        <v>42482</v>
      </c>
      <c r="C348">
        <v>9753</v>
      </c>
      <c r="D348">
        <v>6.5300002098083496</v>
      </c>
      <c r="E348">
        <v>58</v>
      </c>
      <c r="F348">
        <v>59</v>
      </c>
      <c r="G348">
        <v>153</v>
      </c>
      <c r="H348">
        <v>762</v>
      </c>
      <c r="I348">
        <v>2846</v>
      </c>
      <c r="J348" t="s">
        <v>149</v>
      </c>
      <c r="K348" t="s">
        <v>141</v>
      </c>
      <c r="L348">
        <v>270</v>
      </c>
      <c r="M348">
        <v>1032</v>
      </c>
      <c r="N348">
        <v>12.7</v>
      </c>
      <c r="O348" t="s">
        <v>150</v>
      </c>
      <c r="P348" t="s">
        <v>145</v>
      </c>
      <c r="Q348">
        <v>1</v>
      </c>
      <c r="R348">
        <v>428</v>
      </c>
      <c r="S348">
        <v>448</v>
      </c>
      <c r="T348">
        <v>7.13</v>
      </c>
      <c r="U348">
        <v>7.47</v>
      </c>
      <c r="V348">
        <v>20</v>
      </c>
      <c r="W348">
        <v>95.54</v>
      </c>
      <c r="X348" t="s">
        <v>175</v>
      </c>
    </row>
    <row r="349" spans="1:24" x14ac:dyDescent="0.3">
      <c r="A349">
        <v>7086361926</v>
      </c>
      <c r="B349" s="1">
        <v>42484</v>
      </c>
      <c r="C349">
        <v>3520</v>
      </c>
      <c r="D349">
        <v>2.1600000858306898</v>
      </c>
      <c r="E349">
        <v>0</v>
      </c>
      <c r="F349">
        <v>0</v>
      </c>
      <c r="G349">
        <v>125</v>
      </c>
      <c r="H349">
        <v>566</v>
      </c>
      <c r="I349">
        <v>2049</v>
      </c>
      <c r="J349" t="s">
        <v>153</v>
      </c>
      <c r="K349" t="s">
        <v>141</v>
      </c>
      <c r="L349">
        <v>125</v>
      </c>
      <c r="M349">
        <v>691</v>
      </c>
      <c r="N349">
        <v>9.43</v>
      </c>
      <c r="O349" t="s">
        <v>142</v>
      </c>
      <c r="P349" t="s">
        <v>142</v>
      </c>
      <c r="Q349">
        <v>1</v>
      </c>
      <c r="R349">
        <v>681</v>
      </c>
      <c r="S349">
        <v>704</v>
      </c>
      <c r="T349">
        <v>11.35</v>
      </c>
      <c r="U349">
        <v>11.73</v>
      </c>
      <c r="V349">
        <v>23</v>
      </c>
      <c r="W349">
        <v>96.73</v>
      </c>
      <c r="X349" t="s">
        <v>174</v>
      </c>
    </row>
    <row r="350" spans="1:24" x14ac:dyDescent="0.3">
      <c r="A350">
        <v>7086361926</v>
      </c>
      <c r="B350" s="1">
        <v>42485</v>
      </c>
      <c r="C350">
        <v>10091</v>
      </c>
      <c r="D350">
        <v>6.8200001716613796</v>
      </c>
      <c r="E350">
        <v>69</v>
      </c>
      <c r="F350">
        <v>39</v>
      </c>
      <c r="G350">
        <v>129</v>
      </c>
      <c r="H350">
        <v>706</v>
      </c>
      <c r="I350">
        <v>2752</v>
      </c>
      <c r="J350" t="s">
        <v>155</v>
      </c>
      <c r="K350" t="s">
        <v>141</v>
      </c>
      <c r="L350">
        <v>237</v>
      </c>
      <c r="M350">
        <v>943</v>
      </c>
      <c r="N350">
        <v>11.77</v>
      </c>
      <c r="O350" t="s">
        <v>147</v>
      </c>
      <c r="P350" t="s">
        <v>145</v>
      </c>
      <c r="Q350">
        <v>1</v>
      </c>
      <c r="R350">
        <v>446</v>
      </c>
      <c r="S350">
        <v>447</v>
      </c>
      <c r="T350">
        <v>7.43</v>
      </c>
      <c r="U350">
        <v>7.45</v>
      </c>
      <c r="V350">
        <v>1</v>
      </c>
      <c r="W350">
        <v>99.78</v>
      </c>
      <c r="X350" t="s">
        <v>175</v>
      </c>
    </row>
    <row r="351" spans="1:24" x14ac:dyDescent="0.3">
      <c r="A351">
        <v>7086361926</v>
      </c>
      <c r="B351" s="1">
        <v>42486</v>
      </c>
      <c r="C351">
        <v>10387</v>
      </c>
      <c r="D351">
        <v>7.0700001716613796</v>
      </c>
      <c r="E351">
        <v>70</v>
      </c>
      <c r="F351">
        <v>33</v>
      </c>
      <c r="G351">
        <v>132</v>
      </c>
      <c r="H351">
        <v>726</v>
      </c>
      <c r="I351">
        <v>2781</v>
      </c>
      <c r="J351" t="s">
        <v>140</v>
      </c>
      <c r="K351" t="s">
        <v>141</v>
      </c>
      <c r="L351">
        <v>235</v>
      </c>
      <c r="M351">
        <v>961</v>
      </c>
      <c r="N351">
        <v>12.1</v>
      </c>
      <c r="O351" t="s">
        <v>147</v>
      </c>
      <c r="P351" t="s">
        <v>145</v>
      </c>
      <c r="Q351">
        <v>1</v>
      </c>
      <c r="R351">
        <v>485</v>
      </c>
      <c r="S351">
        <v>500</v>
      </c>
      <c r="T351">
        <v>8.08</v>
      </c>
      <c r="U351">
        <v>8.33</v>
      </c>
      <c r="V351">
        <v>15</v>
      </c>
      <c r="W351">
        <v>97</v>
      </c>
      <c r="X351" t="s">
        <v>175</v>
      </c>
    </row>
    <row r="352" spans="1:24" x14ac:dyDescent="0.3">
      <c r="A352">
        <v>7086361926</v>
      </c>
      <c r="B352" s="1">
        <v>42487</v>
      </c>
      <c r="C352">
        <v>11107</v>
      </c>
      <c r="D352">
        <v>8.3400001525878906</v>
      </c>
      <c r="E352">
        <v>55</v>
      </c>
      <c r="F352">
        <v>6</v>
      </c>
      <c r="G352">
        <v>145</v>
      </c>
      <c r="H352">
        <v>829</v>
      </c>
      <c r="I352">
        <v>2693</v>
      </c>
      <c r="J352" t="s">
        <v>146</v>
      </c>
      <c r="K352" t="s">
        <v>141</v>
      </c>
      <c r="L352">
        <v>206</v>
      </c>
      <c r="M352">
        <v>1035</v>
      </c>
      <c r="N352">
        <v>13.82</v>
      </c>
      <c r="O352" t="s">
        <v>147</v>
      </c>
      <c r="P352" t="s">
        <v>145</v>
      </c>
      <c r="Q352">
        <v>1</v>
      </c>
      <c r="R352">
        <v>469</v>
      </c>
      <c r="S352">
        <v>479</v>
      </c>
      <c r="T352">
        <v>7.82</v>
      </c>
      <c r="U352">
        <v>7.98</v>
      </c>
      <c r="V352">
        <v>10</v>
      </c>
      <c r="W352">
        <v>97.91</v>
      </c>
      <c r="X352" t="s">
        <v>175</v>
      </c>
    </row>
    <row r="353" spans="1:24" x14ac:dyDescent="0.3">
      <c r="A353">
        <v>7086361926</v>
      </c>
      <c r="B353" s="1">
        <v>42488</v>
      </c>
      <c r="C353">
        <v>11584</v>
      </c>
      <c r="D353">
        <v>7.8000001907348597</v>
      </c>
      <c r="E353">
        <v>54</v>
      </c>
      <c r="F353">
        <v>48</v>
      </c>
      <c r="G353">
        <v>161</v>
      </c>
      <c r="H353">
        <v>810</v>
      </c>
      <c r="I353">
        <v>2862</v>
      </c>
      <c r="J353" t="s">
        <v>154</v>
      </c>
      <c r="K353" t="s">
        <v>141</v>
      </c>
      <c r="L353">
        <v>263</v>
      </c>
      <c r="M353">
        <v>1073</v>
      </c>
      <c r="N353">
        <v>13.5</v>
      </c>
      <c r="O353" t="s">
        <v>147</v>
      </c>
      <c r="P353" t="s">
        <v>145</v>
      </c>
      <c r="Q353">
        <v>1</v>
      </c>
      <c r="R353">
        <v>354</v>
      </c>
      <c r="S353">
        <v>367</v>
      </c>
      <c r="T353">
        <v>5.9</v>
      </c>
      <c r="U353">
        <v>6.12</v>
      </c>
      <c r="V353">
        <v>13</v>
      </c>
      <c r="W353">
        <v>96.46</v>
      </c>
      <c r="X353" t="s">
        <v>173</v>
      </c>
    </row>
    <row r="354" spans="1:24" x14ac:dyDescent="0.3">
      <c r="A354">
        <v>7086361926</v>
      </c>
      <c r="B354" s="1">
        <v>42490</v>
      </c>
      <c r="C354">
        <v>14560</v>
      </c>
      <c r="D354">
        <v>9.4099998474121094</v>
      </c>
      <c r="E354">
        <v>42</v>
      </c>
      <c r="F354">
        <v>17</v>
      </c>
      <c r="G354">
        <v>308</v>
      </c>
      <c r="H354">
        <v>584</v>
      </c>
      <c r="I354">
        <v>2995</v>
      </c>
      <c r="J354" t="s">
        <v>151</v>
      </c>
      <c r="K354" t="s">
        <v>141</v>
      </c>
      <c r="L354">
        <v>367</v>
      </c>
      <c r="M354">
        <v>951</v>
      </c>
      <c r="N354">
        <v>9.73</v>
      </c>
      <c r="O354" t="s">
        <v>152</v>
      </c>
      <c r="P354" t="s">
        <v>145</v>
      </c>
      <c r="Q354">
        <v>1</v>
      </c>
      <c r="R354">
        <v>485</v>
      </c>
      <c r="S354">
        <v>489</v>
      </c>
      <c r="T354">
        <v>8.08</v>
      </c>
      <c r="U354">
        <v>8.15</v>
      </c>
      <c r="V354">
        <v>4</v>
      </c>
      <c r="W354">
        <v>99.18</v>
      </c>
      <c r="X354" t="s">
        <v>175</v>
      </c>
    </row>
    <row r="355" spans="1:24" x14ac:dyDescent="0.3">
      <c r="A355">
        <v>7086361926</v>
      </c>
      <c r="B355" s="1">
        <v>42491</v>
      </c>
      <c r="C355">
        <v>12390</v>
      </c>
      <c r="D355">
        <v>8.0699996948242205</v>
      </c>
      <c r="E355">
        <v>30</v>
      </c>
      <c r="F355">
        <v>15</v>
      </c>
      <c r="G355">
        <v>258</v>
      </c>
      <c r="H355">
        <v>685</v>
      </c>
      <c r="I355">
        <v>2730</v>
      </c>
      <c r="J355" t="s">
        <v>153</v>
      </c>
      <c r="K355" t="s">
        <v>156</v>
      </c>
      <c r="L355">
        <v>303</v>
      </c>
      <c r="M355">
        <v>988</v>
      </c>
      <c r="N355">
        <v>11.42</v>
      </c>
      <c r="O355" t="s">
        <v>147</v>
      </c>
      <c r="P355" t="s">
        <v>145</v>
      </c>
      <c r="Q355">
        <v>1</v>
      </c>
      <c r="R355">
        <v>388</v>
      </c>
      <c r="S355">
        <v>407</v>
      </c>
      <c r="T355">
        <v>6.47</v>
      </c>
      <c r="U355">
        <v>6.78</v>
      </c>
      <c r="V355">
        <v>19</v>
      </c>
      <c r="W355">
        <v>95.33</v>
      </c>
      <c r="X355" t="s">
        <v>176</v>
      </c>
    </row>
    <row r="356" spans="1:24" x14ac:dyDescent="0.3">
      <c r="A356">
        <v>7086361926</v>
      </c>
      <c r="B356" s="1">
        <v>42492</v>
      </c>
      <c r="C356">
        <v>10052</v>
      </c>
      <c r="D356">
        <v>6.8099999427795401</v>
      </c>
      <c r="E356">
        <v>66</v>
      </c>
      <c r="F356">
        <v>26</v>
      </c>
      <c r="G356">
        <v>139</v>
      </c>
      <c r="H356">
        <v>737</v>
      </c>
      <c r="I356">
        <v>2754</v>
      </c>
      <c r="J356" t="s">
        <v>155</v>
      </c>
      <c r="K356" t="s">
        <v>156</v>
      </c>
      <c r="L356">
        <v>231</v>
      </c>
      <c r="M356">
        <v>968</v>
      </c>
      <c r="N356">
        <v>12.28</v>
      </c>
      <c r="O356" t="s">
        <v>147</v>
      </c>
      <c r="P356" t="s">
        <v>145</v>
      </c>
      <c r="Q356">
        <v>1</v>
      </c>
      <c r="R356">
        <v>440</v>
      </c>
      <c r="S356">
        <v>459</v>
      </c>
      <c r="T356">
        <v>7.33</v>
      </c>
      <c r="U356">
        <v>7.65</v>
      </c>
      <c r="V356">
        <v>19</v>
      </c>
      <c r="W356">
        <v>95.86</v>
      </c>
      <c r="X356" t="s">
        <v>175</v>
      </c>
    </row>
    <row r="357" spans="1:24" x14ac:dyDescent="0.3">
      <c r="A357">
        <v>7086361926</v>
      </c>
      <c r="B357" s="1">
        <v>42493</v>
      </c>
      <c r="C357">
        <v>10288</v>
      </c>
      <c r="D357">
        <v>6.7600002288818404</v>
      </c>
      <c r="E357">
        <v>57</v>
      </c>
      <c r="F357">
        <v>36</v>
      </c>
      <c r="G357">
        <v>152</v>
      </c>
      <c r="H357">
        <v>761</v>
      </c>
      <c r="I357">
        <v>2754</v>
      </c>
      <c r="J357" t="s">
        <v>140</v>
      </c>
      <c r="K357" t="s">
        <v>156</v>
      </c>
      <c r="L357">
        <v>245</v>
      </c>
      <c r="M357">
        <v>1006</v>
      </c>
      <c r="N357">
        <v>12.68</v>
      </c>
      <c r="O357" t="s">
        <v>147</v>
      </c>
      <c r="P357" t="s">
        <v>145</v>
      </c>
      <c r="Q357">
        <v>1</v>
      </c>
      <c r="R357">
        <v>456</v>
      </c>
      <c r="S357">
        <v>461</v>
      </c>
      <c r="T357">
        <v>7.6</v>
      </c>
      <c r="U357">
        <v>7.68</v>
      </c>
      <c r="V357">
        <v>5</v>
      </c>
      <c r="W357">
        <v>98.92</v>
      </c>
      <c r="X357" t="s">
        <v>175</v>
      </c>
    </row>
    <row r="358" spans="1:24" x14ac:dyDescent="0.3">
      <c r="A358">
        <v>7086361926</v>
      </c>
      <c r="B358" s="1">
        <v>42494</v>
      </c>
      <c r="C358">
        <v>10988</v>
      </c>
      <c r="D358">
        <v>8.3100004196166992</v>
      </c>
      <c r="E358">
        <v>45</v>
      </c>
      <c r="F358">
        <v>12</v>
      </c>
      <c r="G358">
        <v>135</v>
      </c>
      <c r="H358">
        <v>843</v>
      </c>
      <c r="I358">
        <v>2655</v>
      </c>
      <c r="J358" t="s">
        <v>146</v>
      </c>
      <c r="K358" t="s">
        <v>156</v>
      </c>
      <c r="L358">
        <v>192</v>
      </c>
      <c r="M358">
        <v>1035</v>
      </c>
      <c r="N358">
        <v>14.05</v>
      </c>
      <c r="O358" t="s">
        <v>147</v>
      </c>
      <c r="P358" t="s">
        <v>145</v>
      </c>
      <c r="Q358">
        <v>1</v>
      </c>
      <c r="R358">
        <v>420</v>
      </c>
      <c r="S358">
        <v>436</v>
      </c>
      <c r="T358">
        <v>7</v>
      </c>
      <c r="U358">
        <v>7.27</v>
      </c>
      <c r="V358">
        <v>16</v>
      </c>
      <c r="W358">
        <v>96.33</v>
      </c>
      <c r="X358" t="s">
        <v>175</v>
      </c>
    </row>
    <row r="359" spans="1:24" x14ac:dyDescent="0.3">
      <c r="A359">
        <v>7086361926</v>
      </c>
      <c r="B359" s="1">
        <v>42496</v>
      </c>
      <c r="C359">
        <v>12461</v>
      </c>
      <c r="D359">
        <v>8.3800001144409197</v>
      </c>
      <c r="E359">
        <v>84</v>
      </c>
      <c r="F359">
        <v>35</v>
      </c>
      <c r="G359">
        <v>154</v>
      </c>
      <c r="H359">
        <v>834</v>
      </c>
      <c r="I359">
        <v>2924</v>
      </c>
      <c r="J359" t="s">
        <v>149</v>
      </c>
      <c r="K359" t="s">
        <v>156</v>
      </c>
      <c r="L359">
        <v>273</v>
      </c>
      <c r="M359">
        <v>1107</v>
      </c>
      <c r="N359">
        <v>13.9</v>
      </c>
      <c r="O359" t="s">
        <v>147</v>
      </c>
      <c r="P359" t="s">
        <v>145</v>
      </c>
      <c r="Q359">
        <v>1</v>
      </c>
      <c r="R359">
        <v>322</v>
      </c>
      <c r="S359">
        <v>333</v>
      </c>
      <c r="T359">
        <v>5.37</v>
      </c>
      <c r="U359">
        <v>5.55</v>
      </c>
      <c r="V359">
        <v>11</v>
      </c>
      <c r="W359">
        <v>96.7</v>
      </c>
      <c r="X359" t="s">
        <v>173</v>
      </c>
    </row>
    <row r="360" spans="1:24" x14ac:dyDescent="0.3">
      <c r="A360">
        <v>7086361926</v>
      </c>
      <c r="B360" s="1">
        <v>42497</v>
      </c>
      <c r="C360">
        <v>12827</v>
      </c>
      <c r="D360">
        <v>8.4799995422363299</v>
      </c>
      <c r="E360">
        <v>20</v>
      </c>
      <c r="F360">
        <v>42</v>
      </c>
      <c r="G360">
        <v>209</v>
      </c>
      <c r="H360">
        <v>621</v>
      </c>
      <c r="I360">
        <v>2739</v>
      </c>
      <c r="J360" t="s">
        <v>151</v>
      </c>
      <c r="K360" t="s">
        <v>156</v>
      </c>
      <c r="L360">
        <v>271</v>
      </c>
      <c r="M360">
        <v>892</v>
      </c>
      <c r="N360">
        <v>10.35</v>
      </c>
      <c r="O360" t="s">
        <v>152</v>
      </c>
      <c r="P360" t="s">
        <v>148</v>
      </c>
      <c r="Q360">
        <v>1</v>
      </c>
      <c r="R360">
        <v>530</v>
      </c>
      <c r="S360">
        <v>548</v>
      </c>
      <c r="T360">
        <v>8.83</v>
      </c>
      <c r="U360">
        <v>9.1300000000000008</v>
      </c>
      <c r="V360">
        <v>18</v>
      </c>
      <c r="W360">
        <v>96.72</v>
      </c>
      <c r="X360" t="s">
        <v>175</v>
      </c>
    </row>
    <row r="361" spans="1:24" x14ac:dyDescent="0.3">
      <c r="A361">
        <v>7086361926</v>
      </c>
      <c r="B361" s="1">
        <v>42498</v>
      </c>
      <c r="C361">
        <v>10677</v>
      </c>
      <c r="D361">
        <v>7.0999999046325701</v>
      </c>
      <c r="E361">
        <v>32</v>
      </c>
      <c r="F361">
        <v>27</v>
      </c>
      <c r="G361">
        <v>147</v>
      </c>
      <c r="H361">
        <v>695</v>
      </c>
      <c r="I361">
        <v>2534</v>
      </c>
      <c r="J361" t="s">
        <v>153</v>
      </c>
      <c r="K361" t="s">
        <v>156</v>
      </c>
      <c r="L361">
        <v>206</v>
      </c>
      <c r="M361">
        <v>901</v>
      </c>
      <c r="N361">
        <v>11.58</v>
      </c>
      <c r="O361" t="s">
        <v>147</v>
      </c>
      <c r="P361" t="s">
        <v>145</v>
      </c>
      <c r="Q361">
        <v>1</v>
      </c>
      <c r="R361">
        <v>481</v>
      </c>
      <c r="S361">
        <v>510</v>
      </c>
      <c r="T361">
        <v>8.02</v>
      </c>
      <c r="U361">
        <v>8.5</v>
      </c>
      <c r="V361">
        <v>29</v>
      </c>
      <c r="W361">
        <v>94.31</v>
      </c>
      <c r="X361" t="s">
        <v>175</v>
      </c>
    </row>
    <row r="362" spans="1:24" x14ac:dyDescent="0.3">
      <c r="A362">
        <v>7086361926</v>
      </c>
      <c r="B362" s="1">
        <v>42499</v>
      </c>
      <c r="C362">
        <v>13566</v>
      </c>
      <c r="D362">
        <v>9.1099996566772496</v>
      </c>
      <c r="E362">
        <v>67</v>
      </c>
      <c r="F362">
        <v>50</v>
      </c>
      <c r="G362">
        <v>171</v>
      </c>
      <c r="H362">
        <v>743</v>
      </c>
      <c r="I362">
        <v>2960</v>
      </c>
      <c r="J362" t="s">
        <v>155</v>
      </c>
      <c r="K362" t="s">
        <v>156</v>
      </c>
      <c r="L362">
        <v>288</v>
      </c>
      <c r="M362">
        <v>1031</v>
      </c>
      <c r="N362">
        <v>12.38</v>
      </c>
      <c r="O362" t="s">
        <v>152</v>
      </c>
      <c r="P362" t="s">
        <v>145</v>
      </c>
      <c r="Q362">
        <v>1</v>
      </c>
      <c r="R362">
        <v>427</v>
      </c>
      <c r="S362">
        <v>438</v>
      </c>
      <c r="T362">
        <v>7.12</v>
      </c>
      <c r="U362">
        <v>7.3</v>
      </c>
      <c r="V362">
        <v>11</v>
      </c>
      <c r="W362">
        <v>97.49</v>
      </c>
      <c r="X362" t="s">
        <v>175</v>
      </c>
    </row>
    <row r="363" spans="1:24" x14ac:dyDescent="0.3">
      <c r="A363">
        <v>7086361926</v>
      </c>
      <c r="B363" s="1">
        <v>42501</v>
      </c>
      <c r="C363">
        <v>9572</v>
      </c>
      <c r="D363">
        <v>6.5199999809265101</v>
      </c>
      <c r="E363">
        <v>57</v>
      </c>
      <c r="F363">
        <v>40</v>
      </c>
      <c r="G363">
        <v>128</v>
      </c>
      <c r="H363">
        <v>757</v>
      </c>
      <c r="I363">
        <v>2735</v>
      </c>
      <c r="J363" t="s">
        <v>146</v>
      </c>
      <c r="K363" t="s">
        <v>156</v>
      </c>
      <c r="L363">
        <v>225</v>
      </c>
      <c r="M363">
        <v>982</v>
      </c>
      <c r="N363">
        <v>12.62</v>
      </c>
      <c r="O363" t="s">
        <v>150</v>
      </c>
      <c r="P363" t="s">
        <v>145</v>
      </c>
      <c r="Q363">
        <v>1</v>
      </c>
      <c r="R363">
        <v>451</v>
      </c>
      <c r="S363">
        <v>463</v>
      </c>
      <c r="T363">
        <v>7.52</v>
      </c>
      <c r="U363">
        <v>7.72</v>
      </c>
      <c r="V363">
        <v>12</v>
      </c>
      <c r="W363">
        <v>97.41</v>
      </c>
      <c r="X363" t="s">
        <v>175</v>
      </c>
    </row>
    <row r="364" spans="1:24" x14ac:dyDescent="0.3">
      <c r="A364">
        <v>7086361926</v>
      </c>
      <c r="B364" s="1">
        <v>42502</v>
      </c>
      <c r="C364">
        <v>3789</v>
      </c>
      <c r="D364">
        <v>2.5599999427795401</v>
      </c>
      <c r="E364">
        <v>5</v>
      </c>
      <c r="F364">
        <v>4</v>
      </c>
      <c r="G364">
        <v>58</v>
      </c>
      <c r="H364">
        <v>343</v>
      </c>
      <c r="I364">
        <v>1199</v>
      </c>
      <c r="J364" t="s">
        <v>154</v>
      </c>
      <c r="K364" t="s">
        <v>156</v>
      </c>
      <c r="L364">
        <v>67</v>
      </c>
      <c r="M364">
        <v>410</v>
      </c>
      <c r="N364">
        <v>5.72</v>
      </c>
      <c r="O364" t="s">
        <v>142</v>
      </c>
      <c r="P364" t="s">
        <v>143</v>
      </c>
      <c r="Q364">
        <v>1</v>
      </c>
      <c r="R364">
        <v>444</v>
      </c>
      <c r="S364">
        <v>457</v>
      </c>
      <c r="T364">
        <v>7.4</v>
      </c>
      <c r="U364">
        <v>7.62</v>
      </c>
      <c r="V364">
        <v>13</v>
      </c>
      <c r="W364">
        <v>97.16</v>
      </c>
      <c r="X364" t="s">
        <v>175</v>
      </c>
    </row>
    <row r="365" spans="1:24" x14ac:dyDescent="0.3">
      <c r="A365">
        <v>8053475328</v>
      </c>
      <c r="B365" s="1">
        <v>42480</v>
      </c>
      <c r="C365">
        <v>15108</v>
      </c>
      <c r="D365">
        <v>12.189999580383301</v>
      </c>
      <c r="E365">
        <v>89</v>
      </c>
      <c r="F365">
        <v>5</v>
      </c>
      <c r="G365">
        <v>158</v>
      </c>
      <c r="H365">
        <v>695</v>
      </c>
      <c r="I365">
        <v>3043</v>
      </c>
      <c r="J365" t="s">
        <v>146</v>
      </c>
      <c r="K365" t="s">
        <v>141</v>
      </c>
      <c r="L365">
        <v>252</v>
      </c>
      <c r="M365">
        <v>947</v>
      </c>
      <c r="N365">
        <v>11.58</v>
      </c>
      <c r="O365" t="s">
        <v>152</v>
      </c>
      <c r="P365" t="s">
        <v>145</v>
      </c>
      <c r="Q365">
        <v>1</v>
      </c>
      <c r="R365">
        <v>486</v>
      </c>
      <c r="S365">
        <v>493</v>
      </c>
      <c r="T365">
        <v>8.1</v>
      </c>
      <c r="U365">
        <v>8.2200000000000006</v>
      </c>
      <c r="V365">
        <v>7</v>
      </c>
      <c r="W365">
        <v>98.58</v>
      </c>
      <c r="X365" t="s">
        <v>175</v>
      </c>
    </row>
    <row r="366" spans="1:24" x14ac:dyDescent="0.3">
      <c r="A366">
        <v>8053475328</v>
      </c>
      <c r="B366" s="1">
        <v>42483</v>
      </c>
      <c r="C366">
        <v>22359</v>
      </c>
      <c r="D366">
        <v>17.190000534057599</v>
      </c>
      <c r="E366">
        <v>125</v>
      </c>
      <c r="F366">
        <v>14</v>
      </c>
      <c r="G366">
        <v>223</v>
      </c>
      <c r="H366">
        <v>741</v>
      </c>
      <c r="I366">
        <v>3554</v>
      </c>
      <c r="J366" t="s">
        <v>151</v>
      </c>
      <c r="K366" t="s">
        <v>141</v>
      </c>
      <c r="L366">
        <v>362</v>
      </c>
      <c r="M366">
        <v>1103</v>
      </c>
      <c r="N366">
        <v>12.35</v>
      </c>
      <c r="O366" t="s">
        <v>152</v>
      </c>
      <c r="P366" t="s">
        <v>145</v>
      </c>
      <c r="Q366">
        <v>1</v>
      </c>
      <c r="R366">
        <v>331</v>
      </c>
      <c r="S366">
        <v>337</v>
      </c>
      <c r="T366">
        <v>5.52</v>
      </c>
      <c r="U366">
        <v>5.62</v>
      </c>
      <c r="V366">
        <v>6</v>
      </c>
      <c r="W366">
        <v>98.22</v>
      </c>
      <c r="X366" t="s">
        <v>173</v>
      </c>
    </row>
    <row r="367" spans="1:24" x14ac:dyDescent="0.3">
      <c r="A367">
        <v>8053475328</v>
      </c>
      <c r="B367" s="1">
        <v>42497</v>
      </c>
      <c r="C367">
        <v>19769</v>
      </c>
      <c r="D367">
        <v>15.670000076293899</v>
      </c>
      <c r="E367">
        <v>121</v>
      </c>
      <c r="F367">
        <v>20</v>
      </c>
      <c r="G367">
        <v>148</v>
      </c>
      <c r="H367">
        <v>1076</v>
      </c>
      <c r="I367">
        <v>3331</v>
      </c>
      <c r="J367" t="s">
        <v>151</v>
      </c>
      <c r="K367" t="s">
        <v>156</v>
      </c>
      <c r="L367">
        <v>289</v>
      </c>
      <c r="M367">
        <v>1365</v>
      </c>
      <c r="N367">
        <v>17.93</v>
      </c>
      <c r="O367" t="s">
        <v>152</v>
      </c>
      <c r="P367" t="s">
        <v>145</v>
      </c>
      <c r="Q367">
        <v>1</v>
      </c>
      <c r="R367">
        <v>74</v>
      </c>
      <c r="S367">
        <v>75</v>
      </c>
      <c r="T367">
        <v>1.23</v>
      </c>
      <c r="U367">
        <v>1.25</v>
      </c>
      <c r="V367">
        <v>1</v>
      </c>
      <c r="W367">
        <v>98.67</v>
      </c>
      <c r="X367" t="s">
        <v>173</v>
      </c>
    </row>
    <row r="368" spans="1:24" x14ac:dyDescent="0.3">
      <c r="A368">
        <v>8378563200</v>
      </c>
      <c r="B368" s="1">
        <v>42473</v>
      </c>
      <c r="C368">
        <v>12386</v>
      </c>
      <c r="D368">
        <v>9.8199996948242205</v>
      </c>
      <c r="E368">
        <v>116</v>
      </c>
      <c r="F368">
        <v>14</v>
      </c>
      <c r="G368">
        <v>169</v>
      </c>
      <c r="H368">
        <v>680</v>
      </c>
      <c r="I368">
        <v>4079</v>
      </c>
      <c r="J368" t="s">
        <v>146</v>
      </c>
      <c r="K368" t="s">
        <v>141</v>
      </c>
      <c r="L368">
        <v>299</v>
      </c>
      <c r="M368">
        <v>979</v>
      </c>
      <c r="N368">
        <v>11.33</v>
      </c>
      <c r="O368" t="s">
        <v>147</v>
      </c>
      <c r="P368" t="s">
        <v>145</v>
      </c>
      <c r="Q368">
        <v>2</v>
      </c>
      <c r="R368">
        <v>447</v>
      </c>
      <c r="S368">
        <v>487</v>
      </c>
      <c r="T368">
        <v>7.45</v>
      </c>
      <c r="U368">
        <v>8.1199999999999992</v>
      </c>
      <c r="V368">
        <v>40</v>
      </c>
      <c r="W368">
        <v>91.79</v>
      </c>
      <c r="X368" t="s">
        <v>175</v>
      </c>
    </row>
    <row r="369" spans="1:24" x14ac:dyDescent="0.3">
      <c r="A369">
        <v>8378563200</v>
      </c>
      <c r="B369" s="1">
        <v>42474</v>
      </c>
      <c r="C369">
        <v>13318</v>
      </c>
      <c r="D369">
        <v>10.560000419616699</v>
      </c>
      <c r="E369">
        <v>123</v>
      </c>
      <c r="F369">
        <v>21</v>
      </c>
      <c r="G369">
        <v>174</v>
      </c>
      <c r="H369">
        <v>699</v>
      </c>
      <c r="I369">
        <v>4163</v>
      </c>
      <c r="J369" t="s">
        <v>154</v>
      </c>
      <c r="K369" t="s">
        <v>141</v>
      </c>
      <c r="L369">
        <v>318</v>
      </c>
      <c r="M369">
        <v>1017</v>
      </c>
      <c r="N369">
        <v>11.65</v>
      </c>
      <c r="O369" t="s">
        <v>152</v>
      </c>
      <c r="P369" t="s">
        <v>145</v>
      </c>
      <c r="Q369">
        <v>1</v>
      </c>
      <c r="R369">
        <v>424</v>
      </c>
      <c r="S369">
        <v>455</v>
      </c>
      <c r="T369">
        <v>7.07</v>
      </c>
      <c r="U369">
        <v>7.58</v>
      </c>
      <c r="V369">
        <v>31</v>
      </c>
      <c r="W369">
        <v>93.19</v>
      </c>
      <c r="X369" t="s">
        <v>175</v>
      </c>
    </row>
    <row r="370" spans="1:24" x14ac:dyDescent="0.3">
      <c r="A370">
        <v>8378563200</v>
      </c>
      <c r="B370" s="1">
        <v>42475</v>
      </c>
      <c r="C370">
        <v>14461</v>
      </c>
      <c r="D370">
        <v>11.4700002670288</v>
      </c>
      <c r="E370">
        <v>60</v>
      </c>
      <c r="F370">
        <v>23</v>
      </c>
      <c r="G370">
        <v>190</v>
      </c>
      <c r="H370">
        <v>729</v>
      </c>
      <c r="I370">
        <v>3666</v>
      </c>
      <c r="J370" t="s">
        <v>149</v>
      </c>
      <c r="K370" t="s">
        <v>141</v>
      </c>
      <c r="L370">
        <v>273</v>
      </c>
      <c r="M370">
        <v>1002</v>
      </c>
      <c r="N370">
        <v>12.15</v>
      </c>
      <c r="O370" t="s">
        <v>152</v>
      </c>
      <c r="P370" t="s">
        <v>145</v>
      </c>
      <c r="Q370">
        <v>1</v>
      </c>
      <c r="R370">
        <v>513</v>
      </c>
      <c r="S370">
        <v>533</v>
      </c>
      <c r="T370">
        <v>8.5500000000000007</v>
      </c>
      <c r="U370">
        <v>8.8800000000000008</v>
      </c>
      <c r="V370">
        <v>20</v>
      </c>
      <c r="W370">
        <v>96.25</v>
      </c>
      <c r="X370" t="s">
        <v>175</v>
      </c>
    </row>
    <row r="371" spans="1:24" x14ac:dyDescent="0.3">
      <c r="A371">
        <v>8378563200</v>
      </c>
      <c r="B371" s="1">
        <v>42476</v>
      </c>
      <c r="C371">
        <v>11207</v>
      </c>
      <c r="D371">
        <v>8.8900003433227504</v>
      </c>
      <c r="E371">
        <v>64</v>
      </c>
      <c r="F371">
        <v>21</v>
      </c>
      <c r="G371">
        <v>142</v>
      </c>
      <c r="H371">
        <v>563</v>
      </c>
      <c r="I371">
        <v>3363</v>
      </c>
      <c r="J371" t="s">
        <v>151</v>
      </c>
      <c r="K371" t="s">
        <v>141</v>
      </c>
      <c r="L371">
        <v>227</v>
      </c>
      <c r="M371">
        <v>790</v>
      </c>
      <c r="N371">
        <v>9.3800000000000008</v>
      </c>
      <c r="O371" t="s">
        <v>147</v>
      </c>
      <c r="P371" t="s">
        <v>145</v>
      </c>
      <c r="Q371">
        <v>2</v>
      </c>
      <c r="R371">
        <v>611</v>
      </c>
      <c r="S371">
        <v>689</v>
      </c>
      <c r="T371">
        <v>10.18</v>
      </c>
      <c r="U371">
        <v>11.48</v>
      </c>
      <c r="V371">
        <v>78</v>
      </c>
      <c r="W371">
        <v>88.68</v>
      </c>
      <c r="X371" t="s">
        <v>174</v>
      </c>
    </row>
    <row r="372" spans="1:24" x14ac:dyDescent="0.3">
      <c r="A372">
        <v>8378563200</v>
      </c>
      <c r="B372" s="1">
        <v>42477</v>
      </c>
      <c r="C372">
        <v>2132</v>
      </c>
      <c r="D372">
        <v>1.6900000572204601</v>
      </c>
      <c r="E372">
        <v>0</v>
      </c>
      <c r="F372">
        <v>0</v>
      </c>
      <c r="G372">
        <v>93</v>
      </c>
      <c r="H372">
        <v>599</v>
      </c>
      <c r="I372">
        <v>2572</v>
      </c>
      <c r="J372" t="s">
        <v>153</v>
      </c>
      <c r="K372" t="s">
        <v>141</v>
      </c>
      <c r="L372">
        <v>93</v>
      </c>
      <c r="M372">
        <v>692</v>
      </c>
      <c r="N372">
        <v>9.98</v>
      </c>
      <c r="O372" t="s">
        <v>142</v>
      </c>
      <c r="P372" t="s">
        <v>142</v>
      </c>
      <c r="Q372">
        <v>2</v>
      </c>
      <c r="R372">
        <v>525</v>
      </c>
      <c r="S372">
        <v>591</v>
      </c>
      <c r="T372">
        <v>8.75</v>
      </c>
      <c r="U372">
        <v>9.85</v>
      </c>
      <c r="V372">
        <v>66</v>
      </c>
      <c r="W372">
        <v>88.83</v>
      </c>
      <c r="X372" t="s">
        <v>175</v>
      </c>
    </row>
    <row r="373" spans="1:24" x14ac:dyDescent="0.3">
      <c r="A373">
        <v>8378563200</v>
      </c>
      <c r="B373" s="1">
        <v>42478</v>
      </c>
      <c r="C373">
        <v>13630</v>
      </c>
      <c r="D373">
        <v>10.810000419616699</v>
      </c>
      <c r="E373">
        <v>117</v>
      </c>
      <c r="F373">
        <v>10</v>
      </c>
      <c r="G373">
        <v>174</v>
      </c>
      <c r="H373">
        <v>720</v>
      </c>
      <c r="I373">
        <v>4157</v>
      </c>
      <c r="J373" t="s">
        <v>155</v>
      </c>
      <c r="K373" t="s">
        <v>141</v>
      </c>
      <c r="L373">
        <v>301</v>
      </c>
      <c r="M373">
        <v>1021</v>
      </c>
      <c r="N373">
        <v>12</v>
      </c>
      <c r="O373" t="s">
        <v>152</v>
      </c>
      <c r="P373" t="s">
        <v>145</v>
      </c>
      <c r="Q373">
        <v>1</v>
      </c>
      <c r="R373">
        <v>398</v>
      </c>
      <c r="S373">
        <v>451</v>
      </c>
      <c r="T373">
        <v>6.63</v>
      </c>
      <c r="U373">
        <v>7.52</v>
      </c>
      <c r="V373">
        <v>53</v>
      </c>
      <c r="W373">
        <v>88.25</v>
      </c>
      <c r="X373" t="s">
        <v>176</v>
      </c>
    </row>
    <row r="374" spans="1:24" x14ac:dyDescent="0.3">
      <c r="A374">
        <v>8378563200</v>
      </c>
      <c r="B374" s="1">
        <v>42479</v>
      </c>
      <c r="C374">
        <v>13070</v>
      </c>
      <c r="D374">
        <v>10.3599996566772</v>
      </c>
      <c r="E374">
        <v>120</v>
      </c>
      <c r="F374">
        <v>19</v>
      </c>
      <c r="G374">
        <v>154</v>
      </c>
      <c r="H374">
        <v>737</v>
      </c>
      <c r="I374">
        <v>4092</v>
      </c>
      <c r="J374" t="s">
        <v>140</v>
      </c>
      <c r="K374" t="s">
        <v>141</v>
      </c>
      <c r="L374">
        <v>293</v>
      </c>
      <c r="M374">
        <v>1030</v>
      </c>
      <c r="N374">
        <v>12.28</v>
      </c>
      <c r="O374" t="s">
        <v>152</v>
      </c>
      <c r="P374" t="s">
        <v>145</v>
      </c>
      <c r="Q374">
        <v>1</v>
      </c>
      <c r="R374">
        <v>387</v>
      </c>
      <c r="S374">
        <v>421</v>
      </c>
      <c r="T374">
        <v>6.45</v>
      </c>
      <c r="U374">
        <v>7.02</v>
      </c>
      <c r="V374">
        <v>34</v>
      </c>
      <c r="W374">
        <v>91.92</v>
      </c>
      <c r="X374" t="s">
        <v>176</v>
      </c>
    </row>
    <row r="375" spans="1:24" x14ac:dyDescent="0.3">
      <c r="A375">
        <v>8378563200</v>
      </c>
      <c r="B375" s="1">
        <v>42480</v>
      </c>
      <c r="C375">
        <v>9388</v>
      </c>
      <c r="D375">
        <v>7.4400000572204599</v>
      </c>
      <c r="E375">
        <v>82</v>
      </c>
      <c r="F375">
        <v>8</v>
      </c>
      <c r="G375">
        <v>169</v>
      </c>
      <c r="H375">
        <v>763</v>
      </c>
      <c r="I375">
        <v>3787</v>
      </c>
      <c r="J375" t="s">
        <v>146</v>
      </c>
      <c r="K375" t="s">
        <v>141</v>
      </c>
      <c r="L375">
        <v>259</v>
      </c>
      <c r="M375">
        <v>1022</v>
      </c>
      <c r="N375">
        <v>12.72</v>
      </c>
      <c r="O375" t="s">
        <v>150</v>
      </c>
      <c r="P375" t="s">
        <v>145</v>
      </c>
      <c r="Q375">
        <v>1</v>
      </c>
      <c r="R375">
        <v>381</v>
      </c>
      <c r="S375">
        <v>409</v>
      </c>
      <c r="T375">
        <v>6.35</v>
      </c>
      <c r="U375">
        <v>6.82</v>
      </c>
      <c r="V375">
        <v>28</v>
      </c>
      <c r="W375">
        <v>93.15</v>
      </c>
      <c r="X375" t="s">
        <v>176</v>
      </c>
    </row>
    <row r="376" spans="1:24" x14ac:dyDescent="0.3">
      <c r="A376">
        <v>8378563200</v>
      </c>
      <c r="B376" s="1">
        <v>42481</v>
      </c>
      <c r="C376">
        <v>15148</v>
      </c>
      <c r="D376">
        <v>12.0100002288818</v>
      </c>
      <c r="E376">
        <v>137</v>
      </c>
      <c r="F376">
        <v>16</v>
      </c>
      <c r="G376">
        <v>145</v>
      </c>
      <c r="H376">
        <v>677</v>
      </c>
      <c r="I376">
        <v>4236</v>
      </c>
      <c r="J376" t="s">
        <v>154</v>
      </c>
      <c r="K376" t="s">
        <v>141</v>
      </c>
      <c r="L376">
        <v>298</v>
      </c>
      <c r="M376">
        <v>975</v>
      </c>
      <c r="N376">
        <v>11.28</v>
      </c>
      <c r="O376" t="s">
        <v>152</v>
      </c>
      <c r="P376" t="s">
        <v>145</v>
      </c>
      <c r="Q376">
        <v>1</v>
      </c>
      <c r="R376">
        <v>396</v>
      </c>
      <c r="S376">
        <v>417</v>
      </c>
      <c r="T376">
        <v>6.6</v>
      </c>
      <c r="U376">
        <v>6.95</v>
      </c>
      <c r="V376">
        <v>21</v>
      </c>
      <c r="W376">
        <v>94.96</v>
      </c>
      <c r="X376" t="s">
        <v>176</v>
      </c>
    </row>
    <row r="377" spans="1:24" x14ac:dyDescent="0.3">
      <c r="A377">
        <v>8378563200</v>
      </c>
      <c r="B377" s="1">
        <v>42482</v>
      </c>
      <c r="C377">
        <v>12200</v>
      </c>
      <c r="D377">
        <v>9.6700000762939506</v>
      </c>
      <c r="E377">
        <v>113</v>
      </c>
      <c r="F377">
        <v>12</v>
      </c>
      <c r="G377">
        <v>159</v>
      </c>
      <c r="H377">
        <v>769</v>
      </c>
      <c r="I377">
        <v>4044</v>
      </c>
      <c r="J377" t="s">
        <v>149</v>
      </c>
      <c r="K377" t="s">
        <v>141</v>
      </c>
      <c r="L377">
        <v>284</v>
      </c>
      <c r="M377">
        <v>1053</v>
      </c>
      <c r="N377">
        <v>12.82</v>
      </c>
      <c r="O377" t="s">
        <v>147</v>
      </c>
      <c r="P377" t="s">
        <v>145</v>
      </c>
      <c r="Q377">
        <v>1</v>
      </c>
      <c r="R377">
        <v>441</v>
      </c>
      <c r="S377">
        <v>469</v>
      </c>
      <c r="T377">
        <v>7.35</v>
      </c>
      <c r="U377">
        <v>7.82</v>
      </c>
      <c r="V377">
        <v>28</v>
      </c>
      <c r="W377">
        <v>94.03</v>
      </c>
      <c r="X377" t="s">
        <v>175</v>
      </c>
    </row>
    <row r="378" spans="1:24" x14ac:dyDescent="0.3">
      <c r="A378">
        <v>8378563200</v>
      </c>
      <c r="B378" s="1">
        <v>42483</v>
      </c>
      <c r="C378">
        <v>5709</v>
      </c>
      <c r="D378">
        <v>4.5300002098083496</v>
      </c>
      <c r="E378">
        <v>19</v>
      </c>
      <c r="F378">
        <v>10</v>
      </c>
      <c r="G378">
        <v>136</v>
      </c>
      <c r="H378">
        <v>740</v>
      </c>
      <c r="I378">
        <v>2908</v>
      </c>
      <c r="J378" t="s">
        <v>151</v>
      </c>
      <c r="K378" t="s">
        <v>141</v>
      </c>
      <c r="L378">
        <v>165</v>
      </c>
      <c r="M378">
        <v>905</v>
      </c>
      <c r="N378">
        <v>12.33</v>
      </c>
      <c r="O378" t="s">
        <v>144</v>
      </c>
      <c r="P378" t="s">
        <v>148</v>
      </c>
      <c r="Q378">
        <v>1</v>
      </c>
      <c r="R378">
        <v>565</v>
      </c>
      <c r="S378">
        <v>591</v>
      </c>
      <c r="T378">
        <v>9.42</v>
      </c>
      <c r="U378">
        <v>9.85</v>
      </c>
      <c r="V378">
        <v>26</v>
      </c>
      <c r="W378">
        <v>95.6</v>
      </c>
      <c r="X378" t="s">
        <v>174</v>
      </c>
    </row>
    <row r="379" spans="1:24" x14ac:dyDescent="0.3">
      <c r="A379">
        <v>8378563200</v>
      </c>
      <c r="B379" s="1">
        <v>42484</v>
      </c>
      <c r="C379">
        <v>3703</v>
      </c>
      <c r="D379">
        <v>2.9400000572204599</v>
      </c>
      <c r="E379">
        <v>0</v>
      </c>
      <c r="F379">
        <v>0</v>
      </c>
      <c r="G379">
        <v>135</v>
      </c>
      <c r="H379">
        <v>734</v>
      </c>
      <c r="I379">
        <v>2741</v>
      </c>
      <c r="J379" t="s">
        <v>153</v>
      </c>
      <c r="K379" t="s">
        <v>141</v>
      </c>
      <c r="L379">
        <v>135</v>
      </c>
      <c r="M379">
        <v>869</v>
      </c>
      <c r="N379">
        <v>12.23</v>
      </c>
      <c r="O379" t="s">
        <v>142</v>
      </c>
      <c r="P379" t="s">
        <v>142</v>
      </c>
      <c r="Q379">
        <v>1</v>
      </c>
      <c r="R379">
        <v>458</v>
      </c>
      <c r="S379">
        <v>492</v>
      </c>
      <c r="T379">
        <v>7.63</v>
      </c>
      <c r="U379">
        <v>8.1999999999999993</v>
      </c>
      <c r="V379">
        <v>34</v>
      </c>
      <c r="W379">
        <v>93.09</v>
      </c>
      <c r="X379" t="s">
        <v>175</v>
      </c>
    </row>
    <row r="380" spans="1:24" x14ac:dyDescent="0.3">
      <c r="A380">
        <v>8378563200</v>
      </c>
      <c r="B380" s="1">
        <v>42485</v>
      </c>
      <c r="C380">
        <v>12405</v>
      </c>
      <c r="D380">
        <v>9.8400001525878906</v>
      </c>
      <c r="E380">
        <v>117</v>
      </c>
      <c r="F380">
        <v>16</v>
      </c>
      <c r="G380">
        <v>141</v>
      </c>
      <c r="H380">
        <v>692</v>
      </c>
      <c r="I380">
        <v>4005</v>
      </c>
      <c r="J380" t="s">
        <v>155</v>
      </c>
      <c r="K380" t="s">
        <v>141</v>
      </c>
      <c r="L380">
        <v>274</v>
      </c>
      <c r="M380">
        <v>966</v>
      </c>
      <c r="N380">
        <v>11.53</v>
      </c>
      <c r="O380" t="s">
        <v>147</v>
      </c>
      <c r="P380" t="s">
        <v>145</v>
      </c>
      <c r="Q380">
        <v>1</v>
      </c>
      <c r="R380">
        <v>388</v>
      </c>
      <c r="S380">
        <v>402</v>
      </c>
      <c r="T380">
        <v>6.47</v>
      </c>
      <c r="U380">
        <v>6.7</v>
      </c>
      <c r="V380">
        <v>14</v>
      </c>
      <c r="W380">
        <v>96.52</v>
      </c>
      <c r="X380" t="s">
        <v>176</v>
      </c>
    </row>
    <row r="381" spans="1:24" x14ac:dyDescent="0.3">
      <c r="A381">
        <v>8378563200</v>
      </c>
      <c r="B381" s="1">
        <v>42486</v>
      </c>
      <c r="C381">
        <v>16208</v>
      </c>
      <c r="D381">
        <v>12.8500003814697</v>
      </c>
      <c r="E381">
        <v>90</v>
      </c>
      <c r="F381">
        <v>18</v>
      </c>
      <c r="G381">
        <v>161</v>
      </c>
      <c r="H381">
        <v>593</v>
      </c>
      <c r="I381">
        <v>3763</v>
      </c>
      <c r="J381" t="s">
        <v>140</v>
      </c>
      <c r="K381" t="s">
        <v>141</v>
      </c>
      <c r="L381">
        <v>269</v>
      </c>
      <c r="M381">
        <v>862</v>
      </c>
      <c r="N381">
        <v>9.8800000000000008</v>
      </c>
      <c r="O381" t="s">
        <v>152</v>
      </c>
      <c r="P381" t="s">
        <v>145</v>
      </c>
      <c r="Q381">
        <v>1</v>
      </c>
      <c r="R381">
        <v>550</v>
      </c>
      <c r="S381">
        <v>584</v>
      </c>
      <c r="T381">
        <v>9.17</v>
      </c>
      <c r="U381">
        <v>9.73</v>
      </c>
      <c r="V381">
        <v>34</v>
      </c>
      <c r="W381">
        <v>94.18</v>
      </c>
      <c r="X381" t="s">
        <v>174</v>
      </c>
    </row>
    <row r="382" spans="1:24" x14ac:dyDescent="0.3">
      <c r="A382">
        <v>8378563200</v>
      </c>
      <c r="B382" s="1">
        <v>42487</v>
      </c>
      <c r="C382">
        <v>7359</v>
      </c>
      <c r="D382">
        <v>5.8400001525878897</v>
      </c>
      <c r="E382">
        <v>4</v>
      </c>
      <c r="F382">
        <v>4</v>
      </c>
      <c r="G382">
        <v>192</v>
      </c>
      <c r="H382">
        <v>676</v>
      </c>
      <c r="I382">
        <v>3061</v>
      </c>
      <c r="J382" t="s">
        <v>146</v>
      </c>
      <c r="K382" t="s">
        <v>141</v>
      </c>
      <c r="L382">
        <v>200</v>
      </c>
      <c r="M382">
        <v>876</v>
      </c>
      <c r="N382">
        <v>11.27</v>
      </c>
      <c r="O382" t="s">
        <v>144</v>
      </c>
      <c r="P382" t="s">
        <v>143</v>
      </c>
      <c r="Q382">
        <v>1</v>
      </c>
      <c r="R382">
        <v>531</v>
      </c>
      <c r="S382">
        <v>600</v>
      </c>
      <c r="T382">
        <v>8.85</v>
      </c>
      <c r="U382">
        <v>10</v>
      </c>
      <c r="V382">
        <v>69</v>
      </c>
      <c r="W382">
        <v>88.5</v>
      </c>
      <c r="X382" t="s">
        <v>175</v>
      </c>
    </row>
    <row r="383" spans="1:24" x14ac:dyDescent="0.3">
      <c r="A383">
        <v>8378563200</v>
      </c>
      <c r="B383" s="1">
        <v>42488</v>
      </c>
      <c r="C383">
        <v>5417</v>
      </c>
      <c r="D383">
        <v>4.3000001907348597</v>
      </c>
      <c r="E383">
        <v>11</v>
      </c>
      <c r="F383">
        <v>10</v>
      </c>
      <c r="G383">
        <v>139</v>
      </c>
      <c r="H383">
        <v>711</v>
      </c>
      <c r="I383">
        <v>2884</v>
      </c>
      <c r="J383" t="s">
        <v>154</v>
      </c>
      <c r="K383" t="s">
        <v>141</v>
      </c>
      <c r="L383">
        <v>160</v>
      </c>
      <c r="M383">
        <v>871</v>
      </c>
      <c r="N383">
        <v>11.85</v>
      </c>
      <c r="O383" t="s">
        <v>144</v>
      </c>
      <c r="P383" t="s">
        <v>143</v>
      </c>
      <c r="Q383">
        <v>1</v>
      </c>
      <c r="R383">
        <v>506</v>
      </c>
      <c r="S383">
        <v>556</v>
      </c>
      <c r="T383">
        <v>8.43</v>
      </c>
      <c r="U383">
        <v>9.27</v>
      </c>
      <c r="V383">
        <v>50</v>
      </c>
      <c r="W383">
        <v>91.01</v>
      </c>
      <c r="X383" t="s">
        <v>175</v>
      </c>
    </row>
    <row r="384" spans="1:24" x14ac:dyDescent="0.3">
      <c r="A384">
        <v>8378563200</v>
      </c>
      <c r="B384" s="1">
        <v>42489</v>
      </c>
      <c r="C384">
        <v>6175</v>
      </c>
      <c r="D384">
        <v>4.9000000953674299</v>
      </c>
      <c r="E384">
        <v>3</v>
      </c>
      <c r="F384">
        <v>7</v>
      </c>
      <c r="G384">
        <v>172</v>
      </c>
      <c r="H384">
        <v>767</v>
      </c>
      <c r="I384">
        <v>2982</v>
      </c>
      <c r="J384" t="s">
        <v>149</v>
      </c>
      <c r="K384" t="s">
        <v>141</v>
      </c>
      <c r="L384">
        <v>182</v>
      </c>
      <c r="M384">
        <v>949</v>
      </c>
      <c r="N384">
        <v>12.78</v>
      </c>
      <c r="O384" t="s">
        <v>144</v>
      </c>
      <c r="P384" t="s">
        <v>143</v>
      </c>
      <c r="Q384">
        <v>1</v>
      </c>
      <c r="R384">
        <v>527</v>
      </c>
      <c r="S384">
        <v>562</v>
      </c>
      <c r="T384">
        <v>8.7799999999999994</v>
      </c>
      <c r="U384">
        <v>9.3699999999999992</v>
      </c>
      <c r="V384">
        <v>35</v>
      </c>
      <c r="W384">
        <v>93.77</v>
      </c>
      <c r="X384" t="s">
        <v>175</v>
      </c>
    </row>
    <row r="385" spans="1:24" x14ac:dyDescent="0.3">
      <c r="A385">
        <v>8378563200</v>
      </c>
      <c r="B385" s="1">
        <v>42490</v>
      </c>
      <c r="C385">
        <v>2946</v>
      </c>
      <c r="D385">
        <v>2.3399999141693102</v>
      </c>
      <c r="E385">
        <v>0</v>
      </c>
      <c r="F385">
        <v>0</v>
      </c>
      <c r="G385">
        <v>121</v>
      </c>
      <c r="H385">
        <v>780</v>
      </c>
      <c r="I385">
        <v>2660</v>
      </c>
      <c r="J385" t="s">
        <v>151</v>
      </c>
      <c r="K385" t="s">
        <v>141</v>
      </c>
      <c r="L385">
        <v>121</v>
      </c>
      <c r="M385">
        <v>901</v>
      </c>
      <c r="N385">
        <v>13</v>
      </c>
      <c r="O385" t="s">
        <v>142</v>
      </c>
      <c r="P385" t="s">
        <v>142</v>
      </c>
      <c r="Q385">
        <v>1</v>
      </c>
      <c r="R385">
        <v>468</v>
      </c>
      <c r="S385">
        <v>555</v>
      </c>
      <c r="T385">
        <v>7.8</v>
      </c>
      <c r="U385">
        <v>9.25</v>
      </c>
      <c r="V385">
        <v>87</v>
      </c>
      <c r="W385">
        <v>84.32</v>
      </c>
      <c r="X385" t="s">
        <v>175</v>
      </c>
    </row>
    <row r="386" spans="1:24" x14ac:dyDescent="0.3">
      <c r="A386">
        <v>8378563200</v>
      </c>
      <c r="B386" s="1">
        <v>42491</v>
      </c>
      <c r="C386">
        <v>11419</v>
      </c>
      <c r="D386">
        <v>9.0600004196166992</v>
      </c>
      <c r="E386">
        <v>71</v>
      </c>
      <c r="F386">
        <v>10</v>
      </c>
      <c r="G386">
        <v>127</v>
      </c>
      <c r="H386">
        <v>669</v>
      </c>
      <c r="I386">
        <v>3369</v>
      </c>
      <c r="J386" t="s">
        <v>153</v>
      </c>
      <c r="K386" t="s">
        <v>156</v>
      </c>
      <c r="L386">
        <v>208</v>
      </c>
      <c r="M386">
        <v>877</v>
      </c>
      <c r="N386">
        <v>11.15</v>
      </c>
      <c r="O386" t="s">
        <v>147</v>
      </c>
      <c r="P386" t="s">
        <v>145</v>
      </c>
      <c r="Q386">
        <v>1</v>
      </c>
      <c r="R386">
        <v>475</v>
      </c>
      <c r="S386">
        <v>539</v>
      </c>
      <c r="T386">
        <v>7.92</v>
      </c>
      <c r="U386">
        <v>8.98</v>
      </c>
      <c r="V386">
        <v>64</v>
      </c>
      <c r="W386">
        <v>88.13</v>
      </c>
      <c r="X386" t="s">
        <v>175</v>
      </c>
    </row>
    <row r="387" spans="1:24" x14ac:dyDescent="0.3">
      <c r="A387">
        <v>8378563200</v>
      </c>
      <c r="B387" s="1">
        <v>42492</v>
      </c>
      <c r="C387">
        <v>6064</v>
      </c>
      <c r="D387">
        <v>4.8099999427795401</v>
      </c>
      <c r="E387">
        <v>63</v>
      </c>
      <c r="F387">
        <v>4</v>
      </c>
      <c r="G387">
        <v>142</v>
      </c>
      <c r="H387">
        <v>802</v>
      </c>
      <c r="I387">
        <v>3491</v>
      </c>
      <c r="J387" t="s">
        <v>155</v>
      </c>
      <c r="K387" t="s">
        <v>156</v>
      </c>
      <c r="L387">
        <v>209</v>
      </c>
      <c r="M387">
        <v>1011</v>
      </c>
      <c r="N387">
        <v>13.37</v>
      </c>
      <c r="O387" t="s">
        <v>144</v>
      </c>
      <c r="P387" t="s">
        <v>145</v>
      </c>
      <c r="Q387">
        <v>1</v>
      </c>
      <c r="R387">
        <v>351</v>
      </c>
      <c r="S387">
        <v>385</v>
      </c>
      <c r="T387">
        <v>5.85</v>
      </c>
      <c r="U387">
        <v>6.42</v>
      </c>
      <c r="V387">
        <v>34</v>
      </c>
      <c r="W387">
        <v>91.17</v>
      </c>
      <c r="X387" t="s">
        <v>173</v>
      </c>
    </row>
    <row r="388" spans="1:24" x14ac:dyDescent="0.3">
      <c r="A388">
        <v>8378563200</v>
      </c>
      <c r="B388" s="1">
        <v>42493</v>
      </c>
      <c r="C388">
        <v>8712</v>
      </c>
      <c r="D388">
        <v>6.9099998474121103</v>
      </c>
      <c r="E388">
        <v>71</v>
      </c>
      <c r="F388">
        <v>20</v>
      </c>
      <c r="G388">
        <v>195</v>
      </c>
      <c r="H388">
        <v>822</v>
      </c>
      <c r="I388">
        <v>3784</v>
      </c>
      <c r="J388" t="s">
        <v>140</v>
      </c>
      <c r="K388" t="s">
        <v>156</v>
      </c>
      <c r="L388">
        <v>286</v>
      </c>
      <c r="M388">
        <v>1108</v>
      </c>
      <c r="N388">
        <v>13.7</v>
      </c>
      <c r="O388" t="s">
        <v>150</v>
      </c>
      <c r="P388" t="s">
        <v>145</v>
      </c>
      <c r="Q388">
        <v>1</v>
      </c>
      <c r="R388">
        <v>405</v>
      </c>
      <c r="S388">
        <v>429</v>
      </c>
      <c r="T388">
        <v>6.75</v>
      </c>
      <c r="U388">
        <v>7.15</v>
      </c>
      <c r="V388">
        <v>24</v>
      </c>
      <c r="W388">
        <v>94.41</v>
      </c>
      <c r="X388" t="s">
        <v>176</v>
      </c>
    </row>
    <row r="389" spans="1:24" x14ac:dyDescent="0.3">
      <c r="A389">
        <v>8378563200</v>
      </c>
      <c r="B389" s="1">
        <v>42494</v>
      </c>
      <c r="C389">
        <v>7875</v>
      </c>
      <c r="D389">
        <v>6.2399997711181596</v>
      </c>
      <c r="E389">
        <v>19</v>
      </c>
      <c r="F389">
        <v>10</v>
      </c>
      <c r="G389">
        <v>167</v>
      </c>
      <c r="H389">
        <v>680</v>
      </c>
      <c r="I389">
        <v>3110</v>
      </c>
      <c r="J389" t="s">
        <v>146</v>
      </c>
      <c r="K389" t="s">
        <v>156</v>
      </c>
      <c r="L389">
        <v>196</v>
      </c>
      <c r="M389">
        <v>876</v>
      </c>
      <c r="N389">
        <v>11.33</v>
      </c>
      <c r="O389" t="s">
        <v>150</v>
      </c>
      <c r="P389" t="s">
        <v>148</v>
      </c>
      <c r="Q389">
        <v>1</v>
      </c>
      <c r="R389">
        <v>441</v>
      </c>
      <c r="S389">
        <v>477</v>
      </c>
      <c r="T389">
        <v>7.35</v>
      </c>
      <c r="U389">
        <v>7.95</v>
      </c>
      <c r="V389">
        <v>36</v>
      </c>
      <c r="W389">
        <v>92.45</v>
      </c>
      <c r="X389" t="s">
        <v>175</v>
      </c>
    </row>
    <row r="390" spans="1:24" x14ac:dyDescent="0.3">
      <c r="A390">
        <v>8378563200</v>
      </c>
      <c r="B390" s="1">
        <v>42495</v>
      </c>
      <c r="C390">
        <v>8567</v>
      </c>
      <c r="D390">
        <v>6.78999996185303</v>
      </c>
      <c r="E390">
        <v>66</v>
      </c>
      <c r="F390">
        <v>3</v>
      </c>
      <c r="G390">
        <v>214</v>
      </c>
      <c r="H390">
        <v>764</v>
      </c>
      <c r="I390">
        <v>3783</v>
      </c>
      <c r="J390" t="s">
        <v>154</v>
      </c>
      <c r="K390" t="s">
        <v>156</v>
      </c>
      <c r="L390">
        <v>283</v>
      </c>
      <c r="M390">
        <v>1047</v>
      </c>
      <c r="N390">
        <v>12.73</v>
      </c>
      <c r="O390" t="s">
        <v>150</v>
      </c>
      <c r="P390" t="s">
        <v>145</v>
      </c>
      <c r="Q390">
        <v>1</v>
      </c>
      <c r="R390">
        <v>381</v>
      </c>
      <c r="S390">
        <v>417</v>
      </c>
      <c r="T390">
        <v>6.35</v>
      </c>
      <c r="U390">
        <v>6.95</v>
      </c>
      <c r="V390">
        <v>36</v>
      </c>
      <c r="W390">
        <v>91.37</v>
      </c>
      <c r="X390" t="s">
        <v>176</v>
      </c>
    </row>
    <row r="391" spans="1:24" x14ac:dyDescent="0.3">
      <c r="A391">
        <v>8378563200</v>
      </c>
      <c r="B391" s="1">
        <v>42496</v>
      </c>
      <c r="C391">
        <v>7045</v>
      </c>
      <c r="D391">
        <v>5.5900001525878897</v>
      </c>
      <c r="E391">
        <v>74</v>
      </c>
      <c r="F391">
        <v>5</v>
      </c>
      <c r="G391">
        <v>166</v>
      </c>
      <c r="H391">
        <v>831</v>
      </c>
      <c r="I391">
        <v>3644</v>
      </c>
      <c r="J391" t="s">
        <v>149</v>
      </c>
      <c r="K391" t="s">
        <v>156</v>
      </c>
      <c r="L391">
        <v>245</v>
      </c>
      <c r="M391">
        <v>1076</v>
      </c>
      <c r="N391">
        <v>13.85</v>
      </c>
      <c r="O391" t="s">
        <v>144</v>
      </c>
      <c r="P391" t="s">
        <v>145</v>
      </c>
      <c r="Q391">
        <v>1</v>
      </c>
      <c r="R391">
        <v>323</v>
      </c>
      <c r="S391">
        <v>355</v>
      </c>
      <c r="T391">
        <v>5.38</v>
      </c>
      <c r="U391">
        <v>5.92</v>
      </c>
      <c r="V391">
        <v>32</v>
      </c>
      <c r="W391">
        <v>90.99</v>
      </c>
      <c r="X391" t="s">
        <v>173</v>
      </c>
    </row>
    <row r="392" spans="1:24" x14ac:dyDescent="0.3">
      <c r="A392">
        <v>8378563200</v>
      </c>
      <c r="B392" s="1">
        <v>42497</v>
      </c>
      <c r="C392">
        <v>4468</v>
      </c>
      <c r="D392">
        <v>3.53999996185303</v>
      </c>
      <c r="E392">
        <v>0</v>
      </c>
      <c r="F392">
        <v>0</v>
      </c>
      <c r="G392">
        <v>158</v>
      </c>
      <c r="H392">
        <v>851</v>
      </c>
      <c r="I392">
        <v>2799</v>
      </c>
      <c r="J392" t="s">
        <v>151</v>
      </c>
      <c r="K392" t="s">
        <v>156</v>
      </c>
      <c r="L392">
        <v>158</v>
      </c>
      <c r="M392">
        <v>1009</v>
      </c>
      <c r="N392">
        <v>14.18</v>
      </c>
      <c r="O392" t="s">
        <v>142</v>
      </c>
      <c r="P392" t="s">
        <v>142</v>
      </c>
      <c r="Q392">
        <v>2</v>
      </c>
      <c r="R392">
        <v>459</v>
      </c>
      <c r="S392">
        <v>513</v>
      </c>
      <c r="T392">
        <v>7.65</v>
      </c>
      <c r="U392">
        <v>8.5500000000000007</v>
      </c>
      <c r="V392">
        <v>54</v>
      </c>
      <c r="W392">
        <v>89.47</v>
      </c>
      <c r="X392" t="s">
        <v>175</v>
      </c>
    </row>
    <row r="393" spans="1:24" x14ac:dyDescent="0.3">
      <c r="A393">
        <v>8378563200</v>
      </c>
      <c r="B393" s="1">
        <v>42498</v>
      </c>
      <c r="C393">
        <v>2943</v>
      </c>
      <c r="D393">
        <v>2.3299999237060498</v>
      </c>
      <c r="E393">
        <v>0</v>
      </c>
      <c r="F393">
        <v>0</v>
      </c>
      <c r="G393">
        <v>139</v>
      </c>
      <c r="H393">
        <v>621</v>
      </c>
      <c r="I393">
        <v>2685</v>
      </c>
      <c r="J393" t="s">
        <v>153</v>
      </c>
      <c r="K393" t="s">
        <v>156</v>
      </c>
      <c r="L393">
        <v>139</v>
      </c>
      <c r="M393">
        <v>760</v>
      </c>
      <c r="N393">
        <v>10.35</v>
      </c>
      <c r="O393" t="s">
        <v>142</v>
      </c>
      <c r="P393" t="s">
        <v>142</v>
      </c>
      <c r="Q393">
        <v>1</v>
      </c>
      <c r="R393">
        <v>545</v>
      </c>
      <c r="S393">
        <v>606</v>
      </c>
      <c r="T393">
        <v>9.08</v>
      </c>
      <c r="U393">
        <v>10.1</v>
      </c>
      <c r="V393">
        <v>61</v>
      </c>
      <c r="W393">
        <v>89.93</v>
      </c>
      <c r="X393" t="s">
        <v>174</v>
      </c>
    </row>
    <row r="394" spans="1:24" x14ac:dyDescent="0.3">
      <c r="A394">
        <v>8378563200</v>
      </c>
      <c r="B394" s="1">
        <v>42499</v>
      </c>
      <c r="C394">
        <v>8382</v>
      </c>
      <c r="D394">
        <v>6.6500000953674299</v>
      </c>
      <c r="E394">
        <v>71</v>
      </c>
      <c r="F394">
        <v>13</v>
      </c>
      <c r="G394">
        <v>171</v>
      </c>
      <c r="H394">
        <v>772</v>
      </c>
      <c r="I394">
        <v>3721</v>
      </c>
      <c r="J394" t="s">
        <v>155</v>
      </c>
      <c r="K394" t="s">
        <v>156</v>
      </c>
      <c r="L394">
        <v>255</v>
      </c>
      <c r="M394">
        <v>1027</v>
      </c>
      <c r="N394">
        <v>12.87</v>
      </c>
      <c r="O394" t="s">
        <v>150</v>
      </c>
      <c r="P394" t="s">
        <v>145</v>
      </c>
      <c r="Q394">
        <v>1</v>
      </c>
      <c r="R394">
        <v>359</v>
      </c>
      <c r="S394">
        <v>399</v>
      </c>
      <c r="T394">
        <v>5.98</v>
      </c>
      <c r="U394">
        <v>6.65</v>
      </c>
      <c r="V394">
        <v>40</v>
      </c>
      <c r="W394">
        <v>89.97</v>
      </c>
      <c r="X394" t="s">
        <v>173</v>
      </c>
    </row>
    <row r="395" spans="1:24" x14ac:dyDescent="0.3">
      <c r="A395">
        <v>8378563200</v>
      </c>
      <c r="B395" s="1">
        <v>42500</v>
      </c>
      <c r="C395">
        <v>6582</v>
      </c>
      <c r="D395">
        <v>5.2199997901916504</v>
      </c>
      <c r="E395">
        <v>63</v>
      </c>
      <c r="F395">
        <v>13</v>
      </c>
      <c r="G395">
        <v>152</v>
      </c>
      <c r="H395">
        <v>840</v>
      </c>
      <c r="I395">
        <v>3586</v>
      </c>
      <c r="J395" t="s">
        <v>140</v>
      </c>
      <c r="K395" t="s">
        <v>156</v>
      </c>
      <c r="L395">
        <v>228</v>
      </c>
      <c r="M395">
        <v>1068</v>
      </c>
      <c r="N395">
        <v>14</v>
      </c>
      <c r="O395" t="s">
        <v>144</v>
      </c>
      <c r="P395" t="s">
        <v>145</v>
      </c>
      <c r="Q395">
        <v>1</v>
      </c>
      <c r="R395">
        <v>342</v>
      </c>
      <c r="S395">
        <v>391</v>
      </c>
      <c r="T395">
        <v>5.7</v>
      </c>
      <c r="U395">
        <v>6.52</v>
      </c>
      <c r="V395">
        <v>49</v>
      </c>
      <c r="W395">
        <v>87.47</v>
      </c>
      <c r="X395" t="s">
        <v>173</v>
      </c>
    </row>
    <row r="396" spans="1:24" x14ac:dyDescent="0.3">
      <c r="A396">
        <v>8378563200</v>
      </c>
      <c r="B396" s="1">
        <v>42501</v>
      </c>
      <c r="C396">
        <v>9143</v>
      </c>
      <c r="D396">
        <v>7.25</v>
      </c>
      <c r="E396">
        <v>72</v>
      </c>
      <c r="F396">
        <v>10</v>
      </c>
      <c r="G396">
        <v>184</v>
      </c>
      <c r="H396">
        <v>763</v>
      </c>
      <c r="I396">
        <v>3788</v>
      </c>
      <c r="J396" t="s">
        <v>146</v>
      </c>
      <c r="K396" t="s">
        <v>156</v>
      </c>
      <c r="L396">
        <v>266</v>
      </c>
      <c r="M396">
        <v>1029</v>
      </c>
      <c r="N396">
        <v>12.72</v>
      </c>
      <c r="O396" t="s">
        <v>150</v>
      </c>
      <c r="P396" t="s">
        <v>145</v>
      </c>
      <c r="Q396">
        <v>1</v>
      </c>
      <c r="R396">
        <v>368</v>
      </c>
      <c r="S396">
        <v>387</v>
      </c>
      <c r="T396">
        <v>6.13</v>
      </c>
      <c r="U396">
        <v>6.45</v>
      </c>
      <c r="V396">
        <v>19</v>
      </c>
      <c r="W396">
        <v>95.09</v>
      </c>
      <c r="X396" t="s">
        <v>176</v>
      </c>
    </row>
    <row r="397" spans="1:24" x14ac:dyDescent="0.3">
      <c r="A397">
        <v>8378563200</v>
      </c>
      <c r="B397" s="1">
        <v>42502</v>
      </c>
      <c r="C397">
        <v>4561</v>
      </c>
      <c r="D397">
        <v>3.6199998855590798</v>
      </c>
      <c r="E397">
        <v>8</v>
      </c>
      <c r="F397">
        <v>6</v>
      </c>
      <c r="G397">
        <v>102</v>
      </c>
      <c r="H397">
        <v>433</v>
      </c>
      <c r="I397">
        <v>1976</v>
      </c>
      <c r="J397" t="s">
        <v>154</v>
      </c>
      <c r="K397" t="s">
        <v>156</v>
      </c>
      <c r="L397">
        <v>116</v>
      </c>
      <c r="M397">
        <v>549</v>
      </c>
      <c r="N397">
        <v>7.22</v>
      </c>
      <c r="O397" t="s">
        <v>142</v>
      </c>
      <c r="P397" t="s">
        <v>143</v>
      </c>
      <c r="Q397">
        <v>1</v>
      </c>
      <c r="R397">
        <v>496</v>
      </c>
      <c r="S397">
        <v>546</v>
      </c>
      <c r="T397">
        <v>8.27</v>
      </c>
      <c r="U397">
        <v>9.1</v>
      </c>
      <c r="V397">
        <v>50</v>
      </c>
      <c r="W397">
        <v>90.84</v>
      </c>
      <c r="X397" t="s">
        <v>175</v>
      </c>
    </row>
    <row r="398" spans="1:24" x14ac:dyDescent="0.3">
      <c r="A398">
        <v>8792009665</v>
      </c>
      <c r="B398" s="1">
        <v>42473</v>
      </c>
      <c r="C398">
        <v>1320</v>
      </c>
      <c r="D398">
        <v>0.83999997377395597</v>
      </c>
      <c r="E398">
        <v>0</v>
      </c>
      <c r="F398">
        <v>0</v>
      </c>
      <c r="G398">
        <v>82</v>
      </c>
      <c r="H398">
        <v>806</v>
      </c>
      <c r="I398">
        <v>1934</v>
      </c>
      <c r="J398" t="s">
        <v>146</v>
      </c>
      <c r="K398" t="s">
        <v>141</v>
      </c>
      <c r="L398">
        <v>82</v>
      </c>
      <c r="M398">
        <v>888</v>
      </c>
      <c r="N398">
        <v>13.43</v>
      </c>
      <c r="O398" t="s">
        <v>142</v>
      </c>
      <c r="P398" t="s">
        <v>142</v>
      </c>
      <c r="Q398">
        <v>1</v>
      </c>
      <c r="R398">
        <v>531</v>
      </c>
      <c r="S398">
        <v>552</v>
      </c>
      <c r="T398">
        <v>8.85</v>
      </c>
      <c r="U398">
        <v>9.1999999999999993</v>
      </c>
      <c r="V398">
        <v>21</v>
      </c>
      <c r="W398">
        <v>96.2</v>
      </c>
      <c r="X398" t="s">
        <v>175</v>
      </c>
    </row>
    <row r="399" spans="1:24" x14ac:dyDescent="0.3">
      <c r="A399">
        <v>8792009665</v>
      </c>
      <c r="B399" s="1">
        <v>42474</v>
      </c>
      <c r="C399">
        <v>1219</v>
      </c>
      <c r="D399">
        <v>0.77999997138977095</v>
      </c>
      <c r="E399">
        <v>0</v>
      </c>
      <c r="F399">
        <v>0</v>
      </c>
      <c r="G399">
        <v>84</v>
      </c>
      <c r="H399">
        <v>853</v>
      </c>
      <c r="I399">
        <v>1963</v>
      </c>
      <c r="J399" t="s">
        <v>154</v>
      </c>
      <c r="K399" t="s">
        <v>141</v>
      </c>
      <c r="L399">
        <v>84</v>
      </c>
      <c r="M399">
        <v>937</v>
      </c>
      <c r="N399">
        <v>14.22</v>
      </c>
      <c r="O399" t="s">
        <v>142</v>
      </c>
      <c r="P399" t="s">
        <v>142</v>
      </c>
      <c r="Q399">
        <v>1</v>
      </c>
      <c r="R399">
        <v>486</v>
      </c>
      <c r="S399">
        <v>503</v>
      </c>
      <c r="T399">
        <v>8.1</v>
      </c>
      <c r="U399">
        <v>8.3800000000000008</v>
      </c>
      <c r="V399">
        <v>17</v>
      </c>
      <c r="W399">
        <v>96.62</v>
      </c>
      <c r="X399" t="s">
        <v>175</v>
      </c>
    </row>
    <row r="400" spans="1:24" x14ac:dyDescent="0.3">
      <c r="A400">
        <v>8792009665</v>
      </c>
      <c r="B400" s="1">
        <v>42475</v>
      </c>
      <c r="C400">
        <v>2483</v>
      </c>
      <c r="D400">
        <v>1.5900000333786</v>
      </c>
      <c r="E400">
        <v>0</v>
      </c>
      <c r="F400">
        <v>0</v>
      </c>
      <c r="G400">
        <v>126</v>
      </c>
      <c r="H400">
        <v>937</v>
      </c>
      <c r="I400">
        <v>2009</v>
      </c>
      <c r="J400" t="s">
        <v>149</v>
      </c>
      <c r="K400" t="s">
        <v>141</v>
      </c>
      <c r="L400">
        <v>126</v>
      </c>
      <c r="M400">
        <v>1063</v>
      </c>
      <c r="N400">
        <v>15.62</v>
      </c>
      <c r="O400" t="s">
        <v>142</v>
      </c>
      <c r="P400" t="s">
        <v>142</v>
      </c>
      <c r="Q400">
        <v>1</v>
      </c>
      <c r="R400">
        <v>363</v>
      </c>
      <c r="S400">
        <v>377</v>
      </c>
      <c r="T400">
        <v>6.05</v>
      </c>
      <c r="U400">
        <v>6.28</v>
      </c>
      <c r="V400">
        <v>14</v>
      </c>
      <c r="W400">
        <v>96.29</v>
      </c>
      <c r="X400" t="s">
        <v>176</v>
      </c>
    </row>
    <row r="401" spans="1:24" x14ac:dyDescent="0.3">
      <c r="A401">
        <v>8792009665</v>
      </c>
      <c r="B401" s="1">
        <v>42480</v>
      </c>
      <c r="C401">
        <v>3147</v>
      </c>
      <c r="D401">
        <v>2.0099999904632599</v>
      </c>
      <c r="E401">
        <v>0</v>
      </c>
      <c r="F401">
        <v>10</v>
      </c>
      <c r="G401">
        <v>139</v>
      </c>
      <c r="H401">
        <v>744</v>
      </c>
      <c r="I401">
        <v>2188</v>
      </c>
      <c r="J401" t="s">
        <v>146</v>
      </c>
      <c r="K401" t="s">
        <v>141</v>
      </c>
      <c r="L401">
        <v>149</v>
      </c>
      <c r="M401">
        <v>893</v>
      </c>
      <c r="N401">
        <v>12.4</v>
      </c>
      <c r="O401" t="s">
        <v>142</v>
      </c>
      <c r="P401" t="s">
        <v>142</v>
      </c>
      <c r="Q401">
        <v>1</v>
      </c>
      <c r="R401">
        <v>528</v>
      </c>
      <c r="S401">
        <v>547</v>
      </c>
      <c r="T401">
        <v>8.8000000000000007</v>
      </c>
      <c r="U401">
        <v>9.1199999999999992</v>
      </c>
      <c r="V401">
        <v>19</v>
      </c>
      <c r="W401">
        <v>96.53</v>
      </c>
      <c r="X401" t="s">
        <v>175</v>
      </c>
    </row>
    <row r="402" spans="1:24" x14ac:dyDescent="0.3">
      <c r="A402">
        <v>8792009665</v>
      </c>
      <c r="B402" s="1">
        <v>42482</v>
      </c>
      <c r="C402">
        <v>4068</v>
      </c>
      <c r="D402">
        <v>2.5999999046325701</v>
      </c>
      <c r="E402">
        <v>1</v>
      </c>
      <c r="F402">
        <v>20</v>
      </c>
      <c r="G402">
        <v>195</v>
      </c>
      <c r="H402">
        <v>817</v>
      </c>
      <c r="I402">
        <v>2419</v>
      </c>
      <c r="J402" t="s">
        <v>149</v>
      </c>
      <c r="K402" t="s">
        <v>141</v>
      </c>
      <c r="L402">
        <v>216</v>
      </c>
      <c r="M402">
        <v>1033</v>
      </c>
      <c r="N402">
        <v>13.62</v>
      </c>
      <c r="O402" t="s">
        <v>142</v>
      </c>
      <c r="P402" t="s">
        <v>143</v>
      </c>
      <c r="Q402">
        <v>1</v>
      </c>
      <c r="R402">
        <v>391</v>
      </c>
      <c r="S402">
        <v>407</v>
      </c>
      <c r="T402">
        <v>6.52</v>
      </c>
      <c r="U402">
        <v>6.78</v>
      </c>
      <c r="V402">
        <v>16</v>
      </c>
      <c r="W402">
        <v>96.07</v>
      </c>
      <c r="X402" t="s">
        <v>176</v>
      </c>
    </row>
    <row r="403" spans="1:24" x14ac:dyDescent="0.3">
      <c r="A403">
        <v>8792009665</v>
      </c>
      <c r="B403" s="1">
        <v>42483</v>
      </c>
      <c r="C403">
        <v>5245</v>
      </c>
      <c r="D403">
        <v>3.3599998950958301</v>
      </c>
      <c r="E403">
        <v>8</v>
      </c>
      <c r="F403">
        <v>45</v>
      </c>
      <c r="G403">
        <v>232</v>
      </c>
      <c r="H403">
        <v>795</v>
      </c>
      <c r="I403">
        <v>2748</v>
      </c>
      <c r="J403" t="s">
        <v>151</v>
      </c>
      <c r="K403" t="s">
        <v>141</v>
      </c>
      <c r="L403">
        <v>285</v>
      </c>
      <c r="M403">
        <v>1080</v>
      </c>
      <c r="N403">
        <v>13.25</v>
      </c>
      <c r="O403" t="s">
        <v>144</v>
      </c>
      <c r="P403" t="s">
        <v>143</v>
      </c>
      <c r="Q403">
        <v>1</v>
      </c>
      <c r="R403">
        <v>339</v>
      </c>
      <c r="S403">
        <v>360</v>
      </c>
      <c r="T403">
        <v>5.65</v>
      </c>
      <c r="U403">
        <v>6</v>
      </c>
      <c r="V403">
        <v>21</v>
      </c>
      <c r="W403">
        <v>94.17</v>
      </c>
      <c r="X403" t="s">
        <v>173</v>
      </c>
    </row>
    <row r="404" spans="1:24" x14ac:dyDescent="0.3">
      <c r="A404">
        <v>8792009665</v>
      </c>
      <c r="B404" s="1">
        <v>42487</v>
      </c>
      <c r="C404">
        <v>1758</v>
      </c>
      <c r="D404">
        <v>1.12999999523163</v>
      </c>
      <c r="E404">
        <v>0</v>
      </c>
      <c r="F404">
        <v>0</v>
      </c>
      <c r="G404">
        <v>112</v>
      </c>
      <c r="H404">
        <v>900</v>
      </c>
      <c r="I404">
        <v>2067</v>
      </c>
      <c r="J404" t="s">
        <v>146</v>
      </c>
      <c r="K404" t="s">
        <v>141</v>
      </c>
      <c r="L404">
        <v>112</v>
      </c>
      <c r="M404">
        <v>1012</v>
      </c>
      <c r="N404">
        <v>15</v>
      </c>
      <c r="O404" t="s">
        <v>142</v>
      </c>
      <c r="P404" t="s">
        <v>142</v>
      </c>
      <c r="Q404">
        <v>1</v>
      </c>
      <c r="R404">
        <v>423</v>
      </c>
      <c r="S404">
        <v>428</v>
      </c>
      <c r="T404">
        <v>7.05</v>
      </c>
      <c r="U404">
        <v>7.13</v>
      </c>
      <c r="V404">
        <v>5</v>
      </c>
      <c r="W404">
        <v>98.83</v>
      </c>
      <c r="X404" t="s">
        <v>175</v>
      </c>
    </row>
    <row r="405" spans="1:24" x14ac:dyDescent="0.3">
      <c r="A405">
        <v>8792009665</v>
      </c>
      <c r="B405" s="1">
        <v>42488</v>
      </c>
      <c r="C405">
        <v>6157</v>
      </c>
      <c r="D405">
        <v>3.9400000572204599</v>
      </c>
      <c r="E405">
        <v>0</v>
      </c>
      <c r="F405">
        <v>0</v>
      </c>
      <c r="G405">
        <v>310</v>
      </c>
      <c r="H405">
        <v>714</v>
      </c>
      <c r="I405">
        <v>2780</v>
      </c>
      <c r="J405" t="s">
        <v>154</v>
      </c>
      <c r="K405" t="s">
        <v>141</v>
      </c>
      <c r="L405">
        <v>310</v>
      </c>
      <c r="M405">
        <v>1024</v>
      </c>
      <c r="N405">
        <v>11.9</v>
      </c>
      <c r="O405" t="s">
        <v>144</v>
      </c>
      <c r="P405" t="s">
        <v>142</v>
      </c>
      <c r="Q405">
        <v>1</v>
      </c>
      <c r="R405">
        <v>402</v>
      </c>
      <c r="S405">
        <v>416</v>
      </c>
      <c r="T405">
        <v>6.7</v>
      </c>
      <c r="U405">
        <v>6.93</v>
      </c>
      <c r="V405">
        <v>14</v>
      </c>
      <c r="W405">
        <v>96.63</v>
      </c>
      <c r="X405" t="s">
        <v>176</v>
      </c>
    </row>
    <row r="406" spans="1:24" x14ac:dyDescent="0.3">
      <c r="A406">
        <v>8792009665</v>
      </c>
      <c r="B406" s="1">
        <v>42489</v>
      </c>
      <c r="C406">
        <v>8360</v>
      </c>
      <c r="D406">
        <v>5.3499999046325701</v>
      </c>
      <c r="E406">
        <v>6</v>
      </c>
      <c r="F406">
        <v>14</v>
      </c>
      <c r="G406">
        <v>380</v>
      </c>
      <c r="H406">
        <v>634</v>
      </c>
      <c r="I406">
        <v>3101</v>
      </c>
      <c r="J406" t="s">
        <v>149</v>
      </c>
      <c r="K406" t="s">
        <v>141</v>
      </c>
      <c r="L406">
        <v>400</v>
      </c>
      <c r="M406">
        <v>1034</v>
      </c>
      <c r="N406">
        <v>10.57</v>
      </c>
      <c r="O406" t="s">
        <v>150</v>
      </c>
      <c r="P406" t="s">
        <v>143</v>
      </c>
      <c r="Q406">
        <v>1</v>
      </c>
      <c r="R406">
        <v>398</v>
      </c>
      <c r="S406">
        <v>406</v>
      </c>
      <c r="T406">
        <v>6.63</v>
      </c>
      <c r="U406">
        <v>6.77</v>
      </c>
      <c r="V406">
        <v>8</v>
      </c>
      <c r="W406">
        <v>98.03</v>
      </c>
      <c r="X406" t="s">
        <v>176</v>
      </c>
    </row>
    <row r="407" spans="1:24" x14ac:dyDescent="0.3">
      <c r="A407">
        <v>8792009665</v>
      </c>
      <c r="B407" s="1">
        <v>42490</v>
      </c>
      <c r="C407">
        <v>7174</v>
      </c>
      <c r="D407">
        <v>4.5900001525878897</v>
      </c>
      <c r="E407">
        <v>10</v>
      </c>
      <c r="F407">
        <v>20</v>
      </c>
      <c r="G407">
        <v>301</v>
      </c>
      <c r="H407">
        <v>749</v>
      </c>
      <c r="I407">
        <v>2896</v>
      </c>
      <c r="J407" t="s">
        <v>151</v>
      </c>
      <c r="K407" t="s">
        <v>141</v>
      </c>
      <c r="L407">
        <v>331</v>
      </c>
      <c r="M407">
        <v>1080</v>
      </c>
      <c r="N407">
        <v>12.48</v>
      </c>
      <c r="O407" t="s">
        <v>144</v>
      </c>
      <c r="P407" t="s">
        <v>143</v>
      </c>
      <c r="Q407">
        <v>1</v>
      </c>
      <c r="R407">
        <v>343</v>
      </c>
      <c r="S407">
        <v>360</v>
      </c>
      <c r="T407">
        <v>5.72</v>
      </c>
      <c r="U407">
        <v>6</v>
      </c>
      <c r="V407">
        <v>17</v>
      </c>
      <c r="W407">
        <v>95.28</v>
      </c>
      <c r="X407" t="s">
        <v>173</v>
      </c>
    </row>
    <row r="408" spans="1:24" x14ac:dyDescent="0.3">
      <c r="A408">
        <v>8792009665</v>
      </c>
      <c r="B408" s="1">
        <v>42491</v>
      </c>
      <c r="C408">
        <v>1619</v>
      </c>
      <c r="D408">
        <v>1.03999996185303</v>
      </c>
      <c r="E408">
        <v>0</v>
      </c>
      <c r="F408">
        <v>0</v>
      </c>
      <c r="G408">
        <v>79</v>
      </c>
      <c r="H408">
        <v>834</v>
      </c>
      <c r="I408">
        <v>1962</v>
      </c>
      <c r="J408" t="s">
        <v>153</v>
      </c>
      <c r="K408" t="s">
        <v>156</v>
      </c>
      <c r="L408">
        <v>79</v>
      </c>
      <c r="M408">
        <v>913</v>
      </c>
      <c r="N408">
        <v>13.9</v>
      </c>
      <c r="O408" t="s">
        <v>142</v>
      </c>
      <c r="P408" t="s">
        <v>142</v>
      </c>
      <c r="Q408">
        <v>1</v>
      </c>
      <c r="R408">
        <v>503</v>
      </c>
      <c r="S408">
        <v>527</v>
      </c>
      <c r="T408">
        <v>8.3800000000000008</v>
      </c>
      <c r="U408">
        <v>8.7799999999999994</v>
      </c>
      <c r="V408">
        <v>24</v>
      </c>
      <c r="W408">
        <v>95.45</v>
      </c>
      <c r="X408" t="s">
        <v>175</v>
      </c>
    </row>
    <row r="409" spans="1:24" x14ac:dyDescent="0.3">
      <c r="A409">
        <v>8792009665</v>
      </c>
      <c r="B409" s="1">
        <v>42492</v>
      </c>
      <c r="C409">
        <v>1831</v>
      </c>
      <c r="D409">
        <v>1.16999995708466</v>
      </c>
      <c r="E409">
        <v>0</v>
      </c>
      <c r="F409">
        <v>0</v>
      </c>
      <c r="G409">
        <v>101</v>
      </c>
      <c r="H409">
        <v>916</v>
      </c>
      <c r="I409">
        <v>2015</v>
      </c>
      <c r="J409" t="s">
        <v>155</v>
      </c>
      <c r="K409" t="s">
        <v>156</v>
      </c>
      <c r="L409">
        <v>101</v>
      </c>
      <c r="M409">
        <v>1017</v>
      </c>
      <c r="N409">
        <v>15.27</v>
      </c>
      <c r="O409" t="s">
        <v>142</v>
      </c>
      <c r="P409" t="s">
        <v>142</v>
      </c>
      <c r="Q409">
        <v>1</v>
      </c>
      <c r="R409">
        <v>415</v>
      </c>
      <c r="S409">
        <v>423</v>
      </c>
      <c r="T409">
        <v>6.92</v>
      </c>
      <c r="U409">
        <v>7.05</v>
      </c>
      <c r="V409">
        <v>8</v>
      </c>
      <c r="W409">
        <v>98.11</v>
      </c>
      <c r="X409" t="s">
        <v>176</v>
      </c>
    </row>
    <row r="410" spans="1:24" x14ac:dyDescent="0.3">
      <c r="A410">
        <v>8792009665</v>
      </c>
      <c r="B410" s="1">
        <v>42493</v>
      </c>
      <c r="C410">
        <v>2421</v>
      </c>
      <c r="D410">
        <v>1.54999995231628</v>
      </c>
      <c r="E410">
        <v>0</v>
      </c>
      <c r="F410">
        <v>0</v>
      </c>
      <c r="G410">
        <v>156</v>
      </c>
      <c r="H410">
        <v>739</v>
      </c>
      <c r="I410">
        <v>2297</v>
      </c>
      <c r="J410" t="s">
        <v>140</v>
      </c>
      <c r="K410" t="s">
        <v>156</v>
      </c>
      <c r="L410">
        <v>156</v>
      </c>
      <c r="M410">
        <v>895</v>
      </c>
      <c r="N410">
        <v>12.32</v>
      </c>
      <c r="O410" t="s">
        <v>142</v>
      </c>
      <c r="P410" t="s">
        <v>142</v>
      </c>
      <c r="Q410">
        <v>1</v>
      </c>
      <c r="R410">
        <v>516</v>
      </c>
      <c r="S410">
        <v>545</v>
      </c>
      <c r="T410">
        <v>8.6</v>
      </c>
      <c r="U410">
        <v>9.08</v>
      </c>
      <c r="V410">
        <v>29</v>
      </c>
      <c r="W410">
        <v>94.68</v>
      </c>
      <c r="X410" t="s">
        <v>175</v>
      </c>
    </row>
    <row r="411" spans="1:24" x14ac:dyDescent="0.3">
      <c r="A411">
        <v>8792009665</v>
      </c>
      <c r="B411" s="1">
        <v>42494</v>
      </c>
      <c r="C411">
        <v>2283</v>
      </c>
      <c r="D411">
        <v>1.46000003814697</v>
      </c>
      <c r="E411">
        <v>0</v>
      </c>
      <c r="F411">
        <v>0</v>
      </c>
      <c r="G411">
        <v>129</v>
      </c>
      <c r="H411">
        <v>848</v>
      </c>
      <c r="I411">
        <v>2067</v>
      </c>
      <c r="J411" t="s">
        <v>146</v>
      </c>
      <c r="K411" t="s">
        <v>156</v>
      </c>
      <c r="L411">
        <v>129</v>
      </c>
      <c r="M411">
        <v>977</v>
      </c>
      <c r="N411">
        <v>14.13</v>
      </c>
      <c r="O411" t="s">
        <v>142</v>
      </c>
      <c r="P411" t="s">
        <v>142</v>
      </c>
      <c r="Q411">
        <v>1</v>
      </c>
      <c r="R411">
        <v>439</v>
      </c>
      <c r="S411">
        <v>463</v>
      </c>
      <c r="T411">
        <v>7.32</v>
      </c>
      <c r="U411">
        <v>7.72</v>
      </c>
      <c r="V411">
        <v>24</v>
      </c>
      <c r="W411">
        <v>94.82</v>
      </c>
      <c r="X411" t="s">
        <v>175</v>
      </c>
    </row>
    <row r="1047613" spans="1:14" x14ac:dyDescent="0.3">
      <c r="A1047613">
        <v>2047934846796</v>
      </c>
      <c r="C1047613">
        <v>3417010</v>
      </c>
      <c r="D1047613">
        <v>2413.3200026154518</v>
      </c>
      <c r="E1047613">
        <v>10115</v>
      </c>
      <c r="F1047613">
        <v>7281</v>
      </c>
      <c r="G1047613">
        <v>86687</v>
      </c>
      <c r="H1047613">
        <v>286677</v>
      </c>
      <c r="I1047613">
        <v>959062</v>
      </c>
      <c r="L1047613">
        <v>104083</v>
      </c>
      <c r="M1047613">
        <v>390760</v>
      </c>
      <c r="N1047613">
        <v>4777.8699999999963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424B-0716-49C0-B644-36CC3D1BB03A}">
  <dimension ref="A1:J10"/>
  <sheetViews>
    <sheetView topLeftCell="C6" zoomScale="130" zoomScaleNormal="130" workbookViewId="0">
      <selection activeCell="I10" sqref="I10"/>
    </sheetView>
  </sheetViews>
  <sheetFormatPr defaultRowHeight="14.4" x14ac:dyDescent="0.3"/>
  <cols>
    <col min="1" max="1" width="3.33203125" customWidth="1"/>
    <col min="2" max="2" width="12.5546875" customWidth="1"/>
    <col min="3" max="3" width="19.21875" customWidth="1"/>
    <col min="4" max="4" width="17.5546875" customWidth="1"/>
    <col min="5" max="5" width="28.109375" customWidth="1"/>
    <col min="6" max="6" width="29" customWidth="1"/>
    <col min="7" max="7" width="25.77734375" customWidth="1"/>
    <col min="8" max="8" width="14.21875" customWidth="1"/>
    <col min="9" max="9" width="19.109375" customWidth="1"/>
  </cols>
  <sheetData>
    <row r="1" spans="1:10" x14ac:dyDescent="0.3">
      <c r="A1" s="3" t="s">
        <v>32</v>
      </c>
      <c r="B1" s="3" t="s">
        <v>31</v>
      </c>
      <c r="C1" s="3" t="s">
        <v>33</v>
      </c>
      <c r="D1" s="3" t="s">
        <v>34</v>
      </c>
      <c r="E1" s="3" t="s">
        <v>35</v>
      </c>
      <c r="F1" s="3" t="s">
        <v>36</v>
      </c>
      <c r="G1" s="3" t="s">
        <v>37</v>
      </c>
      <c r="H1" s="3" t="s">
        <v>38</v>
      </c>
      <c r="I1" s="3" t="s">
        <v>39</v>
      </c>
      <c r="J1" s="3"/>
    </row>
    <row r="2" spans="1:10" ht="52.2" customHeight="1" x14ac:dyDescent="0.3">
      <c r="A2" s="11">
        <v>1</v>
      </c>
      <c r="B2" s="12">
        <v>46214</v>
      </c>
      <c r="C2" s="11" t="s">
        <v>49</v>
      </c>
      <c r="D2" s="11" t="s">
        <v>1</v>
      </c>
      <c r="E2" s="9" t="s">
        <v>50</v>
      </c>
      <c r="F2" s="9" t="s">
        <v>51</v>
      </c>
      <c r="G2" s="9" t="s">
        <v>52</v>
      </c>
      <c r="H2" s="11">
        <v>940</v>
      </c>
      <c r="I2" s="11" t="s">
        <v>53</v>
      </c>
    </row>
    <row r="3" spans="1:10" ht="43.2" x14ac:dyDescent="0.3">
      <c r="A3">
        <v>2</v>
      </c>
      <c r="B3" s="12">
        <v>46214</v>
      </c>
      <c r="C3" s="11" t="s">
        <v>54</v>
      </c>
      <c r="D3" s="11" t="s">
        <v>1</v>
      </c>
      <c r="E3" s="9" t="s">
        <v>50</v>
      </c>
      <c r="F3" s="9" t="s">
        <v>51</v>
      </c>
      <c r="G3" s="9" t="s">
        <v>52</v>
      </c>
      <c r="H3" s="11">
        <v>457</v>
      </c>
      <c r="I3" s="11" t="s">
        <v>53</v>
      </c>
    </row>
    <row r="4" spans="1:10" ht="43.2" x14ac:dyDescent="0.3">
      <c r="A4">
        <v>3</v>
      </c>
      <c r="B4" s="12">
        <v>46214</v>
      </c>
      <c r="C4" s="11" t="s">
        <v>55</v>
      </c>
      <c r="D4" s="11" t="s">
        <v>15</v>
      </c>
      <c r="E4" s="9" t="s">
        <v>50</v>
      </c>
      <c r="F4" s="9" t="s">
        <v>51</v>
      </c>
      <c r="G4" s="9" t="s">
        <v>52</v>
      </c>
      <c r="H4" s="11">
        <v>413</v>
      </c>
      <c r="I4" s="11" t="s">
        <v>53</v>
      </c>
    </row>
    <row r="5" spans="1:10" ht="43.2" x14ac:dyDescent="0.3">
      <c r="A5">
        <v>4</v>
      </c>
      <c r="B5" s="1">
        <v>46215</v>
      </c>
      <c r="C5" t="s">
        <v>78</v>
      </c>
      <c r="D5" t="s">
        <v>79</v>
      </c>
      <c r="E5" s="9" t="s">
        <v>80</v>
      </c>
      <c r="F5" s="9" t="s">
        <v>81</v>
      </c>
      <c r="G5" s="9" t="s">
        <v>82</v>
      </c>
      <c r="H5">
        <v>24</v>
      </c>
      <c r="I5" s="9" t="s">
        <v>83</v>
      </c>
    </row>
    <row r="6" spans="1:10" ht="57.6" x14ac:dyDescent="0.3">
      <c r="A6">
        <v>5</v>
      </c>
      <c r="B6" s="1">
        <v>46215</v>
      </c>
      <c r="C6" t="s">
        <v>78</v>
      </c>
      <c r="D6" s="9" t="s">
        <v>91</v>
      </c>
      <c r="E6" s="9" t="s">
        <v>92</v>
      </c>
      <c r="F6" s="9" t="s">
        <v>93</v>
      </c>
      <c r="G6" s="9" t="s">
        <v>94</v>
      </c>
      <c r="H6">
        <v>1374</v>
      </c>
      <c r="I6" s="9" t="s">
        <v>95</v>
      </c>
    </row>
    <row r="7" spans="1:10" ht="28.8" x14ac:dyDescent="0.3">
      <c r="A7">
        <v>6</v>
      </c>
      <c r="B7" s="1">
        <v>46215</v>
      </c>
      <c r="C7" t="s">
        <v>108</v>
      </c>
      <c r="D7" t="s">
        <v>109</v>
      </c>
      <c r="E7" s="9" t="s">
        <v>110</v>
      </c>
      <c r="F7" s="9" t="s">
        <v>111</v>
      </c>
      <c r="G7" s="9" t="s">
        <v>112</v>
      </c>
      <c r="H7">
        <v>3</v>
      </c>
      <c r="I7" s="9" t="s">
        <v>113</v>
      </c>
    </row>
    <row r="8" spans="1:10" ht="57.6" x14ac:dyDescent="0.3">
      <c r="A8">
        <v>7</v>
      </c>
      <c r="B8" s="1">
        <v>46215</v>
      </c>
      <c r="C8" t="s">
        <v>108</v>
      </c>
      <c r="D8" s="9" t="s">
        <v>91</v>
      </c>
      <c r="E8" s="9" t="s">
        <v>119</v>
      </c>
      <c r="F8" s="9" t="s">
        <v>120</v>
      </c>
      <c r="G8" s="9" t="s">
        <v>121</v>
      </c>
      <c r="H8">
        <v>410</v>
      </c>
      <c r="I8" s="9" t="s">
        <v>95</v>
      </c>
    </row>
    <row r="9" spans="1:10" ht="57.6" x14ac:dyDescent="0.3">
      <c r="A9">
        <v>8</v>
      </c>
      <c r="B9" s="1">
        <v>46246</v>
      </c>
      <c r="C9" t="s">
        <v>157</v>
      </c>
      <c r="D9" s="9" t="s">
        <v>158</v>
      </c>
      <c r="E9" s="9" t="s">
        <v>159</v>
      </c>
      <c r="F9" s="9" t="s">
        <v>160</v>
      </c>
      <c r="G9" s="9" t="s">
        <v>161</v>
      </c>
      <c r="H9">
        <v>410</v>
      </c>
      <c r="I9" s="9" t="s">
        <v>162</v>
      </c>
    </row>
    <row r="10" spans="1:10" ht="57.6" x14ac:dyDescent="0.3">
      <c r="A10">
        <v>9</v>
      </c>
      <c r="B10" s="1">
        <v>46241</v>
      </c>
      <c r="C10" t="s">
        <v>157</v>
      </c>
      <c r="D10" s="9" t="s">
        <v>177</v>
      </c>
      <c r="E10" s="9" t="s">
        <v>178</v>
      </c>
      <c r="F10" s="9" t="s">
        <v>179</v>
      </c>
      <c r="G10" s="9" t="s">
        <v>180</v>
      </c>
      <c r="H10">
        <v>410</v>
      </c>
      <c r="I10" s="9" t="s">
        <v>181</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AD8F0-B85D-49F4-817C-E86EDD5EF338}">
  <dimension ref="A1:G17"/>
  <sheetViews>
    <sheetView zoomScale="120" zoomScaleNormal="120" workbookViewId="0">
      <pane ySplit="1" topLeftCell="A15" activePane="bottomLeft" state="frozen"/>
      <selection pane="bottomLeft" activeCell="A18" sqref="A18"/>
    </sheetView>
  </sheetViews>
  <sheetFormatPr defaultRowHeight="14.4" x14ac:dyDescent="0.3"/>
  <cols>
    <col min="1" max="1" width="20.44140625" customWidth="1"/>
    <col min="2" max="2" width="24" customWidth="1"/>
    <col min="3" max="3" width="27.109375" customWidth="1"/>
    <col min="4" max="4" width="13.6640625" customWidth="1"/>
    <col min="5" max="5" width="16.77734375" customWidth="1"/>
    <col min="6" max="6" width="23.109375" customWidth="1"/>
    <col min="7" max="7" width="20" customWidth="1"/>
  </cols>
  <sheetData>
    <row r="1" spans="1:7" x14ac:dyDescent="0.3">
      <c r="A1" s="5" t="s">
        <v>33</v>
      </c>
      <c r="B1" s="5" t="s">
        <v>40</v>
      </c>
      <c r="C1" s="5" t="s">
        <v>41</v>
      </c>
      <c r="D1" s="5" t="s">
        <v>42</v>
      </c>
      <c r="E1" s="5" t="s">
        <v>43</v>
      </c>
      <c r="F1" s="5" t="s">
        <v>44</v>
      </c>
      <c r="G1" s="5" t="s">
        <v>27</v>
      </c>
    </row>
    <row r="3" spans="1:7" ht="28.8" x14ac:dyDescent="0.3">
      <c r="A3" t="s">
        <v>96</v>
      </c>
      <c r="B3" t="s">
        <v>97</v>
      </c>
      <c r="C3" t="s">
        <v>84</v>
      </c>
      <c r="D3" t="s">
        <v>98</v>
      </c>
      <c r="E3" s="9" t="s">
        <v>99</v>
      </c>
      <c r="F3" t="s">
        <v>100</v>
      </c>
      <c r="G3" t="s">
        <v>123</v>
      </c>
    </row>
    <row r="4" spans="1:7" ht="28.8" x14ac:dyDescent="0.3">
      <c r="A4" t="s">
        <v>96</v>
      </c>
      <c r="B4" t="s">
        <v>97</v>
      </c>
      <c r="C4" t="s">
        <v>85</v>
      </c>
      <c r="D4" t="s">
        <v>98</v>
      </c>
      <c r="E4" s="9" t="s">
        <v>101</v>
      </c>
      <c r="F4" t="s">
        <v>100</v>
      </c>
      <c r="G4" t="s">
        <v>123</v>
      </c>
    </row>
    <row r="5" spans="1:7" ht="57.6" x14ac:dyDescent="0.3">
      <c r="A5" t="s">
        <v>96</v>
      </c>
      <c r="B5" t="s">
        <v>97</v>
      </c>
      <c r="C5" t="s">
        <v>86</v>
      </c>
      <c r="D5" t="s">
        <v>102</v>
      </c>
      <c r="E5" s="9" t="s">
        <v>103</v>
      </c>
      <c r="F5" t="s">
        <v>100</v>
      </c>
      <c r="G5" s="9" t="s">
        <v>133</v>
      </c>
    </row>
    <row r="6" spans="1:7" ht="28.8" x14ac:dyDescent="0.3">
      <c r="A6" t="s">
        <v>96</v>
      </c>
      <c r="B6" t="s">
        <v>97</v>
      </c>
      <c r="C6" t="s">
        <v>87</v>
      </c>
      <c r="D6" t="s">
        <v>102</v>
      </c>
      <c r="E6" s="9" t="s">
        <v>104</v>
      </c>
      <c r="F6" t="s">
        <v>100</v>
      </c>
      <c r="G6" s="9" t="s">
        <v>134</v>
      </c>
    </row>
    <row r="7" spans="1:7" ht="28.8" x14ac:dyDescent="0.3">
      <c r="A7" t="s">
        <v>96</v>
      </c>
      <c r="B7" t="s">
        <v>97</v>
      </c>
      <c r="C7" t="s">
        <v>88</v>
      </c>
      <c r="D7" t="s">
        <v>102</v>
      </c>
      <c r="E7" s="9" t="s">
        <v>105</v>
      </c>
      <c r="F7" t="s">
        <v>100</v>
      </c>
      <c r="G7" s="9" t="s">
        <v>135</v>
      </c>
    </row>
    <row r="8" spans="1:7" ht="43.2" x14ac:dyDescent="0.3">
      <c r="A8" t="s">
        <v>96</v>
      </c>
      <c r="B8" t="s">
        <v>97</v>
      </c>
      <c r="C8" t="s">
        <v>89</v>
      </c>
      <c r="D8" t="s">
        <v>98</v>
      </c>
      <c r="E8" s="9" t="s">
        <v>106</v>
      </c>
      <c r="F8" t="s">
        <v>100</v>
      </c>
      <c r="G8" s="9" t="s">
        <v>136</v>
      </c>
    </row>
    <row r="9" spans="1:7" ht="43.2" x14ac:dyDescent="0.3">
      <c r="A9" t="s">
        <v>96</v>
      </c>
      <c r="B9" t="s">
        <v>97</v>
      </c>
      <c r="C9" t="s">
        <v>90</v>
      </c>
      <c r="D9" t="s">
        <v>98</v>
      </c>
      <c r="E9" s="9" t="s">
        <v>107</v>
      </c>
      <c r="F9" t="s">
        <v>100</v>
      </c>
      <c r="G9" t="s">
        <v>137</v>
      </c>
    </row>
    <row r="10" spans="1:7" ht="28.8" x14ac:dyDescent="0.3">
      <c r="A10" t="s">
        <v>108</v>
      </c>
      <c r="B10" t="s">
        <v>97</v>
      </c>
      <c r="C10" t="s">
        <v>84</v>
      </c>
      <c r="D10" t="s">
        <v>98</v>
      </c>
      <c r="E10" s="9" t="s">
        <v>122</v>
      </c>
      <c r="F10" t="s">
        <v>100</v>
      </c>
      <c r="G10" s="9" t="s">
        <v>123</v>
      </c>
    </row>
    <row r="11" spans="1:7" ht="43.2" x14ac:dyDescent="0.3">
      <c r="A11" t="s">
        <v>108</v>
      </c>
      <c r="B11" t="s">
        <v>97</v>
      </c>
      <c r="C11" t="s">
        <v>114</v>
      </c>
      <c r="D11" t="s">
        <v>102</v>
      </c>
      <c r="E11" s="9" t="s">
        <v>124</v>
      </c>
      <c r="F11" t="s">
        <v>100</v>
      </c>
      <c r="G11" s="9" t="s">
        <v>125</v>
      </c>
    </row>
    <row r="12" spans="1:7" ht="28.8" x14ac:dyDescent="0.3">
      <c r="A12" t="s">
        <v>108</v>
      </c>
      <c r="B12" t="s">
        <v>97</v>
      </c>
      <c r="C12" t="s">
        <v>115</v>
      </c>
      <c r="D12" t="s">
        <v>102</v>
      </c>
      <c r="E12" s="9" t="s">
        <v>126</v>
      </c>
      <c r="F12" t="s">
        <v>100</v>
      </c>
      <c r="G12" s="9" t="s">
        <v>125</v>
      </c>
    </row>
    <row r="13" spans="1:7" ht="43.2" x14ac:dyDescent="0.3">
      <c r="A13" t="s">
        <v>108</v>
      </c>
      <c r="B13" t="s">
        <v>97</v>
      </c>
      <c r="C13" t="s">
        <v>116</v>
      </c>
      <c r="D13" t="s">
        <v>102</v>
      </c>
      <c r="E13" s="9" t="s">
        <v>127</v>
      </c>
      <c r="F13" t="s">
        <v>100</v>
      </c>
      <c r="G13" s="9" t="s">
        <v>128</v>
      </c>
    </row>
    <row r="14" spans="1:7" ht="28.8" x14ac:dyDescent="0.3">
      <c r="A14" t="s">
        <v>108</v>
      </c>
      <c r="B14" t="s">
        <v>97</v>
      </c>
      <c r="C14" t="s">
        <v>117</v>
      </c>
      <c r="D14" t="s">
        <v>102</v>
      </c>
      <c r="E14" s="9" t="s">
        <v>129</v>
      </c>
      <c r="F14" t="s">
        <v>100</v>
      </c>
      <c r="G14" s="9" t="s">
        <v>130</v>
      </c>
    </row>
    <row r="15" spans="1:7" ht="57.6" x14ac:dyDescent="0.3">
      <c r="A15" t="s">
        <v>108</v>
      </c>
      <c r="B15" t="s">
        <v>97</v>
      </c>
      <c r="C15" t="s">
        <v>118</v>
      </c>
      <c r="D15" t="s">
        <v>98</v>
      </c>
      <c r="E15" s="9" t="s">
        <v>131</v>
      </c>
      <c r="F15" t="s">
        <v>100</v>
      </c>
      <c r="G15" s="9" t="s">
        <v>132</v>
      </c>
    </row>
    <row r="16" spans="1:7" ht="72" x14ac:dyDescent="0.3">
      <c r="A16" t="s">
        <v>157</v>
      </c>
      <c r="B16" t="s">
        <v>163</v>
      </c>
      <c r="C16" t="s">
        <v>164</v>
      </c>
      <c r="D16" t="s">
        <v>165</v>
      </c>
      <c r="E16" s="9" t="s">
        <v>166</v>
      </c>
      <c r="F16" t="s">
        <v>100</v>
      </c>
      <c r="G16" s="9" t="s">
        <v>167</v>
      </c>
    </row>
    <row r="17" spans="1:7" ht="43.2" x14ac:dyDescent="0.3">
      <c r="A17" t="s">
        <v>168</v>
      </c>
      <c r="B17" t="s">
        <v>97</v>
      </c>
      <c r="C17" t="s">
        <v>138</v>
      </c>
      <c r="D17" t="s">
        <v>98</v>
      </c>
      <c r="E17" s="9" t="s">
        <v>169</v>
      </c>
      <c r="F17" t="s">
        <v>170</v>
      </c>
      <c r="G17" s="9" t="s">
        <v>171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9DF0-7647-4A52-9E10-90F4DD2142AC}">
  <sheetPr>
    <tabColor theme="5"/>
  </sheetPr>
  <dimension ref="A1"/>
  <sheetViews>
    <sheetView workbookViewId="0">
      <selection activeCell="F14" sqref="F14"/>
    </sheetView>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90200-277E-4A9F-8069-075DE48EA2DF}">
  <sheetPr>
    <tabColor theme="5" tint="-0.249977111117893"/>
  </sheetPr>
  <dimension ref="A1:B40"/>
  <sheetViews>
    <sheetView zoomScale="120" zoomScaleNormal="120" workbookViewId="0">
      <selection activeCell="A42" sqref="A42"/>
    </sheetView>
  </sheetViews>
  <sheetFormatPr defaultRowHeight="14.4" x14ac:dyDescent="0.3"/>
  <cols>
    <col min="1" max="1" width="66.21875" customWidth="1"/>
    <col min="2" max="2" width="26.109375" customWidth="1"/>
  </cols>
  <sheetData>
    <row r="1" spans="1:2" ht="18" x14ac:dyDescent="0.35">
      <c r="A1" s="15" t="s">
        <v>182</v>
      </c>
      <c r="B1" s="15" t="s">
        <v>183</v>
      </c>
    </row>
    <row r="2" spans="1:2" x14ac:dyDescent="0.3">
      <c r="A2" s="16" t="s">
        <v>184</v>
      </c>
    </row>
    <row r="3" spans="1:2" x14ac:dyDescent="0.3">
      <c r="A3" t="s">
        <v>185</v>
      </c>
      <c r="B3">
        <f>COUNTA(_xlfn.UNIQUE(tbl_working_daily[Id]))</f>
        <v>35</v>
      </c>
    </row>
    <row r="4" spans="1:2" x14ac:dyDescent="0.3">
      <c r="A4" t="s">
        <v>186</v>
      </c>
      <c r="B4">
        <f>COUNTA(_xlfn.UNIQUE(tbl_merged[Id]))</f>
        <v>24</v>
      </c>
    </row>
    <row r="5" spans="1:2" x14ac:dyDescent="0.3">
      <c r="A5" t="s">
        <v>187</v>
      </c>
      <c r="B5" s="21" t="str">
        <f>TEXT(MIN(tbl_working_daily[ActivityDate]),"mmm dd, yyyy")&amp;" to "&amp;TEXT(MAX(tbl_working_daily[ActivityDate]),"mmm dd, yyyy")</f>
        <v>Mar 12, 2016 to May 12, 2016</v>
      </c>
    </row>
    <row r="6" spans="1:2" x14ac:dyDescent="0.3">
      <c r="A6" t="s">
        <v>188</v>
      </c>
      <c r="B6" s="19">
        <f>AVERAGE(tbl_merged[TotalSteps])</f>
        <v>8334.1707317073178</v>
      </c>
    </row>
    <row r="7" spans="1:2" x14ac:dyDescent="0.3">
      <c r="A7" t="s">
        <v>189</v>
      </c>
      <c r="B7" s="19">
        <f>MEDIAN(tbl_merged[TotalSteps])</f>
        <v>8775.5</v>
      </c>
    </row>
    <row r="8" spans="1:2" x14ac:dyDescent="0.3">
      <c r="A8" t="s">
        <v>190</v>
      </c>
      <c r="B8" s="19">
        <f>_xlfn.STDEV.S(tbl_merged[TotalSteps])</f>
        <v>4293.0695711131402</v>
      </c>
    </row>
    <row r="9" spans="1:2" x14ac:dyDescent="0.3">
      <c r="A9" t="s">
        <v>191</v>
      </c>
      <c r="B9" s="19">
        <f>AVERAGE(tbl_merged[Calories])</f>
        <v>2339.1756097560974</v>
      </c>
    </row>
    <row r="10" spans="1:2" x14ac:dyDescent="0.3">
      <c r="A10" t="s">
        <v>192</v>
      </c>
      <c r="B10" s="19">
        <f>AVERAGE(tbl_merged[SedentaryMinutes])</f>
        <v>699.21219512195125</v>
      </c>
    </row>
    <row r="11" spans="1:2" x14ac:dyDescent="0.3">
      <c r="A11" t="s">
        <v>193</v>
      </c>
      <c r="B11" s="19">
        <f>AVERAGE(tbl_merged[SedentaryHours])</f>
        <v>11.653341463414625</v>
      </c>
    </row>
    <row r="12" spans="1:2" x14ac:dyDescent="0.3">
      <c r="A12" t="s">
        <v>194</v>
      </c>
      <c r="B12" s="19">
        <f>AVERAGE(tbl_merged[LightlyActiveMinutes])</f>
        <v>211.43170731707318</v>
      </c>
    </row>
    <row r="13" spans="1:2" x14ac:dyDescent="0.3">
      <c r="A13" t="s">
        <v>195</v>
      </c>
      <c r="B13" s="19">
        <f>AVERAGE(tbl_merged[FairlyActiveMinutes])</f>
        <v>17.758536585365853</v>
      </c>
    </row>
    <row r="14" spans="1:2" x14ac:dyDescent="0.3">
      <c r="A14" t="s">
        <v>196</v>
      </c>
      <c r="B14" s="19">
        <f>AVERAGE(tbl_merged[VeryActiveMinutes])</f>
        <v>24.670731707317074</v>
      </c>
    </row>
    <row r="15" spans="1:2" x14ac:dyDescent="0.3">
      <c r="A15" t="s">
        <v>197</v>
      </c>
      <c r="B15" s="19">
        <f>AVERAGE(tbl_merged[TotalActiveMinutes])</f>
        <v>253.86097560975611</v>
      </c>
    </row>
    <row r="16" spans="1:2" x14ac:dyDescent="0.3">
      <c r="A16" t="s">
        <v>198</v>
      </c>
      <c r="B16" s="21" t="str" cm="1">
        <f t="array" ref="B16">_xlfn.LET(_xlpm.c,tbl_merged[StepsCategory],_xlpm.u,_xlfn.UNIQUE(_xlpm.c),_xlpm.counts,COUNTIF(_xlpm.c,_xlpm.u),INDEX(_xlpm.u,MATCH(MAX(_xlpm.counts),_xlpm.counts,0)))</f>
        <v>Sedentary</v>
      </c>
    </row>
    <row r="17" spans="1:2" x14ac:dyDescent="0.3">
      <c r="A17" t="s">
        <v>199</v>
      </c>
      <c r="B17" s="21" t="str" cm="1">
        <f t="array" ref="B17">_xlfn.LET(_xlpm.c,tbl_merged[ActivityLevel],_xlpm.u,_xlfn.UNIQUE(_xlpm.c),_xlpm.counts,COUNTIF(_xlpm.c,_xlpm.u),INDEX(_xlpm.u,MATCH(MAX(_xlpm.counts),_xlpm.counts,0)))</f>
        <v>Sedentary</v>
      </c>
    </row>
    <row r="19" spans="1:2" x14ac:dyDescent="0.3">
      <c r="A19" s="17" t="s">
        <v>200</v>
      </c>
    </row>
    <row r="20" spans="1:2" x14ac:dyDescent="0.3">
      <c r="A20" t="s">
        <v>201</v>
      </c>
      <c r="B20">
        <f>COUNTA(_xlfn.UNIQUE(tbl_working_sleep[Id]))</f>
        <v>24</v>
      </c>
    </row>
    <row r="21" spans="1:2" x14ac:dyDescent="0.3">
      <c r="A21" t="s">
        <v>202</v>
      </c>
      <c r="B21" s="21" t="str">
        <f>TEXT(MIN(tbl_working_sleep[SleepDay]),"mmm dd, yyyy")&amp;" to "&amp;TEXT(MAX(tbl_working_sleep[SleepDay]),"mmm dd, yyyy")</f>
        <v>Apr 12, 2016 to May 12, 2016</v>
      </c>
    </row>
    <row r="22" spans="1:2" x14ac:dyDescent="0.3">
      <c r="A22" t="s">
        <v>203</v>
      </c>
      <c r="B22" s="19">
        <f>AVERAGE(tbl_merged[SleepHours])</f>
        <v>6.9867560975609706</v>
      </c>
    </row>
    <row r="23" spans="1:2" x14ac:dyDescent="0.3">
      <c r="A23" t="s">
        <v>204</v>
      </c>
      <c r="B23">
        <f>MEDIAN(tbl_merged[SleepHours])</f>
        <v>7.21</v>
      </c>
    </row>
    <row r="24" spans="1:2" x14ac:dyDescent="0.3">
      <c r="A24" t="s">
        <v>205</v>
      </c>
      <c r="B24" s="19">
        <f>_xlfn.STDEV.S(tbl_merged[SleepHours])</f>
        <v>1.9773257394092891</v>
      </c>
    </row>
    <row r="25" spans="1:2" x14ac:dyDescent="0.3">
      <c r="A25" t="s">
        <v>206</v>
      </c>
      <c r="B25" s="19">
        <f>AVERAGE(tbl_merged[TimeInBedHours])</f>
        <v>7.6412195121951179</v>
      </c>
    </row>
    <row r="26" spans="1:2" x14ac:dyDescent="0.3">
      <c r="A26" t="s">
        <v>207</v>
      </c>
      <c r="B26" s="20">
        <f>AVERAGE(tbl_merged[SleepEfficiency])</f>
        <v>91.646780487804818</v>
      </c>
    </row>
    <row r="27" spans="1:2" x14ac:dyDescent="0.3">
      <c r="A27" t="s">
        <v>208</v>
      </c>
      <c r="B27" s="19">
        <f>AVERAGE(tbl_merged[AwakeInBedMinutes])</f>
        <v>39.309756097560978</v>
      </c>
    </row>
    <row r="28" spans="1:2" x14ac:dyDescent="0.3">
      <c r="A28" t="s">
        <v>209</v>
      </c>
      <c r="B28" s="21" t="str" cm="1">
        <f t="array" ref="B28">_xlfn.LET(_xlpm.c,tbl_merged[SleepCategory],_xlpm.u,_xlfn.UNIQUE(_xlpm.c),_xlpm.counts,COUNTIF(_xlpm.c,_xlpm.u),INDEX(_xlpm.u,MATCH(MAX(_xlpm.counts),_xlpm.counts,0)))</f>
        <v>Recommended</v>
      </c>
    </row>
    <row r="30" spans="1:2" x14ac:dyDescent="0.3">
      <c r="A30" s="18" t="s">
        <v>210</v>
      </c>
    </row>
    <row r="31" spans="1:2" x14ac:dyDescent="0.3">
      <c r="A31" t="s">
        <v>211</v>
      </c>
      <c r="B31">
        <f>ROWS(tbl_merged[])</f>
        <v>410</v>
      </c>
    </row>
    <row r="32" spans="1:2" x14ac:dyDescent="0.3">
      <c r="A32" t="s">
        <v>212</v>
      </c>
      <c r="B32">
        <f>COUNTA(_xlfn.UNIQUE(tbl_merged[Id]))</f>
        <v>24</v>
      </c>
    </row>
    <row r="33" spans="1:2" x14ac:dyDescent="0.3">
      <c r="A33" t="s">
        <v>213</v>
      </c>
      <c r="B33" s="21" t="str">
        <f>TEXT(MIN(tbl_merged[ActivityDate]),"mmm dd, yyyy")&amp;" to "&amp;TEXT(MAX(tbl_merged[ActivityDate]),"mmm dd, yyyy")</f>
        <v>Apr 12, 2016 to May 12, 2016</v>
      </c>
    </row>
    <row r="36" spans="1:2" x14ac:dyDescent="0.3">
      <c r="A36" s="3" t="s">
        <v>214</v>
      </c>
    </row>
    <row r="37" spans="1:2" ht="259.2" x14ac:dyDescent="0.3">
      <c r="A37" s="10" t="s">
        <v>216</v>
      </c>
    </row>
    <row r="39" spans="1:2" x14ac:dyDescent="0.3">
      <c r="A39" s="3" t="s">
        <v>224</v>
      </c>
    </row>
    <row r="40" spans="1:2" ht="129.6" x14ac:dyDescent="0.3">
      <c r="A40" s="9" t="s">
        <v>223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4CBC-2444-492E-BC88-3249502B36D8}">
  <sheetPr>
    <tabColor rgb="FFFF0000"/>
  </sheetPr>
  <dimension ref="A1:G186"/>
  <sheetViews>
    <sheetView zoomScale="130" zoomScaleNormal="130" workbookViewId="0">
      <selection activeCell="D133" sqref="D133"/>
    </sheetView>
  </sheetViews>
  <sheetFormatPr defaultRowHeight="14.4" x14ac:dyDescent="0.3"/>
  <cols>
    <col min="1" max="1" width="18.88671875" bestFit="1" customWidth="1"/>
    <col min="2" max="2" width="12.44140625" bestFit="1" customWidth="1"/>
    <col min="3" max="3" width="16.77734375" customWidth="1"/>
    <col min="4" max="4" width="16.77734375" bestFit="1" customWidth="1"/>
    <col min="5" max="5" width="18.44140625" bestFit="1" customWidth="1"/>
    <col min="6" max="6" width="11.21875" bestFit="1" customWidth="1"/>
    <col min="7" max="7" width="14.5546875" bestFit="1" customWidth="1"/>
  </cols>
  <sheetData>
    <row r="1" spans="1:5" x14ac:dyDescent="0.3">
      <c r="A1" s="39" t="s">
        <v>232</v>
      </c>
      <c r="B1" s="39"/>
      <c r="C1" s="39"/>
    </row>
    <row r="3" spans="1:5" x14ac:dyDescent="0.3">
      <c r="A3" s="22" t="s">
        <v>217</v>
      </c>
      <c r="B3" t="s">
        <v>220</v>
      </c>
      <c r="C3" t="s">
        <v>222</v>
      </c>
      <c r="D3" t="s">
        <v>221</v>
      </c>
      <c r="E3" t="s">
        <v>219</v>
      </c>
    </row>
    <row r="4" spans="1:5" x14ac:dyDescent="0.3">
      <c r="A4" s="23" t="s">
        <v>155</v>
      </c>
      <c r="B4" s="24">
        <v>2298.4042553191489</v>
      </c>
      <c r="C4" s="25">
        <v>218.97872340425531</v>
      </c>
      <c r="D4" s="25">
        <v>17.161968085106384</v>
      </c>
      <c r="E4" s="24">
        <v>7541.3191489361698</v>
      </c>
    </row>
    <row r="5" spans="1:5" x14ac:dyDescent="0.3">
      <c r="A5" s="23" t="s">
        <v>140</v>
      </c>
      <c r="B5" s="24">
        <v>2131.4776119402986</v>
      </c>
      <c r="C5" s="25">
        <v>202.96517412935324</v>
      </c>
      <c r="D5" s="25">
        <v>15.968258706467662</v>
      </c>
      <c r="E5" s="24">
        <v>6830.8507462686566</v>
      </c>
    </row>
    <row r="6" spans="1:5" x14ac:dyDescent="0.3">
      <c r="A6" s="23" t="s">
        <v>146</v>
      </c>
      <c r="B6" s="24">
        <v>2320.7626262626263</v>
      </c>
      <c r="C6" s="25">
        <v>223.22222222222223</v>
      </c>
      <c r="D6" s="25">
        <v>16.578181818181815</v>
      </c>
      <c r="E6" s="24">
        <v>7547.575757575758</v>
      </c>
    </row>
    <row r="7" spans="1:5" x14ac:dyDescent="0.3">
      <c r="A7" s="23" t="s">
        <v>154</v>
      </c>
      <c r="B7" s="24">
        <v>2223.7538461538461</v>
      </c>
      <c r="C7" s="25">
        <v>212.45641025641027</v>
      </c>
      <c r="D7" s="25">
        <v>16.414871794871789</v>
      </c>
      <c r="E7" s="24">
        <v>7268.2974358974361</v>
      </c>
    </row>
    <row r="8" spans="1:5" x14ac:dyDescent="0.3">
      <c r="A8" s="23" t="s">
        <v>149</v>
      </c>
      <c r="B8" s="24">
        <v>2325.0954773869348</v>
      </c>
      <c r="C8" s="25">
        <v>229.05527638190955</v>
      </c>
      <c r="D8" s="25">
        <v>17.004472361809043</v>
      </c>
      <c r="E8" s="24">
        <v>7187.5326633165832</v>
      </c>
    </row>
    <row r="9" spans="1:5" x14ac:dyDescent="0.3">
      <c r="A9" s="23" t="s">
        <v>151</v>
      </c>
      <c r="B9" s="24">
        <v>2325.8040201005024</v>
      </c>
      <c r="C9" s="25">
        <v>235.71859296482413</v>
      </c>
      <c r="D9" s="25">
        <v>16.14874371859295</v>
      </c>
      <c r="E9" s="24">
        <v>7752.2713567839191</v>
      </c>
    </row>
    <row r="10" spans="1:5" x14ac:dyDescent="0.3">
      <c r="A10" s="23" t="s">
        <v>153</v>
      </c>
      <c r="B10" s="24">
        <v>2227.4093264248704</v>
      </c>
      <c r="C10" s="25">
        <v>200.89119170984455</v>
      </c>
      <c r="D10" s="25">
        <v>16.66233160621762</v>
      </c>
      <c r="E10" s="24">
        <v>6606.7253886010367</v>
      </c>
    </row>
    <row r="11" spans="1:5" x14ac:dyDescent="0.3">
      <c r="A11" s="23" t="s">
        <v>218</v>
      </c>
      <c r="B11" s="24">
        <v>2264.4493809176984</v>
      </c>
      <c r="C11" s="25">
        <v>217.66423889293517</v>
      </c>
      <c r="D11" s="25">
        <v>16.557006554989076</v>
      </c>
      <c r="E11" s="24">
        <v>7247.360524399126</v>
      </c>
    </row>
    <row r="12" spans="1:5" x14ac:dyDescent="0.3">
      <c r="A12" s="23"/>
      <c r="B12" s="24"/>
      <c r="C12" s="25"/>
      <c r="D12" s="25"/>
      <c r="E12" s="24"/>
    </row>
    <row r="13" spans="1:5" x14ac:dyDescent="0.3">
      <c r="A13" s="23"/>
      <c r="B13" s="24"/>
      <c r="C13" s="25"/>
      <c r="D13" s="25"/>
      <c r="E13" s="24"/>
    </row>
    <row r="14" spans="1:5" x14ac:dyDescent="0.3">
      <c r="A14" s="23"/>
      <c r="B14" s="24"/>
      <c r="C14" s="25"/>
      <c r="D14" s="25"/>
      <c r="E14" s="24"/>
    </row>
    <row r="15" spans="1:5" x14ac:dyDescent="0.3">
      <c r="A15" s="23"/>
      <c r="B15" s="24"/>
      <c r="C15" s="25"/>
      <c r="D15" s="25"/>
      <c r="E15" s="24"/>
    </row>
    <row r="16" spans="1:5" x14ac:dyDescent="0.3">
      <c r="A16" s="23"/>
      <c r="B16" s="24"/>
      <c r="C16" s="25"/>
      <c r="D16" s="25"/>
      <c r="E16" s="24"/>
    </row>
    <row r="17" spans="1:5" x14ac:dyDescent="0.3">
      <c r="A17" s="23"/>
      <c r="B17" s="24"/>
      <c r="C17" s="25"/>
      <c r="D17" s="25"/>
      <c r="E17" s="24"/>
    </row>
    <row r="18" spans="1:5" x14ac:dyDescent="0.3">
      <c r="A18" s="23"/>
      <c r="B18" s="24"/>
      <c r="C18" s="25"/>
      <c r="D18" s="25"/>
      <c r="E18" s="24"/>
    </row>
    <row r="19" spans="1:5" x14ac:dyDescent="0.3">
      <c r="A19" s="23"/>
      <c r="B19" s="24"/>
      <c r="C19" s="25"/>
      <c r="D19" s="25"/>
      <c r="E19" s="24"/>
    </row>
    <row r="20" spans="1:5" x14ac:dyDescent="0.3">
      <c r="A20" s="23"/>
      <c r="B20" s="24"/>
      <c r="C20" s="25"/>
      <c r="D20" s="25"/>
      <c r="E20" s="24"/>
    </row>
    <row r="21" spans="1:5" x14ac:dyDescent="0.3">
      <c r="A21" s="23"/>
      <c r="B21" s="24"/>
      <c r="C21" s="25"/>
      <c r="D21" s="25"/>
      <c r="E21" s="24"/>
    </row>
    <row r="22" spans="1:5" x14ac:dyDescent="0.3">
      <c r="A22" s="23"/>
      <c r="B22" s="24"/>
      <c r="C22" s="25"/>
      <c r="D22" s="25"/>
      <c r="E22" s="24"/>
    </row>
    <row r="23" spans="1:5" x14ac:dyDescent="0.3">
      <c r="A23" s="23"/>
      <c r="B23" s="24"/>
      <c r="C23" s="25"/>
      <c r="D23" s="25"/>
      <c r="E23" s="24"/>
    </row>
    <row r="24" spans="1:5" x14ac:dyDescent="0.3">
      <c r="A24" s="23"/>
      <c r="B24" s="24"/>
      <c r="C24" s="25"/>
      <c r="D24" s="25"/>
      <c r="E24" s="24"/>
    </row>
    <row r="25" spans="1:5" x14ac:dyDescent="0.3">
      <c r="A25" s="23"/>
      <c r="B25" s="24"/>
      <c r="C25" s="25"/>
      <c r="D25" s="25"/>
      <c r="E25" s="24"/>
    </row>
    <row r="26" spans="1:5" x14ac:dyDescent="0.3">
      <c r="A26" s="23"/>
      <c r="B26" s="24"/>
      <c r="C26" s="25"/>
      <c r="D26" s="25"/>
      <c r="E26" s="24"/>
    </row>
    <row r="27" spans="1:5" x14ac:dyDescent="0.3">
      <c r="A27" s="23"/>
      <c r="B27" s="24"/>
      <c r="C27" s="25"/>
      <c r="D27" s="25"/>
      <c r="E27" s="24"/>
    </row>
    <row r="28" spans="1:5" x14ac:dyDescent="0.3">
      <c r="A28" s="23"/>
      <c r="B28" s="24"/>
      <c r="C28" s="25"/>
      <c r="D28" s="25"/>
      <c r="E28" s="24"/>
    </row>
    <row r="29" spans="1:5" x14ac:dyDescent="0.3">
      <c r="A29" s="23"/>
      <c r="B29" s="24"/>
      <c r="C29" s="25"/>
      <c r="D29" s="25"/>
      <c r="E29" s="24"/>
    </row>
    <row r="30" spans="1:5" x14ac:dyDescent="0.3">
      <c r="A30" s="23"/>
      <c r="B30" s="24"/>
      <c r="C30" s="25"/>
      <c r="D30" s="25"/>
      <c r="E30" s="24"/>
    </row>
    <row r="31" spans="1:5" x14ac:dyDescent="0.3">
      <c r="A31" s="23"/>
      <c r="B31" s="24"/>
      <c r="C31" s="25"/>
      <c r="D31" s="25"/>
      <c r="E31" s="24"/>
    </row>
    <row r="32" spans="1:5" x14ac:dyDescent="0.3">
      <c r="A32" s="23"/>
      <c r="B32" s="24"/>
      <c r="C32" s="25"/>
      <c r="D32" s="25"/>
      <c r="E32" s="24"/>
    </row>
    <row r="37" spans="1:5" x14ac:dyDescent="0.3">
      <c r="A37" s="39" t="s">
        <v>231</v>
      </c>
      <c r="B37" s="39"/>
      <c r="C37" s="39"/>
    </row>
    <row r="39" spans="1:5" x14ac:dyDescent="0.3">
      <c r="A39" s="22" t="s">
        <v>217</v>
      </c>
      <c r="B39" t="s">
        <v>227</v>
      </c>
      <c r="C39" t="s">
        <v>228</v>
      </c>
      <c r="D39" t="s">
        <v>229</v>
      </c>
      <c r="E39" t="s">
        <v>230</v>
      </c>
    </row>
    <row r="40" spans="1:5" x14ac:dyDescent="0.3">
      <c r="A40" s="23" t="s">
        <v>155</v>
      </c>
      <c r="B40" s="20">
        <v>6.9923913043478265</v>
      </c>
      <c r="C40" s="20">
        <v>7.6219565217391292</v>
      </c>
      <c r="D40" s="26">
        <v>37.847826086956523</v>
      </c>
      <c r="E40" s="20">
        <v>91.968913043478281</v>
      </c>
    </row>
    <row r="41" spans="1:5" x14ac:dyDescent="0.3">
      <c r="A41" s="23" t="s">
        <v>140</v>
      </c>
      <c r="B41" s="20">
        <v>6.7426153846153865</v>
      </c>
      <c r="C41" s="20">
        <v>7.3883076923076922</v>
      </c>
      <c r="D41" s="26">
        <v>38.753846153846155</v>
      </c>
      <c r="E41" s="20">
        <v>91.095076923076945</v>
      </c>
    </row>
    <row r="42" spans="1:5" x14ac:dyDescent="0.3">
      <c r="A42" s="23" t="s">
        <v>146</v>
      </c>
      <c r="B42" s="20">
        <v>7.2456060606060602</v>
      </c>
      <c r="C42" s="20">
        <v>7.8336363636363613</v>
      </c>
      <c r="D42" s="26">
        <v>35.348484848484851</v>
      </c>
      <c r="E42" s="20">
        <v>92.128636363636346</v>
      </c>
    </row>
    <row r="43" spans="1:5" x14ac:dyDescent="0.3">
      <c r="A43" s="23" t="s">
        <v>154</v>
      </c>
      <c r="B43" s="20">
        <v>6.6884374999999991</v>
      </c>
      <c r="C43" s="20">
        <v>7.2478125000000011</v>
      </c>
      <c r="D43" s="26">
        <v>33.578125</v>
      </c>
      <c r="E43" s="20">
        <v>92.268124999999984</v>
      </c>
    </row>
    <row r="44" spans="1:5" x14ac:dyDescent="0.3">
      <c r="A44" s="23" t="s">
        <v>149</v>
      </c>
      <c r="B44" s="20">
        <v>6.7573684210526306</v>
      </c>
      <c r="C44" s="20">
        <v>7.4173684210526307</v>
      </c>
      <c r="D44" s="26">
        <v>39.631578947368418</v>
      </c>
      <c r="E44" s="20">
        <v>92.007719298245604</v>
      </c>
    </row>
    <row r="45" spans="1:5" x14ac:dyDescent="0.3">
      <c r="A45" s="23" t="s">
        <v>151</v>
      </c>
      <c r="B45" s="20">
        <v>6.9850877192982432</v>
      </c>
      <c r="C45" s="20">
        <v>7.6642105263157916</v>
      </c>
      <c r="D45" s="26">
        <v>40.771929824561404</v>
      </c>
      <c r="E45" s="20">
        <v>91.497368421052656</v>
      </c>
    </row>
    <row r="46" spans="1:5" x14ac:dyDescent="0.3">
      <c r="A46" s="23" t="s">
        <v>153</v>
      </c>
      <c r="B46" s="20">
        <v>7.5465454545454547</v>
      </c>
      <c r="C46" s="20">
        <v>8.3912727272727263</v>
      </c>
      <c r="D46" s="26">
        <v>50.763636363636365</v>
      </c>
      <c r="E46" s="20">
        <v>90.5089090909091</v>
      </c>
    </row>
    <row r="47" spans="1:5" x14ac:dyDescent="0.3">
      <c r="A47" s="23" t="s">
        <v>218</v>
      </c>
      <c r="B47" s="20">
        <v>6.9867560975609759</v>
      </c>
      <c r="C47" s="20">
        <v>7.6412195121951134</v>
      </c>
      <c r="D47" s="26">
        <v>39.309756097560978</v>
      </c>
      <c r="E47" s="20">
        <v>91.646780487804875</v>
      </c>
    </row>
    <row r="62" spans="1:3" x14ac:dyDescent="0.3">
      <c r="A62" s="3" t="s">
        <v>240</v>
      </c>
    </row>
    <row r="64" spans="1:3" x14ac:dyDescent="0.3">
      <c r="A64" s="22" t="s">
        <v>217</v>
      </c>
      <c r="B64" t="s">
        <v>239</v>
      </c>
      <c r="C64" t="s">
        <v>238</v>
      </c>
    </row>
    <row r="65" spans="1:3" x14ac:dyDescent="0.3">
      <c r="A65" s="23" t="s">
        <v>142</v>
      </c>
      <c r="B65">
        <v>496</v>
      </c>
      <c r="C65" s="27">
        <v>0.36125273124544793</v>
      </c>
    </row>
    <row r="66" spans="1:3" x14ac:dyDescent="0.3">
      <c r="A66" s="23" t="s">
        <v>144</v>
      </c>
      <c r="B66">
        <v>250</v>
      </c>
      <c r="C66" s="27">
        <v>0.1820830298616169</v>
      </c>
    </row>
    <row r="67" spans="1:3" x14ac:dyDescent="0.3">
      <c r="A67" s="23" t="s">
        <v>150</v>
      </c>
      <c r="B67">
        <v>207</v>
      </c>
      <c r="C67" s="27">
        <v>0.15076474872541878</v>
      </c>
    </row>
    <row r="68" spans="1:3" x14ac:dyDescent="0.3">
      <c r="A68" s="23" t="s">
        <v>147</v>
      </c>
      <c r="B68">
        <v>225</v>
      </c>
      <c r="C68" s="27">
        <v>0.16387472687545521</v>
      </c>
    </row>
    <row r="69" spans="1:3" x14ac:dyDescent="0.3">
      <c r="A69" s="23" t="s">
        <v>152</v>
      </c>
      <c r="B69">
        <v>195</v>
      </c>
      <c r="C69" s="27">
        <v>0.14202476329206118</v>
      </c>
    </row>
    <row r="70" spans="1:3" x14ac:dyDescent="0.3">
      <c r="A70" s="23" t="s">
        <v>218</v>
      </c>
      <c r="B70">
        <v>1373</v>
      </c>
      <c r="C70" s="27">
        <v>1</v>
      </c>
    </row>
    <row r="79" spans="1:3" x14ac:dyDescent="0.3">
      <c r="A79" s="3" t="s">
        <v>246</v>
      </c>
    </row>
    <row r="81" spans="1:6" x14ac:dyDescent="0.3">
      <c r="A81" s="22" t="s">
        <v>217</v>
      </c>
      <c r="B81" t="s">
        <v>245</v>
      </c>
      <c r="C81" t="s">
        <v>238</v>
      </c>
    </row>
    <row r="82" spans="1:6" x14ac:dyDescent="0.3">
      <c r="A82" s="23" t="s">
        <v>173</v>
      </c>
      <c r="B82">
        <v>100</v>
      </c>
      <c r="C82" s="27">
        <v>0.24390243902439024</v>
      </c>
    </row>
    <row r="83" spans="1:6" x14ac:dyDescent="0.3">
      <c r="A83" s="23" t="s">
        <v>176</v>
      </c>
      <c r="B83">
        <v>81</v>
      </c>
      <c r="C83" s="27">
        <v>0.19756097560975611</v>
      </c>
    </row>
    <row r="84" spans="1:6" x14ac:dyDescent="0.3">
      <c r="A84" s="23" t="s">
        <v>175</v>
      </c>
      <c r="B84">
        <v>190</v>
      </c>
      <c r="C84" s="27">
        <v>0.46341463414634149</v>
      </c>
    </row>
    <row r="85" spans="1:6" x14ac:dyDescent="0.3">
      <c r="A85" s="23" t="s">
        <v>174</v>
      </c>
      <c r="B85">
        <v>39</v>
      </c>
      <c r="C85" s="27">
        <v>9.5121951219512196E-2</v>
      </c>
      <c r="D85" s="20"/>
      <c r="E85" s="20"/>
      <c r="F85" s="20"/>
    </row>
    <row r="86" spans="1:6" x14ac:dyDescent="0.3">
      <c r="A86" s="23" t="s">
        <v>218</v>
      </c>
      <c r="B86">
        <v>410</v>
      </c>
      <c r="C86" s="27">
        <v>1</v>
      </c>
      <c r="D86" s="20"/>
      <c r="E86" s="20"/>
      <c r="F86" s="20"/>
    </row>
    <row r="105" spans="1:6" x14ac:dyDescent="0.3">
      <c r="A105" s="23"/>
      <c r="C105" s="24"/>
      <c r="D105" s="20"/>
      <c r="E105" s="20"/>
      <c r="F105" s="20"/>
    </row>
    <row r="106" spans="1:6" x14ac:dyDescent="0.3">
      <c r="A106" s="23"/>
      <c r="C106" s="24"/>
      <c r="D106" s="20"/>
      <c r="E106" s="20"/>
      <c r="F106" s="20"/>
    </row>
    <row r="107" spans="1:6" x14ac:dyDescent="0.3">
      <c r="A107" s="3" t="s">
        <v>249</v>
      </c>
    </row>
    <row r="109" spans="1:6" x14ac:dyDescent="0.3">
      <c r="A109" s="22" t="s">
        <v>217</v>
      </c>
      <c r="B109" t="s">
        <v>248</v>
      </c>
      <c r="C109" t="s">
        <v>219</v>
      </c>
      <c r="D109" t="s">
        <v>227</v>
      </c>
      <c r="E109" t="s">
        <v>230</v>
      </c>
      <c r="F109" t="s">
        <v>221</v>
      </c>
    </row>
    <row r="110" spans="1:6" x14ac:dyDescent="0.3">
      <c r="A110" s="23" t="s">
        <v>142</v>
      </c>
      <c r="B110">
        <v>103</v>
      </c>
      <c r="C110" s="24">
        <v>2831.7281553398057</v>
      </c>
      <c r="D110" s="20">
        <v>7.5133980582524265</v>
      </c>
      <c r="E110" s="20">
        <v>92.635145631067985</v>
      </c>
      <c r="F110" s="20">
        <v>11.505242718446601</v>
      </c>
    </row>
    <row r="111" spans="1:6" x14ac:dyDescent="0.3">
      <c r="A111" s="23" t="s">
        <v>144</v>
      </c>
      <c r="B111">
        <v>72</v>
      </c>
      <c r="C111" s="24">
        <v>6222.5277777777774</v>
      </c>
      <c r="D111" s="20">
        <v>6.9941666666666684</v>
      </c>
      <c r="E111" s="20">
        <v>92.020138888888894</v>
      </c>
      <c r="F111" s="20">
        <v>12.122500000000002</v>
      </c>
    </row>
    <row r="112" spans="1:6" x14ac:dyDescent="0.3">
      <c r="A112" s="23" t="s">
        <v>150</v>
      </c>
      <c r="B112">
        <v>74</v>
      </c>
      <c r="C112" s="24">
        <v>8874.8918918918916</v>
      </c>
      <c r="D112" s="20">
        <v>7.0987837837837802</v>
      </c>
      <c r="E112" s="20">
        <v>93.289189189189187</v>
      </c>
      <c r="F112" s="20">
        <v>11.628378378378383</v>
      </c>
    </row>
    <row r="113" spans="1:6" x14ac:dyDescent="0.3">
      <c r="A113" s="23" t="s">
        <v>147</v>
      </c>
      <c r="B113">
        <v>98</v>
      </c>
      <c r="C113" s="24">
        <v>11076.469387755102</v>
      </c>
      <c r="D113" s="20">
        <v>6.7394897959183666</v>
      </c>
      <c r="E113" s="20">
        <v>90.290612244897972</v>
      </c>
      <c r="F113" s="20">
        <v>11.691938775510204</v>
      </c>
    </row>
    <row r="114" spans="1:6" x14ac:dyDescent="0.3">
      <c r="A114" s="23" t="s">
        <v>152</v>
      </c>
      <c r="B114">
        <v>63</v>
      </c>
      <c r="C114" s="24">
        <v>14842.603174603175</v>
      </c>
      <c r="D114" s="20">
        <v>6.3703174603174597</v>
      </c>
      <c r="E114" s="20">
        <v>89.784603174603205</v>
      </c>
      <c r="F114" s="20">
        <v>11.328571428571426</v>
      </c>
    </row>
    <row r="115" spans="1:6" x14ac:dyDescent="0.3">
      <c r="A115" s="23" t="s">
        <v>218</v>
      </c>
      <c r="B115">
        <v>410</v>
      </c>
      <c r="C115" s="24">
        <v>8334.1707317073178</v>
      </c>
      <c r="D115" s="20">
        <v>6.9867560975609742</v>
      </c>
      <c r="E115" s="20">
        <v>91.646780487804918</v>
      </c>
      <c r="F115" s="20">
        <v>11.653341463414632</v>
      </c>
    </row>
    <row r="116" spans="1:6" x14ac:dyDescent="0.3">
      <c r="A116" s="23"/>
      <c r="C116" s="24"/>
      <c r="D116" s="20"/>
      <c r="E116" s="20"/>
      <c r="F116" s="20"/>
    </row>
    <row r="117" spans="1:6" x14ac:dyDescent="0.3">
      <c r="A117" s="23"/>
      <c r="C117" s="24"/>
      <c r="D117" s="20"/>
      <c r="E117" s="20"/>
      <c r="F117" s="20"/>
    </row>
    <row r="118" spans="1:6" x14ac:dyDescent="0.3">
      <c r="A118" s="23"/>
      <c r="C118" s="24"/>
      <c r="D118" s="20"/>
      <c r="E118" s="20"/>
      <c r="F118" s="20"/>
    </row>
    <row r="119" spans="1:6" x14ac:dyDescent="0.3">
      <c r="A119" s="23"/>
      <c r="C119" s="24"/>
      <c r="D119" s="20"/>
      <c r="E119" s="20"/>
      <c r="F119" s="20"/>
    </row>
    <row r="120" spans="1:6" x14ac:dyDescent="0.3">
      <c r="A120" s="23"/>
      <c r="C120" s="24"/>
      <c r="D120" s="20"/>
      <c r="E120" s="20"/>
      <c r="F120" s="20"/>
    </row>
    <row r="121" spans="1:6" x14ac:dyDescent="0.3">
      <c r="A121" s="23"/>
      <c r="C121" s="24"/>
      <c r="D121" s="20"/>
      <c r="E121" s="20"/>
      <c r="F121" s="20"/>
    </row>
    <row r="122" spans="1:6" x14ac:dyDescent="0.3">
      <c r="A122" s="23"/>
      <c r="C122" s="24"/>
      <c r="D122" s="20"/>
      <c r="E122" s="20"/>
      <c r="F122" s="20"/>
    </row>
    <row r="123" spans="1:6" x14ac:dyDescent="0.3">
      <c r="A123" s="23"/>
      <c r="C123" s="24"/>
      <c r="D123" s="20"/>
      <c r="E123" s="20"/>
      <c r="F123" s="20"/>
    </row>
    <row r="124" spans="1:6" x14ac:dyDescent="0.3">
      <c r="A124" s="23"/>
      <c r="C124" s="24"/>
      <c r="D124" s="20"/>
      <c r="E124" s="20"/>
      <c r="F124" s="20"/>
    </row>
    <row r="125" spans="1:6" x14ac:dyDescent="0.3">
      <c r="A125" s="23"/>
      <c r="C125" s="24"/>
      <c r="D125" s="20"/>
      <c r="E125" s="20"/>
      <c r="F125" s="20"/>
    </row>
    <row r="126" spans="1:6" x14ac:dyDescent="0.3">
      <c r="A126" s="23"/>
      <c r="C126" s="24"/>
      <c r="D126" s="20"/>
      <c r="E126" s="20"/>
      <c r="F126" s="20"/>
    </row>
    <row r="127" spans="1:6" x14ac:dyDescent="0.3">
      <c r="A127" s="23"/>
      <c r="C127" s="24"/>
      <c r="D127" s="20"/>
      <c r="E127" s="20"/>
      <c r="F127" s="20"/>
    </row>
    <row r="128" spans="1:6" x14ac:dyDescent="0.3">
      <c r="A128" s="23"/>
      <c r="C128" s="24"/>
      <c r="D128" s="20"/>
      <c r="E128" s="20"/>
      <c r="F128" s="20"/>
    </row>
    <row r="129" spans="1:6" x14ac:dyDescent="0.3">
      <c r="A129" s="23"/>
      <c r="C129" s="24"/>
      <c r="D129" s="20"/>
      <c r="E129" s="20"/>
      <c r="F129" s="20"/>
    </row>
    <row r="130" spans="1:6" x14ac:dyDescent="0.3">
      <c r="A130" s="23"/>
      <c r="C130" s="24"/>
      <c r="D130" s="20"/>
      <c r="E130" s="20"/>
      <c r="F130" s="20"/>
    </row>
    <row r="131" spans="1:6" x14ac:dyDescent="0.3">
      <c r="A131" s="23"/>
      <c r="C131" s="24"/>
      <c r="D131" s="20"/>
      <c r="E131" s="20"/>
      <c r="F131" s="20"/>
    </row>
    <row r="132" spans="1:6" x14ac:dyDescent="0.3">
      <c r="A132" s="23"/>
      <c r="C132" s="24"/>
      <c r="D132" s="20"/>
      <c r="E132" s="20"/>
      <c r="F132" s="20"/>
    </row>
    <row r="133" spans="1:6" x14ac:dyDescent="0.3">
      <c r="A133" s="23"/>
      <c r="C133" s="24"/>
      <c r="D133" s="20"/>
      <c r="E133" s="20"/>
      <c r="F133" s="20"/>
    </row>
    <row r="134" spans="1:6" x14ac:dyDescent="0.3">
      <c r="A134" s="23"/>
      <c r="C134" s="24"/>
      <c r="D134" s="20"/>
      <c r="E134" s="20"/>
      <c r="F134" s="20"/>
    </row>
    <row r="135" spans="1:6" x14ac:dyDescent="0.3">
      <c r="A135" s="23"/>
      <c r="C135" s="24"/>
      <c r="D135" s="20"/>
      <c r="E135" s="20"/>
      <c r="F135" s="20"/>
    </row>
    <row r="136" spans="1:6" x14ac:dyDescent="0.3">
      <c r="A136" s="23"/>
      <c r="C136" s="24"/>
      <c r="D136" s="20"/>
      <c r="E136" s="20"/>
      <c r="F136" s="20"/>
    </row>
    <row r="137" spans="1:6" x14ac:dyDescent="0.3">
      <c r="A137" s="23"/>
      <c r="C137" s="24"/>
      <c r="D137" s="20"/>
      <c r="E137" s="20"/>
      <c r="F137" s="20"/>
    </row>
    <row r="138" spans="1:6" x14ac:dyDescent="0.3">
      <c r="A138" s="23"/>
      <c r="C138" s="24"/>
      <c r="D138" s="20"/>
      <c r="E138" s="20"/>
      <c r="F138" s="20"/>
    </row>
    <row r="139" spans="1:6" x14ac:dyDescent="0.3">
      <c r="A139" s="23"/>
      <c r="C139" s="24"/>
      <c r="D139" s="20"/>
      <c r="E139" s="20"/>
      <c r="F139" s="20"/>
    </row>
    <row r="140" spans="1:6" x14ac:dyDescent="0.3">
      <c r="A140" s="23"/>
      <c r="C140" s="24"/>
      <c r="D140" s="20"/>
      <c r="E140" s="20"/>
      <c r="F140" s="20"/>
    </row>
    <row r="142" spans="1:6" x14ac:dyDescent="0.3">
      <c r="A142" t="s">
        <v>250</v>
      </c>
    </row>
    <row r="144" spans="1:6" ht="239.4" customHeight="1" x14ac:dyDescent="0.3">
      <c r="A144" s="10" t="s">
        <v>251</v>
      </c>
    </row>
    <row r="145" spans="1:1" x14ac:dyDescent="0.3">
      <c r="A145" t="s">
        <v>252</v>
      </c>
    </row>
    <row r="146" spans="1:1" ht="360" x14ac:dyDescent="0.3">
      <c r="A146" s="9" t="s">
        <v>253</v>
      </c>
    </row>
    <row r="179" spans="1:7" x14ac:dyDescent="0.3">
      <c r="B179" s="3" t="s">
        <v>254</v>
      </c>
    </row>
    <row r="181" spans="1:7" x14ac:dyDescent="0.3">
      <c r="A181" s="22" t="s">
        <v>217</v>
      </c>
      <c r="B181" t="s">
        <v>248</v>
      </c>
      <c r="C181" t="s">
        <v>219</v>
      </c>
      <c r="D181" t="s">
        <v>222</v>
      </c>
      <c r="E181" t="s">
        <v>221</v>
      </c>
      <c r="F181" t="s">
        <v>220</v>
      </c>
      <c r="G181" t="s">
        <v>227</v>
      </c>
    </row>
    <row r="182" spans="1:7" x14ac:dyDescent="0.3">
      <c r="A182" s="23" t="s">
        <v>173</v>
      </c>
      <c r="B182" s="28">
        <v>100</v>
      </c>
      <c r="C182" s="24">
        <v>9229.8799999999992</v>
      </c>
      <c r="D182" s="20">
        <v>254.46</v>
      </c>
      <c r="E182" s="20">
        <v>13.661800000000001</v>
      </c>
      <c r="F182" s="24">
        <v>2212.69</v>
      </c>
      <c r="G182" s="20">
        <v>4.4025000000000007</v>
      </c>
    </row>
    <row r="183" spans="1:7" x14ac:dyDescent="0.3">
      <c r="A183" s="23" t="s">
        <v>176</v>
      </c>
      <c r="B183" s="28">
        <v>81</v>
      </c>
      <c r="C183" s="24">
        <v>9160.4074074074069</v>
      </c>
      <c r="D183" s="20">
        <v>268.98765432098764</v>
      </c>
      <c r="E183" s="20">
        <v>11.81246913580247</v>
      </c>
      <c r="F183" s="24">
        <v>2588.4074074074074</v>
      </c>
      <c r="G183" s="20">
        <v>6.5353086419753073</v>
      </c>
    </row>
    <row r="184" spans="1:7" x14ac:dyDescent="0.3">
      <c r="A184" s="23" t="s">
        <v>175</v>
      </c>
      <c r="B184" s="28">
        <v>190</v>
      </c>
      <c r="C184" s="24">
        <v>7946.652631578947</v>
      </c>
      <c r="D184" s="20">
        <v>253.63684210526316</v>
      </c>
      <c r="E184" s="20">
        <v>11.041315789473686</v>
      </c>
      <c r="F184" s="24">
        <v>2326.8421052631579</v>
      </c>
      <c r="G184" s="20">
        <v>7.8856315789473648</v>
      </c>
    </row>
    <row r="185" spans="1:7" x14ac:dyDescent="0.3">
      <c r="A185" s="23" t="s">
        <v>174</v>
      </c>
      <c r="B185" s="28">
        <v>39</v>
      </c>
      <c r="C185" s="24">
        <v>6209.3589743589746</v>
      </c>
      <c r="D185" s="20">
        <v>222</v>
      </c>
      <c r="E185" s="20">
        <v>9.1546153846153864</v>
      </c>
      <c r="F185" s="24">
        <v>2205.9487179487178</v>
      </c>
      <c r="G185" s="20">
        <v>10.171538461538461</v>
      </c>
    </row>
    <row r="186" spans="1:7" x14ac:dyDescent="0.3">
      <c r="A186" s="23" t="s">
        <v>218</v>
      </c>
      <c r="B186" s="28">
        <v>410</v>
      </c>
      <c r="C186" s="24">
        <v>8334.1707317073178</v>
      </c>
      <c r="D186" s="20">
        <v>253.86097560975611</v>
      </c>
      <c r="E186" s="20">
        <v>11.653341463414632</v>
      </c>
      <c r="F186" s="24">
        <v>2339.1756097560974</v>
      </c>
      <c r="G186" s="20">
        <v>6.986756097560975</v>
      </c>
    </row>
  </sheetData>
  <mergeCells count="2">
    <mergeCell ref="A37:C37"/>
    <mergeCell ref="A1:C1"/>
  </mergeCells>
  <pageMargins left="0.7" right="0.7" top="0.75" bottom="0.75" header="0.3" footer="0.3"/>
  <pageSetup orientation="portrait" r:id="rId7"/>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33C6-D4C6-410D-9F26-54783708DC82}">
  <dimension ref="A1:D22"/>
  <sheetViews>
    <sheetView topLeftCell="A22" workbookViewId="0">
      <selection activeCell="A23" sqref="A23"/>
    </sheetView>
  </sheetViews>
  <sheetFormatPr defaultRowHeight="14.4" x14ac:dyDescent="0.3"/>
  <cols>
    <col min="1" max="1" width="38.21875" customWidth="1"/>
    <col min="2" max="2" width="36.44140625" customWidth="1"/>
    <col min="3" max="3" width="37.77734375" customWidth="1"/>
    <col min="4" max="4" width="38.5546875" customWidth="1"/>
  </cols>
  <sheetData>
    <row r="1" spans="1:4" ht="15.6" x14ac:dyDescent="0.3">
      <c r="A1" s="13"/>
      <c r="B1" s="14" t="s">
        <v>259</v>
      </c>
      <c r="C1" s="14" t="s">
        <v>260</v>
      </c>
      <c r="D1" s="14" t="s">
        <v>261</v>
      </c>
    </row>
    <row r="2" spans="1:4" ht="15.6" x14ac:dyDescent="0.3">
      <c r="A2" s="14" t="s">
        <v>258</v>
      </c>
      <c r="B2" s="13"/>
      <c r="C2" s="13"/>
      <c r="D2" s="13"/>
    </row>
    <row r="3" spans="1:4" ht="78" x14ac:dyDescent="0.3">
      <c r="A3" s="31" t="s">
        <v>262</v>
      </c>
      <c r="B3" s="30" t="s">
        <v>268</v>
      </c>
      <c r="C3" s="30" t="s">
        <v>269</v>
      </c>
      <c r="D3" s="30" t="s">
        <v>270</v>
      </c>
    </row>
    <row r="4" spans="1:4" ht="93.6" x14ac:dyDescent="0.3">
      <c r="A4" s="31" t="s">
        <v>263</v>
      </c>
      <c r="B4" s="30" t="s">
        <v>271</v>
      </c>
      <c r="C4" s="30" t="s">
        <v>272</v>
      </c>
      <c r="D4" s="30" t="s">
        <v>273</v>
      </c>
    </row>
    <row r="5" spans="1:4" ht="93.6" x14ac:dyDescent="0.3">
      <c r="A5" s="31" t="s">
        <v>264</v>
      </c>
      <c r="B5" s="30" t="s">
        <v>274</v>
      </c>
      <c r="C5" s="30" t="s">
        <v>275</v>
      </c>
      <c r="D5" s="30" t="s">
        <v>276</v>
      </c>
    </row>
    <row r="6" spans="1:4" ht="93.6" x14ac:dyDescent="0.3">
      <c r="A6" s="31" t="s">
        <v>265</v>
      </c>
      <c r="B6" s="30" t="s">
        <v>277</v>
      </c>
      <c r="C6" s="30" t="s">
        <v>278</v>
      </c>
      <c r="D6" s="30" t="s">
        <v>279</v>
      </c>
    </row>
    <row r="7" spans="1:4" ht="93.6" x14ac:dyDescent="0.3">
      <c r="A7" s="31" t="s">
        <v>266</v>
      </c>
      <c r="B7" s="30" t="s">
        <v>280</v>
      </c>
      <c r="C7" s="30" t="s">
        <v>281</v>
      </c>
      <c r="D7" s="30" t="s">
        <v>282</v>
      </c>
    </row>
    <row r="8" spans="1:4" ht="124.8" x14ac:dyDescent="0.3">
      <c r="A8" s="31" t="s">
        <v>267</v>
      </c>
      <c r="B8" s="30" t="s">
        <v>283</v>
      </c>
      <c r="C8" s="30" t="s">
        <v>284</v>
      </c>
      <c r="D8" s="30" t="s">
        <v>285</v>
      </c>
    </row>
    <row r="9" spans="1:4" ht="15.6" x14ac:dyDescent="0.3">
      <c r="A9" s="13"/>
      <c r="B9" s="13"/>
      <c r="C9" s="13"/>
      <c r="D9" s="13"/>
    </row>
    <row r="11" spans="1:4" ht="18" x14ac:dyDescent="0.3">
      <c r="B11" s="33" t="s">
        <v>287</v>
      </c>
    </row>
    <row r="13" spans="1:4" ht="150.6" customHeight="1" x14ac:dyDescent="0.3">
      <c r="A13" s="40" t="s">
        <v>286</v>
      </c>
      <c r="B13" s="40"/>
      <c r="C13" s="40"/>
    </row>
    <row r="15" spans="1:4" ht="18" x14ac:dyDescent="0.35">
      <c r="B15" s="32" t="s">
        <v>288</v>
      </c>
    </row>
    <row r="17" spans="1:3" ht="217.2" customHeight="1" x14ac:dyDescent="0.3">
      <c r="A17" s="40" t="s">
        <v>289</v>
      </c>
      <c r="B17" s="40"/>
      <c r="C17" s="40"/>
    </row>
    <row r="20" spans="1:3" ht="18" x14ac:dyDescent="0.35">
      <c r="B20" s="15" t="s">
        <v>290</v>
      </c>
    </row>
    <row r="22" spans="1:3" ht="116.4" customHeight="1" x14ac:dyDescent="0.3">
      <c r="A22" s="40" t="s">
        <v>291</v>
      </c>
      <c r="B22" s="40"/>
      <c r="C22" s="40"/>
    </row>
  </sheetData>
  <mergeCells count="3">
    <mergeCell ref="A13:C13"/>
    <mergeCell ref="A17:C17"/>
    <mergeCell ref="A22:C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5EC9-5195-46DC-9CDE-B0783A8763EB}">
  <sheetPr>
    <tabColor theme="8"/>
  </sheetPr>
  <dimension ref="A1"/>
  <sheetViews>
    <sheetView workbookViewId="0">
      <selection activeCell="H17" sqref="H17"/>
    </sheetView>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6983-F6CA-4F78-8BB0-894CADCEC620}">
  <sheetPr>
    <tabColor theme="8"/>
  </sheetPr>
  <dimension ref="A1:F10"/>
  <sheetViews>
    <sheetView zoomScale="120" zoomScaleNormal="120" workbookViewId="0">
      <selection activeCell="G20" sqref="G20"/>
    </sheetView>
  </sheetViews>
  <sheetFormatPr defaultRowHeight="14.4" x14ac:dyDescent="0.3"/>
  <cols>
    <col min="1" max="1" width="31" customWidth="1"/>
    <col min="4" max="4" width="15.109375" customWidth="1"/>
  </cols>
  <sheetData>
    <row r="1" spans="1:6" ht="18" x14ac:dyDescent="0.35">
      <c r="A1" s="41" t="s">
        <v>292</v>
      </c>
      <c r="B1" s="41"/>
      <c r="C1" s="41"/>
      <c r="D1" s="41"/>
      <c r="E1" s="41"/>
      <c r="F1" s="41"/>
    </row>
    <row r="3" spans="1:6" x14ac:dyDescent="0.3">
      <c r="A3" s="3" t="s">
        <v>293</v>
      </c>
    </row>
    <row r="6" spans="1:6" x14ac:dyDescent="0.3">
      <c r="A6" s="3" t="s">
        <v>297</v>
      </c>
      <c r="B6" s="3" t="s">
        <v>183</v>
      </c>
    </row>
    <row r="7" spans="1:6" x14ac:dyDescent="0.3">
      <c r="A7" t="s">
        <v>294</v>
      </c>
      <c r="B7" s="27">
        <v>0.54339999999999999</v>
      </c>
    </row>
    <row r="8" spans="1:6" x14ac:dyDescent="0.3">
      <c r="A8" t="s">
        <v>295</v>
      </c>
      <c r="B8" s="27">
        <v>0.4415</v>
      </c>
    </row>
    <row r="9" spans="1:6" x14ac:dyDescent="0.3">
      <c r="A9" t="s">
        <v>230</v>
      </c>
      <c r="B9" s="27">
        <v>0.91649999999999998</v>
      </c>
    </row>
    <row r="10" spans="1:6" x14ac:dyDescent="0.3">
      <c r="A10" t="s">
        <v>296</v>
      </c>
      <c r="B10" s="24">
        <v>8334</v>
      </c>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3F283-6C03-4F78-8981-D1F58FAC53BA}">
  <dimension ref="A1:C25"/>
  <sheetViews>
    <sheetView tabSelected="1" topLeftCell="A21" zoomScale="110" zoomScaleNormal="110" workbookViewId="0">
      <selection activeCell="C25" sqref="C25"/>
    </sheetView>
  </sheetViews>
  <sheetFormatPr defaultRowHeight="15.6" x14ac:dyDescent="0.3"/>
  <cols>
    <col min="1" max="1" width="77" style="13" customWidth="1"/>
    <col min="2" max="2" width="37.109375" style="13" customWidth="1"/>
    <col min="3" max="3" width="35.109375" style="13" customWidth="1"/>
    <col min="4" max="16384" width="8.88671875" style="13"/>
  </cols>
  <sheetData>
    <row r="1" spans="1:3" x14ac:dyDescent="0.3">
      <c r="A1" s="14" t="s">
        <v>306</v>
      </c>
    </row>
    <row r="3" spans="1:3" ht="234" x14ac:dyDescent="0.3">
      <c r="A3" s="30" t="s">
        <v>307</v>
      </c>
    </row>
    <row r="4" spans="1:3" x14ac:dyDescent="0.3">
      <c r="A4" s="30"/>
    </row>
    <row r="6" spans="1:3" x14ac:dyDescent="0.3">
      <c r="A6" s="38" t="s">
        <v>308</v>
      </c>
      <c r="B6" s="38"/>
      <c r="C6" s="38"/>
    </row>
    <row r="8" spans="1:3" x14ac:dyDescent="0.3">
      <c r="A8" s="34" t="s">
        <v>309</v>
      </c>
      <c r="B8" s="34" t="s">
        <v>310</v>
      </c>
      <c r="C8" s="34" t="s">
        <v>311</v>
      </c>
    </row>
    <row r="9" spans="1:3" ht="109.2" x14ac:dyDescent="0.3">
      <c r="A9" s="35" t="s">
        <v>312</v>
      </c>
      <c r="B9" s="36" t="s">
        <v>313</v>
      </c>
      <c r="C9" s="37" t="s">
        <v>314</v>
      </c>
    </row>
    <row r="10" spans="1:3" ht="78" x14ac:dyDescent="0.3">
      <c r="A10" s="35" t="s">
        <v>315</v>
      </c>
      <c r="B10" s="37" t="s">
        <v>316</v>
      </c>
      <c r="C10" s="37" t="s">
        <v>317</v>
      </c>
    </row>
    <row r="11" spans="1:3" ht="93.6" x14ac:dyDescent="0.3">
      <c r="A11" s="35" t="s">
        <v>318</v>
      </c>
      <c r="B11" s="37" t="s">
        <v>319</v>
      </c>
      <c r="C11" s="37" t="s">
        <v>320</v>
      </c>
    </row>
    <row r="14" spans="1:3" x14ac:dyDescent="0.3">
      <c r="A14" s="13" t="s">
        <v>321</v>
      </c>
    </row>
    <row r="16" spans="1:3" ht="358.8" x14ac:dyDescent="0.3">
      <c r="A16" s="29" t="s">
        <v>322</v>
      </c>
    </row>
    <row r="19" spans="1:1" x14ac:dyDescent="0.3">
      <c r="A19" s="13" t="s">
        <v>323</v>
      </c>
    </row>
    <row r="21" spans="1:1" ht="265.2" x14ac:dyDescent="0.3">
      <c r="A21" s="29" t="s">
        <v>324</v>
      </c>
    </row>
    <row r="23" spans="1:1" x14ac:dyDescent="0.3">
      <c r="A23" s="14" t="s">
        <v>325</v>
      </c>
    </row>
    <row r="25" spans="1:1" ht="156" x14ac:dyDescent="0.3">
      <c r="A25" s="29" t="s">
        <v>326</v>
      </c>
    </row>
  </sheetData>
  <mergeCells count="1">
    <mergeCell ref="A6:C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5002D-0930-4281-81BB-65F722EDE7E0}">
  <dimension ref="A1:A12"/>
  <sheetViews>
    <sheetView topLeftCell="A4" workbookViewId="0">
      <selection activeCell="E10" sqref="E10"/>
    </sheetView>
  </sheetViews>
  <sheetFormatPr defaultRowHeight="14.4" x14ac:dyDescent="0.3"/>
  <cols>
    <col min="1" max="1" width="75.33203125" customWidth="1"/>
  </cols>
  <sheetData>
    <row r="1" spans="1:1" x14ac:dyDescent="0.3">
      <c r="A1" t="s">
        <v>298</v>
      </c>
    </row>
    <row r="3" spans="1:1" ht="409.6" x14ac:dyDescent="0.3">
      <c r="A3" s="10" t="s">
        <v>299</v>
      </c>
    </row>
    <row r="6" spans="1:1" x14ac:dyDescent="0.3">
      <c r="A6" t="s">
        <v>300</v>
      </c>
    </row>
    <row r="8" spans="1:1" ht="158.4" x14ac:dyDescent="0.3">
      <c r="A8" s="9" t="s">
        <v>301</v>
      </c>
    </row>
    <row r="10" spans="1:1" x14ac:dyDescent="0.3">
      <c r="A10" t="s">
        <v>302</v>
      </c>
    </row>
    <row r="12" spans="1:1" ht="129.6" x14ac:dyDescent="0.3">
      <c r="A12" s="9" t="s">
        <v>303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4BF68-6439-46C3-9166-4F4F6DAB178C}">
  <sheetPr>
    <tabColor rgb="FF00B0F0"/>
  </sheetPr>
  <dimension ref="A1:A28"/>
  <sheetViews>
    <sheetView zoomScale="130" zoomScaleNormal="130" workbookViewId="0">
      <selection activeCell="A28" sqref="A28"/>
    </sheetView>
  </sheetViews>
  <sheetFormatPr defaultRowHeight="14.4" x14ac:dyDescent="0.3"/>
  <cols>
    <col min="1" max="1" width="53.6640625" customWidth="1"/>
  </cols>
  <sheetData>
    <row r="1" spans="1:1" x14ac:dyDescent="0.3">
      <c r="A1" s="3" t="s">
        <v>76</v>
      </c>
    </row>
    <row r="2" spans="1:1" ht="86.4" x14ac:dyDescent="0.3">
      <c r="A2" s="10" t="s">
        <v>77</v>
      </c>
    </row>
    <row r="4" spans="1:1" x14ac:dyDescent="0.3">
      <c r="A4" s="3" t="s">
        <v>224</v>
      </c>
    </row>
    <row r="5" spans="1:1" ht="158.4" x14ac:dyDescent="0.3">
      <c r="A5" s="9" t="s">
        <v>223</v>
      </c>
    </row>
    <row r="6" spans="1:1" x14ac:dyDescent="0.3">
      <c r="A6" s="3" t="s">
        <v>226</v>
      </c>
    </row>
    <row r="7" spans="1:1" ht="72" x14ac:dyDescent="0.3">
      <c r="A7" s="9" t="s">
        <v>225</v>
      </c>
    </row>
    <row r="9" spans="1:1" ht="144" x14ac:dyDescent="0.3">
      <c r="A9" s="9" t="s">
        <v>233</v>
      </c>
    </row>
    <row r="11" spans="1:1" x14ac:dyDescent="0.3">
      <c r="A11" t="s">
        <v>234</v>
      </c>
    </row>
    <row r="12" spans="1:1" ht="115.2" x14ac:dyDescent="0.3">
      <c r="A12" s="9" t="s">
        <v>235</v>
      </c>
    </row>
    <row r="14" spans="1:1" x14ac:dyDescent="0.3">
      <c r="A14" s="3" t="s">
        <v>236</v>
      </c>
    </row>
    <row r="15" spans="1:1" ht="240.6" customHeight="1" x14ac:dyDescent="0.3">
      <c r="A15" s="9" t="s">
        <v>237</v>
      </c>
    </row>
    <row r="17" spans="1:1" x14ac:dyDescent="0.3">
      <c r="A17" s="3" t="s">
        <v>241</v>
      </c>
    </row>
    <row r="18" spans="1:1" ht="158.4" x14ac:dyDescent="0.3">
      <c r="A18" s="9" t="s">
        <v>242</v>
      </c>
    </row>
    <row r="19" spans="1:1" x14ac:dyDescent="0.3">
      <c r="A19" s="3" t="s">
        <v>243</v>
      </c>
    </row>
    <row r="20" spans="1:1" ht="100.8" x14ac:dyDescent="0.3">
      <c r="A20" s="9" t="s">
        <v>244</v>
      </c>
    </row>
    <row r="23" spans="1:1" ht="144" x14ac:dyDescent="0.3">
      <c r="A23" s="9" t="s">
        <v>247</v>
      </c>
    </row>
    <row r="26" spans="1:1" ht="270" customHeight="1" x14ac:dyDescent="0.3">
      <c r="A26" s="9" t="s">
        <v>255</v>
      </c>
    </row>
    <row r="27" spans="1:1" x14ac:dyDescent="0.3">
      <c r="A27" s="3" t="s">
        <v>256</v>
      </c>
    </row>
    <row r="28" spans="1:1" ht="115.2" x14ac:dyDescent="0.3">
      <c r="A28" s="9" t="s">
        <v>257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4DA3FFF12F5F409B48A5300FD85822" ma:contentTypeVersion="12" ma:contentTypeDescription="Create a new document." ma:contentTypeScope="" ma:versionID="17e69a6ccaf9376d410b084678fccc5b">
  <xsd:schema xmlns:xsd="http://www.w3.org/2001/XMLSchema" xmlns:xs="http://www.w3.org/2001/XMLSchema" xmlns:p="http://schemas.microsoft.com/office/2006/metadata/properties" xmlns:ns1="http://schemas.microsoft.com/sharepoint/v3" xmlns:ns3="293ca184-73d6-42a2-a7fd-aacc6fb80664" targetNamespace="http://schemas.microsoft.com/office/2006/metadata/properties" ma:root="true" ma:fieldsID="6be991e9cc009744321d4c84a493473a" ns1:_="" ns3:_="">
    <xsd:import namespace="http://schemas.microsoft.com/sharepoint/v3"/>
    <xsd:import namespace="293ca184-73d6-42a2-a7fd-aacc6fb8066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1:_ip_UnifiedCompliancePolicyProperties" minOccurs="0"/>
                <xsd:element ref="ns1:_ip_UnifiedCompliancePolicyUIAc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3ca184-73d6-42a2-a7fd-aacc6fb8066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293ca184-73d6-42a2-a7fd-aacc6fb80664"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4CC648-188B-4111-9935-0994EE7D76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3ca184-73d6-42a2-a7fd-aacc6fb80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C6A305-E493-4CCF-8497-027E53A7F8D3}">
  <ds:schemaRefs>
    <ds:schemaRef ds:uri="http://schemas.openxmlformats.org/package/2006/metadata/core-properties"/>
    <ds:schemaRef ds:uri="293ca184-73d6-42a2-a7fd-aacc6fb80664"/>
    <ds:schemaRef ds:uri="http://purl.org/dc/terms/"/>
    <ds:schemaRef ds:uri="http://purl.org/dc/elements/1.1/"/>
    <ds:schemaRef ds:uri="http://schemas.microsoft.com/sharepoint/v3"/>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0A72B63-FE5C-4934-8A57-8C8F8644A9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Raw_DailyActivity_1</vt:lpstr>
      <vt:lpstr>Raw_DailyActivity_2</vt:lpstr>
      <vt:lpstr>Raw_SleepDay</vt:lpstr>
      <vt:lpstr>File_Audit</vt:lpstr>
      <vt:lpstr>Working_DailyActivity</vt:lpstr>
      <vt:lpstr>Working_SleepDay</vt:lpstr>
      <vt:lpstr>Merged_Activity_Sleep</vt:lpstr>
      <vt:lpstr>Cleaning_Log</vt:lpstr>
      <vt:lpstr>Data_Dictionary</vt:lpstr>
      <vt:lpstr>Analysis</vt:lpstr>
      <vt:lpstr>Analysis_Summary</vt:lpstr>
      <vt:lpstr>PivotTables</vt:lpstr>
      <vt:lpstr>Final_insights</vt:lpstr>
      <vt:lpstr>Charts</vt:lpstr>
      <vt:lpstr>Dashboard</vt:lpstr>
      <vt:lpstr>Act_Recommendations</vt:lpstr>
      <vt:lpstr>Share_Narrative</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Ayodele Oyadeyi</dc:creator>
  <cp:lastModifiedBy>Ayodele Oyadeyi</cp:lastModifiedBy>
  <dcterms:created xsi:type="dcterms:W3CDTF">2026-07-11T16:12:32Z</dcterms:created>
  <dcterms:modified xsi:type="dcterms:W3CDTF">2026-07-19T16:32:49Z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0x010100454DA3FFF12F5F409B48A5300FD85822</vt:lpwstr>
  </property>
</Properties>
</file>